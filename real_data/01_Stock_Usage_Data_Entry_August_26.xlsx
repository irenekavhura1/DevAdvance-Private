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ivotTables/pivotTable8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M:\10. Stores &amp; Purchasing\01. PURCHASING STORES M DRIVE FOLDER TEMPLATE\02. STOCK SHEETS\03. P&amp;L STOCKSHEET\2026\08. August 2026\"/>
    </mc:Choice>
  </mc:AlternateContent>
  <xr:revisionPtr revIDLastSave="0" documentId="8_{D3A2E1D1-8376-4973-B67F-007476A11FBD}" xr6:coauthVersionLast="47" xr6:coauthVersionMax="47" xr10:uidLastSave="{00000000-0000-0000-0000-000000000000}"/>
  <bookViews>
    <workbookView xWindow="-108" yWindow="-108" windowWidth="23256" windowHeight="13896" tabRatio="588" firstSheet="1" activeTab="9" xr2:uid="{404B53AC-E82E-4079-A70A-BE9882BB5EB7}"/>
  </bookViews>
  <sheets>
    <sheet name="Sheet4" sheetId="12" state="hidden" r:id="rId1"/>
    <sheet name="LOOKUP" sheetId="27" r:id="rId2"/>
    <sheet name="JAN 26" sheetId="47" r:id="rId3"/>
    <sheet name="FEB 26" sheetId="50" r:id="rId4"/>
    <sheet name="MAR 26" sheetId="49" r:id="rId5"/>
    <sheet name="APR 26" sheetId="51" r:id="rId6"/>
    <sheet name="MAY 26" sheetId="52" r:id="rId7"/>
    <sheet name="JUNE 26" sheetId="54" r:id="rId8"/>
    <sheet name="JULY 26" sheetId="55" r:id="rId9"/>
    <sheet name="AUGUST 26" sheetId="56" r:id="rId10"/>
  </sheets>
  <definedNames>
    <definedName name="_xlnm._FilterDatabase" localSheetId="5" hidden="1">'APR 26'!$B$5:$AM$403</definedName>
    <definedName name="_xlnm._FilterDatabase" localSheetId="9" hidden="1">'AUGUST 26'!$B$5:$K$5</definedName>
    <definedName name="_xlnm._FilterDatabase" localSheetId="3" hidden="1">'FEB 26'!$B$5:$AH$420</definedName>
    <definedName name="_xlnm._FilterDatabase" localSheetId="2" hidden="1">'JAN 26'!$B$5:$AH$417</definedName>
    <definedName name="_xlnm._FilterDatabase" localSheetId="8" hidden="1">'JULY 26'!$A$5:$CU$404</definedName>
    <definedName name="_xlnm._FilterDatabase" localSheetId="7" hidden="1">'JUNE 26'!$A$5:$CU$404</definedName>
    <definedName name="_xlnm._FilterDatabase" localSheetId="4" hidden="1">'MAR 26'!$B$5:$AH$403</definedName>
    <definedName name="_xlnm._FilterDatabase" localSheetId="6" hidden="1">'MAY 26'!$A$5:$CU$404</definedName>
  </definedNames>
  <calcPr calcId="191029"/>
  <pivotCaches>
    <pivotCache cacheId="2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56" l="1"/>
  <c r="C404" i="56" l="1"/>
  <c r="C403" i="56"/>
  <c r="C402" i="56"/>
  <c r="C401" i="56"/>
  <c r="C400" i="56"/>
  <c r="C399" i="56"/>
  <c r="C398" i="56"/>
  <c r="C397" i="56"/>
  <c r="C396" i="56"/>
  <c r="C395" i="56"/>
  <c r="C394" i="56"/>
  <c r="C393" i="56"/>
  <c r="C392" i="56"/>
  <c r="C391" i="56"/>
  <c r="C390" i="56"/>
  <c r="C389" i="56"/>
  <c r="C388" i="56"/>
  <c r="C387" i="56"/>
  <c r="C386" i="56"/>
  <c r="C385" i="56"/>
  <c r="C384" i="56"/>
  <c r="C383" i="56"/>
  <c r="C382" i="56"/>
  <c r="C381" i="56"/>
  <c r="C380" i="56"/>
  <c r="C379" i="56"/>
  <c r="C378" i="56"/>
  <c r="C377" i="56"/>
  <c r="C376" i="56"/>
  <c r="C375" i="56"/>
  <c r="C374" i="56"/>
  <c r="C373" i="56"/>
  <c r="C372" i="56"/>
  <c r="C371" i="56"/>
  <c r="C370" i="56"/>
  <c r="C369" i="56"/>
  <c r="C368" i="56"/>
  <c r="C367" i="56"/>
  <c r="C366" i="56"/>
  <c r="C365" i="56"/>
  <c r="C364" i="56"/>
  <c r="C363" i="56"/>
  <c r="C362" i="56"/>
  <c r="C361" i="56"/>
  <c r="C360" i="56"/>
  <c r="C359" i="56"/>
  <c r="C358" i="56"/>
  <c r="C357" i="56"/>
  <c r="C356" i="56"/>
  <c r="C355" i="56"/>
  <c r="C354" i="56"/>
  <c r="C353" i="56"/>
  <c r="C352" i="56"/>
  <c r="C351" i="56"/>
  <c r="C350" i="56"/>
  <c r="C349" i="56"/>
  <c r="C348" i="56"/>
  <c r="C347" i="56"/>
  <c r="C346" i="56"/>
  <c r="C345" i="56"/>
  <c r="C344" i="56"/>
  <c r="C343" i="56"/>
  <c r="C342" i="56"/>
  <c r="C341" i="56"/>
  <c r="C340" i="56"/>
  <c r="C339" i="56"/>
  <c r="C338" i="56"/>
  <c r="C337" i="56"/>
  <c r="C336" i="56"/>
  <c r="C335" i="56"/>
  <c r="C334" i="56"/>
  <c r="C333" i="56"/>
  <c r="C332" i="56"/>
  <c r="C331" i="56"/>
  <c r="C330" i="56"/>
  <c r="C329" i="56"/>
  <c r="C328" i="56"/>
  <c r="C327" i="56"/>
  <c r="C326" i="56"/>
  <c r="C325" i="56"/>
  <c r="C324" i="56"/>
  <c r="C323" i="56"/>
  <c r="C322" i="56"/>
  <c r="C321" i="56"/>
  <c r="C320" i="56"/>
  <c r="C319" i="56"/>
  <c r="C318" i="56"/>
  <c r="C317" i="56"/>
  <c r="C316" i="56"/>
  <c r="C315" i="56"/>
  <c r="C314" i="56"/>
  <c r="C313" i="56"/>
  <c r="C312" i="56"/>
  <c r="C311" i="56"/>
  <c r="C310" i="56"/>
  <c r="C309" i="56"/>
  <c r="C308" i="56"/>
  <c r="C307" i="56"/>
  <c r="C306" i="56"/>
  <c r="C305" i="56"/>
  <c r="C304" i="56"/>
  <c r="C303" i="56"/>
  <c r="C302" i="56"/>
  <c r="C301" i="56"/>
  <c r="C300" i="56"/>
  <c r="C299" i="56"/>
  <c r="C298" i="56"/>
  <c r="C297" i="56"/>
  <c r="C296" i="56"/>
  <c r="C295" i="56"/>
  <c r="C294" i="56"/>
  <c r="C293" i="56"/>
  <c r="C292" i="56"/>
  <c r="C291" i="56"/>
  <c r="C290" i="56"/>
  <c r="C289" i="56"/>
  <c r="C288" i="56"/>
  <c r="C287" i="56"/>
  <c r="C286" i="56"/>
  <c r="C285" i="56"/>
  <c r="C284" i="56"/>
  <c r="C283" i="56"/>
  <c r="C282" i="56"/>
  <c r="C281" i="56"/>
  <c r="C280" i="56"/>
  <c r="C279" i="56"/>
  <c r="C278" i="56"/>
  <c r="C277" i="56"/>
  <c r="C276" i="56"/>
  <c r="C275" i="56"/>
  <c r="C274" i="56"/>
  <c r="C273" i="56"/>
  <c r="C272" i="56"/>
  <c r="C271" i="56"/>
  <c r="C270" i="56"/>
  <c r="C269" i="56"/>
  <c r="C268" i="56"/>
  <c r="C267" i="56"/>
  <c r="C266" i="56"/>
  <c r="C265" i="56"/>
  <c r="C264" i="56"/>
  <c r="C263" i="56"/>
  <c r="C262" i="56"/>
  <c r="C261" i="56"/>
  <c r="C260" i="56"/>
  <c r="C259" i="56"/>
  <c r="C258" i="56"/>
  <c r="C257" i="56"/>
  <c r="C256" i="56"/>
  <c r="C255" i="56"/>
  <c r="C254" i="56"/>
  <c r="C253" i="56"/>
  <c r="C252" i="56"/>
  <c r="C251" i="56"/>
  <c r="C250" i="56"/>
  <c r="C249" i="56"/>
  <c r="C248" i="56"/>
  <c r="C247" i="56"/>
  <c r="C246" i="56"/>
  <c r="C245" i="56"/>
  <c r="C244" i="56"/>
  <c r="C243" i="56"/>
  <c r="C242" i="56"/>
  <c r="C241" i="56"/>
  <c r="C240" i="56"/>
  <c r="C239" i="56"/>
  <c r="C238" i="56"/>
  <c r="C237" i="56"/>
  <c r="C236" i="56"/>
  <c r="C235" i="56"/>
  <c r="C234" i="56"/>
  <c r="C233" i="56"/>
  <c r="C232" i="56"/>
  <c r="C231" i="56"/>
  <c r="C230" i="56"/>
  <c r="C229" i="56"/>
  <c r="C228" i="56"/>
  <c r="C227" i="56"/>
  <c r="C226" i="56"/>
  <c r="C225" i="56"/>
  <c r="C224" i="56"/>
  <c r="C223" i="56"/>
  <c r="C222" i="56"/>
  <c r="C221" i="56"/>
  <c r="C220" i="56"/>
  <c r="C219" i="56"/>
  <c r="C218" i="56"/>
  <c r="C217" i="56"/>
  <c r="C216" i="56"/>
  <c r="C215" i="56"/>
  <c r="C214" i="56"/>
  <c r="C213" i="56"/>
  <c r="C212" i="56"/>
  <c r="C211" i="56"/>
  <c r="C210" i="56"/>
  <c r="C209" i="56"/>
  <c r="C208" i="56"/>
  <c r="C207" i="56"/>
  <c r="C206" i="56"/>
  <c r="C205" i="56"/>
  <c r="C204" i="56"/>
  <c r="C203" i="56"/>
  <c r="C202" i="56"/>
  <c r="C201" i="56"/>
  <c r="C200" i="56"/>
  <c r="C199" i="56"/>
  <c r="C198" i="56"/>
  <c r="C197" i="56"/>
  <c r="C196" i="56"/>
  <c r="C195" i="56"/>
  <c r="C194" i="56"/>
  <c r="C193" i="56"/>
  <c r="C192" i="56"/>
  <c r="C191" i="56"/>
  <c r="C190" i="56"/>
  <c r="C189" i="56"/>
  <c r="C188" i="56"/>
  <c r="C187" i="56"/>
  <c r="C186" i="56"/>
  <c r="C185" i="56"/>
  <c r="C184" i="56"/>
  <c r="C183" i="56"/>
  <c r="C182" i="56"/>
  <c r="C181" i="56"/>
  <c r="C180" i="56"/>
  <c r="C179" i="56"/>
  <c r="C178" i="56"/>
  <c r="C177" i="56"/>
  <c r="C176" i="56"/>
  <c r="C175" i="56"/>
  <c r="C174" i="56"/>
  <c r="C173" i="56"/>
  <c r="C172" i="56"/>
  <c r="C171" i="56"/>
  <c r="C170" i="56"/>
  <c r="C169" i="56"/>
  <c r="C168" i="56"/>
  <c r="C167" i="56"/>
  <c r="C166" i="56"/>
  <c r="C165" i="56"/>
  <c r="C164" i="56"/>
  <c r="C163" i="56"/>
  <c r="C162" i="56"/>
  <c r="C161" i="56"/>
  <c r="C160" i="56"/>
  <c r="C159" i="56"/>
  <c r="C158" i="56"/>
  <c r="C157" i="56"/>
  <c r="C156" i="56"/>
  <c r="C155" i="56"/>
  <c r="C154" i="56"/>
  <c r="C153" i="56"/>
  <c r="C152" i="56"/>
  <c r="C151" i="56"/>
  <c r="C150" i="56"/>
  <c r="C149" i="56"/>
  <c r="C148" i="56"/>
  <c r="C147" i="56"/>
  <c r="C146" i="56"/>
  <c r="C145" i="56"/>
  <c r="C144" i="56"/>
  <c r="C143" i="56"/>
  <c r="C142" i="56"/>
  <c r="C141" i="56"/>
  <c r="C140" i="56"/>
  <c r="C139" i="56"/>
  <c r="C138" i="56"/>
  <c r="C137" i="56"/>
  <c r="C136" i="56"/>
  <c r="C135" i="56"/>
  <c r="C134" i="56"/>
  <c r="C133" i="56"/>
  <c r="C132" i="56"/>
  <c r="C131" i="56"/>
  <c r="C130" i="56"/>
  <c r="C129" i="56"/>
  <c r="C128" i="56"/>
  <c r="C127" i="56"/>
  <c r="C126" i="56"/>
  <c r="C125" i="56"/>
  <c r="C124" i="56"/>
  <c r="C123" i="56"/>
  <c r="C122" i="56"/>
  <c r="C121" i="56"/>
  <c r="C120" i="56"/>
  <c r="C119" i="56"/>
  <c r="C118" i="56"/>
  <c r="C117" i="56"/>
  <c r="C116" i="56"/>
  <c r="C115" i="56"/>
  <c r="C114" i="56"/>
  <c r="C113" i="56"/>
  <c r="C112" i="56"/>
  <c r="C111" i="56"/>
  <c r="AM3" i="56"/>
  <c r="AM2" i="56" s="1"/>
  <c r="AL3" i="56"/>
  <c r="AL2" i="56" s="1"/>
  <c r="AK3" i="56"/>
  <c r="AK2" i="56" s="1"/>
  <c r="AJ3" i="56"/>
  <c r="AJ2" i="56" s="1"/>
  <c r="AI3" i="56"/>
  <c r="AI2" i="56" s="1"/>
  <c r="AH3" i="56"/>
  <c r="AH2" i="56" s="1"/>
  <c r="AG3" i="56"/>
  <c r="AG2" i="56" s="1"/>
  <c r="AF3" i="56"/>
  <c r="AF2" i="56" s="1"/>
  <c r="AE3" i="56"/>
  <c r="AE2" i="56" s="1"/>
  <c r="AC3" i="56"/>
  <c r="AC2" i="56" s="1"/>
  <c r="AB3" i="56"/>
  <c r="AB2" i="56" s="1"/>
  <c r="Z3" i="56"/>
  <c r="Z2" i="56" s="1"/>
  <c r="Y3" i="56"/>
  <c r="Y2" i="56" s="1"/>
  <c r="X3" i="56"/>
  <c r="X2" i="56" s="1"/>
  <c r="W3" i="56"/>
  <c r="W2" i="56" s="1"/>
  <c r="V3" i="56"/>
  <c r="V2" i="56" s="1"/>
  <c r="U3" i="56"/>
  <c r="U2" i="56" s="1"/>
  <c r="T3" i="56"/>
  <c r="T2" i="56" s="1"/>
  <c r="S3" i="56"/>
  <c r="S2" i="56" s="1"/>
  <c r="R3" i="56"/>
  <c r="R2" i="56" s="1"/>
  <c r="Q3" i="56"/>
  <c r="Q2" i="56" s="1"/>
  <c r="P3" i="56"/>
  <c r="P2" i="56" s="1"/>
  <c r="O3" i="56"/>
  <c r="O2" i="56" s="1"/>
  <c r="N3" i="56"/>
  <c r="N2" i="56" s="1"/>
  <c r="M3" i="56"/>
  <c r="M2" i="56" s="1"/>
  <c r="L3" i="56"/>
  <c r="L2" i="56" s="1"/>
  <c r="K3" i="56"/>
  <c r="K2" i="56" s="1"/>
  <c r="J3" i="56"/>
  <c r="J2" i="56" s="1"/>
  <c r="AD2" i="56"/>
  <c r="AA2" i="56"/>
  <c r="C45" i="55"/>
  <c r="C44" i="55"/>
  <c r="C43" i="55"/>
  <c r="C42" i="55"/>
  <c r="C41" i="55"/>
  <c r="C40" i="55"/>
  <c r="C39" i="55"/>
  <c r="C38" i="55"/>
  <c r="C37" i="55"/>
  <c r="C36" i="55"/>
  <c r="C35" i="55"/>
  <c r="C34" i="55"/>
  <c r="C33" i="55"/>
  <c r="C32" i="55"/>
  <c r="C31" i="55"/>
  <c r="H2" i="56" l="1"/>
  <c r="C26" i="55"/>
  <c r="C25" i="55"/>
  <c r="C14" i="55"/>
  <c r="C15" i="55"/>
  <c r="C16" i="55"/>
  <c r="C17" i="55"/>
  <c r="C18" i="55"/>
  <c r="C19" i="55"/>
  <c r="C20" i="55"/>
  <c r="C21" i="55"/>
  <c r="C22" i="55"/>
  <c r="C23" i="55"/>
  <c r="C24" i="55"/>
  <c r="C27" i="55"/>
  <c r="C28" i="55"/>
  <c r="C29" i="55"/>
  <c r="C30" i="55"/>
  <c r="C13" i="55"/>
  <c r="C7" i="55"/>
  <c r="C8" i="55"/>
  <c r="C9" i="55"/>
  <c r="C10" i="55"/>
  <c r="C11" i="55"/>
  <c r="C12" i="55"/>
  <c r="C46" i="55"/>
  <c r="C47" i="55"/>
  <c r="C48" i="55"/>
  <c r="C49" i="55"/>
  <c r="C50" i="55"/>
  <c r="C52" i="55"/>
  <c r="C53" i="55"/>
  <c r="C54" i="55"/>
  <c r="C55" i="55"/>
  <c r="C56" i="55"/>
  <c r="C57" i="55"/>
  <c r="C58" i="55"/>
  <c r="C59" i="55"/>
  <c r="C60" i="55"/>
  <c r="C61" i="55"/>
  <c r="C62" i="55"/>
  <c r="C63" i="55"/>
  <c r="C64" i="55"/>
  <c r="C65" i="55"/>
  <c r="C66" i="55"/>
  <c r="C67" i="55"/>
  <c r="C68" i="55"/>
  <c r="C69" i="55"/>
  <c r="C70" i="55"/>
  <c r="C71" i="55"/>
  <c r="C72" i="55"/>
  <c r="C73" i="55"/>
  <c r="C74" i="55"/>
  <c r="C75" i="55"/>
  <c r="C76" i="55"/>
  <c r="C77" i="55"/>
  <c r="C78" i="55"/>
  <c r="C79" i="55"/>
  <c r="C80" i="55"/>
  <c r="C81" i="55"/>
  <c r="C82" i="55"/>
  <c r="C83" i="55"/>
  <c r="C84" i="55"/>
  <c r="C85" i="55"/>
  <c r="C86" i="55"/>
  <c r="C87" i="55"/>
  <c r="C88" i="55"/>
  <c r="C89" i="55"/>
  <c r="C90" i="55"/>
  <c r="C91" i="55"/>
  <c r="C92" i="55"/>
  <c r="C93" i="55"/>
  <c r="C94" i="55"/>
  <c r="C95" i="55"/>
  <c r="C96" i="55"/>
  <c r="C97" i="55"/>
  <c r="C98" i="55"/>
  <c r="C99" i="55"/>
  <c r="C100" i="55"/>
  <c r="C101" i="55"/>
  <c r="C102" i="55"/>
  <c r="C103" i="55"/>
  <c r="C104" i="55"/>
  <c r="C105" i="55"/>
  <c r="C106" i="55"/>
  <c r="C107" i="55"/>
  <c r="C108" i="55"/>
  <c r="C109" i="55"/>
  <c r="C110" i="55"/>
  <c r="C111" i="55"/>
  <c r="C112" i="55"/>
  <c r="C113" i="55"/>
  <c r="C114" i="55"/>
  <c r="C115" i="55"/>
  <c r="C116" i="55"/>
  <c r="C117" i="55"/>
  <c r="C118" i="55"/>
  <c r="C119" i="55"/>
  <c r="C120" i="55"/>
  <c r="C121" i="55"/>
  <c r="C122" i="55"/>
  <c r="C123" i="55"/>
  <c r="C124" i="55"/>
  <c r="C125" i="55"/>
  <c r="C126" i="55"/>
  <c r="C127" i="55"/>
  <c r="C128" i="55"/>
  <c r="C129" i="55"/>
  <c r="C130" i="55"/>
  <c r="C131" i="55"/>
  <c r="C132" i="55"/>
  <c r="C133" i="55"/>
  <c r="C134" i="55"/>
  <c r="C135" i="55"/>
  <c r="C136" i="55"/>
  <c r="C137" i="55"/>
  <c r="C138" i="55"/>
  <c r="C139" i="55"/>
  <c r="C140" i="55"/>
  <c r="C141" i="55"/>
  <c r="C142" i="55"/>
  <c r="C143" i="55"/>
  <c r="C144" i="55"/>
  <c r="C145" i="55"/>
  <c r="C146" i="55"/>
  <c r="C147" i="55"/>
  <c r="C148" i="55"/>
  <c r="C149" i="55"/>
  <c r="C150" i="55"/>
  <c r="C151" i="55"/>
  <c r="C152" i="55"/>
  <c r="C153" i="55"/>
  <c r="C154" i="55"/>
  <c r="C155" i="55"/>
  <c r="C156" i="55"/>
  <c r="C157" i="55"/>
  <c r="C158" i="55"/>
  <c r="C159" i="55"/>
  <c r="C160" i="55"/>
  <c r="C161" i="55"/>
  <c r="C162" i="55"/>
  <c r="C163" i="55"/>
  <c r="C164" i="55"/>
  <c r="C165" i="55"/>
  <c r="C166" i="55"/>
  <c r="C167" i="55"/>
  <c r="C168" i="55"/>
  <c r="C169" i="55"/>
  <c r="C170" i="55"/>
  <c r="C171" i="55"/>
  <c r="C172" i="55"/>
  <c r="C173" i="55"/>
  <c r="C174" i="55"/>
  <c r="C175" i="55"/>
  <c r="C176" i="55"/>
  <c r="C177" i="55"/>
  <c r="C178" i="55"/>
  <c r="C179" i="55"/>
  <c r="C180" i="55"/>
  <c r="C181" i="55"/>
  <c r="C182" i="55"/>
  <c r="C183" i="55"/>
  <c r="C184" i="55"/>
  <c r="C185" i="55"/>
  <c r="C186" i="55"/>
  <c r="C187" i="55"/>
  <c r="C188" i="55"/>
  <c r="C189" i="55"/>
  <c r="C190" i="55"/>
  <c r="C191" i="55"/>
  <c r="C192" i="55"/>
  <c r="C193" i="55"/>
  <c r="C194" i="55"/>
  <c r="C195" i="55"/>
  <c r="C196" i="55"/>
  <c r="C197" i="55"/>
  <c r="C198" i="55"/>
  <c r="C199" i="55"/>
  <c r="C200" i="55"/>
  <c r="C201" i="55"/>
  <c r="C202" i="55"/>
  <c r="C203" i="55"/>
  <c r="C204" i="55"/>
  <c r="C205" i="55"/>
  <c r="C206" i="55"/>
  <c r="C207" i="55"/>
  <c r="C208" i="55"/>
  <c r="C209" i="55"/>
  <c r="C210" i="55"/>
  <c r="C211" i="55"/>
  <c r="C212" i="55"/>
  <c r="C213" i="55"/>
  <c r="C214" i="55"/>
  <c r="C215" i="55"/>
  <c r="C216" i="55"/>
  <c r="C217" i="55"/>
  <c r="C218" i="55"/>
  <c r="C219" i="55"/>
  <c r="C220" i="55"/>
  <c r="C221" i="55"/>
  <c r="C222" i="55"/>
  <c r="C223" i="55"/>
  <c r="C224" i="55"/>
  <c r="C225" i="55"/>
  <c r="C226" i="55"/>
  <c r="C227" i="55"/>
  <c r="C228" i="55"/>
  <c r="C229" i="55"/>
  <c r="C230" i="55"/>
  <c r="C231" i="55"/>
  <c r="C232" i="55"/>
  <c r="C233" i="55"/>
  <c r="C234" i="55"/>
  <c r="C235" i="55"/>
  <c r="C236" i="55"/>
  <c r="C237" i="55"/>
  <c r="C238" i="55"/>
  <c r="C239" i="55"/>
  <c r="C240" i="55"/>
  <c r="C241" i="55"/>
  <c r="C242" i="55"/>
  <c r="C243" i="55"/>
  <c r="C244" i="55"/>
  <c r="C245" i="55"/>
  <c r="C246" i="55"/>
  <c r="C247" i="55"/>
  <c r="C248" i="55"/>
  <c r="C249" i="55"/>
  <c r="C250" i="55"/>
  <c r="C251" i="55"/>
  <c r="C252" i="55"/>
  <c r="C253" i="55"/>
  <c r="C254" i="55"/>
  <c r="C255" i="55"/>
  <c r="C256" i="55"/>
  <c r="C257" i="55"/>
  <c r="C258" i="55"/>
  <c r="C259" i="55"/>
  <c r="C260" i="55"/>
  <c r="C261" i="55"/>
  <c r="C262" i="55"/>
  <c r="C263" i="55"/>
  <c r="C264" i="55"/>
  <c r="C265" i="55"/>
  <c r="C266" i="55"/>
  <c r="C267" i="55"/>
  <c r="C268" i="55"/>
  <c r="C269" i="55"/>
  <c r="C270" i="55"/>
  <c r="C271" i="55"/>
  <c r="C272" i="55"/>
  <c r="C273" i="55"/>
  <c r="C274" i="55"/>
  <c r="C275" i="55"/>
  <c r="C276" i="55"/>
  <c r="C277" i="55"/>
  <c r="C278" i="55"/>
  <c r="C279" i="55"/>
  <c r="C280" i="55"/>
  <c r="C281" i="55"/>
  <c r="C282" i="55"/>
  <c r="C283" i="55"/>
  <c r="C284" i="55"/>
  <c r="C285" i="55"/>
  <c r="C286" i="55"/>
  <c r="C287" i="55"/>
  <c r="C288" i="55"/>
  <c r="C289" i="55"/>
  <c r="C290" i="55"/>
  <c r="C291" i="55"/>
  <c r="C292" i="55"/>
  <c r="C293" i="55"/>
  <c r="C294" i="55"/>
  <c r="C295" i="55"/>
  <c r="C296" i="55"/>
  <c r="C297" i="55"/>
  <c r="C298" i="55"/>
  <c r="C299" i="55"/>
  <c r="C300" i="55"/>
  <c r="C301" i="55"/>
  <c r="C302" i="55"/>
  <c r="C303" i="55"/>
  <c r="C304" i="55"/>
  <c r="C305" i="55"/>
  <c r="C306" i="55"/>
  <c r="C307" i="55"/>
  <c r="C308" i="55"/>
  <c r="C309" i="55"/>
  <c r="C310" i="55"/>
  <c r="C311" i="55"/>
  <c r="C312" i="55"/>
  <c r="C313" i="55"/>
  <c r="C314" i="55"/>
  <c r="C315" i="55"/>
  <c r="C316" i="55"/>
  <c r="C317" i="55"/>
  <c r="C318" i="55"/>
  <c r="C319" i="55"/>
  <c r="C320" i="55"/>
  <c r="C321" i="55"/>
  <c r="C322" i="55"/>
  <c r="C323" i="55"/>
  <c r="C324" i="55"/>
  <c r="C325" i="55"/>
  <c r="C326" i="55"/>
  <c r="C327" i="55"/>
  <c r="C328" i="55"/>
  <c r="C329" i="55"/>
  <c r="C330" i="55"/>
  <c r="C331" i="55"/>
  <c r="C332" i="55"/>
  <c r="C333" i="55"/>
  <c r="C334" i="55"/>
  <c r="C335" i="55"/>
  <c r="C336" i="55"/>
  <c r="C337" i="55"/>
  <c r="C338" i="55"/>
  <c r="C339" i="55"/>
  <c r="C340" i="55"/>
  <c r="C341" i="55"/>
  <c r="C342" i="55"/>
  <c r="C343" i="55"/>
  <c r="C344" i="55"/>
  <c r="C345" i="55"/>
  <c r="C346" i="55"/>
  <c r="C347" i="55"/>
  <c r="C348" i="55"/>
  <c r="C349" i="55"/>
  <c r="C350" i="55"/>
  <c r="C351" i="55"/>
  <c r="C352" i="55"/>
  <c r="C353" i="55"/>
  <c r="C354" i="55"/>
  <c r="C355" i="55"/>
  <c r="C356" i="55"/>
  <c r="C357" i="55"/>
  <c r="C358" i="55"/>
  <c r="C359" i="55"/>
  <c r="C360" i="55"/>
  <c r="C361" i="55"/>
  <c r="C362" i="55"/>
  <c r="C363" i="55"/>
  <c r="C364" i="55"/>
  <c r="C365" i="55"/>
  <c r="C366" i="55"/>
  <c r="C367" i="55"/>
  <c r="C368" i="55"/>
  <c r="C369" i="55"/>
  <c r="C370" i="55"/>
  <c r="C371" i="55"/>
  <c r="C372" i="55"/>
  <c r="C373" i="55"/>
  <c r="C374" i="55"/>
  <c r="C375" i="55"/>
  <c r="C376" i="55"/>
  <c r="C377" i="55"/>
  <c r="C378" i="55"/>
  <c r="C379" i="55"/>
  <c r="C380" i="55"/>
  <c r="C381" i="55"/>
  <c r="C382" i="55"/>
  <c r="C383" i="55"/>
  <c r="C384" i="55"/>
  <c r="C385" i="55"/>
  <c r="C386" i="55"/>
  <c r="C387" i="55"/>
  <c r="C388" i="55"/>
  <c r="C389" i="55"/>
  <c r="C390" i="55"/>
  <c r="C391" i="55"/>
  <c r="C392" i="55"/>
  <c r="C393" i="55"/>
  <c r="C394" i="55"/>
  <c r="C395" i="55"/>
  <c r="C396" i="55"/>
  <c r="C397" i="55"/>
  <c r="C398" i="55"/>
  <c r="C399" i="55"/>
  <c r="C400" i="55"/>
  <c r="C401" i="55"/>
  <c r="C402" i="55"/>
  <c r="C403" i="55"/>
  <c r="C404" i="55"/>
  <c r="C6" i="55"/>
  <c r="AM3" i="55"/>
  <c r="AM2" i="55" s="1"/>
  <c r="AL3" i="55"/>
  <c r="AL2" i="55" s="1"/>
  <c r="AK3" i="55"/>
  <c r="AK2" i="55" s="1"/>
  <c r="AJ3" i="55"/>
  <c r="AJ2" i="55" s="1"/>
  <c r="AI3" i="55"/>
  <c r="AI2" i="55" s="1"/>
  <c r="AH3" i="55"/>
  <c r="AH2" i="55" s="1"/>
  <c r="AG3" i="55"/>
  <c r="AG2" i="55" s="1"/>
  <c r="AF3" i="55"/>
  <c r="AF2" i="55" s="1"/>
  <c r="AE3" i="55"/>
  <c r="AE2" i="55" s="1"/>
  <c r="AC3" i="55"/>
  <c r="AC2" i="55" s="1"/>
  <c r="AB3" i="55"/>
  <c r="AB2" i="55" s="1"/>
  <c r="Z3" i="55"/>
  <c r="Z2" i="55" s="1"/>
  <c r="Y3" i="55"/>
  <c r="Y2" i="55" s="1"/>
  <c r="X3" i="55"/>
  <c r="X2" i="55" s="1"/>
  <c r="W3" i="55"/>
  <c r="W2" i="55" s="1"/>
  <c r="V3" i="55"/>
  <c r="V2" i="55" s="1"/>
  <c r="U3" i="55"/>
  <c r="U2" i="55" s="1"/>
  <c r="T3" i="55"/>
  <c r="T2" i="55" s="1"/>
  <c r="S3" i="55"/>
  <c r="S2" i="55" s="1"/>
  <c r="R3" i="55"/>
  <c r="R2" i="55" s="1"/>
  <c r="Q3" i="55"/>
  <c r="Q2" i="55" s="1"/>
  <c r="P3" i="55"/>
  <c r="P2" i="55" s="1"/>
  <c r="O3" i="55"/>
  <c r="O2" i="55" s="1"/>
  <c r="N3" i="55"/>
  <c r="N2" i="55" s="1"/>
  <c r="M3" i="55"/>
  <c r="M2" i="55" s="1"/>
  <c r="L3" i="55"/>
  <c r="L2" i="55" s="1"/>
  <c r="K3" i="55"/>
  <c r="K2" i="55" s="1"/>
  <c r="J3" i="55"/>
  <c r="J2" i="55" s="1"/>
  <c r="AD2" i="55"/>
  <c r="AA2" i="55"/>
  <c r="C404" i="54"/>
  <c r="C403" i="54"/>
  <c r="C402" i="54"/>
  <c r="C401" i="54"/>
  <c r="C400" i="54"/>
  <c r="C399" i="54"/>
  <c r="C398" i="54"/>
  <c r="C397" i="54"/>
  <c r="C396" i="54"/>
  <c r="C395" i="54"/>
  <c r="C394" i="54"/>
  <c r="C393" i="54"/>
  <c r="C392" i="54"/>
  <c r="C391" i="54"/>
  <c r="C390" i="54"/>
  <c r="C389" i="54"/>
  <c r="C388" i="54"/>
  <c r="C387" i="54"/>
  <c r="C386" i="54"/>
  <c r="C385" i="54"/>
  <c r="C384" i="54"/>
  <c r="C383" i="54"/>
  <c r="C382" i="54"/>
  <c r="C381" i="54"/>
  <c r="C380" i="54"/>
  <c r="C379" i="54"/>
  <c r="C378" i="54"/>
  <c r="C377" i="54"/>
  <c r="C376" i="54"/>
  <c r="C375" i="54"/>
  <c r="C374" i="54"/>
  <c r="C373" i="54"/>
  <c r="C372" i="54"/>
  <c r="C371" i="54"/>
  <c r="C370" i="54"/>
  <c r="C369" i="54"/>
  <c r="C368" i="54"/>
  <c r="C367" i="54"/>
  <c r="C366" i="54"/>
  <c r="C365" i="54"/>
  <c r="C364" i="54"/>
  <c r="C363" i="54"/>
  <c r="C362" i="54"/>
  <c r="C361" i="54"/>
  <c r="C360" i="54"/>
  <c r="C359" i="54"/>
  <c r="C358" i="54"/>
  <c r="C357" i="54"/>
  <c r="C356" i="54"/>
  <c r="C355" i="54"/>
  <c r="C354" i="54"/>
  <c r="C353" i="54"/>
  <c r="C352" i="54"/>
  <c r="C351" i="54"/>
  <c r="C350" i="54"/>
  <c r="C349" i="54"/>
  <c r="C348" i="54"/>
  <c r="C347" i="54"/>
  <c r="C346" i="54"/>
  <c r="C345" i="54"/>
  <c r="C344" i="54"/>
  <c r="C343" i="54"/>
  <c r="C342" i="54"/>
  <c r="C341" i="54"/>
  <c r="C340" i="54"/>
  <c r="C339" i="54"/>
  <c r="C338" i="54"/>
  <c r="C337" i="54"/>
  <c r="C336" i="54"/>
  <c r="C335" i="54"/>
  <c r="C334" i="54"/>
  <c r="C333" i="54"/>
  <c r="C332" i="54"/>
  <c r="C331" i="54"/>
  <c r="C330" i="54"/>
  <c r="C329" i="54"/>
  <c r="C328" i="54"/>
  <c r="C327" i="54"/>
  <c r="C326" i="54"/>
  <c r="C325" i="54"/>
  <c r="C324" i="54"/>
  <c r="C323" i="54"/>
  <c r="C322" i="54"/>
  <c r="C321" i="54"/>
  <c r="C320" i="54"/>
  <c r="C319" i="54"/>
  <c r="C318" i="54"/>
  <c r="C317" i="54"/>
  <c r="C316" i="54"/>
  <c r="C315" i="54"/>
  <c r="C314" i="54"/>
  <c r="C313" i="54"/>
  <c r="C312" i="54"/>
  <c r="C311" i="54"/>
  <c r="C310" i="54"/>
  <c r="C309" i="54"/>
  <c r="C308" i="54"/>
  <c r="C307" i="54"/>
  <c r="C306" i="54"/>
  <c r="C305" i="54"/>
  <c r="C304" i="54"/>
  <c r="C303" i="54"/>
  <c r="C302" i="54"/>
  <c r="C301" i="54"/>
  <c r="C300" i="54"/>
  <c r="C299" i="54"/>
  <c r="C298" i="54"/>
  <c r="C297" i="54"/>
  <c r="C296" i="54"/>
  <c r="C295" i="54"/>
  <c r="C294" i="54"/>
  <c r="C293" i="54"/>
  <c r="C292" i="54"/>
  <c r="C291" i="54"/>
  <c r="C290" i="54"/>
  <c r="C289" i="54"/>
  <c r="C288" i="54"/>
  <c r="C287" i="54"/>
  <c r="C286" i="54"/>
  <c r="C285" i="54"/>
  <c r="C284" i="54"/>
  <c r="C283" i="54"/>
  <c r="C282" i="54"/>
  <c r="C281" i="54"/>
  <c r="C280" i="54"/>
  <c r="C279" i="54"/>
  <c r="C278" i="54"/>
  <c r="C277" i="54"/>
  <c r="C276" i="54"/>
  <c r="C275" i="54"/>
  <c r="C274" i="54"/>
  <c r="C273" i="54"/>
  <c r="C272" i="54"/>
  <c r="C271" i="54"/>
  <c r="C270" i="54"/>
  <c r="C269" i="54"/>
  <c r="C268" i="54"/>
  <c r="C267" i="54"/>
  <c r="C266" i="54"/>
  <c r="C265" i="54"/>
  <c r="C264" i="54"/>
  <c r="C263" i="54"/>
  <c r="C262" i="54"/>
  <c r="C261" i="54"/>
  <c r="C260" i="54"/>
  <c r="C259" i="54"/>
  <c r="C258" i="54"/>
  <c r="C257" i="54"/>
  <c r="C256" i="54"/>
  <c r="C255" i="54"/>
  <c r="C254" i="54"/>
  <c r="C253" i="54"/>
  <c r="C252" i="54"/>
  <c r="C251" i="54"/>
  <c r="C250" i="54"/>
  <c r="C249" i="54"/>
  <c r="C248" i="54"/>
  <c r="C247" i="54"/>
  <c r="C246" i="54"/>
  <c r="C245" i="54"/>
  <c r="C244" i="54"/>
  <c r="C243" i="54"/>
  <c r="C242" i="54"/>
  <c r="C241" i="54"/>
  <c r="C240" i="54"/>
  <c r="C239" i="54"/>
  <c r="C238" i="54"/>
  <c r="C237" i="54"/>
  <c r="C236" i="54"/>
  <c r="C235" i="54"/>
  <c r="C234" i="54"/>
  <c r="C233" i="54"/>
  <c r="C232" i="54"/>
  <c r="C231" i="54"/>
  <c r="C230" i="54"/>
  <c r="C229" i="54"/>
  <c r="C228" i="54"/>
  <c r="C227" i="54"/>
  <c r="C226" i="54"/>
  <c r="C225" i="54"/>
  <c r="C224" i="54"/>
  <c r="C223" i="54"/>
  <c r="C222" i="54"/>
  <c r="C221" i="54"/>
  <c r="C220" i="54"/>
  <c r="C219" i="54"/>
  <c r="C218" i="54"/>
  <c r="C217" i="54"/>
  <c r="C216" i="54"/>
  <c r="C215" i="54"/>
  <c r="C214" i="54"/>
  <c r="C213" i="54"/>
  <c r="C212" i="54"/>
  <c r="C211" i="54"/>
  <c r="C210" i="54"/>
  <c r="C209" i="54"/>
  <c r="C208" i="54"/>
  <c r="C207" i="54"/>
  <c r="C206" i="54"/>
  <c r="C205" i="54"/>
  <c r="C204" i="54"/>
  <c r="C203" i="54"/>
  <c r="C202" i="54"/>
  <c r="C201" i="54"/>
  <c r="C200" i="54"/>
  <c r="C199" i="54"/>
  <c r="C198" i="54"/>
  <c r="C197" i="54"/>
  <c r="C196" i="54"/>
  <c r="C195" i="54"/>
  <c r="C194" i="54"/>
  <c r="C193" i="54"/>
  <c r="C192" i="54"/>
  <c r="C191" i="54"/>
  <c r="C190" i="54"/>
  <c r="C189" i="54"/>
  <c r="C188" i="54"/>
  <c r="C187" i="54"/>
  <c r="C186" i="54"/>
  <c r="C185" i="54"/>
  <c r="C184" i="54"/>
  <c r="C183" i="54"/>
  <c r="C182" i="54"/>
  <c r="C181" i="54"/>
  <c r="C180" i="54"/>
  <c r="C179" i="54"/>
  <c r="C178" i="54"/>
  <c r="C177" i="54"/>
  <c r="C176" i="54"/>
  <c r="C175" i="54"/>
  <c r="C174" i="54"/>
  <c r="C173" i="54"/>
  <c r="C172" i="54"/>
  <c r="C171" i="54"/>
  <c r="C170" i="54"/>
  <c r="C169" i="54"/>
  <c r="C168" i="54"/>
  <c r="D167" i="54"/>
  <c r="C167" i="54"/>
  <c r="D166" i="54"/>
  <c r="C166" i="54"/>
  <c r="D165" i="54"/>
  <c r="C165" i="54"/>
  <c r="D164" i="54"/>
  <c r="C164" i="54"/>
  <c r="D163" i="54"/>
  <c r="C163" i="54"/>
  <c r="D162" i="54"/>
  <c r="C162" i="54"/>
  <c r="D161" i="54"/>
  <c r="C161" i="54"/>
  <c r="D160" i="54"/>
  <c r="C160" i="54"/>
  <c r="D159" i="54"/>
  <c r="C159" i="54"/>
  <c r="D158" i="54"/>
  <c r="C158" i="54"/>
  <c r="D157" i="54"/>
  <c r="C157" i="54"/>
  <c r="D156" i="54"/>
  <c r="C156" i="54"/>
  <c r="D155" i="54"/>
  <c r="C155" i="54"/>
  <c r="D154" i="54"/>
  <c r="C154" i="54"/>
  <c r="D153" i="54"/>
  <c r="C153" i="54"/>
  <c r="D152" i="54"/>
  <c r="C152" i="54"/>
  <c r="D151" i="54"/>
  <c r="C151" i="54"/>
  <c r="D150" i="54"/>
  <c r="C150" i="54"/>
  <c r="D149" i="54"/>
  <c r="C149" i="54"/>
  <c r="D148" i="54"/>
  <c r="C148" i="54"/>
  <c r="D147" i="54"/>
  <c r="C147" i="54"/>
  <c r="D146" i="54"/>
  <c r="C146" i="54"/>
  <c r="D145" i="54"/>
  <c r="C145" i="54"/>
  <c r="D144" i="54"/>
  <c r="C144" i="54"/>
  <c r="D143" i="54"/>
  <c r="C143" i="54"/>
  <c r="D142" i="54"/>
  <c r="C142" i="54"/>
  <c r="D141" i="54"/>
  <c r="C141" i="54"/>
  <c r="D140" i="54"/>
  <c r="C140" i="54"/>
  <c r="D139" i="54"/>
  <c r="C139" i="54"/>
  <c r="D138" i="54"/>
  <c r="C138" i="54"/>
  <c r="D137" i="54"/>
  <c r="C137" i="54"/>
  <c r="D136" i="54"/>
  <c r="C136" i="54"/>
  <c r="D135" i="54"/>
  <c r="C135" i="54"/>
  <c r="D134" i="54"/>
  <c r="C134" i="54"/>
  <c r="D133" i="54"/>
  <c r="C133" i="54"/>
  <c r="D132" i="54"/>
  <c r="C132" i="54"/>
  <c r="D131" i="54"/>
  <c r="C131" i="54"/>
  <c r="D130" i="54"/>
  <c r="C130" i="54"/>
  <c r="D129" i="54"/>
  <c r="C129" i="54"/>
  <c r="D128" i="54"/>
  <c r="C128" i="54"/>
  <c r="D127" i="54"/>
  <c r="C127" i="54"/>
  <c r="D126" i="54"/>
  <c r="C126" i="54"/>
  <c r="D125" i="54"/>
  <c r="C125" i="54"/>
  <c r="D124" i="54"/>
  <c r="C124" i="54"/>
  <c r="D123" i="54"/>
  <c r="C123" i="54"/>
  <c r="D122" i="54"/>
  <c r="C122" i="54"/>
  <c r="D121" i="54"/>
  <c r="C121" i="54"/>
  <c r="D120" i="54"/>
  <c r="C120" i="54"/>
  <c r="D119" i="54"/>
  <c r="C119" i="54"/>
  <c r="D118" i="54"/>
  <c r="C118" i="54"/>
  <c r="D117" i="54"/>
  <c r="C117" i="54"/>
  <c r="D116" i="54"/>
  <c r="C116" i="54"/>
  <c r="D115" i="54"/>
  <c r="C115" i="54"/>
  <c r="D114" i="54"/>
  <c r="C114" i="54"/>
  <c r="D113" i="54"/>
  <c r="C113" i="54"/>
  <c r="D112" i="54"/>
  <c r="C112" i="54"/>
  <c r="D111" i="54"/>
  <c r="C111" i="54"/>
  <c r="D110" i="54"/>
  <c r="C110" i="54"/>
  <c r="D109" i="54"/>
  <c r="C109" i="54"/>
  <c r="D108" i="54"/>
  <c r="C108" i="54"/>
  <c r="D107" i="54"/>
  <c r="C107" i="54"/>
  <c r="D106" i="54"/>
  <c r="C106" i="54"/>
  <c r="D105" i="54"/>
  <c r="C105" i="54"/>
  <c r="D104" i="54"/>
  <c r="C104" i="54"/>
  <c r="D103" i="54"/>
  <c r="C103" i="54"/>
  <c r="D102" i="54"/>
  <c r="C102" i="54"/>
  <c r="D101" i="54"/>
  <c r="C101" i="54"/>
  <c r="D100" i="54"/>
  <c r="C100" i="54"/>
  <c r="D99" i="54"/>
  <c r="C99" i="54"/>
  <c r="D98" i="54"/>
  <c r="C98" i="54"/>
  <c r="D97" i="54"/>
  <c r="C97" i="54"/>
  <c r="D96" i="54"/>
  <c r="C96" i="54"/>
  <c r="D95" i="54"/>
  <c r="C95" i="54"/>
  <c r="D94" i="54"/>
  <c r="C94" i="54"/>
  <c r="D93" i="54"/>
  <c r="C93" i="54"/>
  <c r="D92" i="54"/>
  <c r="C92" i="54"/>
  <c r="D91" i="54"/>
  <c r="C91" i="54"/>
  <c r="D90" i="54"/>
  <c r="C90" i="54"/>
  <c r="D89" i="54"/>
  <c r="C89" i="54"/>
  <c r="D88" i="54"/>
  <c r="C88" i="54"/>
  <c r="D87" i="54"/>
  <c r="C87" i="54"/>
  <c r="D86" i="54"/>
  <c r="C86" i="54"/>
  <c r="D85" i="54"/>
  <c r="C85" i="54"/>
  <c r="D84" i="54"/>
  <c r="C84" i="54"/>
  <c r="D83" i="54"/>
  <c r="C83" i="54"/>
  <c r="D82" i="54"/>
  <c r="C82" i="54"/>
  <c r="D81" i="54"/>
  <c r="C81" i="54"/>
  <c r="D80" i="54"/>
  <c r="C80" i="54"/>
  <c r="D79" i="54"/>
  <c r="C79" i="54"/>
  <c r="D78" i="54"/>
  <c r="C78" i="54"/>
  <c r="D77" i="54"/>
  <c r="C77" i="54"/>
  <c r="D76" i="54"/>
  <c r="C76" i="54"/>
  <c r="D75" i="54"/>
  <c r="C75" i="54"/>
  <c r="D74" i="54"/>
  <c r="C74" i="54"/>
  <c r="D73" i="54"/>
  <c r="C73" i="54"/>
  <c r="D72" i="54"/>
  <c r="C72" i="54"/>
  <c r="D71" i="54"/>
  <c r="C71" i="54"/>
  <c r="D70" i="54"/>
  <c r="C70" i="54"/>
  <c r="D69" i="54"/>
  <c r="C69" i="54"/>
  <c r="D68" i="54"/>
  <c r="C68" i="54"/>
  <c r="D67" i="54"/>
  <c r="C67" i="54"/>
  <c r="D66" i="54"/>
  <c r="C66" i="54"/>
  <c r="D65" i="54"/>
  <c r="C65" i="54"/>
  <c r="D64" i="54"/>
  <c r="C64" i="54"/>
  <c r="D63" i="54"/>
  <c r="C63" i="54"/>
  <c r="D62" i="54"/>
  <c r="C62" i="54"/>
  <c r="D61" i="54"/>
  <c r="C61" i="54"/>
  <c r="D60" i="54"/>
  <c r="C60" i="54"/>
  <c r="D59" i="54"/>
  <c r="C59" i="54"/>
  <c r="D58" i="54"/>
  <c r="C58" i="54"/>
  <c r="D57" i="54"/>
  <c r="C57" i="54"/>
  <c r="D56" i="54"/>
  <c r="C56" i="54"/>
  <c r="C55" i="54"/>
  <c r="C54" i="54"/>
  <c r="AM3" i="54"/>
  <c r="AM2" i="54" s="1"/>
  <c r="AL3" i="54"/>
  <c r="AL2" i="54" s="1"/>
  <c r="AK3" i="54"/>
  <c r="AK2" i="54" s="1"/>
  <c r="AJ3" i="54"/>
  <c r="AJ2" i="54" s="1"/>
  <c r="AI3" i="54"/>
  <c r="AI2" i="54" s="1"/>
  <c r="AH3" i="54"/>
  <c r="AH2" i="54" s="1"/>
  <c r="AG3" i="54"/>
  <c r="AG2" i="54" s="1"/>
  <c r="AF3" i="54"/>
  <c r="AF2" i="54" s="1"/>
  <c r="AE3" i="54"/>
  <c r="AE2" i="54" s="1"/>
  <c r="AC3" i="54"/>
  <c r="AC2" i="54" s="1"/>
  <c r="AB3" i="54"/>
  <c r="Z3" i="54"/>
  <c r="Z2" i="54" s="1"/>
  <c r="Y3" i="54"/>
  <c r="X3" i="54"/>
  <c r="W3" i="54"/>
  <c r="V3" i="54"/>
  <c r="U3" i="54"/>
  <c r="U2" i="54" s="1"/>
  <c r="T3" i="54"/>
  <c r="T2" i="54" s="1"/>
  <c r="S3" i="54"/>
  <c r="S2" i="54" s="1"/>
  <c r="R3" i="54"/>
  <c r="R2" i="54" s="1"/>
  <c r="Q3" i="54"/>
  <c r="Q2" i="54" s="1"/>
  <c r="P3" i="54"/>
  <c r="P2" i="54" s="1"/>
  <c r="O3" i="54"/>
  <c r="O2" i="54" s="1"/>
  <c r="N3" i="54"/>
  <c r="N2" i="54" s="1"/>
  <c r="M3" i="54"/>
  <c r="L3" i="54"/>
  <c r="L2" i="54" s="1"/>
  <c r="K3" i="54"/>
  <c r="J3" i="54"/>
  <c r="AD2" i="54"/>
  <c r="AB2" i="54"/>
  <c r="AA2" i="54"/>
  <c r="Y2" i="54"/>
  <c r="X2" i="54"/>
  <c r="W2" i="54"/>
  <c r="V2" i="54"/>
  <c r="M2" i="54"/>
  <c r="K2" i="54"/>
  <c r="J2" i="54"/>
  <c r="H2" i="55" l="1"/>
  <c r="H2" i="54"/>
  <c r="C39" i="52"/>
  <c r="C32" i="52"/>
  <c r="C20" i="52"/>
  <c r="C13" i="52" l="1"/>
  <c r="C6" i="52"/>
  <c r="C7" i="52"/>
  <c r="C8" i="52"/>
  <c r="C9" i="52"/>
  <c r="C10" i="52"/>
  <c r="C11" i="52"/>
  <c r="C12" i="52"/>
  <c r="C14" i="52"/>
  <c r="C15" i="52"/>
  <c r="C17" i="52"/>
  <c r="C18" i="52"/>
  <c r="C19" i="52"/>
  <c r="C21" i="52"/>
  <c r="C22" i="52"/>
  <c r="C23" i="52"/>
  <c r="C16" i="52"/>
  <c r="C25" i="52"/>
  <c r="C26" i="52"/>
  <c r="C27" i="52"/>
  <c r="C28" i="52"/>
  <c r="C29" i="52"/>
  <c r="C30" i="52"/>
  <c r="C31" i="52"/>
  <c r="C33" i="52"/>
  <c r="C34" i="52"/>
  <c r="C35" i="52"/>
  <c r="C36" i="52"/>
  <c r="C37" i="52"/>
  <c r="C38" i="52"/>
  <c r="C40" i="52"/>
  <c r="C41" i="52"/>
  <c r="C42" i="52"/>
  <c r="C43" i="52"/>
  <c r="C44" i="52"/>
  <c r="C45" i="52"/>
  <c r="C46" i="52"/>
  <c r="C47" i="52"/>
  <c r="C48" i="52"/>
  <c r="C404" i="52"/>
  <c r="C403" i="52"/>
  <c r="C402" i="52"/>
  <c r="C401" i="52"/>
  <c r="C400" i="52"/>
  <c r="C399" i="52"/>
  <c r="C398" i="52"/>
  <c r="C397" i="52"/>
  <c r="C396" i="52"/>
  <c r="C395" i="52"/>
  <c r="C394" i="52"/>
  <c r="C393" i="52"/>
  <c r="C392" i="52"/>
  <c r="C391" i="52"/>
  <c r="C390" i="52"/>
  <c r="C389" i="52"/>
  <c r="C388" i="52"/>
  <c r="C387" i="52"/>
  <c r="C386" i="52"/>
  <c r="C385" i="52"/>
  <c r="C384" i="52"/>
  <c r="C383" i="52"/>
  <c r="C382" i="52"/>
  <c r="C381" i="52"/>
  <c r="C380" i="52"/>
  <c r="C379" i="52"/>
  <c r="C378" i="52"/>
  <c r="C377" i="52"/>
  <c r="C376" i="52"/>
  <c r="C375" i="52"/>
  <c r="C374" i="52"/>
  <c r="C373" i="52"/>
  <c r="C372" i="52"/>
  <c r="C371" i="52"/>
  <c r="C370" i="52"/>
  <c r="C369" i="52"/>
  <c r="C368" i="52"/>
  <c r="C367" i="52"/>
  <c r="C366" i="52"/>
  <c r="C365" i="52"/>
  <c r="C364" i="52"/>
  <c r="C363" i="52"/>
  <c r="C362" i="52"/>
  <c r="C361" i="52"/>
  <c r="C360" i="52"/>
  <c r="C359" i="52"/>
  <c r="C358" i="52"/>
  <c r="C357" i="52"/>
  <c r="C356" i="52"/>
  <c r="C355" i="52"/>
  <c r="C354" i="52"/>
  <c r="C353" i="52"/>
  <c r="C352" i="52"/>
  <c r="C351" i="52"/>
  <c r="C350" i="52"/>
  <c r="C349" i="52"/>
  <c r="C348" i="52"/>
  <c r="C347" i="52"/>
  <c r="C346" i="52"/>
  <c r="C345" i="52"/>
  <c r="C344" i="52"/>
  <c r="C343" i="52"/>
  <c r="C342" i="52"/>
  <c r="C341" i="52"/>
  <c r="C340" i="52"/>
  <c r="C339" i="52"/>
  <c r="C338" i="52"/>
  <c r="C337" i="52"/>
  <c r="C336" i="52"/>
  <c r="C335" i="52"/>
  <c r="C334" i="52"/>
  <c r="C333" i="52"/>
  <c r="C332" i="52"/>
  <c r="C331" i="52"/>
  <c r="C330" i="52"/>
  <c r="C329" i="52"/>
  <c r="C328" i="52"/>
  <c r="C327" i="52"/>
  <c r="C326" i="52"/>
  <c r="C325" i="52"/>
  <c r="C324" i="52"/>
  <c r="C323" i="52"/>
  <c r="C322" i="52"/>
  <c r="C321" i="52"/>
  <c r="C320" i="52"/>
  <c r="C319" i="52"/>
  <c r="C318" i="52"/>
  <c r="C317" i="52"/>
  <c r="C316" i="52"/>
  <c r="C315" i="52"/>
  <c r="C314" i="52"/>
  <c r="C313" i="52"/>
  <c r="C312" i="52"/>
  <c r="C311" i="52"/>
  <c r="C310" i="52"/>
  <c r="C309" i="52"/>
  <c r="C308" i="52"/>
  <c r="C307" i="52"/>
  <c r="C306" i="52"/>
  <c r="C305" i="52"/>
  <c r="C304" i="52"/>
  <c r="C303" i="52"/>
  <c r="C302" i="52"/>
  <c r="C301" i="52"/>
  <c r="C300" i="52"/>
  <c r="C299" i="52"/>
  <c r="C298" i="52"/>
  <c r="C297" i="52"/>
  <c r="C296" i="52"/>
  <c r="C295" i="52"/>
  <c r="C294" i="52"/>
  <c r="C293" i="52"/>
  <c r="C292" i="52"/>
  <c r="C291" i="52"/>
  <c r="C290" i="52"/>
  <c r="C289" i="52"/>
  <c r="C288" i="52"/>
  <c r="C287" i="52"/>
  <c r="C286" i="52"/>
  <c r="C285" i="52"/>
  <c r="C284" i="52"/>
  <c r="C283" i="52"/>
  <c r="C282" i="52"/>
  <c r="C281" i="52"/>
  <c r="C280" i="52"/>
  <c r="C279" i="52"/>
  <c r="C278" i="52"/>
  <c r="C277" i="52"/>
  <c r="C276" i="52"/>
  <c r="C275" i="52"/>
  <c r="C274" i="52"/>
  <c r="C273" i="52"/>
  <c r="C272" i="52"/>
  <c r="C271" i="52"/>
  <c r="C270" i="52"/>
  <c r="C269" i="52"/>
  <c r="C268" i="52"/>
  <c r="C267" i="52"/>
  <c r="C266" i="52"/>
  <c r="C265" i="52"/>
  <c r="C264" i="52"/>
  <c r="C263" i="52"/>
  <c r="C262" i="52"/>
  <c r="C261" i="52"/>
  <c r="C260" i="52"/>
  <c r="C259" i="52"/>
  <c r="C258" i="52"/>
  <c r="C257" i="52"/>
  <c r="C256" i="52"/>
  <c r="C255" i="52"/>
  <c r="C254" i="52"/>
  <c r="C253" i="52"/>
  <c r="C252" i="52"/>
  <c r="C251" i="52"/>
  <c r="C250" i="52"/>
  <c r="C249" i="52"/>
  <c r="C248" i="52"/>
  <c r="C247" i="52"/>
  <c r="C246" i="52"/>
  <c r="C245" i="52"/>
  <c r="C244" i="52"/>
  <c r="C243" i="52"/>
  <c r="C242" i="52"/>
  <c r="C241" i="52"/>
  <c r="C240" i="52"/>
  <c r="C239" i="52"/>
  <c r="C238" i="52"/>
  <c r="C237" i="52"/>
  <c r="C236" i="52"/>
  <c r="C235" i="52"/>
  <c r="C234" i="52"/>
  <c r="C233" i="52"/>
  <c r="C232" i="52"/>
  <c r="C231" i="52"/>
  <c r="C230" i="52"/>
  <c r="C229" i="52"/>
  <c r="C228" i="52"/>
  <c r="C227" i="52"/>
  <c r="C226" i="52"/>
  <c r="C225" i="52"/>
  <c r="C224" i="52"/>
  <c r="C223" i="52"/>
  <c r="C222" i="52"/>
  <c r="C221" i="52"/>
  <c r="C220" i="52"/>
  <c r="C219" i="52"/>
  <c r="C218" i="52"/>
  <c r="C217" i="52"/>
  <c r="C216" i="52"/>
  <c r="C215" i="52"/>
  <c r="C214" i="52"/>
  <c r="C213" i="52"/>
  <c r="C212" i="52"/>
  <c r="C211" i="52"/>
  <c r="C210" i="52"/>
  <c r="C209" i="52"/>
  <c r="C208" i="52"/>
  <c r="C207" i="52"/>
  <c r="C206" i="52"/>
  <c r="C205" i="52"/>
  <c r="C204" i="52"/>
  <c r="C203" i="52"/>
  <c r="C202" i="52"/>
  <c r="C201" i="52"/>
  <c r="C200" i="52"/>
  <c r="C199" i="52"/>
  <c r="C198" i="52"/>
  <c r="C197" i="52"/>
  <c r="C196" i="52"/>
  <c r="C195" i="52"/>
  <c r="C194" i="52"/>
  <c r="C193" i="52"/>
  <c r="C192" i="52"/>
  <c r="C191" i="52"/>
  <c r="C190" i="52"/>
  <c r="C189" i="52"/>
  <c r="C188" i="52"/>
  <c r="C187" i="52"/>
  <c r="C186" i="52"/>
  <c r="C185" i="52"/>
  <c r="C184" i="52"/>
  <c r="C183" i="52"/>
  <c r="C182" i="52"/>
  <c r="C181" i="52"/>
  <c r="C180" i="52"/>
  <c r="C179" i="52"/>
  <c r="C178" i="52"/>
  <c r="C177" i="52"/>
  <c r="C176" i="52"/>
  <c r="C175" i="52"/>
  <c r="C174" i="52"/>
  <c r="C173" i="52"/>
  <c r="C172" i="52"/>
  <c r="C171" i="52"/>
  <c r="C170" i="52"/>
  <c r="C169" i="52"/>
  <c r="C168" i="52"/>
  <c r="D167" i="52"/>
  <c r="C167" i="52"/>
  <c r="D166" i="52"/>
  <c r="C166" i="52"/>
  <c r="D165" i="52"/>
  <c r="C165" i="52"/>
  <c r="D164" i="52"/>
  <c r="C164" i="52"/>
  <c r="D163" i="52"/>
  <c r="C163" i="52"/>
  <c r="D162" i="52"/>
  <c r="C162" i="52"/>
  <c r="D161" i="52"/>
  <c r="C161" i="52"/>
  <c r="D160" i="52"/>
  <c r="C160" i="52"/>
  <c r="D159" i="52"/>
  <c r="C159" i="52"/>
  <c r="D158" i="52"/>
  <c r="C158" i="52"/>
  <c r="D157" i="52"/>
  <c r="C157" i="52"/>
  <c r="D156" i="52"/>
  <c r="C156" i="52"/>
  <c r="D155" i="52"/>
  <c r="C155" i="52"/>
  <c r="D154" i="52"/>
  <c r="C154" i="52"/>
  <c r="D153" i="52"/>
  <c r="C153" i="52"/>
  <c r="D152" i="52"/>
  <c r="C152" i="52"/>
  <c r="D151" i="52"/>
  <c r="C151" i="52"/>
  <c r="D150" i="52"/>
  <c r="C150" i="52"/>
  <c r="D149" i="52"/>
  <c r="C149" i="52"/>
  <c r="D148" i="52"/>
  <c r="C148" i="52"/>
  <c r="D147" i="52"/>
  <c r="C147" i="52"/>
  <c r="D146" i="52"/>
  <c r="C146" i="52"/>
  <c r="D145" i="52"/>
  <c r="C145" i="52"/>
  <c r="D144" i="52"/>
  <c r="C144" i="52"/>
  <c r="D143" i="52"/>
  <c r="C143" i="52"/>
  <c r="D142" i="52"/>
  <c r="C142" i="52"/>
  <c r="D141" i="52"/>
  <c r="C141" i="52"/>
  <c r="D140" i="52"/>
  <c r="C140" i="52"/>
  <c r="D139" i="52"/>
  <c r="C139" i="52"/>
  <c r="D138" i="52"/>
  <c r="C138" i="52"/>
  <c r="D137" i="52"/>
  <c r="C137" i="52"/>
  <c r="D136" i="52"/>
  <c r="C136" i="52"/>
  <c r="D135" i="52"/>
  <c r="C135" i="52"/>
  <c r="D134" i="52"/>
  <c r="C134" i="52"/>
  <c r="D133" i="52"/>
  <c r="C133" i="52"/>
  <c r="D132" i="52"/>
  <c r="C132" i="52"/>
  <c r="D131" i="52"/>
  <c r="C131" i="52"/>
  <c r="D130" i="52"/>
  <c r="C130" i="52"/>
  <c r="D129" i="52"/>
  <c r="C129" i="52"/>
  <c r="D128" i="52"/>
  <c r="C128" i="52"/>
  <c r="D127" i="52"/>
  <c r="C127" i="52"/>
  <c r="D126" i="52"/>
  <c r="C126" i="52"/>
  <c r="D125" i="52"/>
  <c r="C125" i="52"/>
  <c r="D124" i="52"/>
  <c r="C124" i="52"/>
  <c r="D123" i="52"/>
  <c r="C123" i="52"/>
  <c r="D122" i="52"/>
  <c r="C122" i="52"/>
  <c r="D121" i="52"/>
  <c r="C121" i="52"/>
  <c r="D120" i="52"/>
  <c r="C120" i="52"/>
  <c r="D119" i="52"/>
  <c r="C119" i="52"/>
  <c r="D118" i="52"/>
  <c r="C118" i="52"/>
  <c r="D117" i="52"/>
  <c r="C117" i="52"/>
  <c r="D116" i="52"/>
  <c r="C116" i="52"/>
  <c r="D115" i="52"/>
  <c r="C115" i="52"/>
  <c r="D114" i="52"/>
  <c r="C114" i="52"/>
  <c r="D113" i="52"/>
  <c r="C113" i="52"/>
  <c r="D112" i="52"/>
  <c r="C112" i="52"/>
  <c r="D111" i="52"/>
  <c r="C111" i="52"/>
  <c r="D110" i="52"/>
  <c r="C110" i="52"/>
  <c r="D109" i="52"/>
  <c r="C109" i="52"/>
  <c r="D108" i="52"/>
  <c r="C108" i="52"/>
  <c r="D107" i="52"/>
  <c r="C107" i="52"/>
  <c r="D106" i="52"/>
  <c r="C106" i="52"/>
  <c r="D105" i="52"/>
  <c r="C105" i="52"/>
  <c r="D104" i="52"/>
  <c r="C104" i="52"/>
  <c r="D103" i="52"/>
  <c r="C103" i="52"/>
  <c r="D102" i="52"/>
  <c r="C102" i="52"/>
  <c r="D101" i="52"/>
  <c r="C101" i="52"/>
  <c r="D100" i="52"/>
  <c r="C100" i="52"/>
  <c r="D99" i="52"/>
  <c r="C99" i="52"/>
  <c r="D98" i="52"/>
  <c r="C98" i="52"/>
  <c r="D97" i="52"/>
  <c r="C97" i="52"/>
  <c r="D96" i="52"/>
  <c r="C96" i="52"/>
  <c r="D95" i="52"/>
  <c r="C95" i="52"/>
  <c r="D94" i="52"/>
  <c r="C94" i="52"/>
  <c r="D93" i="52"/>
  <c r="C93" i="52"/>
  <c r="D92" i="52"/>
  <c r="C92" i="52"/>
  <c r="D91" i="52"/>
  <c r="C91" i="52"/>
  <c r="D90" i="52"/>
  <c r="C90" i="52"/>
  <c r="D89" i="52"/>
  <c r="C89" i="52"/>
  <c r="D88" i="52"/>
  <c r="C88" i="52"/>
  <c r="D87" i="52"/>
  <c r="C87" i="52"/>
  <c r="D86" i="52"/>
  <c r="C86" i="52"/>
  <c r="D85" i="52"/>
  <c r="C85" i="52"/>
  <c r="D84" i="52"/>
  <c r="C84" i="52"/>
  <c r="D83" i="52"/>
  <c r="C83" i="52"/>
  <c r="D82" i="52"/>
  <c r="C82" i="52"/>
  <c r="D81" i="52"/>
  <c r="C81" i="52"/>
  <c r="D80" i="52"/>
  <c r="C80" i="52"/>
  <c r="D79" i="52"/>
  <c r="C79" i="52"/>
  <c r="D78" i="52"/>
  <c r="C78" i="52"/>
  <c r="D77" i="52"/>
  <c r="C77" i="52"/>
  <c r="D76" i="52"/>
  <c r="C76" i="52"/>
  <c r="D75" i="52"/>
  <c r="C75" i="52"/>
  <c r="D74" i="52"/>
  <c r="C74" i="52"/>
  <c r="D73" i="52"/>
  <c r="C73" i="52"/>
  <c r="D72" i="52"/>
  <c r="C72" i="52"/>
  <c r="D71" i="52"/>
  <c r="C71" i="52"/>
  <c r="D70" i="52"/>
  <c r="C70" i="52"/>
  <c r="D69" i="52"/>
  <c r="C69" i="52"/>
  <c r="D68" i="52"/>
  <c r="C68" i="52"/>
  <c r="D67" i="52"/>
  <c r="C67" i="52"/>
  <c r="D66" i="52"/>
  <c r="C66" i="52"/>
  <c r="D65" i="52"/>
  <c r="C65" i="52"/>
  <c r="D64" i="52"/>
  <c r="C64" i="52"/>
  <c r="D63" i="52"/>
  <c r="C63" i="52"/>
  <c r="D62" i="52"/>
  <c r="C62" i="52"/>
  <c r="D61" i="52"/>
  <c r="C61" i="52"/>
  <c r="D60" i="52"/>
  <c r="C60" i="52"/>
  <c r="D59" i="52"/>
  <c r="C59" i="52"/>
  <c r="D58" i="52"/>
  <c r="C58" i="52"/>
  <c r="D57" i="52"/>
  <c r="C57" i="52"/>
  <c r="D56" i="52"/>
  <c r="C56" i="52"/>
  <c r="D55" i="52"/>
  <c r="C55" i="52"/>
  <c r="D54" i="52"/>
  <c r="C54" i="52"/>
  <c r="D53" i="52"/>
  <c r="C53" i="52"/>
  <c r="C52" i="52"/>
  <c r="C51" i="52"/>
  <c r="C50" i="52"/>
  <c r="C49" i="52"/>
  <c r="AM3" i="52"/>
  <c r="AM2" i="52" s="1"/>
  <c r="AL3" i="52"/>
  <c r="AL2" i="52" s="1"/>
  <c r="AK3" i="52"/>
  <c r="AK2" i="52" s="1"/>
  <c r="AJ3" i="52"/>
  <c r="AJ2" i="52" s="1"/>
  <c r="AI3" i="52"/>
  <c r="AI2" i="52" s="1"/>
  <c r="AH3" i="52"/>
  <c r="AH2" i="52" s="1"/>
  <c r="AG3" i="52"/>
  <c r="AG2" i="52" s="1"/>
  <c r="AF3" i="52"/>
  <c r="AF2" i="52" s="1"/>
  <c r="AE3" i="52"/>
  <c r="AE2" i="52" s="1"/>
  <c r="AC3" i="52"/>
  <c r="AC2" i="52" s="1"/>
  <c r="AB3" i="52"/>
  <c r="AB2" i="52" s="1"/>
  <c r="Z3" i="52"/>
  <c r="Z2" i="52" s="1"/>
  <c r="Y3" i="52"/>
  <c r="Y2" i="52" s="1"/>
  <c r="X3" i="52"/>
  <c r="X2" i="52" s="1"/>
  <c r="W3" i="52"/>
  <c r="W2" i="52" s="1"/>
  <c r="V3" i="52"/>
  <c r="V2" i="52" s="1"/>
  <c r="U3" i="52"/>
  <c r="U2" i="52" s="1"/>
  <c r="T3" i="52"/>
  <c r="T2" i="52" s="1"/>
  <c r="S3" i="52"/>
  <c r="S2" i="52" s="1"/>
  <c r="R3" i="52"/>
  <c r="R2" i="52" s="1"/>
  <c r="Q3" i="52"/>
  <c r="Q2" i="52" s="1"/>
  <c r="P3" i="52"/>
  <c r="P2" i="52" s="1"/>
  <c r="O3" i="52"/>
  <c r="O2" i="52" s="1"/>
  <c r="N3" i="52"/>
  <c r="N2" i="52" s="1"/>
  <c r="M3" i="52"/>
  <c r="M2" i="52" s="1"/>
  <c r="L3" i="52"/>
  <c r="L2" i="52" s="1"/>
  <c r="K3" i="52"/>
  <c r="K2" i="52" s="1"/>
  <c r="J3" i="52"/>
  <c r="J2" i="52" s="1"/>
  <c r="AD2" i="52"/>
  <c r="AA2" i="52"/>
  <c r="AA2" i="51"/>
  <c r="AD2" i="51"/>
  <c r="AK3" i="51"/>
  <c r="AK2" i="51" s="1"/>
  <c r="AJ3" i="51"/>
  <c r="AJ2" i="51" s="1"/>
  <c r="K3" i="51"/>
  <c r="K2" i="51" s="1"/>
  <c r="C403" i="51"/>
  <c r="C402" i="51"/>
  <c r="C401" i="51"/>
  <c r="C400" i="51"/>
  <c r="C399" i="51"/>
  <c r="C398" i="51"/>
  <c r="C397" i="51"/>
  <c r="C396" i="51"/>
  <c r="C395" i="51"/>
  <c r="C394" i="51"/>
  <c r="C393" i="51"/>
  <c r="C392" i="51"/>
  <c r="C391" i="51"/>
  <c r="C390" i="51"/>
  <c r="C389" i="51"/>
  <c r="C388" i="51"/>
  <c r="C387" i="51"/>
  <c r="C386" i="51"/>
  <c r="C385" i="51"/>
  <c r="C384" i="51"/>
  <c r="C383" i="51"/>
  <c r="C382" i="51"/>
  <c r="C381" i="51"/>
  <c r="C380" i="51"/>
  <c r="C379" i="51"/>
  <c r="C378" i="51"/>
  <c r="C377" i="51"/>
  <c r="C376" i="51"/>
  <c r="C375" i="51"/>
  <c r="C374" i="51"/>
  <c r="C373" i="51"/>
  <c r="C372" i="51"/>
  <c r="C371" i="51"/>
  <c r="C370" i="51"/>
  <c r="C369" i="51"/>
  <c r="C368" i="51"/>
  <c r="C367" i="51"/>
  <c r="C366" i="51"/>
  <c r="C365" i="51"/>
  <c r="C364" i="51"/>
  <c r="C363" i="51"/>
  <c r="C362" i="51"/>
  <c r="C361" i="51"/>
  <c r="C360" i="51"/>
  <c r="C359" i="51"/>
  <c r="C358" i="51"/>
  <c r="C357" i="51"/>
  <c r="C356" i="51"/>
  <c r="C355" i="51"/>
  <c r="C354" i="51"/>
  <c r="C353" i="51"/>
  <c r="C352" i="51"/>
  <c r="C351" i="51"/>
  <c r="C350" i="51"/>
  <c r="C349" i="51"/>
  <c r="C348" i="51"/>
  <c r="C347" i="51"/>
  <c r="C346" i="51"/>
  <c r="C345" i="51"/>
  <c r="C344" i="51"/>
  <c r="C343" i="51"/>
  <c r="C342" i="51"/>
  <c r="C341" i="51"/>
  <c r="C340" i="51"/>
  <c r="C339" i="51"/>
  <c r="C338" i="51"/>
  <c r="C337" i="51"/>
  <c r="C336" i="51"/>
  <c r="C335" i="51"/>
  <c r="C334" i="51"/>
  <c r="C333" i="51"/>
  <c r="C332" i="51"/>
  <c r="C331" i="51"/>
  <c r="C330" i="51"/>
  <c r="C329" i="51"/>
  <c r="C328" i="51"/>
  <c r="C327" i="51"/>
  <c r="C326" i="51"/>
  <c r="C325" i="51"/>
  <c r="C324" i="51"/>
  <c r="C323" i="51"/>
  <c r="C322" i="51"/>
  <c r="C321" i="51"/>
  <c r="C320" i="51"/>
  <c r="C319" i="51"/>
  <c r="C318" i="51"/>
  <c r="C317" i="51"/>
  <c r="C316" i="51"/>
  <c r="C315" i="51"/>
  <c r="C314" i="51"/>
  <c r="C313" i="51"/>
  <c r="C312" i="51"/>
  <c r="C311" i="51"/>
  <c r="C310" i="51"/>
  <c r="C309" i="51"/>
  <c r="C308" i="51"/>
  <c r="C307" i="51"/>
  <c r="C306" i="51"/>
  <c r="C305" i="51"/>
  <c r="C304" i="51"/>
  <c r="C303" i="51"/>
  <c r="C302" i="51"/>
  <c r="C301" i="51"/>
  <c r="C300" i="51"/>
  <c r="C299" i="51"/>
  <c r="C298" i="51"/>
  <c r="C297" i="51"/>
  <c r="C296" i="51"/>
  <c r="C295" i="51"/>
  <c r="C294" i="51"/>
  <c r="C293" i="51"/>
  <c r="C292" i="51"/>
  <c r="C291" i="51"/>
  <c r="C290" i="51"/>
  <c r="C289" i="51"/>
  <c r="C288" i="51"/>
  <c r="C287" i="51"/>
  <c r="C286" i="51"/>
  <c r="C285" i="51"/>
  <c r="C284" i="51"/>
  <c r="C283" i="51"/>
  <c r="C282" i="51"/>
  <c r="C281" i="51"/>
  <c r="C280" i="51"/>
  <c r="C279" i="51"/>
  <c r="C278" i="51"/>
  <c r="C277" i="51"/>
  <c r="C276" i="51"/>
  <c r="C275" i="51"/>
  <c r="C274" i="51"/>
  <c r="C273" i="51"/>
  <c r="C272" i="51"/>
  <c r="C271" i="51"/>
  <c r="C270" i="51"/>
  <c r="C269" i="51"/>
  <c r="C268" i="51"/>
  <c r="C267" i="51"/>
  <c r="C266" i="51"/>
  <c r="C265" i="51"/>
  <c r="C264" i="51"/>
  <c r="C263" i="51"/>
  <c r="C262" i="51"/>
  <c r="C261" i="51"/>
  <c r="C260" i="51"/>
  <c r="C259" i="51"/>
  <c r="C258" i="51"/>
  <c r="C257" i="51"/>
  <c r="C256" i="51"/>
  <c r="C255" i="51"/>
  <c r="C254" i="51"/>
  <c r="C253" i="51"/>
  <c r="C252" i="51"/>
  <c r="C251" i="51"/>
  <c r="C250" i="51"/>
  <c r="C249" i="51"/>
  <c r="C248" i="51"/>
  <c r="C247" i="51"/>
  <c r="C246" i="51"/>
  <c r="C245" i="51"/>
  <c r="C244" i="51"/>
  <c r="C243" i="51"/>
  <c r="C242" i="51"/>
  <c r="C241" i="51"/>
  <c r="C240" i="51"/>
  <c r="C239" i="51"/>
  <c r="C238" i="51"/>
  <c r="C237" i="51"/>
  <c r="C236" i="51"/>
  <c r="C235" i="51"/>
  <c r="C234" i="51"/>
  <c r="C233" i="51"/>
  <c r="C232" i="51"/>
  <c r="C231" i="51"/>
  <c r="C230" i="51"/>
  <c r="C229" i="51"/>
  <c r="C228" i="51"/>
  <c r="C227" i="51"/>
  <c r="C226" i="51"/>
  <c r="C225" i="51"/>
  <c r="C224" i="51"/>
  <c r="C223" i="51"/>
  <c r="C222" i="51"/>
  <c r="C221" i="51"/>
  <c r="C220" i="51"/>
  <c r="C219" i="51"/>
  <c r="C218" i="51"/>
  <c r="C217" i="51"/>
  <c r="C216" i="51"/>
  <c r="C215" i="51"/>
  <c r="C214" i="51"/>
  <c r="C213" i="51"/>
  <c r="C212" i="51"/>
  <c r="C211" i="51"/>
  <c r="C210" i="51"/>
  <c r="C209" i="51"/>
  <c r="C208" i="51"/>
  <c r="C207" i="51"/>
  <c r="C206" i="51"/>
  <c r="C205" i="51"/>
  <c r="C204" i="51"/>
  <c r="C203" i="51"/>
  <c r="C202" i="51"/>
  <c r="C201" i="51"/>
  <c r="C200" i="51"/>
  <c r="C199" i="51"/>
  <c r="C198" i="51"/>
  <c r="C197" i="51"/>
  <c r="C196" i="51"/>
  <c r="C195" i="51"/>
  <c r="C194" i="51"/>
  <c r="C193" i="51"/>
  <c r="C192" i="51"/>
  <c r="C191" i="51"/>
  <c r="C190" i="51"/>
  <c r="C189" i="51"/>
  <c r="C188" i="51"/>
  <c r="C187" i="51"/>
  <c r="C186" i="51"/>
  <c r="C185" i="51"/>
  <c r="C184" i="51"/>
  <c r="C183" i="51"/>
  <c r="C182" i="51"/>
  <c r="C181" i="51"/>
  <c r="C180" i="51"/>
  <c r="C179" i="51"/>
  <c r="C178" i="51"/>
  <c r="C177" i="51"/>
  <c r="C176" i="51"/>
  <c r="C175" i="51"/>
  <c r="C174" i="51"/>
  <c r="C173" i="51"/>
  <c r="C172" i="51"/>
  <c r="C171" i="51"/>
  <c r="C170" i="51"/>
  <c r="C169" i="51"/>
  <c r="C168" i="51"/>
  <c r="C167" i="51"/>
  <c r="D166" i="51"/>
  <c r="C166" i="51"/>
  <c r="D165" i="51"/>
  <c r="C165" i="51"/>
  <c r="D164" i="51"/>
  <c r="C164" i="51"/>
  <c r="D163" i="51"/>
  <c r="C163" i="51"/>
  <c r="D162" i="51"/>
  <c r="C162" i="51"/>
  <c r="D161" i="51"/>
  <c r="C161" i="51"/>
  <c r="D160" i="51"/>
  <c r="C160" i="51"/>
  <c r="D159" i="51"/>
  <c r="C159" i="51"/>
  <c r="D158" i="51"/>
  <c r="C158" i="51"/>
  <c r="D157" i="51"/>
  <c r="C157" i="51"/>
  <c r="D156" i="51"/>
  <c r="C156" i="51"/>
  <c r="D155" i="51"/>
  <c r="C155" i="51"/>
  <c r="D154" i="51"/>
  <c r="C154" i="51"/>
  <c r="D153" i="51"/>
  <c r="C153" i="51"/>
  <c r="D152" i="51"/>
  <c r="C152" i="51"/>
  <c r="D151" i="51"/>
  <c r="C151" i="51"/>
  <c r="D150" i="51"/>
  <c r="C150" i="51"/>
  <c r="D149" i="51"/>
  <c r="C149" i="51"/>
  <c r="D148" i="51"/>
  <c r="C148" i="51"/>
  <c r="D147" i="51"/>
  <c r="C147" i="51"/>
  <c r="D146" i="51"/>
  <c r="C146" i="51"/>
  <c r="D145" i="51"/>
  <c r="C145" i="51"/>
  <c r="D144" i="51"/>
  <c r="C144" i="51"/>
  <c r="D143" i="51"/>
  <c r="C143" i="51"/>
  <c r="D142" i="51"/>
  <c r="C142" i="51"/>
  <c r="D141" i="51"/>
  <c r="C141" i="51"/>
  <c r="D140" i="51"/>
  <c r="C140" i="51"/>
  <c r="D139" i="51"/>
  <c r="C139" i="51"/>
  <c r="D138" i="51"/>
  <c r="C138" i="51"/>
  <c r="D137" i="51"/>
  <c r="C137" i="51"/>
  <c r="D136" i="51"/>
  <c r="C136" i="51"/>
  <c r="D135" i="51"/>
  <c r="C135" i="51"/>
  <c r="D134" i="51"/>
  <c r="C134" i="51"/>
  <c r="D133" i="51"/>
  <c r="C133" i="51"/>
  <c r="D132" i="51"/>
  <c r="C132" i="51"/>
  <c r="D131" i="51"/>
  <c r="C131" i="51"/>
  <c r="D130" i="51"/>
  <c r="C130" i="51"/>
  <c r="D129" i="51"/>
  <c r="C129" i="51"/>
  <c r="D128" i="51"/>
  <c r="C128" i="51"/>
  <c r="D127" i="51"/>
  <c r="C127" i="51"/>
  <c r="D126" i="51"/>
  <c r="C126" i="51"/>
  <c r="D125" i="51"/>
  <c r="C125" i="51"/>
  <c r="D124" i="51"/>
  <c r="C124" i="51"/>
  <c r="D123" i="51"/>
  <c r="C123" i="51"/>
  <c r="D122" i="51"/>
  <c r="C122" i="51"/>
  <c r="D121" i="51"/>
  <c r="C121" i="51"/>
  <c r="D120" i="51"/>
  <c r="C120" i="51"/>
  <c r="D119" i="51"/>
  <c r="C119" i="51"/>
  <c r="D118" i="51"/>
  <c r="C118" i="51"/>
  <c r="D117" i="51"/>
  <c r="C117" i="51"/>
  <c r="D116" i="51"/>
  <c r="C116" i="51"/>
  <c r="D115" i="51"/>
  <c r="C115" i="51"/>
  <c r="D114" i="51"/>
  <c r="C114" i="51"/>
  <c r="D113" i="51"/>
  <c r="C113" i="51"/>
  <c r="D112" i="51"/>
  <c r="C112" i="51"/>
  <c r="D111" i="51"/>
  <c r="C111" i="51"/>
  <c r="D110" i="51"/>
  <c r="C110" i="51"/>
  <c r="D109" i="51"/>
  <c r="C109" i="51"/>
  <c r="D108" i="51"/>
  <c r="C108" i="51"/>
  <c r="D107" i="51"/>
  <c r="C107" i="51"/>
  <c r="D106" i="51"/>
  <c r="C106" i="51"/>
  <c r="D105" i="51"/>
  <c r="C105" i="51"/>
  <c r="D104" i="51"/>
  <c r="C104" i="51"/>
  <c r="D103" i="51"/>
  <c r="C103" i="51"/>
  <c r="D102" i="51"/>
  <c r="C102" i="51"/>
  <c r="D101" i="51"/>
  <c r="C101" i="51"/>
  <c r="D100" i="51"/>
  <c r="C100" i="51"/>
  <c r="D99" i="51"/>
  <c r="C99" i="51"/>
  <c r="D98" i="51"/>
  <c r="C98" i="51"/>
  <c r="D97" i="51"/>
  <c r="C97" i="51"/>
  <c r="D96" i="51"/>
  <c r="C96" i="51"/>
  <c r="D95" i="51"/>
  <c r="C95" i="51"/>
  <c r="D94" i="51"/>
  <c r="C94" i="51"/>
  <c r="D93" i="51"/>
  <c r="C93" i="51"/>
  <c r="D92" i="51"/>
  <c r="C92" i="51"/>
  <c r="D91" i="51"/>
  <c r="C91" i="51"/>
  <c r="D90" i="51"/>
  <c r="C90" i="51"/>
  <c r="D89" i="51"/>
  <c r="C89" i="51"/>
  <c r="D88" i="51"/>
  <c r="C88" i="51"/>
  <c r="D87" i="51"/>
  <c r="C87" i="51"/>
  <c r="D86" i="51"/>
  <c r="C86" i="51"/>
  <c r="D85" i="51"/>
  <c r="C85" i="51"/>
  <c r="D84" i="51"/>
  <c r="C84" i="51"/>
  <c r="D83" i="51"/>
  <c r="C83" i="51"/>
  <c r="D82" i="51"/>
  <c r="C82" i="51"/>
  <c r="D81" i="51"/>
  <c r="C81" i="51"/>
  <c r="D80" i="51"/>
  <c r="C80" i="51"/>
  <c r="D79" i="51"/>
  <c r="C79" i="51"/>
  <c r="D78" i="51"/>
  <c r="C78" i="51"/>
  <c r="D77" i="51"/>
  <c r="C77" i="51"/>
  <c r="D76" i="51"/>
  <c r="C76" i="51"/>
  <c r="D75" i="51"/>
  <c r="C75" i="51"/>
  <c r="D74" i="51"/>
  <c r="C74" i="51"/>
  <c r="D73" i="51"/>
  <c r="C73" i="51"/>
  <c r="D72" i="51"/>
  <c r="C72" i="51"/>
  <c r="D71" i="51"/>
  <c r="C71" i="51"/>
  <c r="D70" i="51"/>
  <c r="C70" i="51"/>
  <c r="D69" i="51"/>
  <c r="C69" i="51"/>
  <c r="D68" i="51"/>
  <c r="C68" i="51"/>
  <c r="D67" i="51"/>
  <c r="C67" i="51"/>
  <c r="D66" i="51"/>
  <c r="C66" i="51"/>
  <c r="D65" i="51"/>
  <c r="C65" i="51"/>
  <c r="D64" i="51"/>
  <c r="C64" i="51"/>
  <c r="D63" i="51"/>
  <c r="C63" i="51"/>
  <c r="D62" i="51"/>
  <c r="C62" i="51"/>
  <c r="D61" i="51"/>
  <c r="C61" i="51"/>
  <c r="D60" i="51"/>
  <c r="C60" i="51"/>
  <c r="D59" i="51"/>
  <c r="C59" i="51"/>
  <c r="D58" i="51"/>
  <c r="C58" i="51"/>
  <c r="D57" i="51"/>
  <c r="C57" i="51"/>
  <c r="D56" i="51"/>
  <c r="C56" i="51"/>
  <c r="D55" i="51"/>
  <c r="C55" i="51"/>
  <c r="D54" i="51"/>
  <c r="C54" i="51"/>
  <c r="D53" i="51"/>
  <c r="C53" i="51"/>
  <c r="D52" i="51"/>
  <c r="C52" i="51"/>
  <c r="C51" i="51"/>
  <c r="C50" i="51"/>
  <c r="C49" i="51"/>
  <c r="C48" i="51"/>
  <c r="AM3" i="51"/>
  <c r="AM2" i="51" s="1"/>
  <c r="AL3" i="51"/>
  <c r="AL2" i="51" s="1"/>
  <c r="AI3" i="51"/>
  <c r="AI2" i="51" s="1"/>
  <c r="AH3" i="51"/>
  <c r="AH2" i="51" s="1"/>
  <c r="AG3" i="51"/>
  <c r="AG2" i="51" s="1"/>
  <c r="AF3" i="51"/>
  <c r="AF2" i="51" s="1"/>
  <c r="AE3" i="51"/>
  <c r="AE2" i="51" s="1"/>
  <c r="AC3" i="51"/>
  <c r="AC2" i="51" s="1"/>
  <c r="AB3" i="51"/>
  <c r="AB2" i="51" s="1"/>
  <c r="Z3" i="51"/>
  <c r="Z2" i="51" s="1"/>
  <c r="Y3" i="51"/>
  <c r="Y2" i="51" s="1"/>
  <c r="X3" i="51"/>
  <c r="X2" i="51" s="1"/>
  <c r="W3" i="51"/>
  <c r="W2" i="51" s="1"/>
  <c r="V3" i="51"/>
  <c r="V2" i="51" s="1"/>
  <c r="U3" i="51"/>
  <c r="U2" i="51" s="1"/>
  <c r="T3" i="51"/>
  <c r="T2" i="51" s="1"/>
  <c r="S3" i="51"/>
  <c r="S2" i="51" s="1"/>
  <c r="R3" i="51"/>
  <c r="R2" i="51" s="1"/>
  <c r="Q3" i="51"/>
  <c r="Q2" i="51" s="1"/>
  <c r="P3" i="51"/>
  <c r="P2" i="51" s="1"/>
  <c r="O3" i="51"/>
  <c r="O2" i="51" s="1"/>
  <c r="N3" i="51"/>
  <c r="N2" i="51" s="1"/>
  <c r="M3" i="51"/>
  <c r="M2" i="51" s="1"/>
  <c r="L3" i="51"/>
  <c r="L2" i="51" s="1"/>
  <c r="J3" i="51"/>
  <c r="J2" i="51" s="1"/>
  <c r="C23" i="50"/>
  <c r="D23" i="50"/>
  <c r="C24" i="50"/>
  <c r="D24" i="50"/>
  <c r="C25" i="50"/>
  <c r="D25" i="50"/>
  <c r="C26" i="50"/>
  <c r="D26" i="50"/>
  <c r="C27" i="50"/>
  <c r="D27" i="50"/>
  <c r="C28" i="50"/>
  <c r="D28" i="50"/>
  <c r="C29" i="50"/>
  <c r="D29" i="50"/>
  <c r="C30" i="50"/>
  <c r="D30" i="50"/>
  <c r="C31" i="50"/>
  <c r="D31" i="50"/>
  <c r="C32" i="50"/>
  <c r="D32" i="50"/>
  <c r="C33" i="50"/>
  <c r="D33" i="50"/>
  <c r="C34" i="50"/>
  <c r="D34" i="50"/>
  <c r="C35" i="50"/>
  <c r="D35" i="50"/>
  <c r="C36" i="50"/>
  <c r="D36" i="50"/>
  <c r="C37" i="50"/>
  <c r="D37" i="50"/>
  <c r="C38" i="50"/>
  <c r="D38" i="50"/>
  <c r="C39" i="50"/>
  <c r="D39" i="50"/>
  <c r="C40" i="50"/>
  <c r="D40" i="50"/>
  <c r="C41" i="50"/>
  <c r="D41" i="50"/>
  <c r="C42" i="50"/>
  <c r="D42" i="50"/>
  <c r="C43" i="50"/>
  <c r="D43" i="50"/>
  <c r="C44" i="50"/>
  <c r="D44" i="50"/>
  <c r="C45" i="50"/>
  <c r="D45" i="50"/>
  <c r="C46" i="50"/>
  <c r="D46" i="50"/>
  <c r="C47" i="50"/>
  <c r="D47" i="50"/>
  <c r="C48" i="50"/>
  <c r="D48" i="50"/>
  <c r="C49" i="50"/>
  <c r="D49" i="50"/>
  <c r="C50" i="50"/>
  <c r="D50" i="50"/>
  <c r="C51" i="50"/>
  <c r="D51" i="50"/>
  <c r="C52" i="50"/>
  <c r="D52" i="50"/>
  <c r="C53" i="50"/>
  <c r="D53" i="50"/>
  <c r="C54" i="50"/>
  <c r="D54" i="50"/>
  <c r="C55" i="50"/>
  <c r="D55" i="50"/>
  <c r="C56" i="50"/>
  <c r="D56" i="50"/>
  <c r="C57" i="50"/>
  <c r="D57" i="50"/>
  <c r="C58" i="50"/>
  <c r="D58" i="50"/>
  <c r="C59" i="50"/>
  <c r="D59" i="50"/>
  <c r="C60" i="50"/>
  <c r="D60" i="50"/>
  <c r="C61" i="50"/>
  <c r="D61" i="50"/>
  <c r="C420" i="50"/>
  <c r="C419" i="50"/>
  <c r="C418" i="50"/>
  <c r="C417" i="50"/>
  <c r="C416" i="50"/>
  <c r="C415" i="50"/>
  <c r="C414" i="50"/>
  <c r="C413" i="50"/>
  <c r="C412" i="50"/>
  <c r="C411" i="50"/>
  <c r="C410" i="50"/>
  <c r="C409" i="50"/>
  <c r="C408" i="50"/>
  <c r="C407" i="50"/>
  <c r="C406" i="50"/>
  <c r="C405" i="50"/>
  <c r="C404" i="50"/>
  <c r="C403" i="50"/>
  <c r="C402" i="50"/>
  <c r="C401" i="50"/>
  <c r="C400" i="50"/>
  <c r="C399" i="50"/>
  <c r="C398" i="50"/>
  <c r="C397" i="50"/>
  <c r="C396" i="50"/>
  <c r="C395" i="50"/>
  <c r="C394" i="50"/>
  <c r="C393" i="50"/>
  <c r="C392" i="50"/>
  <c r="C391" i="50"/>
  <c r="C390" i="50"/>
  <c r="C389" i="50"/>
  <c r="C388" i="50"/>
  <c r="C387" i="50"/>
  <c r="C386" i="50"/>
  <c r="C385" i="50"/>
  <c r="C384" i="50"/>
  <c r="C383" i="50"/>
  <c r="C382" i="50"/>
  <c r="C381" i="50"/>
  <c r="C380" i="50"/>
  <c r="C379" i="50"/>
  <c r="C378" i="50"/>
  <c r="C377" i="50"/>
  <c r="C376" i="50"/>
  <c r="C375" i="50"/>
  <c r="C374" i="50"/>
  <c r="C373" i="50"/>
  <c r="C372" i="50"/>
  <c r="C371" i="50"/>
  <c r="C370" i="50"/>
  <c r="C369" i="50"/>
  <c r="C368" i="50"/>
  <c r="C367" i="50"/>
  <c r="C366" i="50"/>
  <c r="C365" i="50"/>
  <c r="C364" i="50"/>
  <c r="C363" i="50"/>
  <c r="C362" i="50"/>
  <c r="C361" i="50"/>
  <c r="C360" i="50"/>
  <c r="C359" i="50"/>
  <c r="C358" i="50"/>
  <c r="C357" i="50"/>
  <c r="C356" i="50"/>
  <c r="C355" i="50"/>
  <c r="C354" i="50"/>
  <c r="C353" i="50"/>
  <c r="C352" i="50"/>
  <c r="C351" i="50"/>
  <c r="C350" i="50"/>
  <c r="C349" i="50"/>
  <c r="C348" i="50"/>
  <c r="C347" i="50"/>
  <c r="C346" i="50"/>
  <c r="C345" i="50"/>
  <c r="C344" i="50"/>
  <c r="C343" i="50"/>
  <c r="C342" i="50"/>
  <c r="C341" i="50"/>
  <c r="C340" i="50"/>
  <c r="C339" i="50"/>
  <c r="C338" i="50"/>
  <c r="C337" i="50"/>
  <c r="C336" i="50"/>
  <c r="C335" i="50"/>
  <c r="C334" i="50"/>
  <c r="C333" i="50"/>
  <c r="C332" i="50"/>
  <c r="C331" i="50"/>
  <c r="C330" i="50"/>
  <c r="C329" i="50"/>
  <c r="C328" i="50"/>
  <c r="C327" i="50"/>
  <c r="C326" i="50"/>
  <c r="C325" i="50"/>
  <c r="C324" i="50"/>
  <c r="C323" i="50"/>
  <c r="C322" i="50"/>
  <c r="C321" i="50"/>
  <c r="C320" i="50"/>
  <c r="C319" i="50"/>
  <c r="C318" i="50"/>
  <c r="C317" i="50"/>
  <c r="C316" i="50"/>
  <c r="C315" i="50"/>
  <c r="C314" i="50"/>
  <c r="C313" i="50"/>
  <c r="C312" i="50"/>
  <c r="C311" i="50"/>
  <c r="C310" i="50"/>
  <c r="C309" i="50"/>
  <c r="C308" i="50"/>
  <c r="C307" i="50"/>
  <c r="C306" i="50"/>
  <c r="C305" i="50"/>
  <c r="C304" i="50"/>
  <c r="C303" i="50"/>
  <c r="C302" i="50"/>
  <c r="C301" i="50"/>
  <c r="C300" i="50"/>
  <c r="C299" i="50"/>
  <c r="C298" i="50"/>
  <c r="C297" i="50"/>
  <c r="C296" i="50"/>
  <c r="C295" i="50"/>
  <c r="C294" i="50"/>
  <c r="C293" i="50"/>
  <c r="C292" i="50"/>
  <c r="C291" i="50"/>
  <c r="C290" i="50"/>
  <c r="C289" i="50"/>
  <c r="C288" i="50"/>
  <c r="C287" i="50"/>
  <c r="C286" i="50"/>
  <c r="C285" i="50"/>
  <c r="C284" i="50"/>
  <c r="C283" i="50"/>
  <c r="C282" i="50"/>
  <c r="C281" i="50"/>
  <c r="C280" i="50"/>
  <c r="C279" i="50"/>
  <c r="C278" i="50"/>
  <c r="C277" i="50"/>
  <c r="C276" i="50"/>
  <c r="C275" i="50"/>
  <c r="C274" i="50"/>
  <c r="C273" i="50"/>
  <c r="C272" i="50"/>
  <c r="C271" i="50"/>
  <c r="C270" i="50"/>
  <c r="C269" i="50"/>
  <c r="C268" i="50"/>
  <c r="C267" i="50"/>
  <c r="C266" i="50"/>
  <c r="C265" i="50"/>
  <c r="C264" i="50"/>
  <c r="C263" i="50"/>
  <c r="C262" i="50"/>
  <c r="C261" i="50"/>
  <c r="C260" i="50"/>
  <c r="C259" i="50"/>
  <c r="C258" i="50"/>
  <c r="C257" i="50"/>
  <c r="C256" i="50"/>
  <c r="C255" i="50"/>
  <c r="C254" i="50"/>
  <c r="C253" i="50"/>
  <c r="C252" i="50"/>
  <c r="C251" i="50"/>
  <c r="C250" i="50"/>
  <c r="C249" i="50"/>
  <c r="C248" i="50"/>
  <c r="C247" i="50"/>
  <c r="C246" i="50"/>
  <c r="C245" i="50"/>
  <c r="C244" i="50"/>
  <c r="C243" i="50"/>
  <c r="C242" i="50"/>
  <c r="C241" i="50"/>
  <c r="C240" i="50"/>
  <c r="C239" i="50"/>
  <c r="C238" i="50"/>
  <c r="C237" i="50"/>
  <c r="C236" i="50"/>
  <c r="C235" i="50"/>
  <c r="C234" i="50"/>
  <c r="C233" i="50"/>
  <c r="C232" i="50"/>
  <c r="C231" i="50"/>
  <c r="C230" i="50"/>
  <c r="C229" i="50"/>
  <c r="C228" i="50"/>
  <c r="C227" i="50"/>
  <c r="C226" i="50"/>
  <c r="C225" i="50"/>
  <c r="C224" i="50"/>
  <c r="C223" i="50"/>
  <c r="C222" i="50"/>
  <c r="C221" i="50"/>
  <c r="C220" i="50"/>
  <c r="C219" i="50"/>
  <c r="C218" i="50"/>
  <c r="C217" i="50"/>
  <c r="C216" i="50"/>
  <c r="C215" i="50"/>
  <c r="C214" i="50"/>
  <c r="C213" i="50"/>
  <c r="C212" i="50"/>
  <c r="C211" i="50"/>
  <c r="C210" i="50"/>
  <c r="C209" i="50"/>
  <c r="C208" i="50"/>
  <c r="C207" i="50"/>
  <c r="C206" i="50"/>
  <c r="C205" i="50"/>
  <c r="C204" i="50"/>
  <c r="C203" i="50"/>
  <c r="C202" i="50"/>
  <c r="C201" i="50"/>
  <c r="C200" i="50"/>
  <c r="C199" i="50"/>
  <c r="C198" i="50"/>
  <c r="C197" i="50"/>
  <c r="C196" i="50"/>
  <c r="C195" i="50"/>
  <c r="C194" i="50"/>
  <c r="C193" i="50"/>
  <c r="C192" i="50"/>
  <c r="C191" i="50"/>
  <c r="C190" i="50"/>
  <c r="C189" i="50"/>
  <c r="C188" i="50"/>
  <c r="C187" i="50"/>
  <c r="C186" i="50"/>
  <c r="C185" i="50"/>
  <c r="C184" i="50"/>
  <c r="D183" i="50"/>
  <c r="C183" i="50"/>
  <c r="D182" i="50"/>
  <c r="C182" i="50"/>
  <c r="D181" i="50"/>
  <c r="C181" i="50"/>
  <c r="D180" i="50"/>
  <c r="C180" i="50"/>
  <c r="D179" i="50"/>
  <c r="C179" i="50"/>
  <c r="D178" i="50"/>
  <c r="C178" i="50"/>
  <c r="D177" i="50"/>
  <c r="C177" i="50"/>
  <c r="D176" i="50"/>
  <c r="C176" i="50"/>
  <c r="D175" i="50"/>
  <c r="C175" i="50"/>
  <c r="D174" i="50"/>
  <c r="C174" i="50"/>
  <c r="D173" i="50"/>
  <c r="C173" i="50"/>
  <c r="D172" i="50"/>
  <c r="C172" i="50"/>
  <c r="D171" i="50"/>
  <c r="C171" i="50"/>
  <c r="D170" i="50"/>
  <c r="C170" i="50"/>
  <c r="D169" i="50"/>
  <c r="C169" i="50"/>
  <c r="D168" i="50"/>
  <c r="C168" i="50"/>
  <c r="D167" i="50"/>
  <c r="C167" i="50"/>
  <c r="D166" i="50"/>
  <c r="C166" i="50"/>
  <c r="D165" i="50"/>
  <c r="C165" i="50"/>
  <c r="D164" i="50"/>
  <c r="C164" i="50"/>
  <c r="D163" i="50"/>
  <c r="C163" i="50"/>
  <c r="D162" i="50"/>
  <c r="C162" i="50"/>
  <c r="D161" i="50"/>
  <c r="C161" i="50"/>
  <c r="D160" i="50"/>
  <c r="C160" i="50"/>
  <c r="D159" i="50"/>
  <c r="C159" i="50"/>
  <c r="D158" i="50"/>
  <c r="C158" i="50"/>
  <c r="D157" i="50"/>
  <c r="C157" i="50"/>
  <c r="D156" i="50"/>
  <c r="C156" i="50"/>
  <c r="D155" i="50"/>
  <c r="C155" i="50"/>
  <c r="D154" i="50"/>
  <c r="C154" i="50"/>
  <c r="D153" i="50"/>
  <c r="C153" i="50"/>
  <c r="D152" i="50"/>
  <c r="C152" i="50"/>
  <c r="D151" i="50"/>
  <c r="C151" i="50"/>
  <c r="D150" i="50"/>
  <c r="C150" i="50"/>
  <c r="D149" i="50"/>
  <c r="C149" i="50"/>
  <c r="D148" i="50"/>
  <c r="C148" i="50"/>
  <c r="D147" i="50"/>
  <c r="C147" i="50"/>
  <c r="D146" i="50"/>
  <c r="C146" i="50"/>
  <c r="D145" i="50"/>
  <c r="C145" i="50"/>
  <c r="D144" i="50"/>
  <c r="C144" i="50"/>
  <c r="D143" i="50"/>
  <c r="C143" i="50"/>
  <c r="D142" i="50"/>
  <c r="C142" i="50"/>
  <c r="D141" i="50"/>
  <c r="C141" i="50"/>
  <c r="D140" i="50"/>
  <c r="C140" i="50"/>
  <c r="D139" i="50"/>
  <c r="C139" i="50"/>
  <c r="D138" i="50"/>
  <c r="C138" i="50"/>
  <c r="D137" i="50"/>
  <c r="C137" i="50"/>
  <c r="D136" i="50"/>
  <c r="C136" i="50"/>
  <c r="D135" i="50"/>
  <c r="C135" i="50"/>
  <c r="D134" i="50"/>
  <c r="C134" i="50"/>
  <c r="D133" i="50"/>
  <c r="C133" i="50"/>
  <c r="D132" i="50"/>
  <c r="C132" i="50"/>
  <c r="D131" i="50"/>
  <c r="C131" i="50"/>
  <c r="D130" i="50"/>
  <c r="C130" i="50"/>
  <c r="D129" i="50"/>
  <c r="C129" i="50"/>
  <c r="D128" i="50"/>
  <c r="C128" i="50"/>
  <c r="D127" i="50"/>
  <c r="C127" i="50"/>
  <c r="D126" i="50"/>
  <c r="C126" i="50"/>
  <c r="D125" i="50"/>
  <c r="C125" i="50"/>
  <c r="D124" i="50"/>
  <c r="C124" i="50"/>
  <c r="D123" i="50"/>
  <c r="C123" i="50"/>
  <c r="D122" i="50"/>
  <c r="C122" i="50"/>
  <c r="D121" i="50"/>
  <c r="C121" i="50"/>
  <c r="D120" i="50"/>
  <c r="C120" i="50"/>
  <c r="D119" i="50"/>
  <c r="C119" i="50"/>
  <c r="D118" i="50"/>
  <c r="C118" i="50"/>
  <c r="D117" i="50"/>
  <c r="C117" i="50"/>
  <c r="D116" i="50"/>
  <c r="C116" i="50"/>
  <c r="D115" i="50"/>
  <c r="C115" i="50"/>
  <c r="D114" i="50"/>
  <c r="C114" i="50"/>
  <c r="D113" i="50"/>
  <c r="C113" i="50"/>
  <c r="D112" i="50"/>
  <c r="C112" i="50"/>
  <c r="D111" i="50"/>
  <c r="C111" i="50"/>
  <c r="D110" i="50"/>
  <c r="C110" i="50"/>
  <c r="D109" i="50"/>
  <c r="C109" i="50"/>
  <c r="D108" i="50"/>
  <c r="C108" i="50"/>
  <c r="D107" i="50"/>
  <c r="C107" i="50"/>
  <c r="D106" i="50"/>
  <c r="C106" i="50"/>
  <c r="D105" i="50"/>
  <c r="C105" i="50"/>
  <c r="D104" i="50"/>
  <c r="C104" i="50"/>
  <c r="D103" i="50"/>
  <c r="C103" i="50"/>
  <c r="D102" i="50"/>
  <c r="C102" i="50"/>
  <c r="D101" i="50"/>
  <c r="C101" i="50"/>
  <c r="D100" i="50"/>
  <c r="C100" i="50"/>
  <c r="D99" i="50"/>
  <c r="C99" i="50"/>
  <c r="D98" i="50"/>
  <c r="C98" i="50"/>
  <c r="D97" i="50"/>
  <c r="C97" i="50"/>
  <c r="D96" i="50"/>
  <c r="C96" i="50"/>
  <c r="D95" i="50"/>
  <c r="C95" i="50"/>
  <c r="D94" i="50"/>
  <c r="C94" i="50"/>
  <c r="D93" i="50"/>
  <c r="C93" i="50"/>
  <c r="D92" i="50"/>
  <c r="C92" i="50"/>
  <c r="D91" i="50"/>
  <c r="C91" i="50"/>
  <c r="D90" i="50"/>
  <c r="C90" i="50"/>
  <c r="D89" i="50"/>
  <c r="C89" i="50"/>
  <c r="D88" i="50"/>
  <c r="C88" i="50"/>
  <c r="D87" i="50"/>
  <c r="C87" i="50"/>
  <c r="D86" i="50"/>
  <c r="C86" i="50"/>
  <c r="D85" i="50"/>
  <c r="C85" i="50"/>
  <c r="D84" i="50"/>
  <c r="C84" i="50"/>
  <c r="D83" i="50"/>
  <c r="C83" i="50"/>
  <c r="D82" i="50"/>
  <c r="C82" i="50"/>
  <c r="D81" i="50"/>
  <c r="C81" i="50"/>
  <c r="D80" i="50"/>
  <c r="C80" i="50"/>
  <c r="D79" i="50"/>
  <c r="C79" i="50"/>
  <c r="D78" i="50"/>
  <c r="C78" i="50"/>
  <c r="D77" i="50"/>
  <c r="C77" i="50"/>
  <c r="D76" i="50"/>
  <c r="C76" i="50"/>
  <c r="D75" i="50"/>
  <c r="C75" i="50"/>
  <c r="D74" i="50"/>
  <c r="C74" i="50"/>
  <c r="D73" i="50"/>
  <c r="C73" i="50"/>
  <c r="D72" i="50"/>
  <c r="C72" i="50"/>
  <c r="D71" i="50"/>
  <c r="C71" i="50"/>
  <c r="D70" i="50"/>
  <c r="C70" i="50"/>
  <c r="D69" i="50"/>
  <c r="C69" i="50"/>
  <c r="D68" i="50"/>
  <c r="C68" i="50"/>
  <c r="D67" i="50"/>
  <c r="C67" i="50"/>
  <c r="D66" i="50"/>
  <c r="C66" i="50"/>
  <c r="D65" i="50"/>
  <c r="C65" i="50"/>
  <c r="D64" i="50"/>
  <c r="C64" i="50"/>
  <c r="D63" i="50"/>
  <c r="C63" i="50"/>
  <c r="D62" i="50"/>
  <c r="C62" i="50"/>
  <c r="D6" i="50"/>
  <c r="AH3" i="50"/>
  <c r="AH2" i="50" s="1"/>
  <c r="AG3" i="50"/>
  <c r="AG2" i="50" s="1"/>
  <c r="AF3" i="50"/>
  <c r="AF2" i="50" s="1"/>
  <c r="AE3" i="50"/>
  <c r="AD3" i="50"/>
  <c r="AC3" i="50"/>
  <c r="AB3" i="50"/>
  <c r="AB2" i="50" s="1"/>
  <c r="AA3" i="50"/>
  <c r="AA2" i="50" s="1"/>
  <c r="Z3" i="50"/>
  <c r="Z2" i="50" s="1"/>
  <c r="Y3" i="50"/>
  <c r="Y2" i="50" s="1"/>
  <c r="X3" i="50"/>
  <c r="X2" i="50" s="1"/>
  <c r="W3" i="50"/>
  <c r="W2" i="50" s="1"/>
  <c r="V3" i="50"/>
  <c r="V2" i="50" s="1"/>
  <c r="U3" i="50"/>
  <c r="U2" i="50" s="1"/>
  <c r="T3" i="50"/>
  <c r="T2" i="50" s="1"/>
  <c r="S3" i="50"/>
  <c r="S2" i="50" s="1"/>
  <c r="R3" i="50"/>
  <c r="R2" i="50" s="1"/>
  <c r="Q3" i="50"/>
  <c r="P3" i="50"/>
  <c r="P2" i="50" s="1"/>
  <c r="O3" i="50"/>
  <c r="O2" i="50" s="1"/>
  <c r="N3" i="50"/>
  <c r="N2" i="50" s="1"/>
  <c r="M3" i="50"/>
  <c r="M2" i="50" s="1"/>
  <c r="L3" i="50"/>
  <c r="L2" i="50" s="1"/>
  <c r="K3" i="50"/>
  <c r="K2" i="50" s="1"/>
  <c r="J3" i="50"/>
  <c r="J2" i="50" s="1"/>
  <c r="AE2" i="50"/>
  <c r="AD2" i="50"/>
  <c r="AC2" i="50"/>
  <c r="Q2" i="50"/>
  <c r="C403" i="49"/>
  <c r="C402" i="49"/>
  <c r="C401" i="49"/>
  <c r="C400" i="49"/>
  <c r="C399" i="49"/>
  <c r="C398" i="49"/>
  <c r="C397" i="49"/>
  <c r="C396" i="49"/>
  <c r="C395" i="49"/>
  <c r="C394" i="49"/>
  <c r="C393" i="49"/>
  <c r="C392" i="49"/>
  <c r="C391" i="49"/>
  <c r="C390" i="49"/>
  <c r="C389" i="49"/>
  <c r="C388" i="49"/>
  <c r="C387" i="49"/>
  <c r="C386" i="49"/>
  <c r="C385" i="49"/>
  <c r="C384" i="49"/>
  <c r="C383" i="49"/>
  <c r="C382" i="49"/>
  <c r="C381" i="49"/>
  <c r="C380" i="49"/>
  <c r="C379" i="49"/>
  <c r="C378" i="49"/>
  <c r="C377" i="49"/>
  <c r="C376" i="49"/>
  <c r="C375" i="49"/>
  <c r="C374" i="49"/>
  <c r="C373" i="49"/>
  <c r="C372" i="49"/>
  <c r="C371" i="49"/>
  <c r="C370" i="49"/>
  <c r="C369" i="49"/>
  <c r="C368" i="49"/>
  <c r="C367" i="49"/>
  <c r="C366" i="49"/>
  <c r="C365" i="49"/>
  <c r="C364" i="49"/>
  <c r="C363" i="49"/>
  <c r="C362" i="49"/>
  <c r="C361" i="49"/>
  <c r="C360" i="49"/>
  <c r="C359" i="49"/>
  <c r="C358" i="49"/>
  <c r="C357" i="49"/>
  <c r="C356" i="49"/>
  <c r="C355" i="49"/>
  <c r="C354" i="49"/>
  <c r="C353" i="49"/>
  <c r="C352" i="49"/>
  <c r="C351" i="49"/>
  <c r="C350" i="49"/>
  <c r="C349" i="49"/>
  <c r="C348" i="49"/>
  <c r="C347" i="49"/>
  <c r="C346" i="49"/>
  <c r="C345" i="49"/>
  <c r="C344" i="49"/>
  <c r="C343" i="49"/>
  <c r="C342" i="49"/>
  <c r="C341" i="49"/>
  <c r="C340" i="49"/>
  <c r="C339" i="49"/>
  <c r="C338" i="49"/>
  <c r="C337" i="49"/>
  <c r="C336" i="49"/>
  <c r="C335" i="49"/>
  <c r="C334" i="49"/>
  <c r="C333" i="49"/>
  <c r="C332" i="49"/>
  <c r="C331" i="49"/>
  <c r="C330" i="49"/>
  <c r="C329" i="49"/>
  <c r="C328" i="49"/>
  <c r="C327" i="49"/>
  <c r="C326" i="49"/>
  <c r="C325" i="49"/>
  <c r="C324" i="49"/>
  <c r="C323" i="49"/>
  <c r="C322" i="49"/>
  <c r="C321" i="49"/>
  <c r="C320" i="49"/>
  <c r="C319" i="49"/>
  <c r="C318" i="49"/>
  <c r="C317" i="49"/>
  <c r="C316" i="49"/>
  <c r="C315" i="49"/>
  <c r="C314" i="49"/>
  <c r="C313" i="49"/>
  <c r="C312" i="49"/>
  <c r="C311" i="49"/>
  <c r="C310" i="49"/>
  <c r="C309" i="49"/>
  <c r="C308" i="49"/>
  <c r="C307" i="49"/>
  <c r="C306" i="49"/>
  <c r="C305" i="49"/>
  <c r="C304" i="49"/>
  <c r="C303" i="49"/>
  <c r="C302" i="49"/>
  <c r="C301" i="49"/>
  <c r="C300" i="49"/>
  <c r="C299" i="49"/>
  <c r="C298" i="49"/>
  <c r="C297" i="49"/>
  <c r="C296" i="49"/>
  <c r="C295" i="49"/>
  <c r="C294" i="49"/>
  <c r="C293" i="49"/>
  <c r="C292" i="49"/>
  <c r="C291" i="49"/>
  <c r="C290" i="49"/>
  <c r="C289" i="49"/>
  <c r="C288" i="49"/>
  <c r="C287" i="49"/>
  <c r="C286" i="49"/>
  <c r="C285" i="49"/>
  <c r="C284" i="49"/>
  <c r="C283" i="49"/>
  <c r="C282" i="49"/>
  <c r="C281" i="49"/>
  <c r="C280" i="49"/>
  <c r="C279" i="49"/>
  <c r="C278" i="49"/>
  <c r="C277" i="49"/>
  <c r="C276" i="49"/>
  <c r="C275" i="49"/>
  <c r="C274" i="49"/>
  <c r="C273" i="49"/>
  <c r="C272" i="49"/>
  <c r="C271" i="49"/>
  <c r="C270" i="49"/>
  <c r="C269" i="49"/>
  <c r="C268" i="49"/>
  <c r="C267" i="49"/>
  <c r="C266" i="49"/>
  <c r="C265" i="49"/>
  <c r="C264" i="49"/>
  <c r="C263" i="49"/>
  <c r="C262" i="49"/>
  <c r="C261" i="49"/>
  <c r="C260" i="49"/>
  <c r="C259" i="49"/>
  <c r="C258" i="49"/>
  <c r="C257" i="49"/>
  <c r="C256" i="49"/>
  <c r="C255" i="49"/>
  <c r="C254" i="49"/>
  <c r="C253" i="49"/>
  <c r="C252" i="49"/>
  <c r="C251" i="49"/>
  <c r="C250" i="49"/>
  <c r="C249" i="49"/>
  <c r="C248" i="49"/>
  <c r="C247" i="49"/>
  <c r="C246" i="49"/>
  <c r="C245" i="49"/>
  <c r="C244" i="49"/>
  <c r="C243" i="49"/>
  <c r="C242" i="49"/>
  <c r="C241" i="49"/>
  <c r="C240" i="49"/>
  <c r="C239" i="49"/>
  <c r="C238" i="49"/>
  <c r="C237" i="49"/>
  <c r="C236" i="49"/>
  <c r="C235" i="49"/>
  <c r="C234" i="49"/>
  <c r="C233" i="49"/>
  <c r="C232" i="49"/>
  <c r="C231" i="49"/>
  <c r="C230" i="49"/>
  <c r="C229" i="49"/>
  <c r="C228" i="49"/>
  <c r="C227" i="49"/>
  <c r="C226" i="49"/>
  <c r="C225" i="49"/>
  <c r="C224" i="49"/>
  <c r="C223" i="49"/>
  <c r="C222" i="49"/>
  <c r="C221" i="49"/>
  <c r="C220" i="49"/>
  <c r="C219" i="49"/>
  <c r="C218" i="49"/>
  <c r="C217" i="49"/>
  <c r="C216" i="49"/>
  <c r="C215" i="49"/>
  <c r="C214" i="49"/>
  <c r="C213" i="49"/>
  <c r="C212" i="49"/>
  <c r="C211" i="49"/>
  <c r="C210" i="49"/>
  <c r="C209" i="49"/>
  <c r="C208" i="49"/>
  <c r="C207" i="49"/>
  <c r="C206" i="49"/>
  <c r="C205" i="49"/>
  <c r="C204" i="49"/>
  <c r="C203" i="49"/>
  <c r="C202" i="49"/>
  <c r="C201" i="49"/>
  <c r="C200" i="49"/>
  <c r="C199" i="49"/>
  <c r="C198" i="49"/>
  <c r="C197" i="49"/>
  <c r="C196" i="49"/>
  <c r="C195" i="49"/>
  <c r="C194" i="49"/>
  <c r="C193" i="49"/>
  <c r="C192" i="49"/>
  <c r="C191" i="49"/>
  <c r="C190" i="49"/>
  <c r="C189" i="49"/>
  <c r="C188" i="49"/>
  <c r="C187" i="49"/>
  <c r="C186" i="49"/>
  <c r="C185" i="49"/>
  <c r="C184" i="49"/>
  <c r="C183" i="49"/>
  <c r="C182" i="49"/>
  <c r="C181" i="49"/>
  <c r="C180" i="49"/>
  <c r="C179" i="49"/>
  <c r="C178" i="49"/>
  <c r="C177" i="49"/>
  <c r="C176" i="49"/>
  <c r="C175" i="49"/>
  <c r="C174" i="49"/>
  <c r="C173" i="49"/>
  <c r="C172" i="49"/>
  <c r="C171" i="49"/>
  <c r="C170" i="49"/>
  <c r="C169" i="49"/>
  <c r="C168" i="49"/>
  <c r="C167" i="49"/>
  <c r="D166" i="49"/>
  <c r="C166" i="49"/>
  <c r="D165" i="49"/>
  <c r="C165" i="49"/>
  <c r="D164" i="49"/>
  <c r="C164" i="49"/>
  <c r="D163" i="49"/>
  <c r="C163" i="49"/>
  <c r="D162" i="49"/>
  <c r="C162" i="49"/>
  <c r="D161" i="49"/>
  <c r="C161" i="49"/>
  <c r="D160" i="49"/>
  <c r="C160" i="49"/>
  <c r="D159" i="49"/>
  <c r="C159" i="49"/>
  <c r="D158" i="49"/>
  <c r="C158" i="49"/>
  <c r="D157" i="49"/>
  <c r="C157" i="49"/>
  <c r="D156" i="49"/>
  <c r="C156" i="49"/>
  <c r="D155" i="49"/>
  <c r="C155" i="49"/>
  <c r="D154" i="49"/>
  <c r="C154" i="49"/>
  <c r="D153" i="49"/>
  <c r="C153" i="49"/>
  <c r="D152" i="49"/>
  <c r="C152" i="49"/>
  <c r="D151" i="49"/>
  <c r="C151" i="49"/>
  <c r="D150" i="49"/>
  <c r="C150" i="49"/>
  <c r="D149" i="49"/>
  <c r="C149" i="49"/>
  <c r="D148" i="49"/>
  <c r="C148" i="49"/>
  <c r="D147" i="49"/>
  <c r="C147" i="49"/>
  <c r="D146" i="49"/>
  <c r="C146" i="49"/>
  <c r="D145" i="49"/>
  <c r="C145" i="49"/>
  <c r="D144" i="49"/>
  <c r="C144" i="49"/>
  <c r="D143" i="49"/>
  <c r="C143" i="49"/>
  <c r="D142" i="49"/>
  <c r="C142" i="49"/>
  <c r="D141" i="49"/>
  <c r="C141" i="49"/>
  <c r="D140" i="49"/>
  <c r="C140" i="49"/>
  <c r="D139" i="49"/>
  <c r="C139" i="49"/>
  <c r="D138" i="49"/>
  <c r="C138" i="49"/>
  <c r="D137" i="49"/>
  <c r="C137" i="49"/>
  <c r="D136" i="49"/>
  <c r="C136" i="49"/>
  <c r="D135" i="49"/>
  <c r="C135" i="49"/>
  <c r="D134" i="49"/>
  <c r="C134" i="49"/>
  <c r="D133" i="49"/>
  <c r="C133" i="49"/>
  <c r="D132" i="49"/>
  <c r="C132" i="49"/>
  <c r="D131" i="49"/>
  <c r="C131" i="49"/>
  <c r="D130" i="49"/>
  <c r="C130" i="49"/>
  <c r="D129" i="49"/>
  <c r="C129" i="49"/>
  <c r="D128" i="49"/>
  <c r="C128" i="49"/>
  <c r="D127" i="49"/>
  <c r="C127" i="49"/>
  <c r="D126" i="49"/>
  <c r="C126" i="49"/>
  <c r="D125" i="49"/>
  <c r="C125" i="49"/>
  <c r="D124" i="49"/>
  <c r="C124" i="49"/>
  <c r="D123" i="49"/>
  <c r="C123" i="49"/>
  <c r="D122" i="49"/>
  <c r="C122" i="49"/>
  <c r="D121" i="49"/>
  <c r="C121" i="49"/>
  <c r="D120" i="49"/>
  <c r="C120" i="49"/>
  <c r="D119" i="49"/>
  <c r="C119" i="49"/>
  <c r="D118" i="49"/>
  <c r="C118" i="49"/>
  <c r="D117" i="49"/>
  <c r="C117" i="49"/>
  <c r="D116" i="49"/>
  <c r="C116" i="49"/>
  <c r="D115" i="49"/>
  <c r="C115" i="49"/>
  <c r="D114" i="49"/>
  <c r="C114" i="49"/>
  <c r="D113" i="49"/>
  <c r="C113" i="49"/>
  <c r="D112" i="49"/>
  <c r="C112" i="49"/>
  <c r="D111" i="49"/>
  <c r="C111" i="49"/>
  <c r="D110" i="49"/>
  <c r="C110" i="49"/>
  <c r="D109" i="49"/>
  <c r="C109" i="49"/>
  <c r="D108" i="49"/>
  <c r="C108" i="49"/>
  <c r="D107" i="49"/>
  <c r="C107" i="49"/>
  <c r="D106" i="49"/>
  <c r="C106" i="49"/>
  <c r="D105" i="49"/>
  <c r="C105" i="49"/>
  <c r="D104" i="49"/>
  <c r="C104" i="49"/>
  <c r="D103" i="49"/>
  <c r="C103" i="49"/>
  <c r="D102" i="49"/>
  <c r="C102" i="49"/>
  <c r="D101" i="49"/>
  <c r="C101" i="49"/>
  <c r="D100" i="49"/>
  <c r="C100" i="49"/>
  <c r="D99" i="49"/>
  <c r="C99" i="49"/>
  <c r="D98" i="49"/>
  <c r="C98" i="49"/>
  <c r="D97" i="49"/>
  <c r="C97" i="49"/>
  <c r="D96" i="49"/>
  <c r="C96" i="49"/>
  <c r="D95" i="49"/>
  <c r="C95" i="49"/>
  <c r="D94" i="49"/>
  <c r="C94" i="49"/>
  <c r="D93" i="49"/>
  <c r="C93" i="49"/>
  <c r="D92" i="49"/>
  <c r="C92" i="49"/>
  <c r="D91" i="49"/>
  <c r="C91" i="49"/>
  <c r="D90" i="49"/>
  <c r="C90" i="49"/>
  <c r="D89" i="49"/>
  <c r="C89" i="49"/>
  <c r="D88" i="49"/>
  <c r="C88" i="49"/>
  <c r="D87" i="49"/>
  <c r="C87" i="49"/>
  <c r="D86" i="49"/>
  <c r="C86" i="49"/>
  <c r="D85" i="49"/>
  <c r="C85" i="49"/>
  <c r="D84" i="49"/>
  <c r="C84" i="49"/>
  <c r="D83" i="49"/>
  <c r="C83" i="49"/>
  <c r="D82" i="49"/>
  <c r="C82" i="49"/>
  <c r="D81" i="49"/>
  <c r="C81" i="49"/>
  <c r="D80" i="49"/>
  <c r="C80" i="49"/>
  <c r="D79" i="49"/>
  <c r="C79" i="49"/>
  <c r="D78" i="49"/>
  <c r="C78" i="49"/>
  <c r="D77" i="49"/>
  <c r="C77" i="49"/>
  <c r="D76" i="49"/>
  <c r="C76" i="49"/>
  <c r="D75" i="49"/>
  <c r="C75" i="49"/>
  <c r="D74" i="49"/>
  <c r="C74" i="49"/>
  <c r="D73" i="49"/>
  <c r="C73" i="49"/>
  <c r="D72" i="49"/>
  <c r="C72" i="49"/>
  <c r="D71" i="49"/>
  <c r="C71" i="49"/>
  <c r="D70" i="49"/>
  <c r="C70" i="49"/>
  <c r="D69" i="49"/>
  <c r="C69" i="49"/>
  <c r="D68" i="49"/>
  <c r="C68" i="49"/>
  <c r="D67" i="49"/>
  <c r="C67" i="49"/>
  <c r="D66" i="49"/>
  <c r="C66" i="49"/>
  <c r="D65" i="49"/>
  <c r="C65" i="49"/>
  <c r="D64" i="49"/>
  <c r="C64" i="49"/>
  <c r="D63" i="49"/>
  <c r="C63" i="49"/>
  <c r="D62" i="49"/>
  <c r="C62" i="49"/>
  <c r="D61" i="49"/>
  <c r="C61" i="49"/>
  <c r="D60" i="49"/>
  <c r="C60" i="49"/>
  <c r="D59" i="49"/>
  <c r="C59" i="49"/>
  <c r="D58" i="49"/>
  <c r="C58" i="49"/>
  <c r="D57" i="49"/>
  <c r="C57" i="49"/>
  <c r="D56" i="49"/>
  <c r="C56" i="49"/>
  <c r="D55" i="49"/>
  <c r="C55" i="49"/>
  <c r="D54" i="49"/>
  <c r="C54" i="49"/>
  <c r="D53" i="49"/>
  <c r="C53" i="49"/>
  <c r="D52" i="49"/>
  <c r="C52" i="49"/>
  <c r="D51" i="49"/>
  <c r="C51" i="49"/>
  <c r="D50" i="49"/>
  <c r="C50" i="49"/>
  <c r="D49" i="49"/>
  <c r="C49" i="49"/>
  <c r="D48" i="49"/>
  <c r="C48" i="49"/>
  <c r="D47" i="49"/>
  <c r="C47" i="49"/>
  <c r="D46" i="49"/>
  <c r="C46" i="49"/>
  <c r="D45" i="49"/>
  <c r="C45" i="49"/>
  <c r="D44" i="49"/>
  <c r="C44" i="49"/>
  <c r="D43" i="49"/>
  <c r="C43" i="49"/>
  <c r="AH3" i="49"/>
  <c r="AH2" i="49" s="1"/>
  <c r="AG3" i="49"/>
  <c r="AG2" i="49" s="1"/>
  <c r="AF3" i="49"/>
  <c r="AF2" i="49" s="1"/>
  <c r="AE3" i="49"/>
  <c r="AE2" i="49" s="1"/>
  <c r="AD3" i="49"/>
  <c r="AC3" i="49"/>
  <c r="AB3" i="49"/>
  <c r="AB2" i="49" s="1"/>
  <c r="AA3" i="49"/>
  <c r="AA2" i="49" s="1"/>
  <c r="Z3" i="49"/>
  <c r="Z2" i="49" s="1"/>
  <c r="Y3" i="49"/>
  <c r="Y2" i="49" s="1"/>
  <c r="X3" i="49"/>
  <c r="X2" i="49" s="1"/>
  <c r="W3" i="49"/>
  <c r="W2" i="49" s="1"/>
  <c r="V3" i="49"/>
  <c r="V2" i="49" s="1"/>
  <c r="U3" i="49"/>
  <c r="U2" i="49" s="1"/>
  <c r="T3" i="49"/>
  <c r="T2" i="49" s="1"/>
  <c r="S3" i="49"/>
  <c r="S2" i="49" s="1"/>
  <c r="R3" i="49"/>
  <c r="R2" i="49" s="1"/>
  <c r="Q3" i="49"/>
  <c r="Q2" i="49" s="1"/>
  <c r="P3" i="49"/>
  <c r="P2" i="49" s="1"/>
  <c r="O3" i="49"/>
  <c r="O2" i="49" s="1"/>
  <c r="N3" i="49"/>
  <c r="N2" i="49" s="1"/>
  <c r="M3" i="49"/>
  <c r="M2" i="49" s="1"/>
  <c r="L3" i="49"/>
  <c r="L2" i="49" s="1"/>
  <c r="K3" i="49"/>
  <c r="K2" i="49" s="1"/>
  <c r="J3" i="49"/>
  <c r="J2" i="49" s="1"/>
  <c r="AD2" i="49"/>
  <c r="AC2" i="49"/>
  <c r="C417" i="47"/>
  <c r="C416" i="47"/>
  <c r="C415" i="47"/>
  <c r="C414" i="47"/>
  <c r="C413" i="47"/>
  <c r="C412" i="47"/>
  <c r="C411" i="47"/>
  <c r="C410" i="47"/>
  <c r="C409" i="47"/>
  <c r="C408" i="47"/>
  <c r="C407" i="47"/>
  <c r="C406" i="47"/>
  <c r="C405" i="47"/>
  <c r="C404" i="47"/>
  <c r="C403" i="47"/>
  <c r="C402" i="47"/>
  <c r="C401" i="47"/>
  <c r="C400" i="47"/>
  <c r="C399" i="47"/>
  <c r="C398" i="47"/>
  <c r="C397" i="47"/>
  <c r="C396" i="47"/>
  <c r="C395" i="47"/>
  <c r="C394" i="47"/>
  <c r="C393" i="47"/>
  <c r="C392" i="47"/>
  <c r="C391" i="47"/>
  <c r="C390" i="47"/>
  <c r="C389" i="47"/>
  <c r="C388" i="47"/>
  <c r="C387" i="47"/>
  <c r="C386" i="47"/>
  <c r="C385" i="47"/>
  <c r="C384" i="47"/>
  <c r="C383" i="47"/>
  <c r="C382" i="47"/>
  <c r="C381" i="47"/>
  <c r="C380" i="47"/>
  <c r="C379" i="47"/>
  <c r="C378" i="47"/>
  <c r="C377" i="47"/>
  <c r="C376" i="47"/>
  <c r="C375" i="47"/>
  <c r="C374" i="47"/>
  <c r="C373" i="47"/>
  <c r="C372" i="47"/>
  <c r="C371" i="47"/>
  <c r="C370" i="47"/>
  <c r="C369" i="47"/>
  <c r="C368" i="47"/>
  <c r="C367" i="47"/>
  <c r="C366" i="47"/>
  <c r="C365" i="47"/>
  <c r="C364" i="47"/>
  <c r="C363" i="47"/>
  <c r="C362" i="47"/>
  <c r="C361" i="47"/>
  <c r="C360" i="47"/>
  <c r="C359" i="47"/>
  <c r="C358" i="47"/>
  <c r="C357" i="47"/>
  <c r="C356" i="47"/>
  <c r="C355" i="47"/>
  <c r="C354" i="47"/>
  <c r="C353" i="47"/>
  <c r="C352" i="47"/>
  <c r="C351" i="47"/>
  <c r="C350" i="47"/>
  <c r="C349" i="47"/>
  <c r="C348" i="47"/>
  <c r="C347" i="47"/>
  <c r="C346" i="47"/>
  <c r="C345" i="47"/>
  <c r="C344" i="47"/>
  <c r="C343" i="47"/>
  <c r="C342" i="47"/>
  <c r="C341" i="47"/>
  <c r="C340" i="47"/>
  <c r="C339" i="47"/>
  <c r="C338" i="47"/>
  <c r="C337" i="47"/>
  <c r="C336" i="47"/>
  <c r="C335" i="47"/>
  <c r="C334" i="47"/>
  <c r="C333" i="47"/>
  <c r="C332" i="47"/>
  <c r="C331" i="47"/>
  <c r="C330" i="47"/>
  <c r="C329" i="47"/>
  <c r="C328" i="47"/>
  <c r="C327" i="47"/>
  <c r="C326" i="47"/>
  <c r="C325" i="47"/>
  <c r="C324" i="47"/>
  <c r="C323" i="47"/>
  <c r="C322" i="47"/>
  <c r="C321" i="47"/>
  <c r="C320" i="47"/>
  <c r="C319" i="47"/>
  <c r="C318" i="47"/>
  <c r="C317" i="47"/>
  <c r="C316" i="47"/>
  <c r="C315" i="47"/>
  <c r="C314" i="47"/>
  <c r="C313" i="47"/>
  <c r="C312" i="47"/>
  <c r="C311" i="47"/>
  <c r="C310" i="47"/>
  <c r="C309" i="47"/>
  <c r="C308" i="47"/>
  <c r="C307" i="47"/>
  <c r="C306" i="47"/>
  <c r="C305" i="47"/>
  <c r="C304" i="47"/>
  <c r="C303" i="47"/>
  <c r="C302" i="47"/>
  <c r="C301" i="47"/>
  <c r="C300" i="47"/>
  <c r="C299" i="47"/>
  <c r="C298" i="47"/>
  <c r="C297" i="47"/>
  <c r="C296" i="47"/>
  <c r="C295" i="47"/>
  <c r="C294" i="47"/>
  <c r="C293" i="47"/>
  <c r="C292" i="47"/>
  <c r="C291" i="47"/>
  <c r="C290" i="47"/>
  <c r="C289" i="47"/>
  <c r="C288" i="47"/>
  <c r="C287" i="47"/>
  <c r="C286" i="47"/>
  <c r="C285" i="47"/>
  <c r="C284" i="47"/>
  <c r="C283" i="47"/>
  <c r="C282" i="47"/>
  <c r="C281" i="47"/>
  <c r="C280" i="47"/>
  <c r="C279" i="47"/>
  <c r="C278" i="47"/>
  <c r="C277" i="47"/>
  <c r="C276" i="47"/>
  <c r="C275" i="47"/>
  <c r="C274" i="47"/>
  <c r="C273" i="47"/>
  <c r="C272" i="47"/>
  <c r="C271" i="47"/>
  <c r="C270" i="47"/>
  <c r="C269" i="47"/>
  <c r="C268" i="47"/>
  <c r="C267" i="47"/>
  <c r="C266" i="47"/>
  <c r="C265" i="47"/>
  <c r="C264" i="47"/>
  <c r="C263" i="47"/>
  <c r="C262" i="47"/>
  <c r="C261" i="47"/>
  <c r="C260" i="47"/>
  <c r="C259" i="47"/>
  <c r="C258" i="47"/>
  <c r="C257" i="47"/>
  <c r="C256" i="47"/>
  <c r="C255" i="47"/>
  <c r="C254" i="47"/>
  <c r="C253" i="47"/>
  <c r="C252" i="47"/>
  <c r="C251" i="47"/>
  <c r="C250" i="47"/>
  <c r="C249" i="47"/>
  <c r="C248" i="47"/>
  <c r="C247" i="47"/>
  <c r="C246" i="47"/>
  <c r="C245" i="47"/>
  <c r="C244" i="47"/>
  <c r="C243" i="47"/>
  <c r="C242" i="47"/>
  <c r="C241" i="47"/>
  <c r="C240" i="47"/>
  <c r="C239" i="47"/>
  <c r="C238" i="47"/>
  <c r="C237" i="47"/>
  <c r="C236" i="47"/>
  <c r="C235" i="47"/>
  <c r="C234" i="47"/>
  <c r="C233" i="47"/>
  <c r="C232" i="47"/>
  <c r="C231" i="47"/>
  <c r="C230" i="47"/>
  <c r="C229" i="47"/>
  <c r="C228" i="47"/>
  <c r="C227" i="47"/>
  <c r="C226" i="47"/>
  <c r="C225" i="47"/>
  <c r="C224" i="47"/>
  <c r="C223" i="47"/>
  <c r="C222" i="47"/>
  <c r="C221" i="47"/>
  <c r="C220" i="47"/>
  <c r="C219" i="47"/>
  <c r="C218" i="47"/>
  <c r="C217" i="47"/>
  <c r="C216" i="47"/>
  <c r="C215" i="47"/>
  <c r="C214" i="47"/>
  <c r="C213" i="47"/>
  <c r="C212" i="47"/>
  <c r="C211" i="47"/>
  <c r="C210" i="47"/>
  <c r="C209" i="47"/>
  <c r="C208" i="47"/>
  <c r="C207" i="47"/>
  <c r="C206" i="47"/>
  <c r="C205" i="47"/>
  <c r="C204" i="47"/>
  <c r="C203" i="47"/>
  <c r="C202" i="47"/>
  <c r="C201" i="47"/>
  <c r="C200" i="47"/>
  <c r="C199" i="47"/>
  <c r="C198" i="47"/>
  <c r="C197" i="47"/>
  <c r="C196" i="47"/>
  <c r="C195" i="47"/>
  <c r="C194" i="47"/>
  <c r="C193" i="47"/>
  <c r="C192" i="47"/>
  <c r="C191" i="47"/>
  <c r="C190" i="47"/>
  <c r="C189" i="47"/>
  <c r="C188" i="47"/>
  <c r="C187" i="47"/>
  <c r="C186" i="47"/>
  <c r="C185" i="47"/>
  <c r="C184" i="47"/>
  <c r="C183" i="47"/>
  <c r="C182" i="47"/>
  <c r="C181" i="47"/>
  <c r="D180" i="47"/>
  <c r="C180" i="47"/>
  <c r="D179" i="47"/>
  <c r="C179" i="47"/>
  <c r="D178" i="47"/>
  <c r="C178" i="47"/>
  <c r="D177" i="47"/>
  <c r="C177" i="47"/>
  <c r="D176" i="47"/>
  <c r="C176" i="47"/>
  <c r="D175" i="47"/>
  <c r="C175" i="47"/>
  <c r="D174" i="47"/>
  <c r="C174" i="47"/>
  <c r="D173" i="47"/>
  <c r="C173" i="47"/>
  <c r="D172" i="47"/>
  <c r="C172" i="47"/>
  <c r="D171" i="47"/>
  <c r="C171" i="47"/>
  <c r="D170" i="47"/>
  <c r="C170" i="47"/>
  <c r="D169" i="47"/>
  <c r="C169" i="47"/>
  <c r="D168" i="47"/>
  <c r="C168" i="47"/>
  <c r="D167" i="47"/>
  <c r="C167" i="47"/>
  <c r="D166" i="47"/>
  <c r="C166" i="47"/>
  <c r="D165" i="47"/>
  <c r="C165" i="47"/>
  <c r="D164" i="47"/>
  <c r="C164" i="47"/>
  <c r="D163" i="47"/>
  <c r="C163" i="47"/>
  <c r="D162" i="47"/>
  <c r="C162" i="47"/>
  <c r="D161" i="47"/>
  <c r="C161" i="47"/>
  <c r="D160" i="47"/>
  <c r="C160" i="47"/>
  <c r="D159" i="47"/>
  <c r="C159" i="47"/>
  <c r="D158" i="47"/>
  <c r="C158" i="47"/>
  <c r="D157" i="47"/>
  <c r="C157" i="47"/>
  <c r="D156" i="47"/>
  <c r="C156" i="47"/>
  <c r="D155" i="47"/>
  <c r="C155" i="47"/>
  <c r="D154" i="47"/>
  <c r="C154" i="47"/>
  <c r="D153" i="47"/>
  <c r="C153" i="47"/>
  <c r="D152" i="47"/>
  <c r="C152" i="47"/>
  <c r="D151" i="47"/>
  <c r="C151" i="47"/>
  <c r="D150" i="47"/>
  <c r="C150" i="47"/>
  <c r="D149" i="47"/>
  <c r="C149" i="47"/>
  <c r="D148" i="47"/>
  <c r="C148" i="47"/>
  <c r="D147" i="47"/>
  <c r="C147" i="47"/>
  <c r="D146" i="47"/>
  <c r="C146" i="47"/>
  <c r="D145" i="47"/>
  <c r="C145" i="47"/>
  <c r="D144" i="47"/>
  <c r="C144" i="47"/>
  <c r="D143" i="47"/>
  <c r="C143" i="47"/>
  <c r="D142" i="47"/>
  <c r="C142" i="47"/>
  <c r="D141" i="47"/>
  <c r="C141" i="47"/>
  <c r="D140" i="47"/>
  <c r="C140" i="47"/>
  <c r="D139" i="47"/>
  <c r="C139" i="47"/>
  <c r="D138" i="47"/>
  <c r="C138" i="47"/>
  <c r="D137" i="47"/>
  <c r="C137" i="47"/>
  <c r="D136" i="47"/>
  <c r="C136" i="47"/>
  <c r="D135" i="47"/>
  <c r="C135" i="47"/>
  <c r="D134" i="47"/>
  <c r="C134" i="47"/>
  <c r="D133" i="47"/>
  <c r="C133" i="47"/>
  <c r="D132" i="47"/>
  <c r="C132" i="47"/>
  <c r="D131" i="47"/>
  <c r="C131" i="47"/>
  <c r="D130" i="47"/>
  <c r="C130" i="47"/>
  <c r="D129" i="47"/>
  <c r="C129" i="47"/>
  <c r="D128" i="47"/>
  <c r="C128" i="47"/>
  <c r="D127" i="47"/>
  <c r="C127" i="47"/>
  <c r="D126" i="47"/>
  <c r="C126" i="47"/>
  <c r="D125" i="47"/>
  <c r="C125" i="47"/>
  <c r="D124" i="47"/>
  <c r="C124" i="47"/>
  <c r="D123" i="47"/>
  <c r="C123" i="47"/>
  <c r="D122" i="47"/>
  <c r="C122" i="47"/>
  <c r="D121" i="47"/>
  <c r="C121" i="47"/>
  <c r="D120" i="47"/>
  <c r="C120" i="47"/>
  <c r="D119" i="47"/>
  <c r="C119" i="47"/>
  <c r="D118" i="47"/>
  <c r="C118" i="47"/>
  <c r="D117" i="47"/>
  <c r="C117" i="47"/>
  <c r="D116" i="47"/>
  <c r="C116" i="47"/>
  <c r="D115" i="47"/>
  <c r="C115" i="47"/>
  <c r="D114" i="47"/>
  <c r="C114" i="47"/>
  <c r="D113" i="47"/>
  <c r="C113" i="47"/>
  <c r="D112" i="47"/>
  <c r="C112" i="47"/>
  <c r="D111" i="47"/>
  <c r="C111" i="47"/>
  <c r="D110" i="47"/>
  <c r="C110" i="47"/>
  <c r="D109" i="47"/>
  <c r="C109" i="47"/>
  <c r="D108" i="47"/>
  <c r="C108" i="47"/>
  <c r="D107" i="47"/>
  <c r="C107" i="47"/>
  <c r="D106" i="47"/>
  <c r="C106" i="47"/>
  <c r="D105" i="47"/>
  <c r="C105" i="47"/>
  <c r="D104" i="47"/>
  <c r="C104" i="47"/>
  <c r="D103" i="47"/>
  <c r="C103" i="47"/>
  <c r="D102" i="47"/>
  <c r="C102" i="47"/>
  <c r="D101" i="47"/>
  <c r="C101" i="47"/>
  <c r="D100" i="47"/>
  <c r="C100" i="47"/>
  <c r="D99" i="47"/>
  <c r="C99" i="47"/>
  <c r="D98" i="47"/>
  <c r="C98" i="47"/>
  <c r="D97" i="47"/>
  <c r="C97" i="47"/>
  <c r="D96" i="47"/>
  <c r="C96" i="47"/>
  <c r="D95" i="47"/>
  <c r="C95" i="47"/>
  <c r="D94" i="47"/>
  <c r="C94" i="47"/>
  <c r="D93" i="47"/>
  <c r="C93" i="47"/>
  <c r="D92" i="47"/>
  <c r="C92" i="47"/>
  <c r="D91" i="47"/>
  <c r="C91" i="47"/>
  <c r="D90" i="47"/>
  <c r="C90" i="47"/>
  <c r="D89" i="47"/>
  <c r="C89" i="47"/>
  <c r="D88" i="47"/>
  <c r="C88" i="47"/>
  <c r="D87" i="47"/>
  <c r="C87" i="47"/>
  <c r="D86" i="47"/>
  <c r="C86" i="47"/>
  <c r="D85" i="47"/>
  <c r="C85" i="47"/>
  <c r="D84" i="47"/>
  <c r="C84" i="47"/>
  <c r="D83" i="47"/>
  <c r="C83" i="47"/>
  <c r="D82" i="47"/>
  <c r="C82" i="47"/>
  <c r="D81" i="47"/>
  <c r="C81" i="47"/>
  <c r="D80" i="47"/>
  <c r="C80" i="47"/>
  <c r="D79" i="47"/>
  <c r="C79" i="47"/>
  <c r="D78" i="47"/>
  <c r="C78" i="47"/>
  <c r="D77" i="47"/>
  <c r="C77" i="47"/>
  <c r="D76" i="47"/>
  <c r="C76" i="47"/>
  <c r="D75" i="47"/>
  <c r="C75" i="47"/>
  <c r="D74" i="47"/>
  <c r="C74" i="47"/>
  <c r="D73" i="47"/>
  <c r="C73" i="47"/>
  <c r="D72" i="47"/>
  <c r="C72" i="47"/>
  <c r="D71" i="47"/>
  <c r="C71" i="47"/>
  <c r="D70" i="47"/>
  <c r="C70" i="47"/>
  <c r="D69" i="47"/>
  <c r="C69" i="47"/>
  <c r="D68" i="47"/>
  <c r="C68" i="47"/>
  <c r="D67" i="47"/>
  <c r="C67" i="47"/>
  <c r="D66" i="47"/>
  <c r="C66" i="47"/>
  <c r="D65" i="47"/>
  <c r="C65" i="47"/>
  <c r="D64" i="47"/>
  <c r="C64" i="47"/>
  <c r="D63" i="47"/>
  <c r="C63" i="47"/>
  <c r="D62" i="47"/>
  <c r="C62" i="47"/>
  <c r="D61" i="47"/>
  <c r="C61" i="47"/>
  <c r="D60" i="47"/>
  <c r="C60" i="47"/>
  <c r="D59" i="47"/>
  <c r="C59" i="47"/>
  <c r="D58" i="47"/>
  <c r="C58" i="47"/>
  <c r="D57" i="47"/>
  <c r="C57" i="47"/>
  <c r="D56" i="47"/>
  <c r="C56" i="47"/>
  <c r="D55" i="47"/>
  <c r="C55" i="47"/>
  <c r="D54" i="47"/>
  <c r="C54" i="47"/>
  <c r="D53" i="47"/>
  <c r="C53" i="47"/>
  <c r="D52" i="47"/>
  <c r="C52" i="47"/>
  <c r="D51" i="47"/>
  <c r="C51" i="47"/>
  <c r="D50" i="47"/>
  <c r="C50" i="47"/>
  <c r="D49" i="47"/>
  <c r="C49" i="47"/>
  <c r="D48" i="47"/>
  <c r="C48" i="47"/>
  <c r="D47" i="47"/>
  <c r="C47" i="47"/>
  <c r="D46" i="47"/>
  <c r="C46" i="47"/>
  <c r="D45" i="47"/>
  <c r="C45" i="47"/>
  <c r="D44" i="47"/>
  <c r="C44" i="47"/>
  <c r="D43" i="47"/>
  <c r="C43" i="47"/>
  <c r="D42" i="47"/>
  <c r="C42" i="47"/>
  <c r="D41" i="47"/>
  <c r="C41" i="47"/>
  <c r="D40" i="47"/>
  <c r="C40" i="47"/>
  <c r="D39" i="47"/>
  <c r="C39" i="47"/>
  <c r="D38" i="47"/>
  <c r="C38" i="47"/>
  <c r="D37" i="47"/>
  <c r="C37" i="47"/>
  <c r="D36" i="47"/>
  <c r="C36" i="47"/>
  <c r="D35" i="47"/>
  <c r="C35" i="47"/>
  <c r="D34" i="47"/>
  <c r="C34" i="47"/>
  <c r="D33" i="47"/>
  <c r="C33" i="47"/>
  <c r="D32" i="47"/>
  <c r="C32" i="47"/>
  <c r="D31" i="47"/>
  <c r="C31" i="47"/>
  <c r="D30" i="47"/>
  <c r="C30" i="47"/>
  <c r="D29" i="47"/>
  <c r="C29" i="47"/>
  <c r="D28" i="47"/>
  <c r="C28" i="47"/>
  <c r="D27" i="47"/>
  <c r="C27" i="47"/>
  <c r="D26" i="47"/>
  <c r="C26" i="47"/>
  <c r="D25" i="47"/>
  <c r="C25" i="47"/>
  <c r="D24" i="47"/>
  <c r="C24" i="47"/>
  <c r="D23" i="47"/>
  <c r="C23" i="47"/>
  <c r="D22" i="47"/>
  <c r="C22" i="47"/>
  <c r="D21" i="47"/>
  <c r="C21" i="47"/>
  <c r="D20" i="47"/>
  <c r="C20" i="47"/>
  <c r="D19" i="47"/>
  <c r="C19" i="47"/>
  <c r="D18" i="47"/>
  <c r="C18" i="47"/>
  <c r="D17" i="47"/>
  <c r="C17" i="47"/>
  <c r="D16" i="47"/>
  <c r="C16" i="47"/>
  <c r="D15" i="47"/>
  <c r="C15" i="47"/>
  <c r="D14" i="47"/>
  <c r="C14" i="47"/>
  <c r="D13" i="47"/>
  <c r="C13" i="47"/>
  <c r="D12" i="47"/>
  <c r="C12" i="47"/>
  <c r="D11" i="47"/>
  <c r="C11" i="47"/>
  <c r="D10" i="47"/>
  <c r="C10" i="47"/>
  <c r="D9" i="47"/>
  <c r="C9" i="47"/>
  <c r="D8" i="47"/>
  <c r="C8" i="47"/>
  <c r="D7" i="47"/>
  <c r="C7" i="47"/>
  <c r="D6" i="47"/>
  <c r="C6" i="47"/>
  <c r="AH3" i="47"/>
  <c r="AH2" i="47" s="1"/>
  <c r="AG3" i="47"/>
  <c r="AG2" i="47" s="1"/>
  <c r="AF3" i="47"/>
  <c r="AF2" i="47" s="1"/>
  <c r="AE3" i="47"/>
  <c r="AE2" i="47" s="1"/>
  <c r="AD3" i="47"/>
  <c r="AD2" i="47" s="1"/>
  <c r="AC3" i="47"/>
  <c r="AC2" i="47" s="1"/>
  <c r="AB3" i="47"/>
  <c r="AB2" i="47" s="1"/>
  <c r="AA3" i="47"/>
  <c r="AA2" i="47" s="1"/>
  <c r="Z3" i="47"/>
  <c r="Z2" i="47" s="1"/>
  <c r="Y3" i="47"/>
  <c r="X3" i="47"/>
  <c r="W3" i="47"/>
  <c r="V3" i="47"/>
  <c r="V2" i="47" s="1"/>
  <c r="U3" i="47"/>
  <c r="T3" i="47"/>
  <c r="T2" i="47" s="1"/>
  <c r="S3" i="47"/>
  <c r="S2" i="47" s="1"/>
  <c r="R3" i="47"/>
  <c r="R2" i="47" s="1"/>
  <c r="Q3" i="47"/>
  <c r="P3" i="47"/>
  <c r="O3" i="47"/>
  <c r="N3" i="47"/>
  <c r="N2" i="47" s="1"/>
  <c r="M3" i="47"/>
  <c r="M2" i="47" s="1"/>
  <c r="L3" i="47"/>
  <c r="L2" i="47" s="1"/>
  <c r="K3" i="47"/>
  <c r="J3" i="47"/>
  <c r="J2" i="47" s="1"/>
  <c r="Y2" i="47"/>
  <c r="X2" i="47"/>
  <c r="W2" i="47"/>
  <c r="U2" i="47"/>
  <c r="Q2" i="47"/>
  <c r="P2" i="47"/>
  <c r="O2" i="47"/>
  <c r="K2" i="47"/>
  <c r="H2" i="52" l="1"/>
  <c r="H2" i="51"/>
  <c r="H2" i="50"/>
  <c r="H2" i="49"/>
  <c r="H2" i="47"/>
  <c r="I56" i="27"/>
  <c r="I50" i="27"/>
  <c r="I44" i="27"/>
  <c r="I59" i="2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Anna Hango</author>
  </authors>
  <commentList>
    <comment ref="G32" authorId="0" shapeId="0" xr:uid="{561C0974-5143-4CC8-8D5A-BA0DD0C5FD04}">
      <text>
        <r>
          <rPr>
            <b/>
            <sz val="9"/>
            <color indexed="81"/>
            <rFont val="Tahoma"/>
            <family val="2"/>
          </rPr>
          <t>Anna Hango:</t>
        </r>
        <r>
          <rPr>
            <sz val="9"/>
            <color indexed="81"/>
            <rFont val="Tahoma"/>
            <family val="2"/>
          </rPr>
          <t xml:space="preserve">
P/N:7335-4401 BIT ADAPTOR T45/T38M
QTY:2
DD159
</t>
        </r>
      </text>
    </comment>
    <comment ref="G35" authorId="0" shapeId="0" xr:uid="{28D6E3BB-244D-4957-B44C-6D3741964620}">
      <text>
        <r>
          <rPr>
            <b/>
            <sz val="9"/>
            <color indexed="81"/>
            <rFont val="Tahoma"/>
            <family val="2"/>
          </rPr>
          <t>Anna Hango:</t>
        </r>
        <r>
          <rPr>
            <sz val="9"/>
            <color indexed="81"/>
            <rFont val="Tahoma"/>
            <family val="2"/>
          </rPr>
          <t xml:space="preserve">
P/N:7335-4401 BIT ADAPTOR T45/T38M
QTY:3
DD159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tc={74AB7E9D-C3F0-47F9-B187-84A3050393D8}</author>
    <author>tc={AD66C991-DFA3-40F0-9E53-2888C13FA68B}</author>
    <author>tc={34850948-4027-4FF9-ACAE-6807389C0492}</author>
  </authors>
  <commentList>
    <comment ref="G33" authorId="0" shapeId="0" xr:uid="{74AB7E9D-C3F0-47F9-B187-84A3050393D8}">
      <text>
        <t>[Threaded comment]
Your version of Excel allows you to read this threaded comment; however, any edits to it will get removed if the file is opened in a newer version of Excel. Learn more: https://go.microsoft.com/fwlink/?linkid=870924
Comment:
    MG</t>
      </text>
    </comment>
    <comment ref="G34" authorId="1" shapeId="0" xr:uid="{AD66C991-DFA3-40F0-9E53-2888C13FA68B}">
      <text>
        <t>[Threaded comment]
Your version of Excel allows you to read this threaded comment; however, any edits to it will get removed if the file is opened in a newer version of Excel. Learn more: https://go.microsoft.com/fwlink/?linkid=870924
Comment:
    MG</t>
      </text>
    </comment>
    <comment ref="G38" authorId="2" shapeId="0" xr:uid="{34850948-4027-4FF9-ACAE-6807389C0492}">
      <text>
        <t>[Threaded comment]
Your version of Excel allows you to read this threaded comment; however, any edits to it will get removed if the file is opened in a newer version of Excel. Learn more: https://go.microsoft.com/fwlink/?linkid=870924
Comment:
    Lius</t>
      </text>
    </comment>
  </commentList>
</comments>
</file>

<file path=xl/sharedStrings.xml><?xml version="1.0" encoding="utf-8"?>
<sst xmlns="http://schemas.openxmlformats.org/spreadsheetml/2006/main" count="2639" uniqueCount="177">
  <si>
    <t>DATE</t>
  </si>
  <si>
    <t>RIG</t>
  </si>
  <si>
    <t>SHANKS</t>
  </si>
  <si>
    <t>COUPLING SLEEVES</t>
  </si>
  <si>
    <t>DOLLY</t>
  </si>
  <si>
    <t>SHIFT</t>
  </si>
  <si>
    <t xml:space="preserve">JESSE ANDERSON </t>
  </si>
  <si>
    <t>JUMBO</t>
  </si>
  <si>
    <t>SOLO</t>
  </si>
  <si>
    <t>MONTH</t>
  </si>
  <si>
    <t>RIG TYPE</t>
  </si>
  <si>
    <t>Row Labels</t>
  </si>
  <si>
    <t>Count of DRILL_ROD_ST68_SAND</t>
  </si>
  <si>
    <t>(blank)</t>
  </si>
  <si>
    <t>Grand Total</t>
  </si>
  <si>
    <t>ASET NUMBER</t>
  </si>
  <si>
    <t>ORDERED PARTS</t>
  </si>
  <si>
    <t>ASIGNED PART</t>
  </si>
  <si>
    <t>DD122</t>
  </si>
  <si>
    <t>SANDVIK</t>
  </si>
  <si>
    <t>SHANK T38 RD520/525 D45 L525</t>
  </si>
  <si>
    <t>COUPLING SLEEVE T38/T38</t>
  </si>
  <si>
    <t>A340X43MM BUTTON BIT</t>
  </si>
  <si>
    <t>A340X45MM BUTTON BIT</t>
  </si>
  <si>
    <t>A340X48MM TC BUTTON BIT</t>
  </si>
  <si>
    <t>A340X51MM RETRAC BIT</t>
  </si>
  <si>
    <t xml:space="preserve">REAMING BIT A340 102MM          </t>
  </si>
  <si>
    <t>T38X64MM BUTTON BIT</t>
  </si>
  <si>
    <t xml:space="preserve">DRIFTER ROD T38 H35 A340 L=309  </t>
  </si>
  <si>
    <t xml:space="preserve">DRIFTER ROD T38 H35 A340 L=370  </t>
  </si>
  <si>
    <t xml:space="preserve">DRIFTER ROD T38 H35 A340 L=430  </t>
  </si>
  <si>
    <t>DRIFTER ROD T38 R39 A340 L=491</t>
  </si>
  <si>
    <t xml:space="preserve">MF ROD T38 R39 L=3050MM         </t>
  </si>
  <si>
    <t>T38 EXTENSION ROUND ROD L3050MM</t>
  </si>
  <si>
    <t>EXTENSION ROD T38 R39 L = 915M</t>
  </si>
  <si>
    <t xml:space="preserve">MF ROD T38 R39 L=915MM          </t>
  </si>
  <si>
    <t>T38 DOLLY 47MM</t>
  </si>
  <si>
    <t>T38 DOLLY 39MM</t>
  </si>
  <si>
    <t>DSI</t>
  </si>
  <si>
    <t xml:space="preserve">MD BOLT DRIVER 900MM ""T"" THREA  </t>
  </si>
  <si>
    <t>MD BOLT DRIVER 900MM T45</t>
  </si>
  <si>
    <t>MASPRO</t>
  </si>
  <si>
    <t>BOLTING CENTRALISER DIA 70MM FRONT</t>
  </si>
  <si>
    <t>BOLTING CENTRALISER DIA 70MM BACK</t>
  </si>
  <si>
    <t>BOLTING CENTRALISER DIA 66MM</t>
  </si>
  <si>
    <t>BORING CENTRALISER DIA 48MM</t>
  </si>
  <si>
    <t xml:space="preserve">BORING CENTRALISER DIA 41MM      </t>
  </si>
  <si>
    <t>SUPPLIER</t>
  </si>
  <si>
    <t>CENTRLALISER</t>
  </si>
  <si>
    <t>BORING STEELS</t>
  </si>
  <si>
    <t>SCALING STEELS</t>
  </si>
  <si>
    <t>BOLTING &amp; EXTENSION STEELS</t>
  </si>
  <si>
    <t>MD ACCESSORIES</t>
  </si>
  <si>
    <t>JUMBO BOLTING</t>
  </si>
  <si>
    <t>JUMBO BORING</t>
  </si>
  <si>
    <t>JUMBO REAMER &amp; CABLES</t>
  </si>
  <si>
    <t>REQUESTER</t>
  </si>
  <si>
    <t>APPROVED BY</t>
  </si>
  <si>
    <t>LEVEL</t>
  </si>
  <si>
    <t>Monthly Jumbo Cost</t>
  </si>
  <si>
    <t>Unit Cost</t>
  </si>
  <si>
    <t>Height</t>
  </si>
  <si>
    <t>Above Portal</t>
  </si>
  <si>
    <t>Left of Portal</t>
  </si>
  <si>
    <t>NS</t>
  </si>
  <si>
    <t>W. Cox</t>
  </si>
  <si>
    <t>J. Tarbolton</t>
  </si>
  <si>
    <t>South Portal</t>
  </si>
  <si>
    <t>MF ROD T38 R39 L=3050MM</t>
  </si>
  <si>
    <t>FEB</t>
  </si>
  <si>
    <t>Hoges</t>
  </si>
  <si>
    <t>03.02.2026</t>
  </si>
  <si>
    <t>06.02.2026</t>
  </si>
  <si>
    <t>07.02.2026</t>
  </si>
  <si>
    <t>HOGES</t>
  </si>
  <si>
    <t>TEX</t>
  </si>
  <si>
    <t>HAMISH</t>
  </si>
  <si>
    <t>09.02.2026</t>
  </si>
  <si>
    <t>D/S</t>
  </si>
  <si>
    <t>Marise</t>
  </si>
  <si>
    <t>10.02.2026</t>
  </si>
  <si>
    <t>11.02.2026</t>
  </si>
  <si>
    <t>12.02.2026</t>
  </si>
  <si>
    <t>14.02.2026</t>
  </si>
  <si>
    <t>21.02.2026</t>
  </si>
  <si>
    <t>Pete</t>
  </si>
  <si>
    <t>22.02.2026</t>
  </si>
  <si>
    <t>Tex</t>
  </si>
  <si>
    <t>DD159</t>
  </si>
  <si>
    <t>Hamish</t>
  </si>
  <si>
    <t>25.02.2026</t>
  </si>
  <si>
    <t>DELTON</t>
  </si>
  <si>
    <t>27.02.2026</t>
  </si>
  <si>
    <t>28.02.2026</t>
  </si>
  <si>
    <t>16.02.2026</t>
  </si>
  <si>
    <t>02.03.2026</t>
  </si>
  <si>
    <t>MARCH</t>
  </si>
  <si>
    <t>03.03.2027</t>
  </si>
  <si>
    <t>06.03.2026</t>
  </si>
  <si>
    <t>06.03.2027</t>
  </si>
  <si>
    <t>07.03.2028</t>
  </si>
  <si>
    <t>08.03.2029</t>
  </si>
  <si>
    <t>09.03.2026</t>
  </si>
  <si>
    <t>DARYL</t>
  </si>
  <si>
    <t>10.03.2026</t>
  </si>
  <si>
    <t>DANI</t>
  </si>
  <si>
    <t>10.03.2027</t>
  </si>
  <si>
    <t>11.03.2028</t>
  </si>
  <si>
    <t>KAMBATA</t>
  </si>
  <si>
    <t>12.03.2026</t>
  </si>
  <si>
    <t>UNO</t>
  </si>
  <si>
    <t>12.03.2027</t>
  </si>
  <si>
    <t>12.03.2028</t>
  </si>
  <si>
    <t>12.03.2029</t>
  </si>
  <si>
    <t>13.03.2030</t>
  </si>
  <si>
    <t>MG</t>
  </si>
  <si>
    <t>JUNIAS</t>
  </si>
  <si>
    <t>13.03.2031</t>
  </si>
  <si>
    <t>14.03.2031</t>
  </si>
  <si>
    <t>VALDEZ</t>
  </si>
  <si>
    <t>14.03.2032</t>
  </si>
  <si>
    <t>14.03.2033</t>
  </si>
  <si>
    <t>15.03.2034</t>
  </si>
  <si>
    <t>JK</t>
  </si>
  <si>
    <t>15.03.2035</t>
  </si>
  <si>
    <t>16.03.2036</t>
  </si>
  <si>
    <t>16.03.2037</t>
  </si>
  <si>
    <t>17.03.2038</t>
  </si>
  <si>
    <t>20.03.2026</t>
  </si>
  <si>
    <t>DARREN</t>
  </si>
  <si>
    <t>25.03.2026</t>
  </si>
  <si>
    <t>SIMON</t>
  </si>
  <si>
    <t>26.03.2026</t>
  </si>
  <si>
    <t>27.03.2026</t>
  </si>
  <si>
    <t>APRIL</t>
  </si>
  <si>
    <t>29.03.2027</t>
  </si>
  <si>
    <t>30.03.2026</t>
  </si>
  <si>
    <t>DANIEL</t>
  </si>
  <si>
    <t>TRENT</t>
  </si>
  <si>
    <t>GODFREY</t>
  </si>
  <si>
    <t>N/S</t>
  </si>
  <si>
    <t>SHANK T45 RD520/525 D45 L525</t>
  </si>
  <si>
    <t>COUPLING SLEEVE T45/T38</t>
  </si>
  <si>
    <t>BIT ADAPTOR T45F/T38M</t>
  </si>
  <si>
    <t>SPEEDY BIT A340 45MM</t>
  </si>
  <si>
    <t>MF ROD R32</t>
  </si>
  <si>
    <t>SANDVIK - NAM</t>
  </si>
  <si>
    <t>J Tarbolton</t>
  </si>
  <si>
    <t>D Christensen</t>
  </si>
  <si>
    <t>SOUTH</t>
  </si>
  <si>
    <t>NORTH</t>
  </si>
  <si>
    <t>NEWBOLT</t>
  </si>
  <si>
    <t>QUINTEN</t>
  </si>
  <si>
    <t>GOMAA</t>
  </si>
  <si>
    <t>SPEEDY BIT A340 45MM XT49</t>
  </si>
  <si>
    <t>SPEEDY BIT A340X45MM XT49</t>
  </si>
  <si>
    <t>GEOFREY</t>
  </si>
  <si>
    <t>CHARL</t>
  </si>
  <si>
    <t>JL WILSON</t>
  </si>
  <si>
    <t xml:space="preserve">    </t>
  </si>
  <si>
    <t xml:space="preserve"> </t>
  </si>
  <si>
    <t>BRETT</t>
  </si>
  <si>
    <t>BAREND</t>
  </si>
  <si>
    <t>EINO</t>
  </si>
  <si>
    <t>LACHY</t>
  </si>
  <si>
    <t>CHRIS</t>
  </si>
  <si>
    <t>D122</t>
  </si>
  <si>
    <t>MARISE</t>
  </si>
  <si>
    <t>MARTIN</t>
  </si>
  <si>
    <t>DINNY</t>
  </si>
  <si>
    <t>ANDY</t>
  </si>
  <si>
    <t xml:space="preserve">M Jimmi </t>
  </si>
  <si>
    <t>DAN</t>
  </si>
  <si>
    <t>KENNEDY</t>
  </si>
  <si>
    <t>IRENE</t>
  </si>
  <si>
    <t>KEAU</t>
  </si>
  <si>
    <t>DALISO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</si>
</sst>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[$-C09]dd\-mmm\-yy;@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2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charset val="134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5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125">
    <xf numFmtId="0" fontId="0" fillId="0" borderId="0" xfId="0"/>
    <xf numFmtId="0" fontId="4" fillId="0" borderId="0" xfId="0" applyFont="1"/>
    <xf numFmtId="14" fontId="5" fillId="0" borderId="0" xfId="0" applyNumberFormat="1" applyFon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14" fontId="6" fillId="0" borderId="0" xfId="0" applyNumberFormat="1" applyFont="1"/>
    <xf numFmtId="0" fontId="5" fillId="0" borderId="0" xfId="0" applyFont="1"/>
    <xf numFmtId="0" fontId="0" fillId="0" borderId="0" xfId="0" applyAlignment="1">
      <alignment horizontal="left"/>
    </xf>
    <xf numFmtId="0" fontId="7" fillId="0" borderId="0" xfId="0" applyFont="1"/>
    <xf numFmtId="0" fontId="8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0" fontId="8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9" fontId="0" fillId="0" borderId="0" xfId="2" applyFont="1"/>
    <xf numFmtId="0" fontId="10" fillId="0" borderId="1" xfId="0" applyFont="1" applyBorder="1"/>
    <xf numFmtId="0" fontId="10" fillId="4" borderId="1" xfId="0" applyFont="1" applyFill="1" applyBorder="1" applyAlignment="1">
      <alignment horizontal="center" vertical="center"/>
    </xf>
    <xf numFmtId="16" fontId="8" fillId="0" borderId="0" xfId="0" applyNumberFormat="1" applyFont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6" fillId="0" borderId="0" xfId="0" applyFont="1"/>
    <xf numFmtId="0" fontId="14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8" fillId="5" borderId="1" xfId="0" applyFont="1" applyFill="1" applyBorder="1"/>
    <xf numFmtId="0" fontId="14" fillId="5" borderId="2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44" fontId="8" fillId="0" borderId="0" xfId="1" applyFont="1" applyAlignment="1">
      <alignment horizontal="center" vertical="center"/>
    </xf>
    <xf numFmtId="44" fontId="11" fillId="0" borderId="0" xfId="1" applyFont="1" applyAlignment="1">
      <alignment horizontal="center" vertical="center"/>
    </xf>
    <xf numFmtId="0" fontId="11" fillId="7" borderId="1" xfId="0" applyFont="1" applyFill="1" applyBorder="1" applyAlignment="1">
      <alignment horizontal="center"/>
    </xf>
    <xf numFmtId="0" fontId="11" fillId="7" borderId="8" xfId="0" applyFont="1" applyFill="1" applyBorder="1" applyAlignment="1">
      <alignment horizontal="center"/>
    </xf>
    <xf numFmtId="0" fontId="11" fillId="7" borderId="9" xfId="0" applyFont="1" applyFill="1" applyBorder="1" applyAlignment="1">
      <alignment horizontal="center"/>
    </xf>
    <xf numFmtId="0" fontId="11" fillId="7" borderId="10" xfId="0" applyFont="1" applyFill="1" applyBorder="1" applyAlignment="1">
      <alignment horizontal="center"/>
    </xf>
    <xf numFmtId="0" fontId="11" fillId="7" borderId="5" xfId="0" applyFont="1" applyFill="1" applyBorder="1" applyAlignment="1">
      <alignment horizontal="center"/>
    </xf>
    <xf numFmtId="0" fontId="8" fillId="5" borderId="1" xfId="0" applyFont="1" applyFill="1" applyBorder="1" applyAlignment="1" applyProtection="1">
      <alignment horizontal="center" vertical="center"/>
      <protection locked="0"/>
    </xf>
    <xf numFmtId="44" fontId="8" fillId="6" borderId="6" xfId="1" applyFont="1" applyFill="1" applyBorder="1" applyAlignment="1">
      <alignment horizontal="center" vertical="center"/>
    </xf>
    <xf numFmtId="44" fontId="8" fillId="6" borderId="0" xfId="1" applyFont="1" applyFill="1" applyAlignment="1">
      <alignment horizontal="center" vertical="center"/>
    </xf>
    <xf numFmtId="44" fontId="8" fillId="6" borderId="7" xfId="1" applyFont="1" applyFill="1" applyBorder="1" applyAlignment="1">
      <alignment horizontal="center" vertical="center"/>
    </xf>
    <xf numFmtId="44" fontId="10" fillId="6" borderId="6" xfId="1" applyFont="1" applyFill="1" applyBorder="1" applyAlignment="1">
      <alignment horizontal="center" vertical="center"/>
    </xf>
    <xf numFmtId="44" fontId="10" fillId="6" borderId="0" xfId="1" applyFont="1" applyFill="1" applyAlignment="1">
      <alignment horizontal="center" vertical="center"/>
    </xf>
    <xf numFmtId="44" fontId="10" fillId="6" borderId="0" xfId="1" applyFont="1" applyFill="1" applyBorder="1" applyAlignment="1">
      <alignment horizontal="center" vertical="center"/>
    </xf>
    <xf numFmtId="44" fontId="10" fillId="6" borderId="7" xfId="1" applyFont="1" applyFill="1" applyBorder="1" applyAlignment="1">
      <alignment horizontal="center" vertical="center"/>
    </xf>
    <xf numFmtId="0" fontId="3" fillId="0" borderId="0" xfId="0" applyFont="1"/>
    <xf numFmtId="0" fontId="2" fillId="0" borderId="0" xfId="0" applyFont="1"/>
    <xf numFmtId="44" fontId="8" fillId="6" borderId="0" xfId="1" applyFont="1" applyFill="1" applyBorder="1" applyAlignment="1">
      <alignment horizontal="center" vertical="center"/>
    </xf>
    <xf numFmtId="44" fontId="8" fillId="6" borderId="11" xfId="1" applyFont="1" applyFill="1" applyBorder="1" applyAlignment="1">
      <alignment horizontal="center" vertical="center"/>
    </xf>
    <xf numFmtId="44" fontId="10" fillId="6" borderId="11" xfId="1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/>
    </xf>
    <xf numFmtId="0" fontId="11" fillId="7" borderId="3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/>
    <xf numFmtId="0" fontId="8" fillId="0" borderId="2" xfId="0" applyFont="1" applyBorder="1" applyAlignment="1">
      <alignment horizontal="center" vertical="center"/>
    </xf>
    <xf numFmtId="0" fontId="8" fillId="0" borderId="2" xfId="0" applyFont="1" applyBorder="1"/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/>
    <xf numFmtId="0" fontId="10" fillId="0" borderId="2" xfId="0" applyFont="1" applyBorder="1"/>
    <xf numFmtId="0" fontId="10" fillId="4" borderId="2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/>
    <xf numFmtId="0" fontId="9" fillId="0" borderId="3" xfId="0" applyFont="1" applyBorder="1"/>
    <xf numFmtId="0" fontId="10" fillId="0" borderId="3" xfId="0" applyFont="1" applyBorder="1"/>
    <xf numFmtId="0" fontId="10" fillId="4" borderId="3" xfId="0" applyFont="1" applyFill="1" applyBorder="1" applyAlignment="1">
      <alignment horizontal="center" vertical="center"/>
    </xf>
    <xf numFmtId="44" fontId="8" fillId="6" borderId="1" xfId="1" applyFont="1" applyFill="1" applyBorder="1" applyAlignment="1">
      <alignment horizontal="center" vertical="center"/>
    </xf>
    <xf numFmtId="44" fontId="10" fillId="6" borderId="1" xfId="1" applyFont="1" applyFill="1" applyBorder="1" applyAlignment="1">
      <alignment horizontal="center" vertical="center"/>
    </xf>
    <xf numFmtId="0" fontId="0" fillId="0" borderId="1" xfId="0" applyBorder="1"/>
    <xf numFmtId="0" fontId="1" fillId="0" borderId="0" xfId="0" applyFont="1"/>
    <xf numFmtId="0" fontId="8" fillId="2" borderId="1" xfId="0" applyFont="1" applyFill="1" applyBorder="1" applyAlignment="1">
      <alignment horizontal="center" vertical="center" wrapText="1"/>
    </xf>
    <xf numFmtId="14" fontId="22" fillId="0" borderId="12" xfId="0" applyNumberFormat="1" applyFont="1" applyBorder="1"/>
    <xf numFmtId="14" fontId="22" fillId="3" borderId="13" xfId="0" applyNumberFormat="1" applyFont="1" applyFill="1" applyBorder="1"/>
    <xf numFmtId="14" fontId="22" fillId="0" borderId="13" xfId="0" applyNumberFormat="1" applyFont="1" applyBorder="1"/>
    <xf numFmtId="0" fontId="22" fillId="0" borderId="1" xfId="0" applyFont="1" applyBorder="1"/>
    <xf numFmtId="0" fontId="22" fillId="0" borderId="14" xfId="0" applyFont="1" applyBorder="1"/>
    <xf numFmtId="0" fontId="22" fillId="0" borderId="15" xfId="0" applyFont="1" applyBorder="1"/>
    <xf numFmtId="0" fontId="8" fillId="0" borderId="1" xfId="0" applyFont="1" applyBorder="1" applyAlignment="1">
      <alignment horizontal="left" vertical="center" wrapText="1"/>
    </xf>
    <xf numFmtId="14" fontId="22" fillId="0" borderId="13" xfId="0" applyNumberFormat="1" applyFont="1" applyBorder="1" applyAlignment="1">
      <alignment horizontal="right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14" fontId="22" fillId="0" borderId="1" xfId="0" applyNumberFormat="1" applyFont="1" applyBorder="1"/>
    <xf numFmtId="14" fontId="22" fillId="0" borderId="1" xfId="0" applyNumberFormat="1" applyFont="1" applyBorder="1" applyAlignment="1">
      <alignment horizontal="right"/>
    </xf>
    <xf numFmtId="0" fontId="22" fillId="3" borderId="15" xfId="0" applyFont="1" applyFill="1" applyBorder="1"/>
    <xf numFmtId="0" fontId="22" fillId="3" borderId="1" xfId="0" applyFont="1" applyFill="1" applyBorder="1"/>
    <xf numFmtId="0" fontId="23" fillId="0" borderId="1" xfId="0" applyFont="1" applyBorder="1"/>
    <xf numFmtId="14" fontId="8" fillId="0" borderId="1" xfId="0" applyNumberFormat="1" applyFont="1" applyBorder="1" applyAlignment="1">
      <alignment horizontal="left" vertical="center"/>
    </xf>
    <xf numFmtId="0" fontId="22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/>
    </xf>
    <xf numFmtId="0" fontId="22" fillId="3" borderId="1" xfId="0" applyFont="1" applyFill="1" applyBorder="1" applyAlignment="1">
      <alignment horizontal="left"/>
    </xf>
    <xf numFmtId="0" fontId="22" fillId="0" borderId="0" xfId="0" applyFont="1" applyAlignment="1">
      <alignment horizontal="left"/>
    </xf>
    <xf numFmtId="0" fontId="24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 cent" xfId="2" builtinId="5"/>
  </cellStyles>
  <dxfs count="32">
    <dxf>
      <fill>
        <patternFill patternType="solid">
          <bgColor theme="7" tint="0.39973143711661124"/>
        </patternFill>
      </fill>
    </dxf>
    <dxf>
      <fill>
        <patternFill patternType="solid">
          <bgColor theme="6" tint="0.39973143711661124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 patternType="solid">
          <bgColor theme="7" tint="0.39973143711661124"/>
        </patternFill>
      </fill>
    </dxf>
    <dxf>
      <fill>
        <patternFill patternType="solid">
          <bgColor theme="6" tint="0.39973143711661124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 patternType="solid">
          <bgColor theme="7" tint="0.39973143711661124"/>
        </patternFill>
      </fill>
    </dxf>
    <dxf>
      <fill>
        <patternFill patternType="solid">
          <bgColor theme="6" tint="0.39973143711661124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 patternType="solid">
          <bgColor theme="7" tint="0.39973143711661124"/>
        </patternFill>
      </fill>
    </dxf>
    <dxf>
      <fill>
        <patternFill patternType="solid">
          <bgColor theme="6" tint="0.39973143711661124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 patternType="solid">
          <bgColor theme="7" tint="0.39973143711661124"/>
        </patternFill>
      </fill>
    </dxf>
    <dxf>
      <fill>
        <patternFill patternType="solid">
          <bgColor theme="6" tint="0.39973143711661124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 patternType="solid">
          <bgColor theme="7" tint="0.39973143711661124"/>
        </patternFill>
      </fill>
    </dxf>
    <dxf>
      <fill>
        <patternFill patternType="solid">
          <bgColor theme="6" tint="0.39973143711661124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 patternType="solid">
          <bgColor theme="7" tint="0.39973143711661124"/>
        </patternFill>
      </fill>
    </dxf>
    <dxf>
      <fill>
        <patternFill patternType="solid">
          <bgColor theme="6" tint="0.39973143711661124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 patternType="solid">
          <bgColor theme="7" tint="0.39973143711661124"/>
        </patternFill>
      </fill>
    </dxf>
    <dxf>
      <fill>
        <patternFill patternType="solid">
          <bgColor theme="6" tint="0.39973143711661124"/>
        </patternFill>
      </fill>
    </dxf>
    <dxf>
      <font>
        <color theme="0"/>
      </font>
      <fill>
        <patternFill patternType="solid">
          <bgColor theme="1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colors>
    <mruColors>
      <color rgb="FFFFCC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tseb Amon" id="{320E301C-F5C5-466C-9595-D21F765C695D}" userId="S::Batseb.Amon@byrnecut.com.au::322ca95f-a1f2-443a-951a-a87a55dc725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mmi Mantirri" refreshedDate="45779.407331134302" createdVersion="6" refreshedVersion="6" minRefreshableVersion="3" recordCount="345" xr:uid="{00000000-000A-0000-FFFF-FFFF00000000}">
  <cacheSource type="worksheet">
    <worksheetSource ref="B4:BQ349" sheet="DEC 24 "/>
  </cacheSource>
  <cacheFields count="68">
    <cacheField name="DATE" numFmtId="14">
      <sharedItems containsSemiMixedTypes="0" containsNonDate="0" containsString="0"/>
    </cacheField>
    <cacheField name="MONTH" numFmtId="0">
      <sharedItems containsBlank="1" containsMixedTypes="1" containsNumber="1" containsInteger="1" count="4">
        <n v="1"/>
        <m/>
        <s v=""/>
        <n v="12" u="1"/>
      </sharedItems>
    </cacheField>
    <cacheField name="RIG TYPE" numFmtId="14">
      <sharedItems containsBlank="1" count="4">
        <s v="JUMBO"/>
        <m/>
        <e v="#N/A"/>
        <s v="SOLO" u="1"/>
      </sharedItems>
    </cacheField>
    <cacheField name="SHIFT" numFmtId="14">
      <sharedItems containsSemiMixedTypes="0" containsNonDate="0" containsString="0"/>
    </cacheField>
    <cacheField name="RIG" numFmtId="0">
      <sharedItems containsSemiMixedTypes="0" containsNonDate="0" containsString="0"/>
    </cacheField>
    <cacheField name="Requester" numFmtId="0">
      <sharedItems containsBlank="1" count="31">
        <s v="JESSE ANDERSON "/>
        <m/>
        <s v="PENWELL SIMFUKWE" u="1"/>
        <s v="SUWARNO WARNA" u="1"/>
        <s v="STEVE PASCAL" u="1"/>
        <s v="CORA SUADI" u="1"/>
        <s v="HAZWELL DAKA" u="1"/>
        <s v="RAY CLARKSON" u="1"/>
        <s v="OMAR" u="1"/>
        <s v="ERRY NOOR" u="1"/>
        <s v="MITCH LONGLAND" u="1"/>
        <s v="GEOFREY BWIRE" u="1"/>
        <s v="SULLE LUCAS" u="1"/>
        <s v="RAMADHANI MARTINE" u="1"/>
        <s v="MATTHEW NICHOLSON" u="1"/>
        <s v="HENRY MULENGA" u="1"/>
        <s v="YOUSSEF ATTA" u="1"/>
        <s v="IVAN B" u="1"/>
        <s v="AMRIL SUPRI" u="1"/>
        <s v="MAHALU PASCAL" u="1"/>
        <s v="SERVICE CREW" u="1"/>
        <s v="JOE JAMBA" u="1"/>
        <s v="GAWOK WIBOWO" u="1"/>
        <s v="KEVIN BASFORD" u="1"/>
        <s v="PETER BARTON" u="1"/>
        <s v="LADALI" u="1"/>
        <s v="ERNEST MUNANGISA" u="1"/>
        <s v="ROBERT ANDOH" u="1"/>
        <s v="DANIEL GRAHAM" u="1"/>
        <s v="FRANKY POLSIARY" u="1"/>
        <s v="AYOUB MAKABE" u="1"/>
      </sharedItems>
    </cacheField>
    <cacheField name="SHANK_RD525_SANDVIK_7304-7669-01" numFmtId="0">
      <sharedItems containsSemiMixedTypes="0" containsNonDate="0" containsString="0"/>
    </cacheField>
    <cacheField name="CENTRALISER BUSH_BORING(SMALL INNER)" numFmtId="0">
      <sharedItems containsSemiMixedTypes="0" containsNonDate="0" containsString="0"/>
    </cacheField>
    <cacheField name="CENTRALISER BUSH_BOLTING(LARGE INNER)" numFmtId="0">
      <sharedItems containsSemiMixedTypes="0" containsNonDate="0" containsString="0"/>
    </cacheField>
    <cacheField name="45MM_32RTPWS45R03L" numFmtId="0">
      <sharedItems containsSemiMixedTypes="0" containsNonDate="0" containsString="0"/>
    </cacheField>
    <cacheField name="45MM_RT300_77335345AR48" numFmtId="0">
      <sharedItems containsSemiMixedTypes="0" containsNonDate="0" containsString="0"/>
    </cacheField>
    <cacheField name="44MM_32RTP44MR036A" numFmtId="0">
      <sharedItems containsSemiMixedTypes="0" containsNonDate="0" containsString="0"/>
    </cacheField>
    <cacheField name="43MM_7733-5343A-R48" numFmtId="0">
      <sharedItems containsSemiMixedTypes="0" containsNonDate="0" containsString="0"/>
    </cacheField>
    <cacheField name="64MM_38MPWS64R16M" numFmtId="0">
      <sharedItems containsSemiMixedTypes="0" containsNonDate="0" containsString="0"/>
    </cacheField>
    <cacheField name="64MM_7514-1664-R48" numFmtId="0">
      <sharedItems containsSemiMixedTypes="0" containsNonDate="0" containsString="0"/>
    </cacheField>
    <cacheField name="102MM_WI32RTPJ102R-30R" numFmtId="0">
      <sharedItems containsSemiMixedTypes="0" containsNonDate="0" containsString="0"/>
    </cacheField>
    <cacheField name="102MM_77335602PS48" numFmtId="0">
      <sharedItems containsSemiMixedTypes="0" containsNonDate="0" containsString="0"/>
    </cacheField>
    <cacheField name="102MM_REAMING BIT_A330_77675602PS48" numFmtId="0">
      <sharedItems containsSemiMixedTypes="0" containsNonDate="0" containsString="0"/>
    </cacheField>
    <cacheField name="T38_COUPLING SLEEVE" numFmtId="0">
      <sharedItems containsSemiMixedTypes="0" containsNonDate="0" containsString="0"/>
    </cacheField>
    <cacheField name="47MM_MITS" numFmtId="0">
      <sharedItems containsSemiMixedTypes="0" containsNonDate="0" containsString="0"/>
    </cacheField>
    <cacheField name="47MM_SAND" numFmtId="0">
      <sharedItems containsSemiMixedTypes="0" containsNonDate="0" containsString="0"/>
    </cacheField>
    <cacheField name="3.1 BOLTING_MITS_EH35M38R32-3100" numFmtId="0">
      <sharedItems containsSemiMixedTypes="0" containsNonDate="0" containsString="0"/>
    </cacheField>
    <cacheField name="3.7_BOLTING STEEL_7324963720" numFmtId="0">
      <sharedItems containsSemiMixedTypes="0" containsNonDate="0" containsString="0"/>
    </cacheField>
    <cacheField name="3.1_BOLTING_SAND_7324963120" numFmtId="0">
      <sharedItems containsSemiMixedTypes="0" containsNonDate="0" containsString="0"/>
    </cacheField>
    <cacheField name="3.1_ALPHA" numFmtId="0">
      <sharedItems containsSemiMixedTypes="0" containsNonDate="0" containsString="0"/>
    </cacheField>
    <cacheField name="3.1_SAND_7324473170" numFmtId="0">
      <sharedItems containsSemiMixedTypes="0" containsNonDate="0" containsString="0"/>
    </cacheField>
    <cacheField name="3.1_MITS_ER38M38MF-3050H" numFmtId="0">
      <sharedItems containsSemiMixedTypes="0" containsNonDate="0" containsString="0"/>
    </cacheField>
    <cacheField name="4.3_MITS_EH35M38R32-4310" numFmtId="0">
      <sharedItems containsSemiMixedTypes="0" containsNonDate="0" containsString="0"/>
    </cacheField>
    <cacheField name="4.3_SAND_7324964320" numFmtId="0">
      <sharedItems containsSemiMixedTypes="0" containsNonDate="0" containsString="0"/>
    </cacheField>
    <cacheField name="4.3_ALPHA                         " numFmtId="0">
      <sharedItems containsSemiMixedTypes="0" containsNonDate="0" containsString="0"/>
    </cacheField>
    <cacheField name="4.9_MITS_EH35M38R32-4920" numFmtId="0">
      <sharedItems containsSemiMixedTypes="0" containsNonDate="0" containsString="0"/>
    </cacheField>
    <cacheField name="4.9_SAND" numFmtId="0">
      <sharedItems containsSemiMixedTypes="0" containsNonDate="0" containsString="0"/>
    </cacheField>
    <cacheField name="89MM_SAND" numFmtId="0">
      <sharedItems containsSemiMixedTypes="0" containsNonDate="0" containsString="0"/>
    </cacheField>
    <cacheField name="89MM_MITS" numFmtId="0">
      <sharedItems containsSemiMixedTypes="0" containsNonDate="0" containsString="0"/>
    </cacheField>
    <cacheField name="102MM_SAND_7529-8902-S65" numFmtId="0">
      <sharedItems containsSemiMixedTypes="0" containsNonDate="0" containsString="0"/>
    </cacheField>
    <cacheField name="102MM_SAND_7529-6202-F70" numFmtId="0">
      <sharedItems containsSemiMixedTypes="0" containsNonDate="0" containsString="0"/>
    </cacheField>
    <cacheField name="102MM_SAND_7529-8402-R65" numFmtId="0">
      <sharedItems containsSemiMixedTypes="0" containsNonDate="0" containsString="0"/>
    </cacheField>
    <cacheField name="102MM_SAND_7529-6902-S65" numFmtId="0">
      <sharedItems containsSemiMixedTypes="0" containsNonDate="0" containsString="0"/>
    </cacheField>
    <cacheField name="102MM_MITS_68WDPVR102BB41M1" numFmtId="0">
      <sharedItems containsSemiMixedTypes="0" containsNonDate="0" containsString="0"/>
    </cacheField>
    <cacheField name="127MM_SAND" numFmtId="0">
      <sharedItems containsSemiMixedTypes="0" containsNonDate="0" containsString="0"/>
    </cacheField>
    <cacheField name="127MM_MITS" numFmtId="0">
      <sharedItems containsSemiMixedTypes="0" containsNonDate="0" containsString="0"/>
    </cacheField>
    <cacheField name="76MM_MITS_45MPVR76R55M" numFmtId="0">
      <sharedItems containsSemiMixedTypes="0" containsNonDate="0" containsString="0"/>
    </cacheField>
    <cacheField name="252MM_MITS" numFmtId="0">
      <sharedItems containsSemiMixedTypes="0" containsNonDate="0" containsString="0"/>
    </cacheField>
    <cacheField name="254MM_SAND" numFmtId="0">
      <sharedItems containsSemiMixedTypes="0" containsNonDate="0" containsString="0"/>
    </cacheField>
    <cacheField name="ST58_SHANK" numFmtId="0">
      <sharedItems containsSemiMixedTypes="0" containsNonDate="0" containsString="0"/>
    </cacheField>
    <cacheField name="204MM_REAMER_SAND" numFmtId="0">
      <sharedItems containsSemiMixedTypes="0" containsNonDate="0" containsString="0"/>
    </cacheField>
    <cacheField name="203MM_MITS" numFmtId="0">
      <sharedItems containsSemiMixedTypes="0" containsNonDate="0" containsString="0"/>
    </cacheField>
    <cacheField name="152MM_COLLERING" numFmtId="0">
      <sharedItems containsSemiMixedTypes="0" containsNonDate="0" containsString="0"/>
    </cacheField>
    <cacheField name="152MM_REAMER" numFmtId="0">
      <sharedItems containsSemiMixedTypes="0" containsNonDate="0" containsString="0"/>
    </cacheField>
    <cacheField name="SHANK_ST68_SANDVIK" numFmtId="0">
      <sharedItems containsSemiMixedTypes="0" containsNonDate="0" containsString="0"/>
    </cacheField>
    <cacheField name="ADAPTER_ST58F-T45" numFmtId="0">
      <sharedItems containsSemiMixedTypes="0" containsNonDate="0" containsString="0"/>
    </cacheField>
    <cacheField name="ADAPTER_ST45F - T38M" numFmtId="0">
      <sharedItems containsSemiMixedTypes="0" containsNonDate="0" containsString="0"/>
    </cacheField>
    <cacheField name="COUPLING_T45 - T38" numFmtId="0">
      <sharedItems containsSemiMixedTypes="0" containsNonDate="0" containsString="0"/>
    </cacheField>
    <cacheField name="SHANK_T45" numFmtId="0">
      <sharedItems containsSemiMixedTypes="0" containsNonDate="0" containsString="0"/>
    </cacheField>
    <cacheField name="DRILL_ROD_ST68_MITS" numFmtId="0">
      <sharedItems containsSemiMixedTypes="0" containsNonDate="0" containsString="0"/>
    </cacheField>
    <cacheField name="DRILL_ROD_ST68_SAND" numFmtId="0">
      <sharedItems containsSemiMixedTypes="0" containsNonDate="0" containsString="0"/>
    </cacheField>
    <cacheField name="ST58_DRILL RODS_SAND" numFmtId="0">
      <sharedItems containsSemiMixedTypes="0" containsNonDate="0" containsString="0"/>
    </cacheField>
    <cacheField name="ST58_DRILL RODS_MITS" numFmtId="0">
      <sharedItems containsSemiMixedTypes="0" containsNonDate="0" containsString="0"/>
    </cacheField>
    <cacheField name="T45_DRILL_RODS_MITS" numFmtId="0">
      <sharedItems containsSemiMixedTypes="0" containsNonDate="0" containsString="0"/>
    </cacheField>
    <cacheField name="T45_DRILL RODS_SAND" numFmtId="0">
      <sharedItems containsSemiMixedTypes="0" containsNonDate="0" containsString="0"/>
    </cacheField>
    <cacheField name="SPEED_RODS_T38_OR_38T 1.8" numFmtId="0">
      <sharedItems containsSemiMixedTypes="0" containsNonDate="0" containsString="0"/>
    </cacheField>
    <cacheField name="ST68_RECOVERY_PIKE_FTM-68WD-GR88_MITS" numFmtId="0">
      <sharedItems containsSemiMixedTypes="0" containsNonDate="0" containsString="0"/>
    </cacheField>
    <cacheField name="ST68_RECOVERY_PIKE_FTM-68WD-GR88-2_MITS" numFmtId="0">
      <sharedItems containsSemiMixedTypes="0" containsNonDate="0" containsString="0"/>
    </cacheField>
    <cacheField name="ST68_RECOVERY_PIKE_7952605_SAND" numFmtId="0">
      <sharedItems containsSemiMixedTypes="0" containsNonDate="0" containsString="0"/>
    </cacheField>
    <cacheField name="ST68_RECOVERY_PIKE_ATLAS" numFmtId="0">
      <sharedItems containsSemiMixedTypes="0" containsNonDate="0" containsString="0"/>
    </cacheField>
    <cacheField name="ST58_RECOVERY_PIKE FTM-58WD-GR78_MITS" numFmtId="0">
      <sharedItems containsSemiMixedTypes="0" containsNonDate="0" containsString="0"/>
    </cacheField>
    <cacheField name="ST58_RECOVERY_PIKE_FTM-58WD-GR78W2-2_MITS" numFmtId="0">
      <sharedItems containsSemiMixedTypes="0" containsNonDate="0" containsString="0"/>
    </cacheField>
    <cacheField name="FISHING_SLEEVES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5">
  <r>
    <d v="2025-01-01T00:00:00"/>
    <x v="0"/>
    <x v="0"/>
    <s v="DAY"/>
    <s v="OJ127"/>
    <x v="0"/>
    <m/>
    <m/>
    <m/>
    <m/>
    <n v="10"/>
    <m/>
    <m/>
    <m/>
    <m/>
    <m/>
    <m/>
    <m/>
    <m/>
    <m/>
    <m/>
    <m/>
    <m/>
    <m/>
    <m/>
    <m/>
    <m/>
    <m/>
    <m/>
    <m/>
    <m/>
    <m/>
    <m/>
    <m/>
    <m/>
    <s v=".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2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2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05C491-3FA4-44E6-8A83-DB2534D5F074}" name="PivotTable2" cacheId="2" applyNumberFormats="0" applyBorderFormats="0" applyFontFormats="0" applyPatternFormats="0" applyAlignmentFormats="0" applyWidthHeightFormats="1" dataCaption="Values" updatedVersion="6" minRefreshableVersion="3" useAutoFormatting="1" createdVersion="6" indent="0" outline="1" outlineData="1" multipleFieldFilters="0">
  <location ref="B422:C425" firstHeaderRow="1" firstDataRow="1" firstDataCol="1"/>
  <pivotFields count="68">
    <pivotField showAll="0"/>
    <pivotField showAll="0"/>
    <pivotField multipleItemSelectionAllowed="1" showAll="0"/>
    <pivotField showAll="0"/>
    <pivotField showAll="0"/>
    <pivotField axis="axisRow" showAll="0">
      <items count="32">
        <item m="1" x="18"/>
        <item m="1" x="30"/>
        <item m="1" x="5"/>
        <item m="1" x="28"/>
        <item m="1" x="26"/>
        <item m="1" x="9"/>
        <item m="1" x="29"/>
        <item m="1" x="22"/>
        <item m="1" x="11"/>
        <item m="1" x="6"/>
        <item m="1" x="15"/>
        <item m="1" x="17"/>
        <item m="1" x="21"/>
        <item m="1" x="23"/>
        <item m="1" x="25"/>
        <item m="1" x="19"/>
        <item m="1" x="14"/>
        <item m="1" x="10"/>
        <item m="1" x="8"/>
        <item m="1" x="2"/>
        <item m="1" x="24"/>
        <item m="1" x="13"/>
        <item m="1" x="7"/>
        <item m="1" x="27"/>
        <item m="1" x="20"/>
        <item m="1" x="4"/>
        <item m="1" x="12"/>
        <item m="1" x="3"/>
        <item x="1"/>
        <item m="1" x="1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 v="28"/>
    </i>
    <i>
      <x v="30"/>
    </i>
    <i t="grand">
      <x/>
    </i>
  </rowItems>
  <colItems count="1">
    <i/>
  </colItems>
  <dataFields count="1">
    <dataField name="Count of DRILL_ROD_ST68_SAND" fld="55" subtotal="count" baseField="0" baseItem="0"/>
  </dataFields>
  <formats count="1">
    <format dxfId="30">
      <pivotArea field="5" type="butto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6834D8-63B8-4A8A-94B9-1F0FC6FF9C24}" name="PivotTable2" cacheId="2" applyNumberFormats="0" applyBorderFormats="0" applyFontFormats="0" applyPatternFormats="0" applyAlignmentFormats="0" applyWidthHeightFormats="1" dataCaption="Values" updatedVersion="6" minRefreshableVersion="3" useAutoFormatting="1" createdVersion="6" indent="0" outline="1" outlineData="1" multipleFieldFilters="0">
  <location ref="B425:C428" firstHeaderRow="1" firstDataRow="1" firstDataCol="1"/>
  <pivotFields count="68">
    <pivotField showAll="0"/>
    <pivotField showAll="0"/>
    <pivotField multipleItemSelectionAllowed="1" showAll="0"/>
    <pivotField showAll="0"/>
    <pivotField showAll="0"/>
    <pivotField axis="axisRow" showAll="0">
      <items count="32">
        <item m="1" x="18"/>
        <item m="1" x="30"/>
        <item m="1" x="5"/>
        <item m="1" x="28"/>
        <item m="1" x="26"/>
        <item m="1" x="9"/>
        <item m="1" x="29"/>
        <item m="1" x="22"/>
        <item m="1" x="11"/>
        <item m="1" x="6"/>
        <item m="1" x="15"/>
        <item m="1" x="17"/>
        <item m="1" x="21"/>
        <item m="1" x="23"/>
        <item m="1" x="25"/>
        <item m="1" x="19"/>
        <item m="1" x="14"/>
        <item m="1" x="10"/>
        <item m="1" x="8"/>
        <item m="1" x="2"/>
        <item m="1" x="24"/>
        <item m="1" x="13"/>
        <item m="1" x="7"/>
        <item m="1" x="27"/>
        <item m="1" x="20"/>
        <item m="1" x="4"/>
        <item m="1" x="12"/>
        <item m="1" x="3"/>
        <item x="1"/>
        <item m="1" x="1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 v="28"/>
    </i>
    <i>
      <x v="30"/>
    </i>
    <i t="grand">
      <x/>
    </i>
  </rowItems>
  <colItems count="1">
    <i/>
  </colItems>
  <dataFields count="1">
    <dataField name="Count of DRILL_ROD_ST68_SAND" fld="55" subtotal="count" baseField="0" baseItem="0"/>
  </dataFields>
  <formats count="1">
    <format dxfId="29">
      <pivotArea field="5" type="butto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9FC1F3-8B85-4671-8F84-80C6781A73C5}" name="PivotTable2" cacheId="2" applyNumberFormats="0" applyBorderFormats="0" applyFontFormats="0" applyPatternFormats="0" applyAlignmentFormats="0" applyWidthHeightFormats="1" dataCaption="Values" updatedVersion="6" minRefreshableVersion="3" useAutoFormatting="1" createdVersion="6" indent="0" outline="1" outlineData="1" multipleFieldFilters="0">
  <location ref="B408:C411" firstHeaderRow="1" firstDataRow="1" firstDataCol="1"/>
  <pivotFields count="68">
    <pivotField showAll="0"/>
    <pivotField showAll="0"/>
    <pivotField multipleItemSelectionAllowed="1" showAll="0"/>
    <pivotField showAll="0"/>
    <pivotField showAll="0"/>
    <pivotField axis="axisRow" showAll="0">
      <items count="32">
        <item m="1" x="18"/>
        <item m="1" x="30"/>
        <item m="1" x="5"/>
        <item m="1" x="28"/>
        <item m="1" x="26"/>
        <item m="1" x="9"/>
        <item m="1" x="29"/>
        <item m="1" x="22"/>
        <item m="1" x="11"/>
        <item m="1" x="6"/>
        <item m="1" x="15"/>
        <item m="1" x="17"/>
        <item m="1" x="21"/>
        <item m="1" x="23"/>
        <item m="1" x="25"/>
        <item m="1" x="19"/>
        <item m="1" x="14"/>
        <item m="1" x="10"/>
        <item m="1" x="8"/>
        <item m="1" x="2"/>
        <item m="1" x="24"/>
        <item m="1" x="13"/>
        <item m="1" x="7"/>
        <item m="1" x="27"/>
        <item m="1" x="20"/>
        <item m="1" x="4"/>
        <item m="1" x="12"/>
        <item m="1" x="3"/>
        <item x="1"/>
        <item m="1" x="1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 v="28"/>
    </i>
    <i>
      <x v="30"/>
    </i>
    <i t="grand">
      <x/>
    </i>
  </rowItems>
  <colItems count="1">
    <i/>
  </colItems>
  <dataFields count="1">
    <dataField name="Count of DRILL_ROD_ST68_SAND" fld="55" subtotal="count" baseField="0" baseItem="0"/>
  </dataFields>
  <formats count="1">
    <format dxfId="28">
      <pivotArea field="5" type="butto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D36C01-A044-4EE4-B360-92D06E29E132}" name="PivotTable2" cacheId="2" applyNumberFormats="0" applyBorderFormats="0" applyFontFormats="0" applyPatternFormats="0" applyAlignmentFormats="0" applyWidthHeightFormats="1" dataCaption="Values" updatedVersion="6" minRefreshableVersion="3" useAutoFormatting="1" createdVersion="6" indent="0" outline="1" outlineData="1" multipleFieldFilters="0">
  <location ref="B408:C411" firstHeaderRow="1" firstDataRow="1" firstDataCol="1"/>
  <pivotFields count="68">
    <pivotField showAll="0"/>
    <pivotField showAll="0"/>
    <pivotField multipleItemSelectionAllowed="1" showAll="0"/>
    <pivotField showAll="0"/>
    <pivotField showAll="0"/>
    <pivotField axis="axisRow" showAll="0">
      <items count="32">
        <item m="1" x="18"/>
        <item m="1" x="30"/>
        <item m="1" x="5"/>
        <item m="1" x="28"/>
        <item m="1" x="26"/>
        <item m="1" x="9"/>
        <item m="1" x="29"/>
        <item m="1" x="22"/>
        <item m="1" x="11"/>
        <item m="1" x="6"/>
        <item m="1" x="15"/>
        <item m="1" x="17"/>
        <item m="1" x="21"/>
        <item m="1" x="23"/>
        <item m="1" x="25"/>
        <item m="1" x="19"/>
        <item m="1" x="14"/>
        <item m="1" x="10"/>
        <item m="1" x="8"/>
        <item m="1" x="2"/>
        <item m="1" x="24"/>
        <item m="1" x="13"/>
        <item m="1" x="7"/>
        <item m="1" x="27"/>
        <item m="1" x="20"/>
        <item m="1" x="4"/>
        <item m="1" x="12"/>
        <item m="1" x="3"/>
        <item x="1"/>
        <item m="1" x="1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 v="28"/>
    </i>
    <i>
      <x v="30"/>
    </i>
    <i t="grand">
      <x/>
    </i>
  </rowItems>
  <colItems count="1">
    <i/>
  </colItems>
  <dataFields count="1">
    <dataField name="Count of DRILL_ROD_ST68_SAND" fld="55" subtotal="count" baseField="0" baseItem="0"/>
  </dataFields>
  <formats count="1">
    <format dxfId="27">
      <pivotArea field="5" type="butto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1019D-6652-4827-A182-93CE6DC6318F}" name="PivotTable2" cacheId="2" applyNumberFormats="0" applyBorderFormats="0" applyFontFormats="0" applyPatternFormats="0" applyAlignmentFormats="0" applyWidthHeightFormats="1" dataCaption="Values" updatedVersion="6" minRefreshableVersion="3" useAutoFormatting="1" createdVersion="6" indent="0" outline="1" outlineData="1" multipleFieldFilters="0">
  <location ref="B409:C412" firstHeaderRow="1" firstDataRow="1" firstDataCol="1"/>
  <pivotFields count="68">
    <pivotField showAll="0"/>
    <pivotField showAll="0"/>
    <pivotField multipleItemSelectionAllowed="1" showAll="0"/>
    <pivotField showAll="0"/>
    <pivotField showAll="0"/>
    <pivotField axis="axisRow" showAll="0">
      <items count="32">
        <item m="1" x="18"/>
        <item m="1" x="30"/>
        <item m="1" x="5"/>
        <item m="1" x="28"/>
        <item m="1" x="26"/>
        <item m="1" x="9"/>
        <item m="1" x="29"/>
        <item m="1" x="22"/>
        <item m="1" x="11"/>
        <item m="1" x="6"/>
        <item m="1" x="15"/>
        <item m="1" x="17"/>
        <item m="1" x="21"/>
        <item m="1" x="23"/>
        <item m="1" x="25"/>
        <item m="1" x="19"/>
        <item m="1" x="14"/>
        <item m="1" x="10"/>
        <item m="1" x="8"/>
        <item m="1" x="2"/>
        <item m="1" x="24"/>
        <item m="1" x="13"/>
        <item m="1" x="7"/>
        <item m="1" x="27"/>
        <item m="1" x="20"/>
        <item m="1" x="4"/>
        <item m="1" x="12"/>
        <item m="1" x="3"/>
        <item x="1"/>
        <item m="1" x="1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 v="28"/>
    </i>
    <i>
      <x v="30"/>
    </i>
    <i t="grand">
      <x/>
    </i>
  </rowItems>
  <colItems count="1">
    <i/>
  </colItems>
  <dataFields count="1">
    <dataField name="Count of DRILL_ROD_ST68_SAND" fld="55" subtotal="count" baseField="0" baseItem="0"/>
  </dataFields>
  <formats count="1">
    <format dxfId="26">
      <pivotArea field="5" type="butto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57BF7A-7A1C-4616-86CC-203E675ECDCC}" name="PivotTable2" cacheId="2" applyNumberFormats="0" applyBorderFormats="0" applyFontFormats="0" applyPatternFormats="0" applyAlignmentFormats="0" applyWidthHeightFormats="1" dataCaption="Values" updatedVersion="6" minRefreshableVersion="3" useAutoFormatting="1" createdVersion="6" indent="0" outline="1" outlineData="1" multipleFieldFilters="0">
  <location ref="B409:C412" firstHeaderRow="1" firstDataRow="1" firstDataCol="1"/>
  <pivotFields count="68">
    <pivotField showAll="0"/>
    <pivotField showAll="0"/>
    <pivotField multipleItemSelectionAllowed="1" showAll="0"/>
    <pivotField showAll="0"/>
    <pivotField showAll="0"/>
    <pivotField axis="axisRow" showAll="0">
      <items count="32">
        <item m="1" x="18"/>
        <item m="1" x="30"/>
        <item m="1" x="5"/>
        <item m="1" x="28"/>
        <item m="1" x="26"/>
        <item m="1" x="9"/>
        <item m="1" x="29"/>
        <item m="1" x="22"/>
        <item m="1" x="11"/>
        <item m="1" x="6"/>
        <item m="1" x="15"/>
        <item m="1" x="17"/>
        <item m="1" x="21"/>
        <item m="1" x="23"/>
        <item m="1" x="25"/>
        <item m="1" x="19"/>
        <item m="1" x="14"/>
        <item m="1" x="10"/>
        <item m="1" x="8"/>
        <item m="1" x="2"/>
        <item m="1" x="24"/>
        <item m="1" x="13"/>
        <item m="1" x="7"/>
        <item m="1" x="27"/>
        <item m="1" x="20"/>
        <item m="1" x="4"/>
        <item m="1" x="12"/>
        <item m="1" x="3"/>
        <item x="1"/>
        <item m="1" x="1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 v="28"/>
    </i>
    <i>
      <x v="30"/>
    </i>
    <i t="grand">
      <x/>
    </i>
  </rowItems>
  <colItems count="1">
    <i/>
  </colItems>
  <dataFields count="1">
    <dataField name="Count of DRILL_ROD_ST68_SAND" fld="55" subtotal="count" baseField="0" baseItem="0"/>
  </dataFields>
  <formats count="1">
    <format dxfId="25">
      <pivotArea field="5" type="butto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B951E6-21AB-4934-8533-B5B9BD091E07}" name="PivotTable2" cacheId="2" applyNumberFormats="0" applyBorderFormats="0" applyFontFormats="0" applyPatternFormats="0" applyAlignmentFormats="0" applyWidthHeightFormats="1" dataCaption="Values" updatedVersion="6" minRefreshableVersion="3" useAutoFormatting="1" createdVersion="6" indent="0" outline="1" outlineData="1" multipleFieldFilters="0">
  <location ref="B409:C412" firstHeaderRow="1" firstDataRow="1" firstDataCol="1"/>
  <pivotFields count="68">
    <pivotField showAll="0"/>
    <pivotField showAll="0"/>
    <pivotField multipleItemSelectionAllowed="1" showAll="0"/>
    <pivotField showAll="0"/>
    <pivotField showAll="0"/>
    <pivotField axis="axisRow" showAll="0">
      <items count="32">
        <item m="1" x="18"/>
        <item m="1" x="30"/>
        <item m="1" x="5"/>
        <item m="1" x="28"/>
        <item m="1" x="26"/>
        <item m="1" x="9"/>
        <item m="1" x="29"/>
        <item m="1" x="22"/>
        <item m="1" x="11"/>
        <item m="1" x="6"/>
        <item m="1" x="15"/>
        <item m="1" x="17"/>
        <item m="1" x="21"/>
        <item m="1" x="23"/>
        <item m="1" x="25"/>
        <item m="1" x="19"/>
        <item m="1" x="14"/>
        <item m="1" x="10"/>
        <item m="1" x="8"/>
        <item m="1" x="2"/>
        <item m="1" x="24"/>
        <item m="1" x="13"/>
        <item m="1" x="7"/>
        <item m="1" x="27"/>
        <item m="1" x="20"/>
        <item m="1" x="4"/>
        <item m="1" x="12"/>
        <item m="1" x="3"/>
        <item x="1"/>
        <item m="1" x="1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 v="28"/>
    </i>
    <i>
      <x v="30"/>
    </i>
    <i t="grand">
      <x/>
    </i>
  </rowItems>
  <colItems count="1">
    <i/>
  </colItems>
  <dataFields count="1">
    <dataField name="Count of DRILL_ROD_ST68_SAND" fld="55" subtotal="count" baseField="0" baseItem="0"/>
  </dataFields>
  <formats count="1">
    <format dxfId="24">
      <pivotArea field="5" type="butto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FF67C-C31D-498D-96B7-CAE317A5AAD4}" name="PivotTable2" cacheId="2" applyNumberFormats="0" applyBorderFormats="0" applyFontFormats="0" applyPatternFormats="0" applyAlignmentFormats="0" applyWidthHeightFormats="1" dataCaption="Values" updatedVersion="6" minRefreshableVersion="3" useAutoFormatting="1" createdVersion="6" indent="0" outline="1" outlineData="1" multipleFieldFilters="0">
  <location ref="B409:C412" firstHeaderRow="1" firstDataRow="1" firstDataCol="1"/>
  <pivotFields count="68">
    <pivotField showAll="0"/>
    <pivotField showAll="0"/>
    <pivotField multipleItemSelectionAllowed="1" showAll="0"/>
    <pivotField showAll="0"/>
    <pivotField showAll="0"/>
    <pivotField axis="axisRow" showAll="0">
      <items count="32">
        <item m="1" x="18"/>
        <item m="1" x="30"/>
        <item m="1" x="5"/>
        <item m="1" x="28"/>
        <item m="1" x="26"/>
        <item m="1" x="9"/>
        <item m="1" x="29"/>
        <item m="1" x="22"/>
        <item m="1" x="11"/>
        <item m="1" x="6"/>
        <item m="1" x="15"/>
        <item m="1" x="17"/>
        <item m="1" x="21"/>
        <item m="1" x="23"/>
        <item m="1" x="25"/>
        <item m="1" x="19"/>
        <item m="1" x="14"/>
        <item m="1" x="10"/>
        <item m="1" x="8"/>
        <item m="1" x="2"/>
        <item m="1" x="24"/>
        <item m="1" x="13"/>
        <item m="1" x="7"/>
        <item m="1" x="27"/>
        <item m="1" x="20"/>
        <item m="1" x="4"/>
        <item m="1" x="12"/>
        <item m="1" x="3"/>
        <item x="1"/>
        <item m="1" x="1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 v="28"/>
    </i>
    <i>
      <x v="30"/>
    </i>
    <i t="grand">
      <x/>
    </i>
  </rowItems>
  <colItems count="1">
    <i/>
  </colItems>
  <dataFields count="1">
    <dataField name="Count of DRILL_ROD_ST68_SAND" fld="55" subtotal="count" baseField="0" baseItem="0"/>
  </dataFields>
  <formats count="1">
    <format dxfId="31">
      <pivotArea field="5" type="butto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3" dT="2026-07-17T07:29:22.42" personId="{320E301C-F5C5-466C-9595-D21F765C695D}" id="{74AB7E9D-C3F0-47F9-B187-84A3050393D8}">
    <text>MG</text>
  </threadedComment>
  <threadedComment ref="G34" dT="2026-07-17T07:29:22.42" personId="{320E301C-F5C5-466C-9595-D21F765C695D}" id="{AD66C991-DFA3-40F0-9E53-2888C13FA68B}">
    <text>MG</text>
  </threadedComment>
  <threadedComment ref="G38" dT="2026-07-20T06:15:57.39" personId="{320E301C-F5C5-466C-9595-D21F765C695D}" id="{34850948-4027-4FF9-ACAE-6807389C0492}">
    <text>Lius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7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1"/>
  <dimension ref="A1:I59"/>
  <sheetViews>
    <sheetView workbookViewId="0">
      <selection activeCell="E9" sqref="E9"/>
    </sheetView>
  </sheetViews>
  <sheetFormatPr defaultColWidth="9" defaultRowHeight="14.4"/>
  <cols>
    <col min="2" max="2" width="11.5546875" customWidth="1"/>
    <col min="3" max="6" width="13.88671875" customWidth="1"/>
    <col min="7" max="7" width="46.5546875" customWidth="1"/>
    <col min="8" max="8" width="14.44140625" customWidth="1"/>
    <col min="9" max="9" width="12.5546875" customWidth="1"/>
    <col min="12" max="12" width="13.44140625" customWidth="1"/>
    <col min="13" max="13" width="15" bestFit="1" customWidth="1"/>
    <col min="14" max="14" width="37.44140625" bestFit="1" customWidth="1"/>
  </cols>
  <sheetData>
    <row r="1" spans="1:9">
      <c r="A1" s="1" t="s">
        <v>5</v>
      </c>
      <c r="B1" s="1" t="s">
        <v>10</v>
      </c>
      <c r="C1" s="1" t="s">
        <v>15</v>
      </c>
      <c r="D1" s="1" t="s">
        <v>56</v>
      </c>
      <c r="E1" s="1" t="s">
        <v>57</v>
      </c>
      <c r="F1" s="1" t="s">
        <v>58</v>
      </c>
      <c r="G1" s="1" t="s">
        <v>16</v>
      </c>
      <c r="H1" s="1" t="s">
        <v>47</v>
      </c>
      <c r="I1" s="1" t="s">
        <v>17</v>
      </c>
    </row>
    <row r="2" spans="1:9" ht="15.6">
      <c r="A2" s="66" t="s">
        <v>78</v>
      </c>
      <c r="B2" s="2" t="s">
        <v>7</v>
      </c>
      <c r="C2" s="3" t="s">
        <v>18</v>
      </c>
      <c r="D2" s="2" t="s">
        <v>164</v>
      </c>
      <c r="E2" s="3" t="s">
        <v>147</v>
      </c>
      <c r="F2" s="3" t="s">
        <v>149</v>
      </c>
      <c r="G2" s="4" t="s">
        <v>20</v>
      </c>
      <c r="H2" s="4" t="s">
        <v>19</v>
      </c>
      <c r="I2" t="s">
        <v>7</v>
      </c>
    </row>
    <row r="3" spans="1:9" ht="31.2">
      <c r="A3" s="66" t="s">
        <v>140</v>
      </c>
      <c r="B3" s="2" t="s">
        <v>8</v>
      </c>
      <c r="C3" s="3" t="s">
        <v>88</v>
      </c>
      <c r="D3" s="2" t="s">
        <v>74</v>
      </c>
      <c r="E3" s="3" t="s">
        <v>148</v>
      </c>
      <c r="F3" s="3" t="s">
        <v>150</v>
      </c>
      <c r="G3" s="4" t="s">
        <v>21</v>
      </c>
      <c r="H3" s="4" t="s">
        <v>19</v>
      </c>
      <c r="I3" t="s">
        <v>7</v>
      </c>
    </row>
    <row r="4" spans="1:9" ht="15.6">
      <c r="B4" s="2"/>
      <c r="C4" s="3"/>
      <c r="D4" s="2" t="s">
        <v>75</v>
      </c>
      <c r="E4" s="3" t="s">
        <v>171</v>
      </c>
      <c r="F4" s="3"/>
      <c r="G4" s="4" t="s">
        <v>141</v>
      </c>
      <c r="H4" s="4" t="s">
        <v>19</v>
      </c>
      <c r="I4" t="s">
        <v>7</v>
      </c>
    </row>
    <row r="5" spans="1:9" ht="15.6">
      <c r="B5" s="2"/>
      <c r="C5" s="3"/>
      <c r="D5" s="2" t="s">
        <v>91</v>
      </c>
      <c r="E5" s="3"/>
      <c r="F5" s="3"/>
      <c r="G5" s="4" t="s">
        <v>142</v>
      </c>
      <c r="H5" s="4" t="s">
        <v>19</v>
      </c>
      <c r="I5" t="s">
        <v>7</v>
      </c>
    </row>
    <row r="6" spans="1:9" ht="15.6">
      <c r="B6" s="2"/>
      <c r="C6" s="2"/>
      <c r="D6" s="2" t="s">
        <v>76</v>
      </c>
      <c r="E6" s="2"/>
      <c r="F6" s="2"/>
      <c r="G6" s="4" t="s">
        <v>143</v>
      </c>
      <c r="H6" s="4" t="s">
        <v>19</v>
      </c>
      <c r="I6" t="s">
        <v>7</v>
      </c>
    </row>
    <row r="7" spans="1:9" ht="15.6">
      <c r="B7" s="2"/>
      <c r="C7" s="2"/>
      <c r="D7" s="2" t="s">
        <v>137</v>
      </c>
      <c r="E7" s="2"/>
      <c r="F7" s="2"/>
      <c r="G7" s="4" t="s">
        <v>154</v>
      </c>
      <c r="H7" s="4" t="s">
        <v>19</v>
      </c>
      <c r="I7" t="s">
        <v>7</v>
      </c>
    </row>
    <row r="8" spans="1:9" ht="15.6">
      <c r="B8" s="2"/>
      <c r="C8" s="2"/>
      <c r="D8" s="2" t="s">
        <v>138</v>
      </c>
      <c r="E8" s="2"/>
      <c r="F8" s="2"/>
      <c r="G8" s="4" t="s">
        <v>22</v>
      </c>
      <c r="H8" s="4" t="s">
        <v>19</v>
      </c>
      <c r="I8" t="s">
        <v>7</v>
      </c>
    </row>
    <row r="9" spans="1:9" ht="15.6">
      <c r="B9" s="2"/>
      <c r="C9" s="2"/>
      <c r="D9" s="2" t="s">
        <v>151</v>
      </c>
      <c r="E9" s="2"/>
      <c r="F9" s="2"/>
      <c r="G9" s="4" t="s">
        <v>23</v>
      </c>
      <c r="H9" s="4" t="s">
        <v>19</v>
      </c>
      <c r="I9" t="s">
        <v>7</v>
      </c>
    </row>
    <row r="10" spans="1:9" ht="15.6">
      <c r="B10" s="2"/>
      <c r="C10" s="2"/>
      <c r="D10" s="6" t="s">
        <v>163</v>
      </c>
      <c r="E10" s="2"/>
      <c r="F10" s="2"/>
      <c r="G10" s="4" t="s">
        <v>144</v>
      </c>
      <c r="H10" s="4" t="s">
        <v>19</v>
      </c>
      <c r="I10" t="s">
        <v>7</v>
      </c>
    </row>
    <row r="11" spans="1:9" ht="15.6">
      <c r="B11" s="2"/>
      <c r="C11" s="2"/>
      <c r="D11" s="2" t="s">
        <v>131</v>
      </c>
      <c r="E11" s="2"/>
      <c r="F11" s="2"/>
      <c r="G11" s="4" t="s">
        <v>24</v>
      </c>
      <c r="H11" s="4" t="s">
        <v>19</v>
      </c>
      <c r="I11" t="s">
        <v>7</v>
      </c>
    </row>
    <row r="12" spans="1:9" ht="15.6">
      <c r="B12" s="2"/>
      <c r="C12" s="2"/>
      <c r="D12" s="5" t="s">
        <v>162</v>
      </c>
      <c r="E12" s="2"/>
      <c r="F12" s="2"/>
      <c r="G12" s="4" t="s">
        <v>25</v>
      </c>
      <c r="H12" s="4" t="s">
        <v>19</v>
      </c>
      <c r="I12" t="s">
        <v>7</v>
      </c>
    </row>
    <row r="13" spans="1:9" ht="15.6">
      <c r="B13" s="2"/>
      <c r="C13" s="5"/>
      <c r="D13" s="6" t="s">
        <v>110</v>
      </c>
      <c r="E13" s="5"/>
      <c r="F13" s="5"/>
      <c r="G13" s="4" t="s">
        <v>26</v>
      </c>
      <c r="H13" s="4" t="s">
        <v>19</v>
      </c>
      <c r="I13" t="s">
        <v>7</v>
      </c>
    </row>
    <row r="14" spans="1:9" ht="15.6">
      <c r="B14" s="2"/>
      <c r="C14" s="6"/>
      <c r="D14" s="2" t="s">
        <v>119</v>
      </c>
      <c r="E14" s="6"/>
      <c r="F14" s="6"/>
      <c r="G14" s="4" t="s">
        <v>27</v>
      </c>
      <c r="H14" s="4" t="s">
        <v>19</v>
      </c>
      <c r="I14" t="s">
        <v>7</v>
      </c>
    </row>
    <row r="15" spans="1:9" ht="15.6">
      <c r="B15" s="2"/>
      <c r="C15" s="2"/>
      <c r="D15" s="6" t="s">
        <v>103</v>
      </c>
      <c r="E15" s="2"/>
      <c r="F15" s="2"/>
      <c r="G15" s="4" t="s">
        <v>28</v>
      </c>
      <c r="H15" s="4" t="s">
        <v>19</v>
      </c>
      <c r="I15" t="s">
        <v>7</v>
      </c>
    </row>
    <row r="16" spans="1:9" ht="15.6">
      <c r="B16" s="2"/>
      <c r="C16" s="6"/>
      <c r="D16" s="6" t="s">
        <v>156</v>
      </c>
      <c r="E16" s="6"/>
      <c r="F16" s="6"/>
      <c r="G16" s="4" t="s">
        <v>29</v>
      </c>
      <c r="H16" s="4" t="s">
        <v>19</v>
      </c>
      <c r="I16" t="s">
        <v>7</v>
      </c>
    </row>
    <row r="17" spans="2:9" ht="15.6">
      <c r="B17" s="2"/>
      <c r="C17" s="6"/>
      <c r="D17" s="6" t="s">
        <v>116</v>
      </c>
      <c r="E17" s="6"/>
      <c r="F17" s="6"/>
      <c r="G17" s="4" t="s">
        <v>30</v>
      </c>
      <c r="H17" s="4" t="s">
        <v>19</v>
      </c>
      <c r="I17" t="s">
        <v>7</v>
      </c>
    </row>
    <row r="18" spans="2:9" ht="15.6">
      <c r="B18" s="2"/>
      <c r="C18" s="6"/>
      <c r="D18" s="6" t="s">
        <v>157</v>
      </c>
      <c r="E18" s="6"/>
      <c r="F18" s="6"/>
      <c r="G18" s="4" t="s">
        <v>31</v>
      </c>
      <c r="H18" s="4" t="s">
        <v>19</v>
      </c>
      <c r="I18" t="s">
        <v>7</v>
      </c>
    </row>
    <row r="19" spans="2:9" ht="15.6">
      <c r="B19" s="2"/>
      <c r="C19" s="6"/>
      <c r="D19" s="6" t="s">
        <v>158</v>
      </c>
      <c r="E19" s="6"/>
      <c r="F19" s="6"/>
      <c r="G19" s="4" t="s">
        <v>32</v>
      </c>
      <c r="H19" s="4" t="s">
        <v>19</v>
      </c>
      <c r="I19" t="s">
        <v>7</v>
      </c>
    </row>
    <row r="20" spans="2:9" ht="15.6">
      <c r="B20" s="2"/>
      <c r="C20" s="2"/>
      <c r="D20" s="2" t="s">
        <v>161</v>
      </c>
      <c r="E20" s="2"/>
      <c r="F20" s="2"/>
      <c r="G20" s="4" t="s">
        <v>33</v>
      </c>
      <c r="H20" s="4" t="s">
        <v>19</v>
      </c>
      <c r="I20" t="s">
        <v>7</v>
      </c>
    </row>
    <row r="21" spans="2:9" ht="15.6">
      <c r="D21" s="6" t="s">
        <v>165</v>
      </c>
      <c r="G21" s="4" t="s">
        <v>34</v>
      </c>
      <c r="H21" s="4" t="s">
        <v>19</v>
      </c>
      <c r="I21" t="s">
        <v>7</v>
      </c>
    </row>
    <row r="22" spans="2:9" ht="15.6">
      <c r="D22" s="6" t="s">
        <v>108</v>
      </c>
      <c r="G22" s="4" t="s">
        <v>35</v>
      </c>
      <c r="H22" s="4" t="s">
        <v>19</v>
      </c>
      <c r="I22" t="s">
        <v>7</v>
      </c>
    </row>
    <row r="23" spans="2:9" ht="15.6">
      <c r="D23" s="95" t="s">
        <v>167</v>
      </c>
      <c r="G23" s="4" t="s">
        <v>145</v>
      </c>
      <c r="H23" s="4" t="s">
        <v>19</v>
      </c>
      <c r="I23" t="s">
        <v>7</v>
      </c>
    </row>
    <row r="24" spans="2:9" ht="15.6">
      <c r="D24" s="6" t="s">
        <v>168</v>
      </c>
      <c r="G24" s="4"/>
      <c r="H24" s="4"/>
    </row>
    <row r="25" spans="2:9" ht="15.6">
      <c r="D25" s="6" t="s">
        <v>169</v>
      </c>
      <c r="G25" s="4" t="s">
        <v>36</v>
      </c>
      <c r="H25" s="4" t="s">
        <v>19</v>
      </c>
      <c r="I25" t="s">
        <v>7</v>
      </c>
    </row>
    <row r="26" spans="2:9" ht="15.6">
      <c r="G26" s="4" t="s">
        <v>37</v>
      </c>
      <c r="H26" s="4" t="s">
        <v>19</v>
      </c>
      <c r="I26" t="s">
        <v>7</v>
      </c>
    </row>
    <row r="27" spans="2:9" ht="15.6">
      <c r="G27" s="4"/>
      <c r="H27" s="4"/>
    </row>
    <row r="28" spans="2:9">
      <c r="G28" s="7" t="s">
        <v>39</v>
      </c>
      <c r="H28" s="7" t="s">
        <v>38</v>
      </c>
      <c r="I28" t="s">
        <v>7</v>
      </c>
    </row>
    <row r="29" spans="2:9">
      <c r="G29" t="s">
        <v>40</v>
      </c>
      <c r="H29" t="s">
        <v>38</v>
      </c>
      <c r="I29" t="s">
        <v>7</v>
      </c>
    </row>
    <row r="31" spans="2:9">
      <c r="G31" t="s">
        <v>42</v>
      </c>
      <c r="H31" t="s">
        <v>41</v>
      </c>
      <c r="I31" t="s">
        <v>7</v>
      </c>
    </row>
    <row r="32" spans="2:9">
      <c r="G32" t="s">
        <v>43</v>
      </c>
      <c r="H32" t="s">
        <v>41</v>
      </c>
      <c r="I32" t="s">
        <v>7</v>
      </c>
    </row>
    <row r="33" spans="7:9">
      <c r="G33" t="s">
        <v>44</v>
      </c>
      <c r="H33" t="s">
        <v>41</v>
      </c>
      <c r="I33" t="s">
        <v>7</v>
      </c>
    </row>
    <row r="34" spans="7:9">
      <c r="G34" t="s">
        <v>45</v>
      </c>
      <c r="H34" t="s">
        <v>41</v>
      </c>
      <c r="I34" t="s">
        <v>7</v>
      </c>
    </row>
    <row r="35" spans="7:9">
      <c r="G35" t="s">
        <v>46</v>
      </c>
      <c r="H35" t="s">
        <v>41</v>
      </c>
      <c r="I35" t="s">
        <v>7</v>
      </c>
    </row>
    <row r="36" spans="7:9">
      <c r="G36" t="s">
        <v>44</v>
      </c>
      <c r="H36" t="s">
        <v>146</v>
      </c>
      <c r="I36" t="s">
        <v>7</v>
      </c>
    </row>
    <row r="37" spans="7:9">
      <c r="G37" t="s">
        <v>45</v>
      </c>
      <c r="H37" t="s">
        <v>146</v>
      </c>
      <c r="I37" t="s">
        <v>7</v>
      </c>
    </row>
    <row r="38" spans="7:9">
      <c r="G38" t="s">
        <v>46</v>
      </c>
      <c r="H38" t="s">
        <v>146</v>
      </c>
      <c r="I38" t="s">
        <v>7</v>
      </c>
    </row>
    <row r="41" spans="7:9">
      <c r="H41" s="65" t="s">
        <v>62</v>
      </c>
    </row>
    <row r="42" spans="7:9">
      <c r="H42">
        <v>6.2</v>
      </c>
      <c r="I42" s="65" t="s">
        <v>61</v>
      </c>
    </row>
    <row r="43" spans="7:9">
      <c r="H43">
        <v>18</v>
      </c>
    </row>
    <row r="44" spans="7:9">
      <c r="I44">
        <f>H43*H42</f>
        <v>111.60000000000001</v>
      </c>
    </row>
    <row r="47" spans="7:9">
      <c r="H47" s="65" t="s">
        <v>63</v>
      </c>
    </row>
    <row r="48" spans="7:9">
      <c r="H48">
        <v>5.8</v>
      </c>
      <c r="I48" s="65" t="s">
        <v>61</v>
      </c>
    </row>
    <row r="49" spans="8:9">
      <c r="H49">
        <v>3</v>
      </c>
    </row>
    <row r="50" spans="8:9">
      <c r="I50">
        <f>H48*H49</f>
        <v>17.399999999999999</v>
      </c>
    </row>
    <row r="53" spans="8:9">
      <c r="H53" s="65" t="s">
        <v>63</v>
      </c>
    </row>
    <row r="54" spans="8:9">
      <c r="H54">
        <v>5.8</v>
      </c>
      <c r="I54" s="65" t="s">
        <v>61</v>
      </c>
    </row>
    <row r="55" spans="8:9">
      <c r="H55">
        <v>14</v>
      </c>
    </row>
    <row r="56" spans="8:9">
      <c r="I56">
        <f>H54*H55</f>
        <v>81.2</v>
      </c>
    </row>
    <row r="59" spans="8:9">
      <c r="I59">
        <f>I56+I50+I44</f>
        <v>210.2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42C1B-9B6B-4058-BFF8-EEAB220BF93E}">
  <dimension ref="A1:CP453"/>
  <sheetViews>
    <sheetView topLeftCell="E6" zoomScale="60" zoomScaleNormal="60" workbookViewId="0">
      <selection activeCell="G24" sqref="G24"/>
    </sheetView>
  </sheetViews>
  <sheetFormatPr defaultColWidth="8.88671875" defaultRowHeight="18" outlineLevelRow="1"/>
  <cols>
    <col min="1" max="1" width="8.88671875" style="13"/>
    <col min="2" max="2" width="17.88671875" style="14" customWidth="1"/>
    <col min="3" max="3" width="31.5546875" style="14" customWidth="1"/>
    <col min="4" max="4" width="29.109375" style="14" customWidth="1"/>
    <col min="5" max="6" width="16.6640625" style="14" customWidth="1"/>
    <col min="7" max="7" width="32.5546875" style="14" customWidth="1"/>
    <col min="8" max="8" width="31.109375" style="14" customWidth="1"/>
    <col min="9" max="9" width="27.88671875" style="14" customWidth="1"/>
    <col min="10" max="10" width="30.109375" style="13" customWidth="1"/>
    <col min="11" max="22" width="25.33203125" style="13" customWidth="1"/>
    <col min="23" max="25" width="32.6640625" style="13" customWidth="1"/>
    <col min="26" max="27" width="34.109375" style="13" customWidth="1"/>
    <col min="28" max="31" width="25.33203125" style="13" customWidth="1"/>
    <col min="32" max="32" width="34.109375" style="13" bestFit="1" customWidth="1"/>
    <col min="33" max="34" width="25.33203125" style="13" customWidth="1"/>
    <col min="35" max="16384" width="8.88671875" style="13"/>
  </cols>
  <sheetData>
    <row r="1" spans="2:34" ht="27" customHeight="1">
      <c r="E1" s="108" t="s">
        <v>60</v>
      </c>
      <c r="F1" s="108"/>
      <c r="G1" s="108"/>
      <c r="H1" s="16"/>
      <c r="I1" s="50"/>
      <c r="J1" s="58">
        <v>308.10000000000002</v>
      </c>
      <c r="K1" s="59">
        <v>45.12</v>
      </c>
      <c r="L1" s="59">
        <v>68</v>
      </c>
      <c r="M1" s="59">
        <v>61.09</v>
      </c>
      <c r="N1" s="59">
        <v>61.09</v>
      </c>
      <c r="O1" s="59">
        <v>61.09</v>
      </c>
      <c r="P1" s="59">
        <v>498.85</v>
      </c>
      <c r="Q1" s="59">
        <v>513.01</v>
      </c>
      <c r="R1" s="59">
        <v>639</v>
      </c>
      <c r="S1" s="59">
        <v>443.78</v>
      </c>
      <c r="T1" s="59">
        <v>317.43</v>
      </c>
      <c r="U1" s="59">
        <v>184.75</v>
      </c>
      <c r="V1" s="59">
        <v>276.63</v>
      </c>
      <c r="W1" s="59">
        <v>439.59</v>
      </c>
      <c r="X1" s="59">
        <v>794.42</v>
      </c>
      <c r="Y1" s="59">
        <v>726.72</v>
      </c>
      <c r="Z1" s="59">
        <v>66.52</v>
      </c>
      <c r="AA1" s="59">
        <v>78.930000000000007</v>
      </c>
      <c r="AB1" s="59">
        <v>108.19</v>
      </c>
      <c r="AC1" s="59">
        <v>94.13</v>
      </c>
      <c r="AD1" s="59">
        <v>343.33</v>
      </c>
      <c r="AE1" s="59">
        <v>136.44</v>
      </c>
      <c r="AF1" s="59">
        <v>69.959999999999994</v>
      </c>
      <c r="AG1" s="59">
        <v>96.3</v>
      </c>
      <c r="AH1" s="60">
        <v>96.3</v>
      </c>
    </row>
    <row r="2" spans="2:34" ht="27" customHeight="1">
      <c r="E2" s="108" t="s">
        <v>59</v>
      </c>
      <c r="F2" s="108"/>
      <c r="G2" s="108"/>
      <c r="H2" s="51">
        <f>SUM(J2:AH2)</f>
        <v>1880.7300000000002</v>
      </c>
      <c r="I2" s="50"/>
      <c r="J2" s="61">
        <f>J1*J3</f>
        <v>924.30000000000007</v>
      </c>
      <c r="K2" s="62">
        <f t="shared" ref="K2:AH2" si="0">K1*K3</f>
        <v>0</v>
      </c>
      <c r="L2" s="62">
        <f t="shared" si="0"/>
        <v>0</v>
      </c>
      <c r="M2" s="62">
        <f t="shared" si="0"/>
        <v>0</v>
      </c>
      <c r="N2" s="62">
        <f t="shared" si="0"/>
        <v>0</v>
      </c>
      <c r="O2" s="62">
        <f t="shared" si="0"/>
        <v>0</v>
      </c>
      <c r="P2" s="62">
        <f t="shared" si="0"/>
        <v>0</v>
      </c>
      <c r="Q2" s="62">
        <f t="shared" si="0"/>
        <v>0</v>
      </c>
      <c r="R2" s="62">
        <f t="shared" si="0"/>
        <v>639</v>
      </c>
      <c r="S2" s="62">
        <f t="shared" si="0"/>
        <v>0</v>
      </c>
      <c r="T2" s="62">
        <f t="shared" si="0"/>
        <v>317.43</v>
      </c>
      <c r="U2" s="62">
        <f t="shared" si="0"/>
        <v>0</v>
      </c>
      <c r="V2" s="62">
        <f t="shared" si="0"/>
        <v>0</v>
      </c>
      <c r="W2" s="62">
        <f t="shared" si="0"/>
        <v>0</v>
      </c>
      <c r="X2" s="62">
        <f t="shared" si="0"/>
        <v>0</v>
      </c>
      <c r="Y2" s="62">
        <f t="shared" si="0"/>
        <v>0</v>
      </c>
      <c r="Z2" s="62">
        <f t="shared" si="0"/>
        <v>0</v>
      </c>
      <c r="AA2" s="62">
        <f t="shared" si="0"/>
        <v>0</v>
      </c>
      <c r="AB2" s="62">
        <f t="shared" si="0"/>
        <v>0</v>
      </c>
      <c r="AC2" s="62">
        <f t="shared" si="0"/>
        <v>0</v>
      </c>
      <c r="AD2" s="62">
        <f t="shared" si="0"/>
        <v>0</v>
      </c>
      <c r="AE2" s="62">
        <f t="shared" si="0"/>
        <v>0</v>
      </c>
      <c r="AF2" s="62">
        <f t="shared" si="0"/>
        <v>0</v>
      </c>
      <c r="AG2" s="63">
        <f t="shared" si="0"/>
        <v>0</v>
      </c>
      <c r="AH2" s="64">
        <f t="shared" si="0"/>
        <v>0</v>
      </c>
    </row>
    <row r="3" spans="2:34" s="8" customFormat="1" ht="36.6" customHeight="1">
      <c r="B3" s="16"/>
      <c r="C3" s="16"/>
      <c r="D3" s="16"/>
      <c r="E3" s="16"/>
      <c r="F3" s="16"/>
      <c r="G3" s="16"/>
      <c r="H3" s="16"/>
      <c r="I3" s="16"/>
      <c r="J3" s="52">
        <f t="shared" ref="J3:AG3" si="1">SUM(J6:J417)</f>
        <v>3</v>
      </c>
      <c r="K3" s="53">
        <f t="shared" si="1"/>
        <v>0</v>
      </c>
      <c r="L3" s="54">
        <f t="shared" si="1"/>
        <v>0</v>
      </c>
      <c r="M3" s="54">
        <f t="shared" si="1"/>
        <v>0</v>
      </c>
      <c r="N3" s="54">
        <f t="shared" si="1"/>
        <v>0</v>
      </c>
      <c r="O3" s="55">
        <f t="shared" si="1"/>
        <v>0</v>
      </c>
      <c r="P3" s="53">
        <f t="shared" si="1"/>
        <v>0</v>
      </c>
      <c r="Q3" s="54">
        <f t="shared" si="1"/>
        <v>0</v>
      </c>
      <c r="R3" s="55">
        <f t="shared" si="1"/>
        <v>1</v>
      </c>
      <c r="S3" s="53">
        <f t="shared" si="1"/>
        <v>0</v>
      </c>
      <c r="T3" s="54">
        <f t="shared" si="1"/>
        <v>1</v>
      </c>
      <c r="U3" s="54">
        <f t="shared" si="1"/>
        <v>0</v>
      </c>
      <c r="V3" s="55">
        <f t="shared" si="1"/>
        <v>0</v>
      </c>
      <c r="W3" s="56">
        <f t="shared" si="1"/>
        <v>0</v>
      </c>
      <c r="X3" s="53">
        <f t="shared" si="1"/>
        <v>0</v>
      </c>
      <c r="Y3" s="55">
        <f t="shared" si="1"/>
        <v>0</v>
      </c>
      <c r="Z3" s="52">
        <f t="shared" si="1"/>
        <v>0</v>
      </c>
      <c r="AA3" s="53">
        <f t="shared" si="1"/>
        <v>0</v>
      </c>
      <c r="AB3" s="54">
        <f t="shared" si="1"/>
        <v>0</v>
      </c>
      <c r="AC3" s="55">
        <f t="shared" si="1"/>
        <v>0</v>
      </c>
      <c r="AD3" s="53">
        <f t="shared" si="1"/>
        <v>0</v>
      </c>
      <c r="AE3" s="55">
        <f t="shared" si="1"/>
        <v>0</v>
      </c>
      <c r="AF3" s="56">
        <f t="shared" si="1"/>
        <v>0</v>
      </c>
      <c r="AG3" s="53">
        <f t="shared" si="1"/>
        <v>0</v>
      </c>
      <c r="AH3" s="55">
        <f>SUM(AH6:AH417)</f>
        <v>0</v>
      </c>
    </row>
    <row r="4" spans="2:34" s="40" customFormat="1" ht="21">
      <c r="B4" s="38"/>
      <c r="C4" s="38"/>
      <c r="D4" s="38"/>
      <c r="E4" s="38"/>
      <c r="F4" s="38"/>
      <c r="G4" s="38"/>
      <c r="H4" s="38"/>
      <c r="I4" s="38"/>
      <c r="J4" s="48" t="s">
        <v>2</v>
      </c>
      <c r="K4" s="105" t="s">
        <v>48</v>
      </c>
      <c r="L4" s="106"/>
      <c r="M4" s="106"/>
      <c r="N4" s="106"/>
      <c r="O4" s="107"/>
      <c r="P4" s="109" t="s">
        <v>49</v>
      </c>
      <c r="Q4" s="111"/>
      <c r="R4" s="110"/>
      <c r="S4" s="105" t="s">
        <v>51</v>
      </c>
      <c r="T4" s="106"/>
      <c r="U4" s="106"/>
      <c r="V4" s="107"/>
      <c r="W4" s="41" t="s">
        <v>50</v>
      </c>
      <c r="X4" s="105" t="s">
        <v>52</v>
      </c>
      <c r="Y4" s="107"/>
      <c r="Z4" s="49" t="s">
        <v>53</v>
      </c>
      <c r="AA4" s="105" t="s">
        <v>54</v>
      </c>
      <c r="AB4" s="106"/>
      <c r="AC4" s="107"/>
      <c r="AD4" s="109" t="s">
        <v>55</v>
      </c>
      <c r="AE4" s="110"/>
      <c r="AF4" s="39" t="s">
        <v>3</v>
      </c>
      <c r="AG4" s="109" t="s">
        <v>4</v>
      </c>
      <c r="AH4" s="110"/>
    </row>
    <row r="5" spans="2:34" ht="94.95" customHeight="1">
      <c r="B5" s="17" t="s">
        <v>0</v>
      </c>
      <c r="C5" s="17" t="s">
        <v>9</v>
      </c>
      <c r="D5" s="17" t="s">
        <v>10</v>
      </c>
      <c r="E5" s="17" t="s">
        <v>5</v>
      </c>
      <c r="F5" s="17" t="s">
        <v>1</v>
      </c>
      <c r="G5" s="17" t="s">
        <v>56</v>
      </c>
      <c r="H5" s="17" t="s">
        <v>57</v>
      </c>
      <c r="I5" s="36" t="s">
        <v>58</v>
      </c>
      <c r="J5" s="42" t="s">
        <v>20</v>
      </c>
      <c r="K5" s="17" t="s">
        <v>42</v>
      </c>
      <c r="L5" s="17" t="s">
        <v>43</v>
      </c>
      <c r="M5" s="17" t="s">
        <v>44</v>
      </c>
      <c r="N5" s="17" t="s">
        <v>45</v>
      </c>
      <c r="O5" s="17" t="s">
        <v>46</v>
      </c>
      <c r="P5" s="42" t="s">
        <v>29</v>
      </c>
      <c r="Q5" s="42" t="s">
        <v>30</v>
      </c>
      <c r="R5" s="42" t="s">
        <v>31</v>
      </c>
      <c r="S5" s="17" t="s">
        <v>28</v>
      </c>
      <c r="T5" s="37" t="s">
        <v>68</v>
      </c>
      <c r="U5" s="37" t="s">
        <v>34</v>
      </c>
      <c r="V5" s="37" t="s">
        <v>35</v>
      </c>
      <c r="W5" s="42" t="s">
        <v>33</v>
      </c>
      <c r="X5" s="17" t="s">
        <v>39</v>
      </c>
      <c r="Y5" s="17" t="s">
        <v>40</v>
      </c>
      <c r="Z5" s="45" t="s">
        <v>22</v>
      </c>
      <c r="AA5" s="37" t="s">
        <v>23</v>
      </c>
      <c r="AB5" s="37" t="s">
        <v>24</v>
      </c>
      <c r="AC5" s="37" t="s">
        <v>25</v>
      </c>
      <c r="AD5" s="45" t="s">
        <v>26</v>
      </c>
      <c r="AE5" s="45" t="s">
        <v>27</v>
      </c>
      <c r="AF5" s="17" t="s">
        <v>21</v>
      </c>
      <c r="AG5" s="42" t="s">
        <v>36</v>
      </c>
      <c r="AH5" s="42" t="s">
        <v>37</v>
      </c>
    </row>
    <row r="6" spans="2:34" s="14" customFormat="1" ht="41.25" customHeight="1">
      <c r="B6" s="18">
        <v>46024</v>
      </c>
      <c r="C6" s="57">
        <f t="shared" ref="C6:C69" si="2">IF(B6="","",MONTH(B6))</f>
        <v>1</v>
      </c>
      <c r="D6" s="18" t="e">
        <f>VLOOKUP(F6,LOOKUP!$C$2:$C$8,2,0)</f>
        <v>#REF!</v>
      </c>
      <c r="E6" s="18" t="s">
        <v>64</v>
      </c>
      <c r="F6" s="18" t="s">
        <v>18</v>
      </c>
      <c r="G6" s="19" t="s">
        <v>65</v>
      </c>
      <c r="H6" s="19" t="s">
        <v>66</v>
      </c>
      <c r="I6" s="19" t="s">
        <v>67</v>
      </c>
      <c r="J6" s="43">
        <v>3</v>
      </c>
      <c r="K6" s="15"/>
      <c r="L6" s="15"/>
      <c r="M6" s="15"/>
      <c r="N6" s="15"/>
      <c r="O6" s="15"/>
      <c r="P6" s="43"/>
      <c r="Q6" s="43"/>
      <c r="R6" s="43">
        <v>1</v>
      </c>
      <c r="S6" s="15"/>
      <c r="T6" s="15">
        <v>1</v>
      </c>
      <c r="U6" s="15"/>
      <c r="V6" s="15"/>
      <c r="W6" s="43"/>
      <c r="X6" s="15"/>
      <c r="Y6" s="15"/>
      <c r="Z6" s="43"/>
      <c r="AA6" s="15"/>
      <c r="AB6" s="15"/>
      <c r="AC6" s="15"/>
      <c r="AD6" s="43"/>
      <c r="AE6" s="43"/>
      <c r="AF6" s="15"/>
      <c r="AG6" s="43"/>
      <c r="AH6" s="43"/>
    </row>
    <row r="7" spans="2:34" s="14" customFormat="1" ht="41.25" customHeight="1">
      <c r="B7" s="18"/>
      <c r="C7" s="57" t="str">
        <f t="shared" si="2"/>
        <v/>
      </c>
      <c r="D7" s="18" t="e">
        <f>VLOOKUP(F7,LOOKUP!$C$2:$C$8,2,0)</f>
        <v>#N/A</v>
      </c>
      <c r="E7" s="18"/>
      <c r="F7" s="18"/>
      <c r="G7" s="19"/>
      <c r="H7" s="19"/>
      <c r="I7" s="19"/>
      <c r="J7" s="43"/>
      <c r="K7" s="15"/>
      <c r="L7" s="15"/>
      <c r="M7" s="15"/>
      <c r="N7" s="15"/>
      <c r="O7" s="15"/>
      <c r="P7" s="43"/>
      <c r="Q7" s="43"/>
      <c r="R7" s="43"/>
      <c r="S7" s="15"/>
      <c r="T7" s="15"/>
      <c r="U7" s="15"/>
      <c r="V7" s="15"/>
      <c r="W7" s="43"/>
      <c r="X7" s="15"/>
      <c r="Y7" s="15"/>
      <c r="Z7" s="43"/>
      <c r="AA7" s="15"/>
      <c r="AB7" s="15"/>
      <c r="AC7" s="15"/>
      <c r="AD7" s="43"/>
      <c r="AE7" s="43"/>
      <c r="AF7" s="15"/>
      <c r="AG7" s="43"/>
      <c r="AH7" s="43"/>
    </row>
    <row r="8" spans="2:34" s="14" customFormat="1" ht="41.25" customHeight="1">
      <c r="B8" s="18"/>
      <c r="C8" s="57" t="str">
        <f t="shared" si="2"/>
        <v/>
      </c>
      <c r="D8" s="18" t="e">
        <f>VLOOKUP(F8,LOOKUP!$C$2:$C$8,2,0)</f>
        <v>#N/A</v>
      </c>
      <c r="E8" s="18"/>
      <c r="F8" s="18"/>
      <c r="G8" s="19"/>
      <c r="H8" s="19"/>
      <c r="I8" s="19"/>
      <c r="J8" s="43"/>
      <c r="K8" s="15"/>
      <c r="L8" s="15"/>
      <c r="M8" s="15"/>
      <c r="N8" s="15"/>
      <c r="O8" s="15"/>
      <c r="P8" s="43"/>
      <c r="Q8" s="43"/>
      <c r="R8" s="43"/>
      <c r="S8" s="15"/>
      <c r="T8" s="15"/>
      <c r="U8" s="15"/>
      <c r="V8" s="15"/>
      <c r="W8" s="43"/>
      <c r="X8" s="15"/>
      <c r="Y8" s="15"/>
      <c r="Z8" s="43"/>
      <c r="AA8" s="15"/>
      <c r="AB8" s="15"/>
      <c r="AC8" s="15"/>
      <c r="AD8" s="43"/>
      <c r="AE8" s="43"/>
      <c r="AF8" s="15"/>
      <c r="AG8" s="43"/>
      <c r="AH8" s="43"/>
    </row>
    <row r="9" spans="2:34" s="14" customFormat="1" ht="41.25" customHeight="1">
      <c r="B9" s="18"/>
      <c r="C9" s="57" t="str">
        <f t="shared" si="2"/>
        <v/>
      </c>
      <c r="D9" s="18" t="e">
        <f>VLOOKUP(F9,LOOKUP!$C$2:$C$8,2,0)</f>
        <v>#N/A</v>
      </c>
      <c r="E9" s="18"/>
      <c r="F9" s="20"/>
      <c r="G9" s="19"/>
      <c r="H9" s="19"/>
      <c r="I9" s="19"/>
      <c r="J9" s="43"/>
      <c r="K9" s="15"/>
      <c r="L9" s="15"/>
      <c r="M9" s="15"/>
      <c r="N9" s="15"/>
      <c r="O9" s="15"/>
      <c r="P9" s="43"/>
      <c r="Q9" s="43"/>
      <c r="R9" s="43"/>
      <c r="S9" s="15"/>
      <c r="T9" s="15"/>
      <c r="U9" s="15"/>
      <c r="V9" s="15"/>
      <c r="W9" s="43"/>
      <c r="X9" s="15"/>
      <c r="Y9" s="15"/>
      <c r="Z9" s="43"/>
      <c r="AA9" s="15"/>
      <c r="AB9" s="15"/>
      <c r="AC9" s="15"/>
      <c r="AD9" s="43"/>
      <c r="AE9" s="43"/>
      <c r="AF9" s="15"/>
      <c r="AG9" s="43"/>
      <c r="AH9" s="43"/>
    </row>
    <row r="10" spans="2:34" s="14" customFormat="1" ht="41.25" customHeight="1">
      <c r="B10" s="18"/>
      <c r="C10" s="57" t="str">
        <f t="shared" si="2"/>
        <v/>
      </c>
      <c r="D10" s="18" t="e">
        <f>VLOOKUP(F10,LOOKUP!$C$2:$C$8,2,0)</f>
        <v>#N/A</v>
      </c>
      <c r="E10" s="18"/>
      <c r="F10" s="15"/>
      <c r="G10" s="19"/>
      <c r="H10" s="19"/>
      <c r="I10" s="19"/>
      <c r="J10" s="43"/>
      <c r="K10" s="15"/>
      <c r="L10" s="15"/>
      <c r="M10" s="15"/>
      <c r="N10" s="15"/>
      <c r="O10" s="15"/>
      <c r="P10" s="43"/>
      <c r="Q10" s="43"/>
      <c r="R10" s="43"/>
      <c r="S10" s="15"/>
      <c r="T10" s="15"/>
      <c r="U10" s="15"/>
      <c r="V10" s="15"/>
      <c r="W10" s="43"/>
      <c r="X10" s="15"/>
      <c r="Y10" s="15"/>
      <c r="Z10" s="43"/>
      <c r="AA10" s="15"/>
      <c r="AB10" s="15"/>
      <c r="AC10" s="15"/>
      <c r="AD10" s="43"/>
      <c r="AE10" s="43"/>
      <c r="AF10" s="15"/>
      <c r="AG10" s="43"/>
      <c r="AH10" s="43"/>
    </row>
    <row r="11" spans="2:34" s="14" customFormat="1" ht="41.25" customHeight="1">
      <c r="B11" s="18"/>
      <c r="C11" s="57" t="str">
        <f t="shared" si="2"/>
        <v/>
      </c>
      <c r="D11" s="18" t="e">
        <f>VLOOKUP(F11,LOOKUP!$C$2:$C$8,2,0)</f>
        <v>#N/A</v>
      </c>
      <c r="E11" s="18"/>
      <c r="F11" s="18"/>
      <c r="G11" s="19"/>
      <c r="H11" s="19"/>
      <c r="I11" s="19"/>
      <c r="J11" s="43"/>
      <c r="K11" s="15"/>
      <c r="L11" s="15"/>
      <c r="M11" s="15"/>
      <c r="N11" s="15"/>
      <c r="O11" s="15"/>
      <c r="P11" s="43"/>
      <c r="Q11" s="43"/>
      <c r="R11" s="43"/>
      <c r="S11" s="15"/>
      <c r="T11" s="15"/>
      <c r="U11" s="15"/>
      <c r="V11" s="15"/>
      <c r="W11" s="43"/>
      <c r="X11" s="15"/>
      <c r="Y11" s="15"/>
      <c r="Z11" s="43"/>
      <c r="AA11" s="15"/>
      <c r="AB11" s="15"/>
      <c r="AC11" s="15"/>
      <c r="AD11" s="43"/>
      <c r="AE11" s="43"/>
      <c r="AF11" s="15"/>
      <c r="AG11" s="43"/>
      <c r="AH11" s="43"/>
    </row>
    <row r="12" spans="2:34" s="14" customFormat="1" ht="41.25" customHeight="1">
      <c r="B12" s="18"/>
      <c r="C12" s="57" t="str">
        <f t="shared" si="2"/>
        <v/>
      </c>
      <c r="D12" s="18" t="e">
        <f>VLOOKUP(F12,LOOKUP!$C$2:$C$8,2,0)</f>
        <v>#N/A</v>
      </c>
      <c r="E12" s="18"/>
      <c r="F12" s="19"/>
      <c r="G12" s="19"/>
      <c r="H12" s="19"/>
      <c r="I12" s="19"/>
      <c r="J12" s="44"/>
      <c r="K12" s="19"/>
      <c r="L12" s="19"/>
      <c r="M12" s="19"/>
      <c r="N12" s="19"/>
      <c r="O12" s="19"/>
      <c r="P12" s="44"/>
      <c r="Q12" s="44"/>
      <c r="R12" s="44"/>
      <c r="S12" s="19"/>
      <c r="T12" s="19"/>
      <c r="U12" s="19"/>
      <c r="V12" s="19"/>
      <c r="W12" s="44"/>
      <c r="X12" s="19"/>
      <c r="Y12" s="19"/>
      <c r="Z12" s="44"/>
      <c r="AA12" s="19"/>
      <c r="AB12" s="19"/>
      <c r="AC12" s="19"/>
      <c r="AD12" s="44"/>
      <c r="AE12" s="44"/>
      <c r="AF12" s="19"/>
      <c r="AG12" s="44"/>
      <c r="AH12" s="44"/>
    </row>
    <row r="13" spans="2:34" s="14" customFormat="1" ht="41.25" customHeight="1">
      <c r="B13" s="18"/>
      <c r="C13" s="57" t="str">
        <f t="shared" si="2"/>
        <v/>
      </c>
      <c r="D13" s="18" t="e">
        <f>VLOOKUP(F13,LOOKUP!$C$2:$C$8,2,0)</f>
        <v>#N/A</v>
      </c>
      <c r="E13" s="18"/>
      <c r="F13" s="15"/>
      <c r="G13" s="19"/>
      <c r="H13" s="19"/>
      <c r="I13" s="19"/>
      <c r="J13" s="43"/>
      <c r="K13" s="15"/>
      <c r="L13" s="15"/>
      <c r="M13" s="15"/>
      <c r="N13" s="15"/>
      <c r="O13" s="15"/>
      <c r="P13" s="43"/>
      <c r="Q13" s="43"/>
      <c r="R13" s="43"/>
      <c r="S13" s="15"/>
      <c r="T13" s="15"/>
      <c r="U13" s="15"/>
      <c r="V13" s="15"/>
      <c r="W13" s="43"/>
      <c r="X13" s="15"/>
      <c r="Y13" s="15"/>
      <c r="Z13" s="43"/>
      <c r="AA13" s="15"/>
      <c r="AB13" s="15"/>
      <c r="AC13" s="15"/>
      <c r="AD13" s="43"/>
      <c r="AE13" s="43"/>
      <c r="AF13" s="15"/>
      <c r="AG13" s="43"/>
      <c r="AH13" s="43"/>
    </row>
    <row r="14" spans="2:34" s="14" customFormat="1" ht="41.25" customHeight="1">
      <c r="B14" s="18"/>
      <c r="C14" s="57" t="str">
        <f t="shared" si="2"/>
        <v/>
      </c>
      <c r="D14" s="18" t="e">
        <f>VLOOKUP(F14,LOOKUP!$C$2:$C$8,2,0)</f>
        <v>#N/A</v>
      </c>
      <c r="E14" s="18"/>
      <c r="F14" s="15"/>
      <c r="G14" s="19"/>
      <c r="H14" s="19"/>
      <c r="I14" s="19"/>
      <c r="J14" s="43"/>
      <c r="K14" s="15"/>
      <c r="L14" s="15"/>
      <c r="M14" s="15"/>
      <c r="N14" s="15"/>
      <c r="O14" s="15"/>
      <c r="P14" s="43"/>
      <c r="Q14" s="43"/>
      <c r="R14" s="43"/>
      <c r="S14" s="15"/>
      <c r="T14" s="15"/>
      <c r="U14" s="15"/>
      <c r="V14" s="15"/>
      <c r="W14" s="43"/>
      <c r="X14" s="15"/>
      <c r="Y14" s="15"/>
      <c r="Z14" s="43"/>
      <c r="AA14" s="15"/>
      <c r="AB14" s="15"/>
      <c r="AC14" s="15"/>
      <c r="AD14" s="43"/>
      <c r="AE14" s="43"/>
      <c r="AF14" s="15"/>
      <c r="AG14" s="43"/>
      <c r="AH14" s="43"/>
    </row>
    <row r="15" spans="2:34" s="14" customFormat="1" ht="41.25" customHeight="1">
      <c r="B15" s="18"/>
      <c r="C15" s="57" t="str">
        <f t="shared" si="2"/>
        <v/>
      </c>
      <c r="D15" s="18" t="e">
        <f>VLOOKUP(F15,LOOKUP!$C$2:$C$8,2,0)</f>
        <v>#N/A</v>
      </c>
      <c r="E15" s="18"/>
      <c r="F15" s="15"/>
      <c r="G15" s="19"/>
      <c r="H15" s="19"/>
      <c r="I15" s="19"/>
      <c r="J15" s="43"/>
      <c r="K15" s="15"/>
      <c r="L15" s="15"/>
      <c r="M15" s="15"/>
      <c r="N15" s="15"/>
      <c r="O15" s="15"/>
      <c r="P15" s="43"/>
      <c r="Q15" s="43"/>
      <c r="R15" s="43"/>
      <c r="S15" s="15"/>
      <c r="T15" s="15"/>
      <c r="U15" s="15"/>
      <c r="V15" s="15"/>
      <c r="W15" s="43"/>
      <c r="X15" s="15"/>
      <c r="Y15" s="15"/>
      <c r="Z15" s="43"/>
      <c r="AA15" s="15"/>
      <c r="AB15" s="15"/>
      <c r="AC15" s="15"/>
      <c r="AD15" s="43"/>
      <c r="AE15" s="43"/>
      <c r="AF15" s="15"/>
      <c r="AG15" s="43"/>
      <c r="AH15" s="43"/>
    </row>
    <row r="16" spans="2:34" s="14" customFormat="1" ht="41.25" customHeight="1">
      <c r="B16" s="18"/>
      <c r="C16" s="57" t="str">
        <f t="shared" si="2"/>
        <v/>
      </c>
      <c r="D16" s="18" t="e">
        <f>VLOOKUP(F16,LOOKUP!$C$2:$C$8,2,0)</f>
        <v>#N/A</v>
      </c>
      <c r="E16" s="18"/>
      <c r="F16" s="15"/>
      <c r="G16" s="19"/>
      <c r="H16" s="19"/>
      <c r="I16" s="19"/>
      <c r="J16" s="43"/>
      <c r="K16" s="15"/>
      <c r="L16" s="15"/>
      <c r="M16" s="15"/>
      <c r="N16" s="15"/>
      <c r="O16" s="15"/>
      <c r="P16" s="43"/>
      <c r="Q16" s="43"/>
      <c r="R16" s="43"/>
      <c r="S16" s="15"/>
      <c r="T16" s="15"/>
      <c r="U16" s="15"/>
      <c r="V16" s="15"/>
      <c r="W16" s="43"/>
      <c r="X16" s="15"/>
      <c r="Y16" s="15"/>
      <c r="Z16" s="43"/>
      <c r="AA16" s="15"/>
      <c r="AB16" s="15"/>
      <c r="AC16" s="15"/>
      <c r="AD16" s="43"/>
      <c r="AE16" s="43"/>
      <c r="AF16" s="15"/>
      <c r="AG16" s="43"/>
      <c r="AH16" s="43"/>
    </row>
    <row r="17" spans="2:34" s="14" customFormat="1" ht="41.25" customHeight="1">
      <c r="B17" s="18"/>
      <c r="C17" s="57" t="str">
        <f t="shared" si="2"/>
        <v/>
      </c>
      <c r="D17" s="18" t="e">
        <f>VLOOKUP(F17,LOOKUP!$C$2:$C$8,2,0)</f>
        <v>#N/A</v>
      </c>
      <c r="E17" s="18"/>
      <c r="F17" s="19"/>
      <c r="G17" s="19"/>
      <c r="H17" s="19"/>
      <c r="I17" s="19"/>
      <c r="J17" s="44"/>
      <c r="K17" s="19"/>
      <c r="L17" s="19"/>
      <c r="M17" s="19"/>
      <c r="N17" s="19"/>
      <c r="O17" s="19"/>
      <c r="P17" s="44"/>
      <c r="Q17" s="44"/>
      <c r="R17" s="44"/>
      <c r="S17" s="19"/>
      <c r="T17" s="19"/>
      <c r="U17" s="19"/>
      <c r="V17" s="19"/>
      <c r="W17" s="44"/>
      <c r="X17" s="19"/>
      <c r="Y17" s="19"/>
      <c r="Z17" s="44"/>
      <c r="AA17" s="19"/>
      <c r="AB17" s="19"/>
      <c r="AC17" s="19"/>
      <c r="AD17" s="44"/>
      <c r="AE17" s="44"/>
      <c r="AF17" s="19"/>
      <c r="AG17" s="44"/>
      <c r="AH17" s="44"/>
    </row>
    <row r="18" spans="2:34" s="14" customFormat="1" ht="41.25" customHeight="1">
      <c r="B18" s="18"/>
      <c r="C18" s="57" t="str">
        <f t="shared" si="2"/>
        <v/>
      </c>
      <c r="D18" s="18" t="e">
        <f>VLOOKUP(F18,LOOKUP!$C$2:$C$8,2,0)</f>
        <v>#N/A</v>
      </c>
      <c r="E18" s="18"/>
      <c r="F18" s="15"/>
      <c r="G18" s="19"/>
      <c r="H18" s="19"/>
      <c r="I18" s="19"/>
      <c r="J18" s="43"/>
      <c r="K18" s="15"/>
      <c r="L18" s="15"/>
      <c r="M18" s="15"/>
      <c r="N18" s="15"/>
      <c r="O18" s="15"/>
      <c r="P18" s="43"/>
      <c r="Q18" s="43"/>
      <c r="R18" s="43"/>
      <c r="S18" s="15"/>
      <c r="T18" s="15"/>
      <c r="U18" s="15"/>
      <c r="V18" s="15"/>
      <c r="W18" s="43"/>
      <c r="X18" s="15"/>
      <c r="Y18" s="15"/>
      <c r="Z18" s="43"/>
      <c r="AA18" s="15"/>
      <c r="AB18" s="15"/>
      <c r="AC18" s="15"/>
      <c r="AD18" s="43"/>
      <c r="AE18" s="43"/>
      <c r="AF18" s="15"/>
      <c r="AG18" s="43"/>
      <c r="AH18" s="43"/>
    </row>
    <row r="19" spans="2:34" s="14" customFormat="1" ht="41.25" customHeight="1">
      <c r="B19" s="18"/>
      <c r="C19" s="57" t="str">
        <f t="shared" si="2"/>
        <v/>
      </c>
      <c r="D19" s="18" t="e">
        <f>VLOOKUP(F19,LOOKUP!$C$2:$C$8,2,0)</f>
        <v>#N/A</v>
      </c>
      <c r="E19" s="18"/>
      <c r="F19" s="18"/>
      <c r="G19" s="19"/>
      <c r="H19" s="19"/>
      <c r="I19" s="19"/>
      <c r="J19" s="43"/>
      <c r="K19" s="15"/>
      <c r="L19" s="15"/>
      <c r="M19" s="15"/>
      <c r="N19" s="15"/>
      <c r="O19" s="15"/>
      <c r="P19" s="43"/>
      <c r="Q19" s="43"/>
      <c r="R19" s="43"/>
      <c r="S19" s="15"/>
      <c r="T19" s="15"/>
      <c r="U19" s="15"/>
      <c r="V19" s="15"/>
      <c r="W19" s="43"/>
      <c r="X19" s="15"/>
      <c r="Y19" s="15"/>
      <c r="Z19" s="43"/>
      <c r="AA19" s="15"/>
      <c r="AB19" s="15"/>
      <c r="AC19" s="15"/>
      <c r="AD19" s="43"/>
      <c r="AE19" s="43"/>
      <c r="AF19" s="15"/>
      <c r="AG19" s="43"/>
      <c r="AH19" s="43"/>
    </row>
    <row r="20" spans="2:34" s="14" customFormat="1" ht="41.25" customHeight="1">
      <c r="B20" s="18"/>
      <c r="C20" s="57" t="str">
        <f t="shared" si="2"/>
        <v/>
      </c>
      <c r="D20" s="18" t="e">
        <f>VLOOKUP(F20,LOOKUP!$C$2:$C$8,2,0)</f>
        <v>#N/A</v>
      </c>
      <c r="E20" s="18"/>
      <c r="F20" s="15"/>
      <c r="G20" s="19"/>
      <c r="H20" s="19"/>
      <c r="I20" s="19"/>
      <c r="J20" s="43"/>
      <c r="K20" s="15"/>
      <c r="L20" s="15"/>
      <c r="M20" s="15"/>
      <c r="N20" s="15"/>
      <c r="O20" s="15"/>
      <c r="P20" s="43"/>
      <c r="Q20" s="43"/>
      <c r="R20" s="43"/>
      <c r="S20" s="15"/>
      <c r="T20" s="15"/>
      <c r="U20" s="15"/>
      <c r="V20" s="15"/>
      <c r="W20" s="43"/>
      <c r="X20" s="15"/>
      <c r="Y20" s="15"/>
      <c r="Z20" s="43"/>
      <c r="AA20" s="15"/>
      <c r="AB20" s="15"/>
      <c r="AC20" s="15"/>
      <c r="AD20" s="43"/>
      <c r="AE20" s="43"/>
      <c r="AF20" s="15"/>
      <c r="AG20" s="43"/>
      <c r="AH20" s="43"/>
    </row>
    <row r="21" spans="2:34" s="14" customFormat="1" ht="41.25" customHeight="1">
      <c r="B21" s="18"/>
      <c r="C21" s="57" t="str">
        <f t="shared" si="2"/>
        <v/>
      </c>
      <c r="D21" s="18" t="e">
        <f>VLOOKUP(F21,LOOKUP!$C$2:$C$8,2,0)</f>
        <v>#N/A</v>
      </c>
      <c r="E21" s="18"/>
      <c r="F21" s="18"/>
      <c r="G21" s="19"/>
      <c r="H21" s="19"/>
      <c r="I21" s="19"/>
      <c r="J21" s="43"/>
      <c r="K21" s="15"/>
      <c r="L21" s="15"/>
      <c r="M21" s="15"/>
      <c r="N21" s="15"/>
      <c r="O21" s="15"/>
      <c r="P21" s="43"/>
      <c r="Q21" s="43"/>
      <c r="R21" s="43"/>
      <c r="S21" s="15"/>
      <c r="T21" s="15"/>
      <c r="U21" s="15"/>
      <c r="V21" s="15"/>
      <c r="W21" s="43"/>
      <c r="X21" s="15"/>
      <c r="Y21" s="15"/>
      <c r="Z21" s="43"/>
      <c r="AA21" s="15"/>
      <c r="AB21" s="15"/>
      <c r="AC21" s="15"/>
      <c r="AD21" s="43"/>
      <c r="AE21" s="43"/>
      <c r="AF21" s="15"/>
      <c r="AG21" s="43"/>
      <c r="AH21" s="43"/>
    </row>
    <row r="22" spans="2:34" s="14" customFormat="1" ht="41.25" customHeight="1">
      <c r="B22" s="18"/>
      <c r="C22" s="57" t="str">
        <f t="shared" si="2"/>
        <v/>
      </c>
      <c r="D22" s="18" t="e">
        <f>VLOOKUP(F22,LOOKUP!$C$2:$C$8,2,0)</f>
        <v>#N/A</v>
      </c>
      <c r="E22" s="18"/>
      <c r="F22" s="15"/>
      <c r="G22" s="19"/>
      <c r="H22" s="19"/>
      <c r="I22" s="19"/>
      <c r="J22" s="43"/>
      <c r="K22" s="15"/>
      <c r="L22" s="15"/>
      <c r="M22" s="15"/>
      <c r="N22" s="15"/>
      <c r="O22" s="15"/>
      <c r="P22" s="43"/>
      <c r="Q22" s="43"/>
      <c r="R22" s="43"/>
      <c r="S22" s="15"/>
      <c r="T22" s="15"/>
      <c r="U22" s="15"/>
      <c r="V22" s="15"/>
      <c r="W22" s="43"/>
      <c r="X22" s="15"/>
      <c r="Y22" s="15"/>
      <c r="Z22" s="43"/>
      <c r="AA22" s="15"/>
      <c r="AB22" s="15"/>
      <c r="AC22" s="15"/>
      <c r="AD22" s="43"/>
      <c r="AE22" s="43"/>
      <c r="AF22" s="15"/>
      <c r="AG22" s="43"/>
      <c r="AH22" s="43"/>
    </row>
    <row r="23" spans="2:34" s="14" customFormat="1" ht="41.25" customHeight="1">
      <c r="B23" s="18"/>
      <c r="C23" s="57" t="str">
        <f t="shared" si="2"/>
        <v/>
      </c>
      <c r="D23" s="18" t="e">
        <f>VLOOKUP(F23,LOOKUP!$C$2:$C$8,2,0)</f>
        <v>#N/A</v>
      </c>
      <c r="E23" s="18"/>
      <c r="F23" s="15"/>
      <c r="G23" s="19"/>
      <c r="H23" s="19"/>
      <c r="I23" s="19"/>
      <c r="J23" s="43"/>
      <c r="K23" s="15"/>
      <c r="L23" s="15"/>
      <c r="M23" s="15"/>
      <c r="N23" s="15"/>
      <c r="O23" s="15"/>
      <c r="P23" s="43"/>
      <c r="Q23" s="43"/>
      <c r="R23" s="43"/>
      <c r="S23" s="15"/>
      <c r="T23" s="15"/>
      <c r="U23" s="15"/>
      <c r="V23" s="15"/>
      <c r="W23" s="43"/>
      <c r="X23" s="15"/>
      <c r="Y23" s="15"/>
      <c r="Z23" s="43"/>
      <c r="AA23" s="15"/>
      <c r="AB23" s="15"/>
      <c r="AC23" s="15"/>
      <c r="AD23" s="43"/>
      <c r="AE23" s="43"/>
      <c r="AF23" s="15"/>
      <c r="AG23" s="43"/>
      <c r="AH23" s="43"/>
    </row>
    <row r="24" spans="2:34" s="14" customFormat="1" ht="41.25" customHeight="1">
      <c r="B24" s="18"/>
      <c r="C24" s="57" t="str">
        <f t="shared" si="2"/>
        <v/>
      </c>
      <c r="D24" s="18" t="e">
        <f>VLOOKUP(F24,LOOKUP!$C$2:$C$8,2,0)</f>
        <v>#N/A</v>
      </c>
      <c r="E24" s="18"/>
      <c r="F24" s="15"/>
      <c r="G24" s="19"/>
      <c r="H24" s="19"/>
      <c r="I24" s="19"/>
      <c r="J24" s="43"/>
      <c r="K24" s="15"/>
      <c r="L24" s="15"/>
      <c r="M24" s="15"/>
      <c r="N24" s="15"/>
      <c r="O24" s="15"/>
      <c r="P24" s="43"/>
      <c r="Q24" s="43"/>
      <c r="R24" s="43"/>
      <c r="S24" s="15"/>
      <c r="T24" s="15"/>
      <c r="U24" s="15"/>
      <c r="V24" s="15"/>
      <c r="W24" s="43"/>
      <c r="X24" s="15"/>
      <c r="Y24" s="15"/>
      <c r="Z24" s="43"/>
      <c r="AA24" s="15"/>
      <c r="AB24" s="15"/>
      <c r="AC24" s="15"/>
      <c r="AD24" s="43"/>
      <c r="AE24" s="43"/>
      <c r="AF24" s="15"/>
      <c r="AG24" s="43"/>
      <c r="AH24" s="43"/>
    </row>
    <row r="25" spans="2:34" s="14" customFormat="1" ht="41.25" customHeight="1">
      <c r="B25" s="18"/>
      <c r="C25" s="57" t="str">
        <f t="shared" si="2"/>
        <v/>
      </c>
      <c r="D25" s="18" t="e">
        <f>VLOOKUP(F25,LOOKUP!$C$2:$C$8,2,0)</f>
        <v>#N/A</v>
      </c>
      <c r="E25" s="18"/>
      <c r="F25" s="18"/>
      <c r="G25" s="19"/>
      <c r="H25" s="19"/>
      <c r="I25" s="19"/>
      <c r="J25" s="43"/>
      <c r="K25" s="15"/>
      <c r="L25" s="15"/>
      <c r="M25" s="15"/>
      <c r="N25" s="15"/>
      <c r="O25" s="15"/>
      <c r="P25" s="43"/>
      <c r="Q25" s="43"/>
      <c r="R25" s="43"/>
      <c r="S25" s="15"/>
      <c r="T25" s="15"/>
      <c r="U25" s="15"/>
      <c r="V25" s="15"/>
      <c r="W25" s="43"/>
      <c r="X25" s="15"/>
      <c r="Y25" s="15"/>
      <c r="Z25" s="43"/>
      <c r="AA25" s="15"/>
      <c r="AB25" s="15"/>
      <c r="AC25" s="15"/>
      <c r="AD25" s="43"/>
      <c r="AE25" s="43"/>
      <c r="AF25" s="15"/>
      <c r="AG25" s="43"/>
      <c r="AH25" s="43"/>
    </row>
    <row r="26" spans="2:34" s="14" customFormat="1" ht="41.25" customHeight="1">
      <c r="B26" s="18"/>
      <c r="C26" s="57" t="str">
        <f t="shared" si="2"/>
        <v/>
      </c>
      <c r="D26" s="18" t="e">
        <f>VLOOKUP(F26,LOOKUP!$C$2:$C$8,2,0)</f>
        <v>#N/A</v>
      </c>
      <c r="E26" s="18"/>
      <c r="F26" s="19"/>
      <c r="G26" s="19"/>
      <c r="H26" s="19"/>
      <c r="I26" s="19"/>
      <c r="J26" s="44"/>
      <c r="K26" s="19"/>
      <c r="L26" s="19"/>
      <c r="M26" s="19"/>
      <c r="N26" s="19"/>
      <c r="O26" s="19"/>
      <c r="P26" s="44"/>
      <c r="Q26" s="44"/>
      <c r="R26" s="44"/>
      <c r="S26" s="19"/>
      <c r="T26" s="19"/>
      <c r="U26" s="19"/>
      <c r="V26" s="19"/>
      <c r="W26" s="44"/>
      <c r="X26" s="19"/>
      <c r="Y26" s="19"/>
      <c r="Z26" s="44"/>
      <c r="AA26" s="19"/>
      <c r="AB26" s="19"/>
      <c r="AC26" s="19"/>
      <c r="AD26" s="44"/>
      <c r="AE26" s="44"/>
      <c r="AF26" s="19"/>
      <c r="AG26" s="44"/>
      <c r="AH26" s="44"/>
    </row>
    <row r="27" spans="2:34" s="14" customFormat="1" ht="41.25" customHeight="1">
      <c r="B27" s="18"/>
      <c r="C27" s="57" t="str">
        <f t="shared" si="2"/>
        <v/>
      </c>
      <c r="D27" s="18" t="e">
        <f>VLOOKUP(F27,LOOKUP!$C$2:$C$8,2,0)</f>
        <v>#N/A</v>
      </c>
      <c r="E27" s="18"/>
      <c r="F27" s="15"/>
      <c r="G27" s="19"/>
      <c r="H27" s="19"/>
      <c r="I27" s="19"/>
      <c r="J27" s="43"/>
      <c r="K27" s="15"/>
      <c r="L27" s="15"/>
      <c r="M27" s="15"/>
      <c r="N27" s="15"/>
      <c r="O27" s="15"/>
      <c r="P27" s="43"/>
      <c r="Q27" s="43"/>
      <c r="R27" s="43"/>
      <c r="S27" s="15"/>
      <c r="T27" s="15"/>
      <c r="U27" s="15"/>
      <c r="V27" s="15"/>
      <c r="W27" s="43"/>
      <c r="X27" s="15"/>
      <c r="Y27" s="15"/>
      <c r="Z27" s="43"/>
      <c r="AA27" s="15"/>
      <c r="AB27" s="15"/>
      <c r="AC27" s="15"/>
      <c r="AD27" s="43"/>
      <c r="AE27" s="43"/>
      <c r="AF27" s="15"/>
      <c r="AG27" s="43"/>
      <c r="AH27" s="43"/>
    </row>
    <row r="28" spans="2:34" s="14" customFormat="1" ht="41.25" customHeight="1">
      <c r="B28" s="18"/>
      <c r="C28" s="57" t="str">
        <f t="shared" si="2"/>
        <v/>
      </c>
      <c r="D28" s="18" t="e">
        <f>VLOOKUP(F28,LOOKUP!$C$2:$C$8,2,0)</f>
        <v>#N/A</v>
      </c>
      <c r="E28" s="18"/>
      <c r="F28" s="15"/>
      <c r="G28" s="19"/>
      <c r="H28" s="19"/>
      <c r="I28" s="19"/>
      <c r="J28" s="43"/>
      <c r="K28" s="15"/>
      <c r="L28" s="15"/>
      <c r="M28" s="15"/>
      <c r="N28" s="15"/>
      <c r="O28" s="15"/>
      <c r="P28" s="43"/>
      <c r="Q28" s="43"/>
      <c r="R28" s="43"/>
      <c r="S28" s="15"/>
      <c r="T28" s="15"/>
      <c r="U28" s="15"/>
      <c r="V28" s="15"/>
      <c r="W28" s="43"/>
      <c r="X28" s="15"/>
      <c r="Y28" s="15"/>
      <c r="Z28" s="43"/>
      <c r="AA28" s="15"/>
      <c r="AB28" s="15"/>
      <c r="AC28" s="15"/>
      <c r="AD28" s="43"/>
      <c r="AE28" s="43"/>
      <c r="AF28" s="15"/>
      <c r="AG28" s="43"/>
      <c r="AH28" s="43"/>
    </row>
    <row r="29" spans="2:34" s="14" customFormat="1" ht="41.25" customHeight="1">
      <c r="B29" s="18"/>
      <c r="C29" s="57" t="str">
        <f t="shared" si="2"/>
        <v/>
      </c>
      <c r="D29" s="18" t="e">
        <f>VLOOKUP(F29,LOOKUP!$C$2:$C$8,2,0)</f>
        <v>#N/A</v>
      </c>
      <c r="E29" s="18"/>
      <c r="F29" s="18"/>
      <c r="G29" s="19"/>
      <c r="H29" s="19"/>
      <c r="I29" s="19"/>
      <c r="J29" s="43"/>
      <c r="K29" s="15"/>
      <c r="L29" s="15"/>
      <c r="M29" s="15"/>
      <c r="N29" s="15"/>
      <c r="O29" s="15"/>
      <c r="P29" s="43"/>
      <c r="Q29" s="43"/>
      <c r="R29" s="43"/>
      <c r="S29" s="15"/>
      <c r="T29" s="15"/>
      <c r="U29" s="15"/>
      <c r="V29" s="15"/>
      <c r="W29" s="43"/>
      <c r="X29" s="15"/>
      <c r="Y29" s="15"/>
      <c r="Z29" s="43"/>
      <c r="AA29" s="15"/>
      <c r="AB29" s="15"/>
      <c r="AC29" s="15"/>
      <c r="AD29" s="43"/>
      <c r="AE29" s="43"/>
      <c r="AF29" s="15"/>
      <c r="AG29" s="43"/>
      <c r="AH29" s="43"/>
    </row>
    <row r="30" spans="2:34" s="14" customFormat="1" ht="41.25" customHeight="1">
      <c r="B30" s="18"/>
      <c r="C30" s="57" t="str">
        <f t="shared" si="2"/>
        <v/>
      </c>
      <c r="D30" s="18" t="e">
        <f>VLOOKUP(F30,LOOKUP!$C$2:$C$8,2,0)</f>
        <v>#N/A</v>
      </c>
      <c r="E30" s="18"/>
      <c r="F30" s="15"/>
      <c r="G30" s="19"/>
      <c r="H30" s="19"/>
      <c r="I30" s="19"/>
      <c r="J30" s="43"/>
      <c r="K30" s="15"/>
      <c r="L30" s="15"/>
      <c r="M30" s="15"/>
      <c r="N30" s="15"/>
      <c r="O30" s="15"/>
      <c r="P30" s="43"/>
      <c r="Q30" s="43"/>
      <c r="R30" s="43"/>
      <c r="S30" s="15"/>
      <c r="T30" s="15"/>
      <c r="U30" s="15"/>
      <c r="V30" s="15"/>
      <c r="W30" s="43"/>
      <c r="X30" s="15"/>
      <c r="Y30" s="15"/>
      <c r="Z30" s="43"/>
      <c r="AA30" s="15"/>
      <c r="AB30" s="15"/>
      <c r="AC30" s="15"/>
      <c r="AD30" s="43"/>
      <c r="AE30" s="43"/>
      <c r="AF30" s="15"/>
      <c r="AG30" s="43"/>
      <c r="AH30" s="43"/>
    </row>
    <row r="31" spans="2:34" s="14" customFormat="1" ht="41.25" customHeight="1">
      <c r="B31" s="18"/>
      <c r="C31" s="57" t="str">
        <f t="shared" si="2"/>
        <v/>
      </c>
      <c r="D31" s="18" t="e">
        <f>VLOOKUP(F31,LOOKUP!$C$2:$C$8,2,0)</f>
        <v>#N/A</v>
      </c>
      <c r="E31" s="18"/>
      <c r="F31" s="15"/>
      <c r="G31" s="19"/>
      <c r="H31" s="19"/>
      <c r="I31" s="19"/>
      <c r="J31" s="43"/>
      <c r="K31" s="15"/>
      <c r="L31" s="15"/>
      <c r="M31" s="15"/>
      <c r="N31" s="15"/>
      <c r="O31" s="15"/>
      <c r="P31" s="43"/>
      <c r="Q31" s="43"/>
      <c r="R31" s="43"/>
      <c r="S31" s="15"/>
      <c r="T31" s="15"/>
      <c r="U31" s="15"/>
      <c r="V31" s="15"/>
      <c r="W31" s="43"/>
      <c r="X31" s="15"/>
      <c r="Y31" s="15"/>
      <c r="Z31" s="43"/>
      <c r="AA31" s="15"/>
      <c r="AB31" s="15"/>
      <c r="AC31" s="15"/>
      <c r="AD31" s="43"/>
      <c r="AE31" s="43"/>
      <c r="AF31" s="15"/>
      <c r="AG31" s="43"/>
      <c r="AH31" s="43"/>
    </row>
    <row r="32" spans="2:34" s="14" customFormat="1" ht="41.25" customHeight="1">
      <c r="B32" s="18"/>
      <c r="C32" s="57" t="str">
        <f t="shared" si="2"/>
        <v/>
      </c>
      <c r="D32" s="18" t="e">
        <f>VLOOKUP(F32,LOOKUP!$C$2:$C$8,2,0)</f>
        <v>#N/A</v>
      </c>
      <c r="E32" s="18"/>
      <c r="F32" s="15"/>
      <c r="G32" s="19"/>
      <c r="H32" s="19"/>
      <c r="I32" s="19"/>
      <c r="J32" s="43"/>
      <c r="K32" s="15"/>
      <c r="L32" s="15"/>
      <c r="M32" s="15"/>
      <c r="N32" s="15"/>
      <c r="O32" s="15"/>
      <c r="P32" s="43"/>
      <c r="Q32" s="43"/>
      <c r="R32" s="43"/>
      <c r="S32" s="15"/>
      <c r="T32" s="15"/>
      <c r="U32" s="15"/>
      <c r="V32" s="15"/>
      <c r="W32" s="43"/>
      <c r="X32" s="15"/>
      <c r="Y32" s="15"/>
      <c r="Z32" s="43"/>
      <c r="AA32" s="15"/>
      <c r="AB32" s="15"/>
      <c r="AC32" s="15"/>
      <c r="AD32" s="43"/>
      <c r="AE32" s="43"/>
      <c r="AF32" s="15"/>
      <c r="AG32" s="43"/>
      <c r="AH32" s="43"/>
    </row>
    <row r="33" spans="2:34" s="14" customFormat="1" ht="41.25" customHeight="1">
      <c r="B33" s="18"/>
      <c r="C33" s="57" t="str">
        <f t="shared" si="2"/>
        <v/>
      </c>
      <c r="D33" s="18" t="e">
        <f>VLOOKUP(F33,LOOKUP!$C$2:$C$8,2,0)</f>
        <v>#N/A</v>
      </c>
      <c r="E33" s="18"/>
      <c r="F33" s="18"/>
      <c r="G33" s="19"/>
      <c r="H33" s="19"/>
      <c r="I33" s="19"/>
      <c r="J33" s="43"/>
      <c r="K33" s="15"/>
      <c r="L33" s="15"/>
      <c r="M33" s="15"/>
      <c r="N33" s="15"/>
      <c r="O33" s="15"/>
      <c r="P33" s="43"/>
      <c r="Q33" s="43"/>
      <c r="R33" s="43"/>
      <c r="S33" s="15"/>
      <c r="T33" s="15"/>
      <c r="U33" s="15"/>
      <c r="V33" s="15"/>
      <c r="W33" s="43"/>
      <c r="X33" s="15"/>
      <c r="Y33" s="15"/>
      <c r="Z33" s="43"/>
      <c r="AA33" s="15"/>
      <c r="AB33" s="15"/>
      <c r="AC33" s="15"/>
      <c r="AD33" s="43"/>
      <c r="AE33" s="43"/>
      <c r="AF33" s="15"/>
      <c r="AG33" s="43"/>
      <c r="AH33" s="43"/>
    </row>
    <row r="34" spans="2:34" s="14" customFormat="1" ht="41.25" customHeight="1">
      <c r="B34" s="18"/>
      <c r="C34" s="57" t="str">
        <f t="shared" si="2"/>
        <v/>
      </c>
      <c r="D34" s="18" t="e">
        <f>VLOOKUP(F34,LOOKUP!$C$2:$C$8,2,0)</f>
        <v>#N/A</v>
      </c>
      <c r="E34" s="18"/>
      <c r="F34" s="15"/>
      <c r="G34" s="19"/>
      <c r="H34" s="19"/>
      <c r="I34" s="19"/>
      <c r="J34" s="43"/>
      <c r="K34" s="15"/>
      <c r="L34" s="15"/>
      <c r="M34" s="15"/>
      <c r="N34" s="15"/>
      <c r="O34" s="15"/>
      <c r="P34" s="43"/>
      <c r="Q34" s="43"/>
      <c r="R34" s="43"/>
      <c r="S34" s="15"/>
      <c r="T34" s="15"/>
      <c r="U34" s="15"/>
      <c r="V34" s="15"/>
      <c r="W34" s="43"/>
      <c r="X34" s="15"/>
      <c r="Y34" s="15"/>
      <c r="Z34" s="43"/>
      <c r="AA34" s="15"/>
      <c r="AB34" s="15"/>
      <c r="AC34" s="15"/>
      <c r="AD34" s="43"/>
      <c r="AE34" s="43"/>
      <c r="AF34" s="15"/>
      <c r="AG34" s="43"/>
      <c r="AH34" s="43"/>
    </row>
    <row r="35" spans="2:34" s="14" customFormat="1" ht="41.25" customHeight="1">
      <c r="B35" s="18"/>
      <c r="C35" s="57" t="str">
        <f t="shared" si="2"/>
        <v/>
      </c>
      <c r="D35" s="18" t="e">
        <f>VLOOKUP(F35,LOOKUP!$C$2:$C$8,2,0)</f>
        <v>#N/A</v>
      </c>
      <c r="E35" s="18"/>
      <c r="F35" s="15"/>
      <c r="G35" s="19"/>
      <c r="H35" s="19"/>
      <c r="I35" s="19"/>
      <c r="J35" s="43"/>
      <c r="K35" s="15"/>
      <c r="L35" s="15"/>
      <c r="M35" s="15"/>
      <c r="N35" s="15"/>
      <c r="O35" s="15"/>
      <c r="P35" s="43"/>
      <c r="Q35" s="43"/>
      <c r="R35" s="43"/>
      <c r="S35" s="15"/>
      <c r="T35" s="15"/>
      <c r="U35" s="15"/>
      <c r="V35" s="15"/>
      <c r="W35" s="43"/>
      <c r="X35" s="15"/>
      <c r="Y35" s="15"/>
      <c r="Z35" s="43"/>
      <c r="AA35" s="15"/>
      <c r="AB35" s="15"/>
      <c r="AC35" s="15"/>
      <c r="AD35" s="43"/>
      <c r="AE35" s="43"/>
      <c r="AF35" s="15"/>
      <c r="AG35" s="43"/>
      <c r="AH35" s="43"/>
    </row>
    <row r="36" spans="2:34" s="14" customFormat="1" ht="41.25" customHeight="1">
      <c r="B36" s="18"/>
      <c r="C36" s="57" t="str">
        <f t="shared" si="2"/>
        <v/>
      </c>
      <c r="D36" s="18" t="e">
        <f>VLOOKUP(F36,LOOKUP!$C$2:$C$8,2,0)</f>
        <v>#N/A</v>
      </c>
      <c r="E36" s="18"/>
      <c r="F36" s="15"/>
      <c r="G36" s="19"/>
      <c r="H36" s="19"/>
      <c r="I36" s="19"/>
      <c r="J36" s="43"/>
      <c r="K36" s="15"/>
      <c r="L36" s="15"/>
      <c r="M36" s="15"/>
      <c r="N36" s="15"/>
      <c r="O36" s="15"/>
      <c r="P36" s="43"/>
      <c r="Q36" s="43"/>
      <c r="R36" s="43"/>
      <c r="S36" s="15"/>
      <c r="T36" s="15"/>
      <c r="U36" s="15"/>
      <c r="V36" s="15"/>
      <c r="W36" s="43"/>
      <c r="X36" s="15"/>
      <c r="Y36" s="15"/>
      <c r="Z36" s="43"/>
      <c r="AA36" s="15"/>
      <c r="AB36" s="15"/>
      <c r="AC36" s="15"/>
      <c r="AD36" s="43"/>
      <c r="AE36" s="43"/>
      <c r="AF36" s="15"/>
      <c r="AG36" s="43"/>
      <c r="AH36" s="43"/>
    </row>
    <row r="37" spans="2:34" s="14" customFormat="1" ht="41.25" customHeight="1">
      <c r="B37" s="18"/>
      <c r="C37" s="57" t="str">
        <f t="shared" si="2"/>
        <v/>
      </c>
      <c r="D37" s="18" t="e">
        <f>VLOOKUP(F37,LOOKUP!$C$2:$C$8,2,0)</f>
        <v>#N/A</v>
      </c>
      <c r="E37" s="18"/>
      <c r="F37" s="15"/>
      <c r="G37" s="19"/>
      <c r="H37" s="19"/>
      <c r="I37" s="19"/>
      <c r="J37" s="43"/>
      <c r="K37" s="15"/>
      <c r="L37" s="15"/>
      <c r="M37" s="15"/>
      <c r="N37" s="15"/>
      <c r="O37" s="15"/>
      <c r="P37" s="43"/>
      <c r="Q37" s="43"/>
      <c r="R37" s="43"/>
      <c r="S37" s="15"/>
      <c r="T37" s="15"/>
      <c r="U37" s="15"/>
      <c r="V37" s="15"/>
      <c r="W37" s="43"/>
      <c r="X37" s="15"/>
      <c r="Y37" s="15"/>
      <c r="Z37" s="43"/>
      <c r="AA37" s="15"/>
      <c r="AB37" s="15"/>
      <c r="AC37" s="15"/>
      <c r="AD37" s="43"/>
      <c r="AE37" s="43"/>
      <c r="AF37" s="15"/>
      <c r="AG37" s="43"/>
      <c r="AH37" s="43"/>
    </row>
    <row r="38" spans="2:34" s="14" customFormat="1" ht="41.25" customHeight="1">
      <c r="B38" s="18"/>
      <c r="C38" s="57" t="str">
        <f t="shared" si="2"/>
        <v/>
      </c>
      <c r="D38" s="18" t="e">
        <f>VLOOKUP(F38,LOOKUP!$C$2:$C$8,2,0)</f>
        <v>#N/A</v>
      </c>
      <c r="E38" s="18"/>
      <c r="F38" s="15"/>
      <c r="G38" s="19"/>
      <c r="H38" s="19"/>
      <c r="I38" s="19"/>
      <c r="J38" s="43"/>
      <c r="K38" s="15"/>
      <c r="L38" s="15"/>
      <c r="M38" s="15"/>
      <c r="N38" s="15"/>
      <c r="O38" s="15"/>
      <c r="P38" s="43"/>
      <c r="Q38" s="43"/>
      <c r="R38" s="43"/>
      <c r="S38" s="15"/>
      <c r="T38" s="15"/>
      <c r="U38" s="15"/>
      <c r="V38" s="15"/>
      <c r="W38" s="43"/>
      <c r="X38" s="15"/>
      <c r="Y38" s="15"/>
      <c r="Z38" s="43"/>
      <c r="AA38" s="15"/>
      <c r="AB38" s="15"/>
      <c r="AC38" s="15"/>
      <c r="AD38" s="43"/>
      <c r="AE38" s="43"/>
      <c r="AF38" s="15"/>
      <c r="AG38" s="43"/>
      <c r="AH38" s="43"/>
    </row>
    <row r="39" spans="2:34" s="14" customFormat="1" ht="41.25" customHeight="1">
      <c r="B39" s="18"/>
      <c r="C39" s="57" t="str">
        <f t="shared" si="2"/>
        <v/>
      </c>
      <c r="D39" s="18" t="e">
        <f>VLOOKUP(F39,LOOKUP!$C$2:$C$8,2,0)</f>
        <v>#N/A</v>
      </c>
      <c r="E39" s="18"/>
      <c r="F39" s="15"/>
      <c r="G39" s="19"/>
      <c r="H39" s="19"/>
      <c r="I39" s="19"/>
      <c r="J39" s="43"/>
      <c r="K39" s="15"/>
      <c r="L39" s="15"/>
      <c r="M39" s="15"/>
      <c r="N39" s="15"/>
      <c r="O39" s="15"/>
      <c r="P39" s="43"/>
      <c r="Q39" s="43"/>
      <c r="R39" s="43"/>
      <c r="S39" s="15"/>
      <c r="T39" s="15"/>
      <c r="U39" s="15"/>
      <c r="V39" s="15"/>
      <c r="W39" s="43"/>
      <c r="X39" s="15"/>
      <c r="Y39" s="15"/>
      <c r="Z39" s="43"/>
      <c r="AA39" s="15"/>
      <c r="AB39" s="15"/>
      <c r="AC39" s="15"/>
      <c r="AD39" s="43"/>
      <c r="AE39" s="43"/>
      <c r="AF39" s="15"/>
      <c r="AG39" s="43"/>
      <c r="AH39" s="43"/>
    </row>
    <row r="40" spans="2:34" s="14" customFormat="1" ht="41.25" customHeight="1">
      <c r="B40" s="18"/>
      <c r="C40" s="57" t="str">
        <f t="shared" si="2"/>
        <v/>
      </c>
      <c r="D40" s="18" t="e">
        <f>VLOOKUP(F40,LOOKUP!$C$2:$C$8,2,0)</f>
        <v>#N/A</v>
      </c>
      <c r="E40" s="18"/>
      <c r="F40" s="15"/>
      <c r="G40" s="19"/>
      <c r="H40" s="19"/>
      <c r="I40" s="19"/>
      <c r="J40" s="43"/>
      <c r="K40" s="15"/>
      <c r="L40" s="15"/>
      <c r="M40" s="15"/>
      <c r="N40" s="15"/>
      <c r="O40" s="15"/>
      <c r="P40" s="43"/>
      <c r="Q40" s="43"/>
      <c r="R40" s="43"/>
      <c r="S40" s="15"/>
      <c r="T40" s="15"/>
      <c r="U40" s="15"/>
      <c r="V40" s="15"/>
      <c r="W40" s="43"/>
      <c r="X40" s="15"/>
      <c r="Y40" s="15"/>
      <c r="Z40" s="43"/>
      <c r="AA40" s="15"/>
      <c r="AB40" s="15"/>
      <c r="AC40" s="15"/>
      <c r="AD40" s="43"/>
      <c r="AE40" s="43"/>
      <c r="AF40" s="15"/>
      <c r="AG40" s="43"/>
      <c r="AH40" s="43"/>
    </row>
    <row r="41" spans="2:34" s="14" customFormat="1" ht="41.25" customHeight="1">
      <c r="B41" s="18"/>
      <c r="C41" s="57" t="str">
        <f t="shared" si="2"/>
        <v/>
      </c>
      <c r="D41" s="18" t="e">
        <f>VLOOKUP(F41,LOOKUP!$C$2:$C$8,2,0)</f>
        <v>#N/A</v>
      </c>
      <c r="E41" s="18"/>
      <c r="F41" s="18"/>
      <c r="G41" s="19"/>
      <c r="H41" s="19"/>
      <c r="I41" s="19"/>
      <c r="J41" s="43"/>
      <c r="K41" s="15"/>
      <c r="L41" s="15"/>
      <c r="M41" s="15"/>
      <c r="N41" s="15"/>
      <c r="O41" s="15"/>
      <c r="P41" s="43"/>
      <c r="Q41" s="43"/>
      <c r="R41" s="43"/>
      <c r="S41" s="15"/>
      <c r="T41" s="15"/>
      <c r="U41" s="15"/>
      <c r="V41" s="15"/>
      <c r="W41" s="43"/>
      <c r="X41" s="15"/>
      <c r="Y41" s="15"/>
      <c r="Z41" s="43"/>
      <c r="AA41" s="15"/>
      <c r="AB41" s="15"/>
      <c r="AC41" s="15"/>
      <c r="AD41" s="43"/>
      <c r="AE41" s="43"/>
      <c r="AF41" s="15"/>
      <c r="AG41" s="43"/>
      <c r="AH41" s="43"/>
    </row>
    <row r="42" spans="2:34" s="14" customFormat="1" ht="41.25" customHeight="1">
      <c r="B42" s="18"/>
      <c r="C42" s="57" t="str">
        <f t="shared" si="2"/>
        <v/>
      </c>
      <c r="D42" s="18" t="e">
        <f>VLOOKUP(F42,LOOKUP!$C$2:$C$8,2,0)</f>
        <v>#N/A</v>
      </c>
      <c r="E42" s="18"/>
      <c r="F42" s="18"/>
      <c r="G42" s="19"/>
      <c r="H42" s="19"/>
      <c r="I42" s="19"/>
      <c r="J42" s="43"/>
      <c r="K42" s="15"/>
      <c r="L42" s="15"/>
      <c r="M42" s="15"/>
      <c r="N42" s="15"/>
      <c r="O42" s="15"/>
      <c r="P42" s="43"/>
      <c r="Q42" s="43"/>
      <c r="R42" s="43"/>
      <c r="S42" s="15"/>
      <c r="T42" s="15"/>
      <c r="U42" s="15"/>
      <c r="V42" s="15"/>
      <c r="W42" s="43"/>
      <c r="X42" s="15"/>
      <c r="Y42" s="15"/>
      <c r="Z42" s="43"/>
      <c r="AA42" s="15"/>
      <c r="AB42" s="15"/>
      <c r="AC42" s="15"/>
      <c r="AD42" s="43"/>
      <c r="AE42" s="43"/>
      <c r="AF42" s="15"/>
      <c r="AG42" s="43"/>
      <c r="AH42" s="43"/>
    </row>
    <row r="43" spans="2:34" s="14" customFormat="1" ht="41.25" customHeight="1">
      <c r="B43" s="18"/>
      <c r="C43" s="57" t="str">
        <f t="shared" si="2"/>
        <v/>
      </c>
      <c r="D43" s="18" t="e">
        <f>VLOOKUP(F43,LOOKUP!$C$2:$C$8,2,0)</f>
        <v>#N/A</v>
      </c>
      <c r="E43" s="18"/>
      <c r="F43" s="18"/>
      <c r="G43" s="19"/>
      <c r="H43" s="19"/>
      <c r="I43" s="19"/>
      <c r="J43" s="43"/>
      <c r="K43" s="15"/>
      <c r="L43" s="15"/>
      <c r="M43" s="15"/>
      <c r="N43" s="15"/>
      <c r="O43" s="15"/>
      <c r="P43" s="43"/>
      <c r="Q43" s="43"/>
      <c r="R43" s="43"/>
      <c r="S43" s="15"/>
      <c r="T43" s="15"/>
      <c r="U43" s="15"/>
      <c r="V43" s="15"/>
      <c r="W43" s="43"/>
      <c r="X43" s="15"/>
      <c r="Y43" s="15"/>
      <c r="Z43" s="43"/>
      <c r="AA43" s="15"/>
      <c r="AB43" s="15"/>
      <c r="AC43" s="15"/>
      <c r="AD43" s="43"/>
      <c r="AE43" s="43"/>
      <c r="AF43" s="15"/>
      <c r="AG43" s="43"/>
      <c r="AH43" s="43"/>
    </row>
    <row r="44" spans="2:34" s="14" customFormat="1" ht="41.25" customHeight="1">
      <c r="B44" s="18"/>
      <c r="C44" s="57" t="str">
        <f t="shared" si="2"/>
        <v/>
      </c>
      <c r="D44" s="18" t="e">
        <f>VLOOKUP(F44,LOOKUP!$C$2:$C$8,2,0)</f>
        <v>#N/A</v>
      </c>
      <c r="E44" s="18"/>
      <c r="F44" s="18"/>
      <c r="G44" s="19"/>
      <c r="H44" s="19"/>
      <c r="I44" s="19"/>
      <c r="J44" s="43"/>
      <c r="K44" s="15"/>
      <c r="L44" s="15"/>
      <c r="M44" s="15"/>
      <c r="N44" s="15"/>
      <c r="O44" s="15"/>
      <c r="P44" s="43"/>
      <c r="Q44" s="43"/>
      <c r="R44" s="43"/>
      <c r="S44" s="15"/>
      <c r="T44" s="15"/>
      <c r="U44" s="15"/>
      <c r="V44" s="15"/>
      <c r="W44" s="43"/>
      <c r="X44" s="15"/>
      <c r="Y44" s="15"/>
      <c r="Z44" s="43"/>
      <c r="AA44" s="15"/>
      <c r="AB44" s="15"/>
      <c r="AC44" s="15"/>
      <c r="AD44" s="43"/>
      <c r="AE44" s="43"/>
      <c r="AF44" s="15"/>
      <c r="AG44" s="43"/>
      <c r="AH44" s="43"/>
    </row>
    <row r="45" spans="2:34" s="14" customFormat="1" ht="41.25" customHeight="1">
      <c r="B45" s="18"/>
      <c r="C45" s="57" t="str">
        <f t="shared" si="2"/>
        <v/>
      </c>
      <c r="D45" s="18" t="e">
        <f>VLOOKUP(F45,LOOKUP!$C$2:$C$8,2,0)</f>
        <v>#N/A</v>
      </c>
      <c r="E45" s="18"/>
      <c r="F45" s="18"/>
      <c r="G45" s="19"/>
      <c r="H45" s="19"/>
      <c r="I45" s="19"/>
      <c r="J45" s="43"/>
      <c r="K45" s="15"/>
      <c r="L45" s="15"/>
      <c r="M45" s="15"/>
      <c r="N45" s="15"/>
      <c r="O45" s="15"/>
      <c r="P45" s="43"/>
      <c r="Q45" s="43"/>
      <c r="R45" s="43"/>
      <c r="S45" s="15"/>
      <c r="T45" s="15"/>
      <c r="U45" s="15"/>
      <c r="V45" s="15"/>
      <c r="W45" s="43"/>
      <c r="X45" s="15"/>
      <c r="Y45" s="15"/>
      <c r="Z45" s="43"/>
      <c r="AA45" s="15"/>
      <c r="AB45" s="15"/>
      <c r="AC45" s="15"/>
      <c r="AD45" s="43"/>
      <c r="AE45" s="43"/>
      <c r="AF45" s="15"/>
      <c r="AG45" s="43"/>
      <c r="AH45" s="43"/>
    </row>
    <row r="46" spans="2:34" s="14" customFormat="1" ht="41.25" customHeight="1">
      <c r="B46" s="18"/>
      <c r="C46" s="57" t="str">
        <f t="shared" si="2"/>
        <v/>
      </c>
      <c r="D46" s="18" t="e">
        <f>VLOOKUP(F46,LOOKUP!$C$2:$C$8,2,0)</f>
        <v>#N/A</v>
      </c>
      <c r="E46" s="18"/>
      <c r="F46" s="15"/>
      <c r="G46" s="19"/>
      <c r="H46" s="19"/>
      <c r="I46" s="19"/>
      <c r="J46" s="43"/>
      <c r="K46" s="15"/>
      <c r="L46" s="15"/>
      <c r="M46" s="15"/>
      <c r="N46" s="15"/>
      <c r="O46" s="15"/>
      <c r="P46" s="43"/>
      <c r="Q46" s="43"/>
      <c r="R46" s="43"/>
      <c r="S46" s="15"/>
      <c r="T46" s="15"/>
      <c r="U46" s="15"/>
      <c r="V46" s="15"/>
      <c r="W46" s="43"/>
      <c r="X46" s="15"/>
      <c r="Y46" s="15"/>
      <c r="Z46" s="43"/>
      <c r="AA46" s="15"/>
      <c r="AB46" s="15"/>
      <c r="AC46" s="15"/>
      <c r="AD46" s="43"/>
      <c r="AE46" s="43"/>
      <c r="AF46" s="15"/>
      <c r="AG46" s="43"/>
      <c r="AH46" s="43"/>
    </row>
    <row r="47" spans="2:34" s="14" customFormat="1" ht="41.25" customHeight="1">
      <c r="B47" s="18"/>
      <c r="C47" s="57" t="str">
        <f t="shared" si="2"/>
        <v/>
      </c>
      <c r="D47" s="18" t="e">
        <f>VLOOKUP(F47,LOOKUP!$C$2:$C$8,2,0)</f>
        <v>#N/A</v>
      </c>
      <c r="E47" s="18"/>
      <c r="F47" s="15"/>
      <c r="G47" s="19"/>
      <c r="H47" s="19"/>
      <c r="I47" s="19"/>
      <c r="J47" s="43"/>
      <c r="K47" s="15"/>
      <c r="L47" s="15"/>
      <c r="M47" s="15"/>
      <c r="N47" s="15"/>
      <c r="O47" s="15"/>
      <c r="P47" s="43"/>
      <c r="Q47" s="43"/>
      <c r="R47" s="43"/>
      <c r="S47" s="15"/>
      <c r="T47" s="15"/>
      <c r="U47" s="15"/>
      <c r="V47" s="15"/>
      <c r="W47" s="43"/>
      <c r="X47" s="15"/>
      <c r="Y47" s="15"/>
      <c r="Z47" s="43"/>
      <c r="AA47" s="15"/>
      <c r="AB47" s="15"/>
      <c r="AC47" s="15"/>
      <c r="AD47" s="43"/>
      <c r="AE47" s="43"/>
      <c r="AF47" s="15"/>
      <c r="AG47" s="43"/>
      <c r="AH47" s="43"/>
    </row>
    <row r="48" spans="2:34" s="14" customFormat="1" ht="41.25" customHeight="1">
      <c r="B48" s="18"/>
      <c r="C48" s="57" t="str">
        <f t="shared" si="2"/>
        <v/>
      </c>
      <c r="D48" s="18" t="e">
        <f>VLOOKUP(F48,LOOKUP!$C$2:$C$8,2,0)</f>
        <v>#N/A</v>
      </c>
      <c r="E48" s="18"/>
      <c r="F48" s="15"/>
      <c r="G48" s="19"/>
      <c r="H48" s="19"/>
      <c r="I48" s="19"/>
      <c r="J48" s="43"/>
      <c r="K48" s="15"/>
      <c r="L48" s="15"/>
      <c r="M48" s="15"/>
      <c r="N48" s="15"/>
      <c r="O48" s="15"/>
      <c r="P48" s="43"/>
      <c r="Q48" s="43"/>
      <c r="R48" s="43"/>
      <c r="S48" s="15"/>
      <c r="T48" s="15"/>
      <c r="U48" s="15"/>
      <c r="V48" s="15"/>
      <c r="W48" s="43"/>
      <c r="X48" s="15"/>
      <c r="Y48" s="15"/>
      <c r="Z48" s="43"/>
      <c r="AA48" s="15"/>
      <c r="AB48" s="15"/>
      <c r="AC48" s="15"/>
      <c r="AD48" s="43"/>
      <c r="AE48" s="43"/>
      <c r="AF48" s="15"/>
      <c r="AG48" s="43"/>
      <c r="AH48" s="43"/>
    </row>
    <row r="49" spans="1:34" s="14" customFormat="1" ht="41.25" customHeight="1">
      <c r="B49" s="18"/>
      <c r="C49" s="57" t="str">
        <f t="shared" si="2"/>
        <v/>
      </c>
      <c r="D49" s="18" t="e">
        <f>VLOOKUP(F49,LOOKUP!$C$2:$C$8,2,0)</f>
        <v>#N/A</v>
      </c>
      <c r="E49" s="18"/>
      <c r="F49" s="18"/>
      <c r="G49" s="19"/>
      <c r="H49" s="19"/>
      <c r="I49" s="19"/>
      <c r="J49" s="43"/>
      <c r="K49" s="15"/>
      <c r="L49" s="15"/>
      <c r="M49" s="15"/>
      <c r="N49" s="15"/>
      <c r="O49" s="15"/>
      <c r="P49" s="43"/>
      <c r="Q49" s="43"/>
      <c r="R49" s="43"/>
      <c r="S49" s="15"/>
      <c r="T49" s="15"/>
      <c r="U49" s="15"/>
      <c r="V49" s="15"/>
      <c r="W49" s="43"/>
      <c r="X49" s="15"/>
      <c r="Y49" s="15"/>
      <c r="Z49" s="43"/>
      <c r="AA49" s="15"/>
      <c r="AB49" s="15"/>
      <c r="AC49" s="15"/>
      <c r="AD49" s="43"/>
      <c r="AE49" s="43"/>
      <c r="AF49" s="15"/>
      <c r="AG49" s="43"/>
      <c r="AH49" s="43"/>
    </row>
    <row r="50" spans="1:34" s="14" customFormat="1" ht="41.25" customHeight="1">
      <c r="B50" s="18"/>
      <c r="C50" s="57" t="str">
        <f t="shared" si="2"/>
        <v/>
      </c>
      <c r="D50" s="18" t="e">
        <f>VLOOKUP(F50,LOOKUP!$C$2:$C$8,2,0)</f>
        <v>#N/A</v>
      </c>
      <c r="E50" s="18"/>
      <c r="F50" s="15"/>
      <c r="G50" s="19"/>
      <c r="H50" s="19"/>
      <c r="I50" s="19"/>
      <c r="J50" s="43"/>
      <c r="K50" s="15"/>
      <c r="L50" s="15"/>
      <c r="M50" s="15"/>
      <c r="N50" s="15"/>
      <c r="O50" s="15"/>
      <c r="P50" s="43"/>
      <c r="Q50" s="43"/>
      <c r="R50" s="43"/>
      <c r="S50" s="15"/>
      <c r="T50" s="15"/>
      <c r="U50" s="15"/>
      <c r="V50" s="15"/>
      <c r="W50" s="43"/>
      <c r="X50" s="15"/>
      <c r="Y50" s="15"/>
      <c r="Z50" s="43"/>
      <c r="AA50" s="15"/>
      <c r="AB50" s="15"/>
      <c r="AC50" s="15"/>
      <c r="AD50" s="43"/>
      <c r="AE50" s="43"/>
      <c r="AF50" s="15"/>
      <c r="AG50" s="43"/>
      <c r="AH50" s="43"/>
    </row>
    <row r="51" spans="1:34" s="14" customFormat="1" ht="41.25" customHeight="1">
      <c r="B51" s="18"/>
      <c r="C51" s="57" t="str">
        <f t="shared" si="2"/>
        <v/>
      </c>
      <c r="D51" s="18" t="e">
        <f>VLOOKUP(F51,LOOKUP!$C$2:$C$8,2,0)</f>
        <v>#N/A</v>
      </c>
      <c r="E51" s="18"/>
      <c r="F51" s="18"/>
      <c r="G51" s="19"/>
      <c r="H51" s="19"/>
      <c r="I51" s="19"/>
      <c r="J51" s="43"/>
      <c r="K51" s="15"/>
      <c r="L51" s="15"/>
      <c r="M51" s="15"/>
      <c r="N51" s="15"/>
      <c r="O51" s="15"/>
      <c r="P51" s="43"/>
      <c r="Q51" s="43"/>
      <c r="R51" s="43"/>
      <c r="S51" s="15"/>
      <c r="T51" s="15"/>
      <c r="U51" s="15"/>
      <c r="V51" s="15"/>
      <c r="W51" s="43"/>
      <c r="X51" s="15"/>
      <c r="Y51" s="15"/>
      <c r="Z51" s="43"/>
      <c r="AA51" s="15"/>
      <c r="AB51" s="15"/>
      <c r="AC51" s="15"/>
      <c r="AD51" s="43"/>
      <c r="AE51" s="43"/>
      <c r="AF51" s="15"/>
      <c r="AG51" s="43"/>
      <c r="AH51" s="43"/>
    </row>
    <row r="52" spans="1:34" s="14" customFormat="1" ht="41.25" customHeight="1">
      <c r="B52" s="18"/>
      <c r="C52" s="57" t="str">
        <f t="shared" si="2"/>
        <v/>
      </c>
      <c r="D52" s="18" t="e">
        <f>VLOOKUP(F52,LOOKUP!$C$2:$C$8,2,0)</f>
        <v>#N/A</v>
      </c>
      <c r="E52" s="18"/>
      <c r="F52" s="18"/>
      <c r="G52" s="19"/>
      <c r="H52" s="19"/>
      <c r="I52" s="19"/>
      <c r="J52" s="43"/>
      <c r="K52" s="15"/>
      <c r="L52" s="15"/>
      <c r="M52" s="15"/>
      <c r="N52" s="15"/>
      <c r="O52" s="15"/>
      <c r="P52" s="43"/>
      <c r="Q52" s="43"/>
      <c r="R52" s="43"/>
      <c r="S52" s="15"/>
      <c r="T52" s="15"/>
      <c r="U52" s="15"/>
      <c r="V52" s="15"/>
      <c r="W52" s="43"/>
      <c r="X52" s="15"/>
      <c r="Y52" s="15"/>
      <c r="Z52" s="43"/>
      <c r="AA52" s="15"/>
      <c r="AB52" s="15"/>
      <c r="AC52" s="15"/>
      <c r="AD52" s="43"/>
      <c r="AE52" s="43"/>
      <c r="AF52" s="15"/>
      <c r="AG52" s="43"/>
      <c r="AH52" s="43"/>
    </row>
    <row r="53" spans="1:34" s="14" customFormat="1" ht="41.25" customHeight="1">
      <c r="B53" s="18"/>
      <c r="C53" s="57" t="str">
        <f t="shared" si="2"/>
        <v/>
      </c>
      <c r="D53" s="18" t="e">
        <f>VLOOKUP(F53,LOOKUP!$C$2:$C$8,2,0)</f>
        <v>#N/A</v>
      </c>
      <c r="E53" s="18"/>
      <c r="F53" s="19"/>
      <c r="G53" s="19"/>
      <c r="H53" s="19"/>
      <c r="I53" s="19"/>
      <c r="J53" s="44"/>
      <c r="K53" s="19"/>
      <c r="L53" s="19"/>
      <c r="M53" s="19"/>
      <c r="N53" s="19"/>
      <c r="O53" s="19"/>
      <c r="P53" s="44"/>
      <c r="Q53" s="44"/>
      <c r="R53" s="44"/>
      <c r="S53" s="19"/>
      <c r="T53" s="19"/>
      <c r="U53" s="19"/>
      <c r="V53" s="19"/>
      <c r="W53" s="44"/>
      <c r="X53" s="19"/>
      <c r="Y53" s="19"/>
      <c r="Z53" s="44"/>
      <c r="AA53" s="19"/>
      <c r="AB53" s="19"/>
      <c r="AC53" s="19"/>
      <c r="AD53" s="44"/>
      <c r="AE53" s="44"/>
      <c r="AF53" s="19"/>
      <c r="AG53" s="44"/>
      <c r="AH53" s="44"/>
    </row>
    <row r="54" spans="1:34" s="14" customFormat="1" ht="41.25" customHeight="1">
      <c r="A54" s="35"/>
      <c r="B54" s="21"/>
      <c r="C54" s="57" t="str">
        <f t="shared" si="2"/>
        <v/>
      </c>
      <c r="D54" s="18" t="e">
        <f>VLOOKUP(F54,LOOKUP!$C$2:$C$8,2,0)</f>
        <v>#N/A</v>
      </c>
      <c r="E54" s="18"/>
      <c r="F54" s="15"/>
      <c r="G54" s="19"/>
      <c r="H54" s="19"/>
      <c r="I54" s="19"/>
      <c r="J54" s="43"/>
      <c r="K54" s="15"/>
      <c r="L54" s="15"/>
      <c r="M54" s="15"/>
      <c r="N54" s="15"/>
      <c r="O54" s="15"/>
      <c r="P54" s="43"/>
      <c r="Q54" s="43"/>
      <c r="R54" s="43"/>
      <c r="S54" s="15"/>
      <c r="T54" s="15"/>
      <c r="U54" s="15"/>
      <c r="V54" s="15"/>
      <c r="W54" s="43"/>
      <c r="X54" s="15"/>
      <c r="Y54" s="15"/>
      <c r="Z54" s="43"/>
      <c r="AA54" s="15"/>
      <c r="AB54" s="15"/>
      <c r="AC54" s="15"/>
      <c r="AD54" s="43"/>
      <c r="AE54" s="43"/>
      <c r="AF54" s="15"/>
      <c r="AG54" s="43"/>
      <c r="AH54" s="43"/>
    </row>
    <row r="55" spans="1:34" s="14" customFormat="1" ht="41.25" customHeight="1">
      <c r="B55" s="18"/>
      <c r="C55" s="57" t="str">
        <f t="shared" si="2"/>
        <v/>
      </c>
      <c r="D55" s="18" t="e">
        <f>VLOOKUP(F55,LOOKUP!$C$2:$C$8,2,0)</f>
        <v>#N/A</v>
      </c>
      <c r="E55" s="18"/>
      <c r="F55" s="18"/>
      <c r="G55" s="19"/>
      <c r="H55" s="19"/>
      <c r="I55" s="19"/>
      <c r="J55" s="43"/>
      <c r="K55" s="15"/>
      <c r="L55" s="15"/>
      <c r="M55" s="15"/>
      <c r="N55" s="15"/>
      <c r="O55" s="15"/>
      <c r="P55" s="43"/>
      <c r="Q55" s="43"/>
      <c r="R55" s="43"/>
      <c r="S55" s="15"/>
      <c r="T55" s="15"/>
      <c r="U55" s="15"/>
      <c r="V55" s="15"/>
      <c r="W55" s="43"/>
      <c r="X55" s="15"/>
      <c r="Y55" s="15"/>
      <c r="Z55" s="43"/>
      <c r="AA55" s="15"/>
      <c r="AB55" s="15"/>
      <c r="AC55" s="15"/>
      <c r="AD55" s="43"/>
      <c r="AE55" s="43"/>
      <c r="AF55" s="15"/>
      <c r="AG55" s="43"/>
      <c r="AH55" s="43"/>
    </row>
    <row r="56" spans="1:34" s="14" customFormat="1" ht="41.25" customHeight="1">
      <c r="B56" s="21"/>
      <c r="C56" s="57" t="str">
        <f t="shared" si="2"/>
        <v/>
      </c>
      <c r="D56" s="18" t="e">
        <f>VLOOKUP(F56,LOOKUP!$C$2:$C$8,2,0)</f>
        <v>#N/A</v>
      </c>
      <c r="E56" s="18"/>
      <c r="F56" s="18"/>
      <c r="G56" s="18"/>
      <c r="H56" s="18"/>
      <c r="I56" s="15"/>
      <c r="J56" s="43"/>
      <c r="K56" s="15"/>
      <c r="L56" s="15"/>
      <c r="M56" s="15"/>
      <c r="N56" s="15"/>
      <c r="O56" s="15"/>
      <c r="P56" s="43"/>
      <c r="Q56" s="43"/>
      <c r="R56" s="43"/>
      <c r="S56" s="15"/>
      <c r="T56" s="15"/>
      <c r="U56" s="15"/>
      <c r="V56" s="15"/>
      <c r="W56" s="43"/>
      <c r="X56" s="15"/>
      <c r="Y56" s="15"/>
      <c r="Z56" s="43"/>
      <c r="AA56" s="15"/>
      <c r="AB56" s="15"/>
      <c r="AC56" s="15"/>
      <c r="AD56" s="43"/>
      <c r="AE56" s="43"/>
      <c r="AF56" s="15"/>
      <c r="AG56" s="43"/>
      <c r="AH56" s="43"/>
    </row>
    <row r="57" spans="1:34" s="14" customFormat="1" ht="41.25" customHeight="1">
      <c r="B57" s="18"/>
      <c r="C57" s="57" t="str">
        <f t="shared" si="2"/>
        <v/>
      </c>
      <c r="D57" s="18" t="e">
        <f>VLOOKUP(F57,LOOKUP!$C$2:$C$8,2,0)</f>
        <v>#N/A</v>
      </c>
      <c r="E57" s="18"/>
      <c r="F57" s="19"/>
      <c r="G57" s="19"/>
      <c r="H57" s="19"/>
      <c r="I57" s="15"/>
      <c r="J57" s="44"/>
      <c r="K57" s="19"/>
      <c r="L57" s="19"/>
      <c r="M57" s="19"/>
      <c r="N57" s="19"/>
      <c r="O57" s="19"/>
      <c r="P57" s="44"/>
      <c r="Q57" s="44"/>
      <c r="R57" s="44"/>
      <c r="S57" s="19"/>
      <c r="T57" s="19"/>
      <c r="U57" s="19"/>
      <c r="V57" s="19"/>
      <c r="W57" s="44"/>
      <c r="X57" s="19"/>
      <c r="Y57" s="19"/>
      <c r="Z57" s="44"/>
      <c r="AA57" s="15"/>
      <c r="AB57" s="15"/>
      <c r="AC57" s="15"/>
      <c r="AD57" s="44"/>
      <c r="AE57" s="44"/>
      <c r="AF57" s="19"/>
      <c r="AG57" s="44"/>
      <c r="AH57" s="44"/>
    </row>
    <row r="58" spans="1:34" s="14" customFormat="1" ht="41.25" customHeight="1">
      <c r="B58" s="18"/>
      <c r="C58" s="57" t="str">
        <f t="shared" si="2"/>
        <v/>
      </c>
      <c r="D58" s="18" t="e">
        <f>VLOOKUP(F58,LOOKUP!$C$2:$C$8,2,0)</f>
        <v>#N/A</v>
      </c>
      <c r="E58" s="18"/>
      <c r="F58" s="19"/>
      <c r="G58" s="19"/>
      <c r="H58" s="19"/>
      <c r="I58" s="19"/>
      <c r="J58" s="43"/>
      <c r="K58" s="15"/>
      <c r="L58" s="15"/>
      <c r="M58" s="15"/>
      <c r="N58" s="15"/>
      <c r="O58" s="15"/>
      <c r="P58" s="43"/>
      <c r="Q58" s="43"/>
      <c r="R58" s="43"/>
      <c r="S58" s="15"/>
      <c r="T58" s="15"/>
      <c r="U58" s="15"/>
      <c r="V58" s="15"/>
      <c r="W58" s="43"/>
      <c r="X58" s="15"/>
      <c r="Y58" s="15"/>
      <c r="Z58" s="43"/>
      <c r="AA58" s="15"/>
      <c r="AB58" s="15"/>
      <c r="AC58" s="15"/>
      <c r="AD58" s="43"/>
      <c r="AE58" s="43"/>
      <c r="AF58" s="15"/>
      <c r="AG58" s="43"/>
      <c r="AH58" s="43"/>
    </row>
    <row r="59" spans="1:34" s="14" customFormat="1" ht="41.25" customHeight="1">
      <c r="B59" s="18"/>
      <c r="C59" s="57" t="str">
        <f t="shared" si="2"/>
        <v/>
      </c>
      <c r="D59" s="18" t="e">
        <f>VLOOKUP(F59,LOOKUP!$C$2:$C$8,2,0)</f>
        <v>#N/A</v>
      </c>
      <c r="E59" s="18"/>
      <c r="F59" s="18"/>
      <c r="G59" s="19"/>
      <c r="H59" s="19"/>
      <c r="I59" s="15"/>
      <c r="J59" s="43"/>
      <c r="K59" s="15"/>
      <c r="L59" s="15"/>
      <c r="M59" s="15"/>
      <c r="N59" s="15"/>
      <c r="O59" s="15"/>
      <c r="P59" s="43"/>
      <c r="Q59" s="43"/>
      <c r="R59" s="43"/>
      <c r="S59" s="15"/>
      <c r="T59" s="15"/>
      <c r="U59" s="15"/>
      <c r="V59" s="15"/>
      <c r="W59" s="43"/>
      <c r="X59" s="15"/>
      <c r="Y59" s="15"/>
      <c r="Z59" s="43"/>
      <c r="AA59" s="15"/>
      <c r="AB59" s="15"/>
      <c r="AC59" s="15"/>
      <c r="AD59" s="43"/>
      <c r="AE59" s="43"/>
      <c r="AF59" s="15"/>
      <c r="AG59" s="43"/>
      <c r="AH59" s="43"/>
    </row>
    <row r="60" spans="1:34" s="14" customFormat="1" ht="41.25" customHeight="1">
      <c r="B60" s="18"/>
      <c r="C60" s="57" t="str">
        <f t="shared" si="2"/>
        <v/>
      </c>
      <c r="D60" s="18" t="e">
        <f>VLOOKUP(F60,LOOKUP!$C$2:$C$8,2,0)</f>
        <v>#N/A</v>
      </c>
      <c r="E60" s="18"/>
      <c r="F60" s="18"/>
      <c r="G60" s="19"/>
      <c r="H60" s="19"/>
      <c r="I60" s="19"/>
      <c r="J60" s="43"/>
      <c r="K60" s="15"/>
      <c r="L60" s="15"/>
      <c r="M60" s="15"/>
      <c r="N60" s="15"/>
      <c r="O60" s="15"/>
      <c r="P60" s="43"/>
      <c r="Q60" s="43"/>
      <c r="R60" s="43"/>
      <c r="S60" s="15"/>
      <c r="T60" s="15"/>
      <c r="U60" s="15"/>
      <c r="V60" s="15"/>
      <c r="W60" s="43"/>
      <c r="X60" s="15"/>
      <c r="Y60" s="15"/>
      <c r="Z60" s="43"/>
      <c r="AA60" s="15"/>
      <c r="AB60" s="15"/>
      <c r="AC60" s="15"/>
      <c r="AD60" s="43"/>
      <c r="AE60" s="43"/>
      <c r="AF60" s="15"/>
      <c r="AG60" s="43"/>
      <c r="AH60" s="43"/>
    </row>
    <row r="61" spans="1:34" s="14" customFormat="1" ht="41.25" customHeight="1">
      <c r="B61" s="18"/>
      <c r="C61" s="57" t="str">
        <f t="shared" si="2"/>
        <v/>
      </c>
      <c r="D61" s="18" t="e">
        <f>VLOOKUP(F61,LOOKUP!$C$2:$C$8,2,0)</f>
        <v>#N/A</v>
      </c>
      <c r="E61" s="18"/>
      <c r="F61" s="19"/>
      <c r="G61" s="19"/>
      <c r="H61" s="19"/>
      <c r="I61" s="19"/>
      <c r="J61" s="44"/>
      <c r="K61" s="19"/>
      <c r="L61" s="19"/>
      <c r="M61" s="19"/>
      <c r="N61" s="19"/>
      <c r="O61" s="19"/>
      <c r="P61" s="44"/>
      <c r="Q61" s="44"/>
      <c r="R61" s="44"/>
      <c r="S61" s="19"/>
      <c r="T61" s="19"/>
      <c r="U61" s="19"/>
      <c r="V61" s="19"/>
      <c r="W61" s="44"/>
      <c r="X61" s="19"/>
      <c r="Y61" s="19"/>
      <c r="Z61" s="44"/>
      <c r="AA61" s="19"/>
      <c r="AB61" s="19"/>
      <c r="AC61" s="19"/>
      <c r="AD61" s="44"/>
      <c r="AE61" s="44"/>
      <c r="AF61" s="19"/>
      <c r="AG61" s="44"/>
      <c r="AH61" s="44"/>
    </row>
    <row r="62" spans="1:34" s="14" customFormat="1" ht="41.25" customHeight="1">
      <c r="B62" s="18"/>
      <c r="C62" s="57" t="str">
        <f t="shared" si="2"/>
        <v/>
      </c>
      <c r="D62" s="18" t="e">
        <f>VLOOKUP(F62,LOOKUP!$C$2:$C$8,2,0)</f>
        <v>#N/A</v>
      </c>
      <c r="E62" s="18"/>
      <c r="F62" s="18"/>
      <c r="G62" s="19"/>
      <c r="H62" s="19"/>
      <c r="I62" s="19"/>
      <c r="J62" s="43"/>
      <c r="K62" s="15"/>
      <c r="L62" s="15"/>
      <c r="M62" s="15"/>
      <c r="N62" s="15"/>
      <c r="O62" s="15"/>
      <c r="P62" s="43"/>
      <c r="Q62" s="43"/>
      <c r="R62" s="43"/>
      <c r="S62" s="15"/>
      <c r="T62" s="15"/>
      <c r="U62" s="15"/>
      <c r="V62" s="15"/>
      <c r="W62" s="43"/>
      <c r="X62" s="15"/>
      <c r="Y62" s="15"/>
      <c r="Z62" s="43"/>
      <c r="AA62" s="15"/>
      <c r="AB62" s="15"/>
      <c r="AC62" s="15"/>
      <c r="AD62" s="43"/>
      <c r="AE62" s="43"/>
      <c r="AF62" s="15"/>
      <c r="AG62" s="43"/>
      <c r="AH62" s="43"/>
    </row>
    <row r="63" spans="1:34" s="14" customFormat="1" ht="41.25" customHeight="1">
      <c r="B63" s="18"/>
      <c r="C63" s="57" t="str">
        <f t="shared" si="2"/>
        <v/>
      </c>
      <c r="D63" s="18" t="e">
        <f>VLOOKUP(F63,LOOKUP!$C$2:$C$8,2,0)</f>
        <v>#N/A</v>
      </c>
      <c r="E63" s="18"/>
      <c r="F63" s="18"/>
      <c r="G63" s="19"/>
      <c r="H63" s="19"/>
      <c r="I63" s="15"/>
      <c r="J63" s="43"/>
      <c r="K63" s="15"/>
      <c r="L63" s="15"/>
      <c r="M63" s="15"/>
      <c r="N63" s="15"/>
      <c r="O63" s="15"/>
      <c r="P63" s="43"/>
      <c r="Q63" s="43"/>
      <c r="R63" s="43"/>
      <c r="S63" s="15"/>
      <c r="T63" s="15"/>
      <c r="U63" s="15"/>
      <c r="V63" s="15"/>
      <c r="W63" s="43"/>
      <c r="X63" s="15"/>
      <c r="Y63" s="15"/>
      <c r="Z63" s="43"/>
      <c r="AA63" s="15"/>
      <c r="AB63" s="15"/>
      <c r="AC63" s="15"/>
      <c r="AD63" s="43"/>
      <c r="AE63" s="43"/>
      <c r="AF63" s="15"/>
      <c r="AG63" s="43"/>
      <c r="AH63" s="46"/>
    </row>
    <row r="64" spans="1:34" s="14" customFormat="1" ht="41.25" customHeight="1">
      <c r="B64" s="18"/>
      <c r="C64" s="57" t="str">
        <f t="shared" si="2"/>
        <v/>
      </c>
      <c r="D64" s="18" t="e">
        <f>VLOOKUP(F64,LOOKUP!$C$2:$C$8,2,0)</f>
        <v>#N/A</v>
      </c>
      <c r="E64" s="18"/>
      <c r="F64" s="19"/>
      <c r="G64" s="19"/>
      <c r="H64" s="19"/>
      <c r="I64" s="15"/>
      <c r="J64" s="44"/>
      <c r="K64" s="19"/>
      <c r="L64" s="19"/>
      <c r="M64" s="19"/>
      <c r="N64" s="19"/>
      <c r="O64" s="19"/>
      <c r="P64" s="44"/>
      <c r="Q64" s="44"/>
      <c r="R64" s="44"/>
      <c r="S64" s="19"/>
      <c r="T64" s="19"/>
      <c r="U64" s="19"/>
      <c r="V64" s="19"/>
      <c r="W64" s="44"/>
      <c r="X64" s="19"/>
      <c r="Y64" s="19"/>
      <c r="Z64" s="44"/>
      <c r="AA64" s="19"/>
      <c r="AB64" s="19"/>
      <c r="AC64" s="19"/>
      <c r="AD64" s="44"/>
      <c r="AE64" s="44"/>
      <c r="AF64" s="19"/>
      <c r="AG64" s="44"/>
      <c r="AH64" s="44"/>
    </row>
    <row r="65" spans="2:34" s="14" customFormat="1" ht="41.25" customHeight="1">
      <c r="B65" s="18"/>
      <c r="C65" s="57" t="str">
        <f t="shared" si="2"/>
        <v/>
      </c>
      <c r="D65" s="18" t="e">
        <f>VLOOKUP(F65,LOOKUP!$C$2:$C$8,2,0)</f>
        <v>#N/A</v>
      </c>
      <c r="E65" s="18"/>
      <c r="F65" s="19"/>
      <c r="G65" s="19"/>
      <c r="H65" s="19"/>
      <c r="I65" s="15"/>
      <c r="J65" s="44"/>
      <c r="K65" s="19"/>
      <c r="L65" s="19"/>
      <c r="M65" s="19"/>
      <c r="N65" s="19"/>
      <c r="O65" s="19"/>
      <c r="P65" s="44"/>
      <c r="Q65" s="44"/>
      <c r="R65" s="44"/>
      <c r="S65" s="19"/>
      <c r="T65" s="19"/>
      <c r="U65" s="19"/>
      <c r="V65" s="19"/>
      <c r="W65" s="44"/>
      <c r="X65" s="19"/>
      <c r="Y65" s="19"/>
      <c r="Z65" s="44"/>
      <c r="AA65" s="19"/>
      <c r="AB65" s="19"/>
      <c r="AC65" s="19"/>
      <c r="AD65" s="44"/>
      <c r="AE65" s="44"/>
      <c r="AF65" s="19"/>
      <c r="AG65" s="44"/>
      <c r="AH65" s="44"/>
    </row>
    <row r="66" spans="2:34" s="14" customFormat="1" ht="41.25" customHeight="1">
      <c r="B66" s="18"/>
      <c r="C66" s="57" t="str">
        <f t="shared" si="2"/>
        <v/>
      </c>
      <c r="D66" s="18" t="e">
        <f>VLOOKUP(F66,LOOKUP!$C$2:$C$8,2,0)</f>
        <v>#N/A</v>
      </c>
      <c r="E66" s="18"/>
      <c r="F66" s="18"/>
      <c r="G66" s="18"/>
      <c r="H66" s="19"/>
      <c r="I66" s="15"/>
      <c r="J66" s="43"/>
      <c r="K66" s="15"/>
      <c r="L66" s="15"/>
      <c r="M66" s="15"/>
      <c r="N66" s="15"/>
      <c r="O66" s="15"/>
      <c r="P66" s="43"/>
      <c r="Q66" s="43"/>
      <c r="R66" s="43"/>
      <c r="S66" s="15"/>
      <c r="T66" s="15"/>
      <c r="U66" s="15"/>
      <c r="V66" s="15"/>
      <c r="W66" s="43"/>
      <c r="X66" s="15"/>
      <c r="Y66" s="15"/>
      <c r="Z66" s="43"/>
      <c r="AA66" s="15"/>
      <c r="AB66" s="15"/>
      <c r="AC66" s="15"/>
      <c r="AD66" s="43"/>
      <c r="AE66" s="43"/>
      <c r="AF66" s="15"/>
      <c r="AG66" s="43"/>
      <c r="AH66" s="43"/>
    </row>
    <row r="67" spans="2:34" s="14" customFormat="1" ht="41.25" customHeight="1">
      <c r="B67" s="18"/>
      <c r="C67" s="57" t="str">
        <f t="shared" si="2"/>
        <v/>
      </c>
      <c r="D67" s="18" t="e">
        <f>VLOOKUP(F67,LOOKUP!$C$2:$C$8,2,0)</f>
        <v>#N/A</v>
      </c>
      <c r="E67" s="18"/>
      <c r="F67" s="18"/>
      <c r="G67" s="18"/>
      <c r="H67" s="19"/>
      <c r="I67" s="15"/>
      <c r="J67" s="43"/>
      <c r="K67" s="15"/>
      <c r="L67" s="15"/>
      <c r="M67" s="15"/>
      <c r="N67" s="15"/>
      <c r="O67" s="15"/>
      <c r="P67" s="43"/>
      <c r="Q67" s="43"/>
      <c r="R67" s="43"/>
      <c r="S67" s="15"/>
      <c r="T67" s="15"/>
      <c r="U67" s="15"/>
      <c r="V67" s="15"/>
      <c r="W67" s="43"/>
      <c r="X67" s="15"/>
      <c r="Y67" s="15"/>
      <c r="Z67" s="43"/>
      <c r="AA67" s="15"/>
      <c r="AB67" s="15"/>
      <c r="AC67" s="15"/>
      <c r="AD67" s="43"/>
      <c r="AE67" s="43"/>
      <c r="AF67" s="15"/>
      <c r="AG67" s="43"/>
      <c r="AH67" s="43"/>
    </row>
    <row r="68" spans="2:34" s="14" customFormat="1" ht="41.25" customHeight="1">
      <c r="B68" s="18"/>
      <c r="C68" s="57" t="str">
        <f t="shared" si="2"/>
        <v/>
      </c>
      <c r="D68" s="18" t="e">
        <f>VLOOKUP(F68,LOOKUP!$C$2:$C$8,2,0)</f>
        <v>#N/A</v>
      </c>
      <c r="E68" s="18"/>
      <c r="F68" s="19"/>
      <c r="G68" s="19"/>
      <c r="H68" s="19"/>
      <c r="I68" s="19"/>
      <c r="J68" s="44"/>
      <c r="K68" s="19"/>
      <c r="L68" s="19"/>
      <c r="M68" s="19"/>
      <c r="N68" s="19"/>
      <c r="O68" s="19"/>
      <c r="P68" s="44"/>
      <c r="Q68" s="44"/>
      <c r="R68" s="44"/>
      <c r="S68" s="19"/>
      <c r="T68" s="19"/>
      <c r="U68" s="19"/>
      <c r="V68" s="19"/>
      <c r="W68" s="44"/>
      <c r="X68" s="19"/>
      <c r="Y68" s="19"/>
      <c r="Z68" s="44"/>
      <c r="AA68" s="19"/>
      <c r="AB68" s="19"/>
      <c r="AC68" s="19"/>
      <c r="AD68" s="44"/>
      <c r="AE68" s="44"/>
      <c r="AF68" s="19"/>
      <c r="AG68" s="44"/>
      <c r="AH68" s="44"/>
    </row>
    <row r="69" spans="2:34" s="14" customFormat="1" ht="41.25" customHeight="1">
      <c r="B69" s="18"/>
      <c r="C69" s="57" t="str">
        <f t="shared" si="2"/>
        <v/>
      </c>
      <c r="D69" s="18" t="e">
        <f>VLOOKUP(F69,LOOKUP!$C$2:$C$8,2,0)</f>
        <v>#N/A</v>
      </c>
      <c r="E69" s="18"/>
      <c r="F69" s="18"/>
      <c r="G69" s="19"/>
      <c r="H69" s="19"/>
      <c r="I69" s="19"/>
      <c r="J69" s="47"/>
      <c r="K69" s="22"/>
      <c r="L69" s="22"/>
      <c r="M69" s="22"/>
      <c r="N69" s="22"/>
      <c r="O69" s="22"/>
      <c r="P69" s="47"/>
      <c r="Q69" s="47"/>
      <c r="R69" s="47"/>
      <c r="S69" s="22"/>
      <c r="T69" s="22"/>
      <c r="U69" s="22"/>
      <c r="V69" s="22"/>
      <c r="W69" s="47"/>
      <c r="X69" s="22"/>
      <c r="Y69" s="22"/>
      <c r="Z69" s="47"/>
      <c r="AA69" s="22"/>
      <c r="AB69" s="22"/>
      <c r="AC69" s="22"/>
      <c r="AD69" s="47"/>
      <c r="AE69" s="47"/>
      <c r="AF69" s="22"/>
      <c r="AG69" s="47"/>
      <c r="AH69" s="47"/>
    </row>
    <row r="70" spans="2:34" s="14" customFormat="1" ht="41.25" customHeight="1">
      <c r="B70" s="18"/>
      <c r="C70" s="57" t="str">
        <f t="shared" ref="C70:C133" si="3">IF(B70="","",MONTH(B70))</f>
        <v/>
      </c>
      <c r="D70" s="18" t="e">
        <f>VLOOKUP(F70,LOOKUP!$C$2:$C$8,2,0)</f>
        <v>#N/A</v>
      </c>
      <c r="E70" s="18"/>
      <c r="F70" s="18"/>
      <c r="G70" s="19"/>
      <c r="H70" s="19"/>
      <c r="I70" s="19"/>
      <c r="J70" s="47"/>
      <c r="K70" s="22"/>
      <c r="L70" s="22"/>
      <c r="M70" s="22"/>
      <c r="N70" s="22"/>
      <c r="O70" s="22"/>
      <c r="P70" s="47"/>
      <c r="Q70" s="47"/>
      <c r="R70" s="47"/>
      <c r="S70" s="22"/>
      <c r="T70" s="22"/>
      <c r="U70" s="22"/>
      <c r="V70" s="22"/>
      <c r="W70" s="47"/>
      <c r="X70" s="22"/>
      <c r="Y70" s="22"/>
      <c r="Z70" s="47"/>
      <c r="AA70" s="22"/>
      <c r="AB70" s="22"/>
      <c r="AC70" s="22"/>
      <c r="AD70" s="47"/>
      <c r="AE70" s="47"/>
      <c r="AF70" s="22"/>
      <c r="AG70" s="47"/>
      <c r="AH70" s="47"/>
    </row>
    <row r="71" spans="2:34" s="14" customFormat="1" ht="41.25" customHeight="1">
      <c r="B71" s="18"/>
      <c r="C71" s="57" t="str">
        <f t="shared" si="3"/>
        <v/>
      </c>
      <c r="D71" s="18" t="e">
        <f>VLOOKUP(F71,LOOKUP!$C$2:$C$8,2,0)</f>
        <v>#N/A</v>
      </c>
      <c r="E71" s="18"/>
      <c r="F71" s="18"/>
      <c r="G71" s="19"/>
      <c r="H71" s="19"/>
      <c r="I71" s="19"/>
      <c r="J71" s="47"/>
      <c r="K71" s="22"/>
      <c r="L71" s="22"/>
      <c r="M71" s="22"/>
      <c r="N71" s="22"/>
      <c r="O71" s="22"/>
      <c r="P71" s="47"/>
      <c r="Q71" s="47"/>
      <c r="R71" s="47"/>
      <c r="S71" s="22"/>
      <c r="T71" s="22"/>
      <c r="U71" s="22"/>
      <c r="V71" s="22"/>
      <c r="W71" s="47"/>
      <c r="X71" s="22"/>
      <c r="Y71" s="22"/>
      <c r="Z71" s="47"/>
      <c r="AA71" s="22"/>
      <c r="AB71" s="22"/>
      <c r="AC71" s="22"/>
      <c r="AD71" s="47"/>
      <c r="AE71" s="47"/>
      <c r="AF71" s="22"/>
      <c r="AG71" s="47"/>
      <c r="AH71" s="47"/>
    </row>
    <row r="72" spans="2:34" s="14" customFormat="1" ht="41.25" customHeight="1">
      <c r="B72" s="18"/>
      <c r="C72" s="57" t="str">
        <f t="shared" si="3"/>
        <v/>
      </c>
      <c r="D72" s="18" t="e">
        <f>VLOOKUP(F72,LOOKUP!$C$2:$C$8,2,0)</f>
        <v>#N/A</v>
      </c>
      <c r="E72" s="18"/>
      <c r="F72" s="18"/>
      <c r="G72" s="19"/>
      <c r="H72" s="19"/>
      <c r="I72" s="19"/>
      <c r="J72" s="47"/>
      <c r="K72" s="22"/>
      <c r="L72" s="22"/>
      <c r="M72" s="22"/>
      <c r="N72" s="22"/>
      <c r="O72" s="22"/>
      <c r="P72" s="47"/>
      <c r="Q72" s="47"/>
      <c r="R72" s="47"/>
      <c r="S72" s="22"/>
      <c r="T72" s="22"/>
      <c r="U72" s="22"/>
      <c r="V72" s="22"/>
      <c r="W72" s="47"/>
      <c r="X72" s="22"/>
      <c r="Y72" s="22"/>
      <c r="Z72" s="47"/>
      <c r="AA72" s="22"/>
      <c r="AB72" s="22"/>
      <c r="AC72" s="22"/>
      <c r="AD72" s="47"/>
      <c r="AE72" s="47"/>
      <c r="AF72" s="22"/>
      <c r="AG72" s="47"/>
      <c r="AH72" s="47"/>
    </row>
    <row r="73" spans="2:34" s="14" customFormat="1" ht="41.25" customHeight="1">
      <c r="B73" s="18"/>
      <c r="C73" s="57" t="str">
        <f t="shared" si="3"/>
        <v/>
      </c>
      <c r="D73" s="18" t="e">
        <f>VLOOKUP(F73,LOOKUP!$C$2:$C$8,2,0)</f>
        <v>#N/A</v>
      </c>
      <c r="E73" s="18"/>
      <c r="F73" s="18"/>
      <c r="G73" s="19"/>
      <c r="H73" s="19"/>
      <c r="I73" s="19"/>
      <c r="J73" s="47"/>
      <c r="K73" s="22"/>
      <c r="L73" s="22"/>
      <c r="M73" s="22"/>
      <c r="N73" s="22"/>
      <c r="O73" s="22"/>
      <c r="P73" s="47"/>
      <c r="Q73" s="47"/>
      <c r="R73" s="47"/>
      <c r="S73" s="22"/>
      <c r="T73" s="22"/>
      <c r="U73" s="22"/>
      <c r="V73" s="22"/>
      <c r="W73" s="47"/>
      <c r="X73" s="22"/>
      <c r="Y73" s="22"/>
      <c r="Z73" s="47"/>
      <c r="AA73" s="22"/>
      <c r="AB73" s="22"/>
      <c r="AC73" s="22"/>
      <c r="AD73" s="47"/>
      <c r="AE73" s="47"/>
      <c r="AF73" s="22"/>
      <c r="AG73" s="47"/>
      <c r="AH73" s="47"/>
    </row>
    <row r="74" spans="2:34" s="14" customFormat="1" ht="41.25" customHeight="1">
      <c r="B74" s="18"/>
      <c r="C74" s="57" t="str">
        <f t="shared" si="3"/>
        <v/>
      </c>
      <c r="D74" s="18" t="e">
        <f>VLOOKUP(F74,LOOKUP!$C$2:$C$8,2,0)</f>
        <v>#N/A</v>
      </c>
      <c r="E74" s="18"/>
      <c r="F74" s="18"/>
      <c r="G74" s="18"/>
      <c r="H74" s="18"/>
      <c r="I74" s="15"/>
      <c r="J74" s="43"/>
      <c r="K74" s="15"/>
      <c r="L74" s="15"/>
      <c r="M74" s="15"/>
      <c r="N74" s="15"/>
      <c r="O74" s="15"/>
      <c r="P74" s="43"/>
      <c r="Q74" s="43"/>
      <c r="R74" s="43"/>
      <c r="S74" s="15"/>
      <c r="T74" s="15"/>
      <c r="U74" s="15"/>
      <c r="V74" s="15"/>
      <c r="W74" s="43"/>
      <c r="X74" s="15"/>
      <c r="Y74" s="15"/>
      <c r="Z74" s="43"/>
      <c r="AA74" s="15"/>
      <c r="AB74" s="15"/>
      <c r="AC74" s="15"/>
      <c r="AD74" s="43"/>
      <c r="AE74" s="43"/>
      <c r="AF74" s="15"/>
      <c r="AG74" s="43"/>
      <c r="AH74" s="43"/>
    </row>
    <row r="75" spans="2:34" s="14" customFormat="1" ht="41.25" customHeight="1">
      <c r="B75" s="18"/>
      <c r="C75" s="57" t="str">
        <f t="shared" si="3"/>
        <v/>
      </c>
      <c r="D75" s="18" t="e">
        <f>VLOOKUP(F75,LOOKUP!$C$2:$C$8,2,0)</f>
        <v>#N/A</v>
      </c>
      <c r="E75" s="18"/>
      <c r="F75" s="18"/>
      <c r="G75" s="19"/>
      <c r="H75" s="19"/>
      <c r="I75" s="19"/>
      <c r="J75" s="43"/>
      <c r="K75" s="15"/>
      <c r="L75" s="15"/>
      <c r="M75" s="15"/>
      <c r="N75" s="15"/>
      <c r="O75" s="15"/>
      <c r="P75" s="43"/>
      <c r="Q75" s="43"/>
      <c r="R75" s="43"/>
      <c r="S75" s="15"/>
      <c r="T75" s="15"/>
      <c r="U75" s="15"/>
      <c r="V75" s="15"/>
      <c r="W75" s="43"/>
      <c r="X75" s="15"/>
      <c r="Y75" s="15"/>
      <c r="Z75" s="43"/>
      <c r="AA75" s="15"/>
      <c r="AB75" s="15"/>
      <c r="AC75" s="15"/>
      <c r="AD75" s="43"/>
      <c r="AE75" s="43"/>
      <c r="AF75" s="15"/>
      <c r="AG75" s="43"/>
      <c r="AH75" s="43"/>
    </row>
    <row r="76" spans="2:34" s="14" customFormat="1" ht="41.25" customHeight="1">
      <c r="B76" s="18"/>
      <c r="C76" s="57" t="str">
        <f t="shared" si="3"/>
        <v/>
      </c>
      <c r="D76" s="18" t="e">
        <f>VLOOKUP(F76,LOOKUP!$C$2:$C$8,2,0)</f>
        <v>#N/A</v>
      </c>
      <c r="E76" s="18"/>
      <c r="F76" s="18"/>
      <c r="G76" s="19"/>
      <c r="H76" s="19"/>
      <c r="I76" s="19"/>
      <c r="J76" s="43"/>
      <c r="K76" s="15"/>
      <c r="L76" s="15"/>
      <c r="M76" s="15"/>
      <c r="N76" s="15"/>
      <c r="O76" s="15"/>
      <c r="P76" s="43"/>
      <c r="Q76" s="43"/>
      <c r="R76" s="43"/>
      <c r="S76" s="15"/>
      <c r="T76" s="15"/>
      <c r="U76" s="15"/>
      <c r="V76" s="15"/>
      <c r="W76" s="43"/>
      <c r="X76" s="15"/>
      <c r="Y76" s="15"/>
      <c r="Z76" s="43"/>
      <c r="AA76" s="15"/>
      <c r="AB76" s="15"/>
      <c r="AC76" s="15"/>
      <c r="AD76" s="43"/>
      <c r="AE76" s="43"/>
      <c r="AF76" s="15"/>
      <c r="AG76" s="43"/>
      <c r="AH76" s="43"/>
    </row>
    <row r="77" spans="2:34" s="14" customFormat="1" ht="41.25" customHeight="1">
      <c r="B77" s="18"/>
      <c r="C77" s="57" t="str">
        <f t="shared" si="3"/>
        <v/>
      </c>
      <c r="D77" s="18" t="e">
        <f>VLOOKUP(F77,LOOKUP!$C$2:$C$8,2,0)</f>
        <v>#N/A</v>
      </c>
      <c r="E77" s="18"/>
      <c r="F77" s="18"/>
      <c r="G77" s="19"/>
      <c r="H77" s="19"/>
      <c r="I77" s="19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</row>
    <row r="78" spans="2:34" s="14" customFormat="1" ht="41.25" customHeight="1">
      <c r="B78" s="18"/>
      <c r="C78" s="57" t="str">
        <f t="shared" si="3"/>
        <v/>
      </c>
      <c r="D78" s="18" t="e">
        <f>VLOOKUP(F78,LOOKUP!$C$2:$C$8,2,0)</f>
        <v>#N/A</v>
      </c>
      <c r="E78" s="18"/>
      <c r="F78" s="18"/>
      <c r="G78" s="19"/>
      <c r="H78" s="19"/>
      <c r="I78" s="19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</row>
    <row r="79" spans="2:34" s="14" customFormat="1" ht="41.25" customHeight="1">
      <c r="B79" s="18"/>
      <c r="C79" s="57" t="str">
        <f t="shared" si="3"/>
        <v/>
      </c>
      <c r="D79" s="18" t="e">
        <f>VLOOKUP(F79,LOOKUP!$C$2:$C$8,2,0)</f>
        <v>#N/A</v>
      </c>
      <c r="E79" s="18"/>
      <c r="F79" s="18"/>
      <c r="G79" s="19"/>
      <c r="H79" s="19"/>
      <c r="I79" s="19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</row>
    <row r="80" spans="2:34" s="14" customFormat="1" ht="41.25" customHeight="1">
      <c r="B80" s="18"/>
      <c r="C80" s="57" t="str">
        <f t="shared" si="3"/>
        <v/>
      </c>
      <c r="D80" s="18" t="e">
        <f>VLOOKUP(F80,LOOKUP!$C$2:$C$8,2,0)</f>
        <v>#N/A</v>
      </c>
      <c r="E80" s="18"/>
      <c r="F80" s="18"/>
      <c r="G80" s="19"/>
      <c r="H80" s="19"/>
      <c r="I80" s="19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</row>
    <row r="81" spans="2:34" s="14" customFormat="1" ht="41.25" customHeight="1">
      <c r="B81" s="18"/>
      <c r="C81" s="57" t="str">
        <f t="shared" si="3"/>
        <v/>
      </c>
      <c r="D81" s="18" t="e">
        <f>VLOOKUP(F81,LOOKUP!$C$2:$C$8,2,0)</f>
        <v>#N/A</v>
      </c>
      <c r="E81" s="18"/>
      <c r="F81" s="15"/>
      <c r="G81" s="19"/>
      <c r="H81" s="19"/>
      <c r="I81" s="19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</row>
    <row r="82" spans="2:34" s="14" customFormat="1" ht="41.25" customHeight="1">
      <c r="B82" s="18"/>
      <c r="C82" s="57" t="str">
        <f t="shared" si="3"/>
        <v/>
      </c>
      <c r="D82" s="18" t="e">
        <f>VLOOKUP(F82,LOOKUP!$C$2:$C$8,2,0)</f>
        <v>#N/A</v>
      </c>
      <c r="E82" s="18"/>
      <c r="F82" s="18"/>
      <c r="G82" s="18"/>
      <c r="H82" s="18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</row>
    <row r="83" spans="2:34" s="14" customFormat="1" ht="41.25" customHeight="1">
      <c r="B83" s="18"/>
      <c r="C83" s="57" t="str">
        <f t="shared" si="3"/>
        <v/>
      </c>
      <c r="D83" s="18" t="e">
        <f>VLOOKUP(F83,LOOKUP!$C$2:$C$8,2,0)</f>
        <v>#N/A</v>
      </c>
      <c r="E83" s="18"/>
      <c r="F83" s="18"/>
      <c r="G83" s="18"/>
      <c r="H83" s="18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</row>
    <row r="84" spans="2:34" s="14" customFormat="1" ht="41.25" customHeight="1">
      <c r="B84" s="18"/>
      <c r="C84" s="57" t="str">
        <f t="shared" si="3"/>
        <v/>
      </c>
      <c r="D84" s="18" t="e">
        <f>VLOOKUP(F84,LOOKUP!$C$2:$C$8,2,0)</f>
        <v>#N/A</v>
      </c>
      <c r="E84" s="18"/>
      <c r="F84" s="18"/>
      <c r="G84" s="18"/>
      <c r="H84" s="18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</row>
    <row r="85" spans="2:34" s="14" customFormat="1" ht="41.25" customHeight="1">
      <c r="B85" s="18"/>
      <c r="C85" s="57" t="str">
        <f t="shared" si="3"/>
        <v/>
      </c>
      <c r="D85" s="18" t="e">
        <f>VLOOKUP(F85,LOOKUP!$C$2:$C$8,2,0)</f>
        <v>#N/A</v>
      </c>
      <c r="E85" s="18"/>
      <c r="F85" s="15"/>
      <c r="G85" s="15"/>
      <c r="H85" s="19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</row>
    <row r="86" spans="2:34" ht="41.25" customHeight="1">
      <c r="B86" s="18"/>
      <c r="C86" s="57" t="str">
        <f t="shared" si="3"/>
        <v/>
      </c>
      <c r="D86" s="18" t="e">
        <f>VLOOKUP(F86,LOOKUP!$C$2:$C$8,2,0)</f>
        <v>#N/A</v>
      </c>
      <c r="E86" s="18"/>
      <c r="F86" s="18"/>
      <c r="G86" s="19"/>
      <c r="H86" s="19"/>
      <c r="I86" s="19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</row>
    <row r="87" spans="2:34" ht="41.25" customHeight="1">
      <c r="B87" s="18"/>
      <c r="C87" s="57" t="str">
        <f t="shared" si="3"/>
        <v/>
      </c>
      <c r="D87" s="18" t="e">
        <f>VLOOKUP(F87,LOOKUP!$C$2:$C$8,2,0)</f>
        <v>#N/A</v>
      </c>
      <c r="E87" s="18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</row>
    <row r="88" spans="2:34" ht="41.25" customHeight="1">
      <c r="B88" s="18"/>
      <c r="C88" s="57" t="str">
        <f t="shared" si="3"/>
        <v/>
      </c>
      <c r="D88" s="18" t="e">
        <f>VLOOKUP(F88,LOOKUP!$C$2:$C$8,2,0)</f>
        <v>#N/A</v>
      </c>
      <c r="E88" s="18"/>
      <c r="F88" s="18"/>
      <c r="G88" s="18"/>
      <c r="H88" s="18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</row>
    <row r="89" spans="2:34" ht="41.25" customHeight="1">
      <c r="B89" s="18"/>
      <c r="C89" s="57" t="str">
        <f t="shared" si="3"/>
        <v/>
      </c>
      <c r="D89" s="18" t="e">
        <f>VLOOKUP(F89,LOOKUP!$C$2:$C$8,2,0)</f>
        <v>#N/A</v>
      </c>
      <c r="E89" s="18"/>
      <c r="F89" s="18"/>
      <c r="G89" s="18"/>
      <c r="H89" s="19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</row>
    <row r="90" spans="2:34" ht="41.25" customHeight="1">
      <c r="B90" s="18"/>
      <c r="C90" s="57" t="str">
        <f t="shared" si="3"/>
        <v/>
      </c>
      <c r="D90" s="18" t="e">
        <f>VLOOKUP(F90,LOOKUP!$C$2:$C$8,2,0)</f>
        <v>#N/A</v>
      </c>
      <c r="E90" s="18"/>
      <c r="F90" s="18"/>
      <c r="G90" s="18"/>
      <c r="H90" s="18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</row>
    <row r="91" spans="2:34" ht="41.25" customHeight="1">
      <c r="B91" s="18"/>
      <c r="C91" s="57" t="str">
        <f t="shared" si="3"/>
        <v/>
      </c>
      <c r="D91" s="18" t="e">
        <f>VLOOKUP(F91,LOOKUP!$C$2:$C$8,2,0)</f>
        <v>#N/A</v>
      </c>
      <c r="E91" s="18"/>
      <c r="F91" s="18"/>
      <c r="G91" s="18"/>
      <c r="H91" s="19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</row>
    <row r="92" spans="2:34" ht="41.25" customHeight="1">
      <c r="B92" s="18"/>
      <c r="C92" s="57" t="str">
        <f t="shared" si="3"/>
        <v/>
      </c>
      <c r="D92" s="18" t="e">
        <f>VLOOKUP(F92,LOOKUP!$C$2:$C$8,2,0)</f>
        <v>#N/A</v>
      </c>
      <c r="E92" s="18"/>
      <c r="F92" s="18"/>
      <c r="G92" s="19"/>
      <c r="H92" s="19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</row>
    <row r="93" spans="2:34" ht="41.25" customHeight="1">
      <c r="B93" s="21"/>
      <c r="C93" s="57" t="str">
        <f t="shared" si="3"/>
        <v/>
      </c>
      <c r="D93" s="18" t="e">
        <f>VLOOKUP(F93,LOOKUP!$C$2:$C$8,2,0)</f>
        <v>#N/A</v>
      </c>
      <c r="E93" s="18"/>
      <c r="F93" s="18"/>
      <c r="G93" s="19"/>
      <c r="H93" s="19"/>
      <c r="I93" s="19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</row>
    <row r="94" spans="2:34" ht="41.25" customHeight="1">
      <c r="B94" s="21"/>
      <c r="C94" s="57" t="str">
        <f t="shared" si="3"/>
        <v/>
      </c>
      <c r="D94" s="18" t="e">
        <f>VLOOKUP(F94,LOOKUP!$C$2:$C$8,2,0)</f>
        <v>#N/A</v>
      </c>
      <c r="E94" s="18"/>
      <c r="F94" s="15"/>
      <c r="G94" s="19"/>
      <c r="H94" s="19"/>
      <c r="I94" s="19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</row>
    <row r="95" spans="2:34" ht="41.25" customHeight="1">
      <c r="B95" s="21"/>
      <c r="C95" s="57" t="str">
        <f t="shared" si="3"/>
        <v/>
      </c>
      <c r="D95" s="18" t="e">
        <f>VLOOKUP(F95,LOOKUP!$C$2:$C$8,2,0)</f>
        <v>#N/A</v>
      </c>
      <c r="E95" s="18"/>
      <c r="F95" s="18"/>
      <c r="G95" s="19"/>
      <c r="H95" s="19"/>
      <c r="I95" s="19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</row>
    <row r="96" spans="2:34" ht="41.25" customHeight="1">
      <c r="B96" s="21"/>
      <c r="C96" s="57" t="str">
        <f t="shared" si="3"/>
        <v/>
      </c>
      <c r="D96" s="18" t="e">
        <f>VLOOKUP(F96,LOOKUP!$C$2:$C$8,2,0)</f>
        <v>#N/A</v>
      </c>
      <c r="E96" s="18"/>
      <c r="F96" s="18"/>
      <c r="G96" s="19"/>
      <c r="H96" s="19"/>
      <c r="I96" s="19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</row>
    <row r="97" spans="2:34" ht="41.25" customHeight="1">
      <c r="B97" s="18"/>
      <c r="C97" s="57" t="str">
        <f t="shared" si="3"/>
        <v/>
      </c>
      <c r="D97" s="18" t="e">
        <f>VLOOKUP(F97,LOOKUP!$C$2:$C$8,2,0)</f>
        <v>#N/A</v>
      </c>
      <c r="E97" s="18"/>
      <c r="F97" s="18"/>
      <c r="G97" s="19"/>
      <c r="H97" s="19"/>
      <c r="I97" s="19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</row>
    <row r="98" spans="2:34" ht="41.25" customHeight="1">
      <c r="B98" s="18"/>
      <c r="C98" s="57" t="str">
        <f t="shared" si="3"/>
        <v/>
      </c>
      <c r="D98" s="18" t="e">
        <f>VLOOKUP(F98,LOOKUP!$C$2:$C$8,2,0)</f>
        <v>#N/A</v>
      </c>
      <c r="E98" s="18"/>
      <c r="F98" s="15"/>
      <c r="G98" s="19"/>
      <c r="H98" s="19"/>
      <c r="I98" s="19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</row>
    <row r="99" spans="2:34" ht="41.25" customHeight="1">
      <c r="B99" s="18"/>
      <c r="C99" s="57" t="str">
        <f t="shared" si="3"/>
        <v/>
      </c>
      <c r="D99" s="18" t="e">
        <f>VLOOKUP(F99,LOOKUP!$C$2:$C$8,2,0)</f>
        <v>#N/A</v>
      </c>
      <c r="E99" s="18"/>
      <c r="F99" s="18"/>
      <c r="G99" s="19"/>
      <c r="H99" s="19"/>
      <c r="I99" s="19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</row>
    <row r="100" spans="2:34" ht="41.25" customHeight="1">
      <c r="B100" s="18"/>
      <c r="C100" s="57" t="str">
        <f t="shared" si="3"/>
        <v/>
      </c>
      <c r="D100" s="18" t="e">
        <f>VLOOKUP(F100,LOOKUP!$C$2:$C$8,2,0)</f>
        <v>#N/A</v>
      </c>
      <c r="E100" s="18"/>
      <c r="F100" s="18"/>
      <c r="G100" s="19"/>
      <c r="H100" s="19"/>
      <c r="I100" s="19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</row>
    <row r="101" spans="2:34" ht="41.25" customHeight="1">
      <c r="B101" s="18"/>
      <c r="C101" s="57" t="str">
        <f t="shared" si="3"/>
        <v/>
      </c>
      <c r="D101" s="18" t="e">
        <f>VLOOKUP(F101,LOOKUP!$C$2:$C$8,2,0)</f>
        <v>#N/A</v>
      </c>
      <c r="E101" s="18"/>
      <c r="F101" s="18"/>
      <c r="G101" s="19"/>
      <c r="H101" s="19"/>
      <c r="I101" s="19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</row>
    <row r="102" spans="2:34" ht="41.25" customHeight="1">
      <c r="B102" s="21"/>
      <c r="C102" s="57" t="str">
        <f t="shared" si="3"/>
        <v/>
      </c>
      <c r="D102" s="18" t="e">
        <f>VLOOKUP(F102,LOOKUP!$C$2:$C$8,2,0)</f>
        <v>#N/A</v>
      </c>
      <c r="E102" s="18"/>
      <c r="F102" s="15"/>
      <c r="G102" s="19"/>
      <c r="H102" s="19"/>
      <c r="I102" s="19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</row>
    <row r="103" spans="2:34" ht="41.25" customHeight="1">
      <c r="B103" s="21"/>
      <c r="C103" s="57" t="str">
        <f t="shared" si="3"/>
        <v/>
      </c>
      <c r="D103" s="18" t="e">
        <f>VLOOKUP(F103,LOOKUP!$C$2:$C$8,2,0)</f>
        <v>#N/A</v>
      </c>
      <c r="E103" s="18"/>
      <c r="F103" s="15"/>
      <c r="G103" s="19"/>
      <c r="H103" s="19"/>
      <c r="I103" s="19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</row>
    <row r="104" spans="2:34" ht="41.25" customHeight="1">
      <c r="B104" s="21"/>
      <c r="C104" s="57" t="str">
        <f t="shared" si="3"/>
        <v/>
      </c>
      <c r="D104" s="18" t="e">
        <f>VLOOKUP(F104,LOOKUP!$C$2:$C$8,2,0)</f>
        <v>#N/A</v>
      </c>
      <c r="E104" s="18"/>
      <c r="F104" s="15"/>
      <c r="G104" s="19"/>
      <c r="H104" s="19"/>
      <c r="I104" s="19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</row>
    <row r="105" spans="2:34" ht="41.25" customHeight="1">
      <c r="B105" s="21"/>
      <c r="C105" s="57" t="str">
        <f t="shared" si="3"/>
        <v/>
      </c>
      <c r="D105" s="18" t="e">
        <f>VLOOKUP(F105,LOOKUP!$C$2:$C$8,2,0)</f>
        <v>#N/A</v>
      </c>
      <c r="E105" s="18"/>
      <c r="F105" s="15"/>
      <c r="G105" s="19"/>
      <c r="H105" s="19"/>
      <c r="I105" s="19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</row>
    <row r="106" spans="2:34" ht="41.25" customHeight="1">
      <c r="B106" s="21"/>
      <c r="C106" s="57" t="str">
        <f t="shared" si="3"/>
        <v/>
      </c>
      <c r="D106" s="18" t="e">
        <f>VLOOKUP(F106,LOOKUP!$C$2:$C$8,2,0)</f>
        <v>#N/A</v>
      </c>
      <c r="E106" s="18"/>
      <c r="F106" s="15"/>
      <c r="G106" s="18"/>
      <c r="H106" s="19"/>
      <c r="I106" s="19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</row>
    <row r="107" spans="2:34" ht="41.25" customHeight="1">
      <c r="B107" s="21"/>
      <c r="C107" s="57" t="str">
        <f t="shared" si="3"/>
        <v/>
      </c>
      <c r="D107" s="18" t="e">
        <f>VLOOKUP(F107,LOOKUP!$C$2:$C$8,2,0)</f>
        <v>#N/A</v>
      </c>
      <c r="E107" s="18"/>
      <c r="F107" s="18"/>
      <c r="G107" s="19"/>
      <c r="H107" s="19"/>
      <c r="I107" s="19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</row>
    <row r="108" spans="2:34" ht="41.25" customHeight="1">
      <c r="B108" s="21"/>
      <c r="C108" s="57" t="str">
        <f t="shared" si="3"/>
        <v/>
      </c>
      <c r="D108" s="18" t="e">
        <f>VLOOKUP(F108,LOOKUP!$C$2:$C$8,2,0)</f>
        <v>#N/A</v>
      </c>
      <c r="E108" s="18"/>
      <c r="F108" s="15"/>
      <c r="G108" s="19"/>
      <c r="H108" s="19"/>
      <c r="I108" s="19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</row>
    <row r="109" spans="2:34" ht="41.25" customHeight="1">
      <c r="B109" s="21"/>
      <c r="C109" s="57" t="str">
        <f t="shared" si="3"/>
        <v/>
      </c>
      <c r="D109" s="18" t="e">
        <f>VLOOKUP(F109,LOOKUP!$C$2:$C$8,2,0)</f>
        <v>#N/A</v>
      </c>
      <c r="E109" s="18"/>
      <c r="F109" s="15"/>
      <c r="G109" s="19"/>
      <c r="H109" s="19"/>
      <c r="I109" s="19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</row>
    <row r="110" spans="2:34" ht="41.25" customHeight="1">
      <c r="B110" s="21"/>
      <c r="C110" s="57" t="str">
        <f t="shared" si="3"/>
        <v/>
      </c>
      <c r="D110" s="18" t="e">
        <f>VLOOKUP(F110,LOOKUP!$C$2:$C$8,2,0)</f>
        <v>#N/A</v>
      </c>
      <c r="E110" s="18"/>
      <c r="F110" s="18"/>
      <c r="G110" s="19"/>
      <c r="H110" s="19"/>
      <c r="I110" s="19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</row>
    <row r="111" spans="2:34" ht="41.25" customHeight="1">
      <c r="B111" s="18"/>
      <c r="C111" s="57" t="str">
        <f t="shared" si="3"/>
        <v/>
      </c>
      <c r="D111" s="18" t="e">
        <f>VLOOKUP(F111,LOOKUP!$C$2:$C$8,2,0)</f>
        <v>#N/A</v>
      </c>
      <c r="E111" s="18"/>
      <c r="F111" s="18"/>
      <c r="G111" s="19"/>
      <c r="H111" s="19"/>
      <c r="I111" s="19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</row>
    <row r="112" spans="2:34" ht="41.25" customHeight="1">
      <c r="B112" s="18"/>
      <c r="C112" s="57" t="str">
        <f t="shared" si="3"/>
        <v/>
      </c>
      <c r="D112" s="18" t="e">
        <f>VLOOKUP(F112,LOOKUP!$C$2:$C$8,2,0)</f>
        <v>#N/A</v>
      </c>
      <c r="E112" s="18"/>
      <c r="F112" s="15"/>
      <c r="G112" s="19"/>
      <c r="H112" s="19"/>
      <c r="I112" s="19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</row>
    <row r="113" spans="2:34" ht="41.25" customHeight="1">
      <c r="B113" s="21"/>
      <c r="C113" s="57" t="str">
        <f t="shared" si="3"/>
        <v/>
      </c>
      <c r="D113" s="18" t="e">
        <f>VLOOKUP(F113,LOOKUP!$C$2:$C$8,2,0)</f>
        <v>#N/A</v>
      </c>
      <c r="E113" s="21"/>
      <c r="F113" s="18"/>
      <c r="G113" s="19"/>
      <c r="H113" s="19"/>
      <c r="I113" s="19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</row>
    <row r="114" spans="2:34" ht="41.25" customHeight="1">
      <c r="B114" s="21"/>
      <c r="C114" s="57" t="str">
        <f t="shared" si="3"/>
        <v/>
      </c>
      <c r="D114" s="18" t="e">
        <f>VLOOKUP(F114,LOOKUP!$C$2:$C$8,2,0)</f>
        <v>#N/A</v>
      </c>
      <c r="E114" s="18"/>
      <c r="F114" s="18"/>
      <c r="G114" s="19"/>
      <c r="H114" s="19"/>
      <c r="I114" s="19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</row>
    <row r="115" spans="2:34" ht="41.25" customHeight="1">
      <c r="B115" s="21"/>
      <c r="C115" s="57" t="str">
        <f t="shared" si="3"/>
        <v/>
      </c>
      <c r="D115" s="18" t="e">
        <f>VLOOKUP(F115,LOOKUP!$C$2:$C$8,2,0)</f>
        <v>#N/A</v>
      </c>
      <c r="E115" s="18"/>
      <c r="F115" s="15"/>
      <c r="G115" s="19"/>
      <c r="H115" s="19"/>
      <c r="I115" s="19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</row>
    <row r="116" spans="2:34" ht="41.25" customHeight="1">
      <c r="B116" s="21"/>
      <c r="C116" s="57" t="str">
        <f t="shared" si="3"/>
        <v/>
      </c>
      <c r="D116" s="18" t="e">
        <f>VLOOKUP(F116,LOOKUP!$C$2:$C$8,2,0)</f>
        <v>#N/A</v>
      </c>
      <c r="E116" s="18"/>
      <c r="F116" s="15"/>
      <c r="G116" s="19"/>
      <c r="H116" s="19"/>
      <c r="I116" s="19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</row>
    <row r="117" spans="2:34" ht="41.25" customHeight="1">
      <c r="B117" s="21"/>
      <c r="C117" s="57" t="str">
        <f t="shared" si="3"/>
        <v/>
      </c>
      <c r="D117" s="18" t="e">
        <f>VLOOKUP(F117,LOOKUP!$C$2:$C$8,2,0)</f>
        <v>#N/A</v>
      </c>
      <c r="E117" s="18"/>
      <c r="F117" s="15"/>
      <c r="G117" s="19"/>
      <c r="H117" s="19"/>
      <c r="I117" s="19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</row>
    <row r="118" spans="2:34" ht="41.25" customHeight="1">
      <c r="B118" s="18"/>
      <c r="C118" s="57" t="str">
        <f t="shared" si="3"/>
        <v/>
      </c>
      <c r="D118" s="18" t="e">
        <f>VLOOKUP(F118,LOOKUP!$C$2:$C$8,2,0)</f>
        <v>#N/A</v>
      </c>
      <c r="E118" s="18"/>
      <c r="F118" s="18"/>
      <c r="G118" s="19"/>
      <c r="H118" s="19"/>
      <c r="I118" s="19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</row>
    <row r="119" spans="2:34" ht="41.25" customHeight="1">
      <c r="B119" s="18"/>
      <c r="C119" s="57" t="str">
        <f t="shared" si="3"/>
        <v/>
      </c>
      <c r="D119" s="18" t="e">
        <f>VLOOKUP(F119,LOOKUP!$C$2:$C$8,2,0)</f>
        <v>#N/A</v>
      </c>
      <c r="E119" s="18"/>
      <c r="F119" s="15"/>
      <c r="G119" s="19"/>
      <c r="H119" s="19"/>
      <c r="I119" s="19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</row>
    <row r="120" spans="2:34" ht="41.25" customHeight="1">
      <c r="B120" s="21"/>
      <c r="C120" s="57" t="str">
        <f t="shared" si="3"/>
        <v/>
      </c>
      <c r="D120" s="18" t="e">
        <f>VLOOKUP(F120,LOOKUP!$C$2:$C$8,2,0)</f>
        <v>#N/A</v>
      </c>
      <c r="E120" s="18"/>
      <c r="F120" s="15"/>
      <c r="G120" s="19"/>
      <c r="H120" s="19"/>
      <c r="I120" s="19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</row>
    <row r="121" spans="2:34" ht="41.25" customHeight="1">
      <c r="B121" s="21"/>
      <c r="C121" s="57" t="str">
        <f t="shared" si="3"/>
        <v/>
      </c>
      <c r="D121" s="18" t="e">
        <f>VLOOKUP(F121,LOOKUP!$C$2:$C$8,2,0)</f>
        <v>#N/A</v>
      </c>
      <c r="E121" s="18"/>
      <c r="F121" s="15"/>
      <c r="G121" s="19"/>
      <c r="H121" s="19"/>
      <c r="I121" s="19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</row>
    <row r="122" spans="2:34" ht="41.25" customHeight="1">
      <c r="B122" s="18"/>
      <c r="C122" s="57" t="str">
        <f t="shared" si="3"/>
        <v/>
      </c>
      <c r="D122" s="18" t="e">
        <f>VLOOKUP(F122,LOOKUP!$C$2:$C$8,2,0)</f>
        <v>#N/A</v>
      </c>
      <c r="E122" s="18"/>
      <c r="F122" s="18"/>
      <c r="G122" s="19"/>
      <c r="H122" s="19"/>
      <c r="I122" s="19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</row>
    <row r="123" spans="2:34" ht="41.25" customHeight="1">
      <c r="B123" s="18"/>
      <c r="C123" s="57" t="str">
        <f t="shared" si="3"/>
        <v/>
      </c>
      <c r="D123" s="18" t="e">
        <f>VLOOKUP(F123,LOOKUP!$C$2:$C$8,2,0)</f>
        <v>#N/A</v>
      </c>
      <c r="E123" s="18"/>
      <c r="F123" s="18"/>
      <c r="G123" s="19"/>
      <c r="H123" s="19"/>
      <c r="I123" s="19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</row>
    <row r="124" spans="2:34" ht="41.25" customHeight="1">
      <c r="B124" s="18"/>
      <c r="C124" s="57" t="str">
        <f t="shared" si="3"/>
        <v/>
      </c>
      <c r="D124" s="18" t="e">
        <f>VLOOKUP(F124,LOOKUP!$C$2:$C$8,2,0)</f>
        <v>#N/A</v>
      </c>
      <c r="E124" s="18"/>
      <c r="F124" s="18"/>
      <c r="G124" s="19"/>
      <c r="H124" s="19"/>
      <c r="I124" s="19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</row>
    <row r="125" spans="2:34" ht="41.25" customHeight="1">
      <c r="B125" s="18"/>
      <c r="C125" s="57" t="str">
        <f t="shared" si="3"/>
        <v/>
      </c>
      <c r="D125" s="18" t="e">
        <f>VLOOKUP(F125,LOOKUP!$C$2:$C$8,2,0)</f>
        <v>#N/A</v>
      </c>
      <c r="E125" s="18"/>
      <c r="F125" s="18"/>
      <c r="G125" s="19"/>
      <c r="H125" s="19"/>
      <c r="I125" s="19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</row>
    <row r="126" spans="2:34" ht="41.25" customHeight="1">
      <c r="B126" s="18"/>
      <c r="C126" s="57" t="str">
        <f t="shared" si="3"/>
        <v/>
      </c>
      <c r="D126" s="18" t="e">
        <f>VLOOKUP(F126,LOOKUP!$C$2:$C$8,2,0)</f>
        <v>#N/A</v>
      </c>
      <c r="E126" s="18"/>
      <c r="F126" s="18"/>
      <c r="G126" s="19"/>
      <c r="H126" s="19"/>
      <c r="I126" s="19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</row>
    <row r="127" spans="2:34" ht="41.25" customHeight="1">
      <c r="B127" s="18"/>
      <c r="C127" s="57" t="str">
        <f t="shared" si="3"/>
        <v/>
      </c>
      <c r="D127" s="18" t="e">
        <f>VLOOKUP(F127,LOOKUP!$C$2:$C$8,2,0)</f>
        <v>#N/A</v>
      </c>
      <c r="E127" s="18"/>
      <c r="F127" s="18"/>
      <c r="G127" s="19"/>
      <c r="H127" s="19"/>
      <c r="I127" s="19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</row>
    <row r="128" spans="2:34" ht="41.25" customHeight="1">
      <c r="B128" s="18"/>
      <c r="C128" s="57" t="str">
        <f t="shared" si="3"/>
        <v/>
      </c>
      <c r="D128" s="18" t="e">
        <f>VLOOKUP(F128,LOOKUP!$C$2:$C$8,2,0)</f>
        <v>#N/A</v>
      </c>
      <c r="E128" s="18"/>
      <c r="F128" s="18"/>
      <c r="G128" s="19"/>
      <c r="H128" s="19"/>
      <c r="I128" s="19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</row>
    <row r="129" spans="2:34" ht="41.25" customHeight="1">
      <c r="B129" s="18"/>
      <c r="C129" s="57" t="str">
        <f t="shared" si="3"/>
        <v/>
      </c>
      <c r="D129" s="18" t="e">
        <f>VLOOKUP(F129,LOOKUP!$C$2:$C$8,2,0)</f>
        <v>#N/A</v>
      </c>
      <c r="E129" s="18"/>
      <c r="F129" s="18"/>
      <c r="G129" s="19"/>
      <c r="H129" s="19"/>
      <c r="I129" s="19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</row>
    <row r="130" spans="2:34" ht="41.25" customHeight="1">
      <c r="B130" s="18"/>
      <c r="C130" s="57" t="str">
        <f t="shared" si="3"/>
        <v/>
      </c>
      <c r="D130" s="18" t="e">
        <f>VLOOKUP(F130,LOOKUP!$C$2:$C$8,2,0)</f>
        <v>#N/A</v>
      </c>
      <c r="E130" s="18"/>
      <c r="F130" s="18"/>
      <c r="G130" s="19"/>
      <c r="H130" s="19"/>
      <c r="I130" s="19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</row>
    <row r="131" spans="2:34" ht="41.25" customHeight="1">
      <c r="B131" s="18"/>
      <c r="C131" s="57" t="str">
        <f t="shared" si="3"/>
        <v/>
      </c>
      <c r="D131" s="18" t="e">
        <f>VLOOKUP(F131,LOOKUP!$C$2:$C$8,2,0)</f>
        <v>#N/A</v>
      </c>
      <c r="E131" s="18"/>
      <c r="F131" s="18"/>
      <c r="G131" s="19"/>
      <c r="H131" s="19"/>
      <c r="I131" s="19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</row>
    <row r="132" spans="2:34" ht="41.25" customHeight="1">
      <c r="B132" s="18"/>
      <c r="C132" s="57" t="str">
        <f t="shared" si="3"/>
        <v/>
      </c>
      <c r="D132" s="18" t="e">
        <f>VLOOKUP(F132,LOOKUP!$C$2:$C$8,2,0)</f>
        <v>#N/A</v>
      </c>
      <c r="E132" s="18"/>
      <c r="F132" s="18"/>
      <c r="G132" s="19"/>
      <c r="H132" s="19"/>
      <c r="I132" s="19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</row>
    <row r="133" spans="2:34" ht="41.25" customHeight="1">
      <c r="B133" s="18"/>
      <c r="C133" s="57" t="str">
        <f t="shared" si="3"/>
        <v/>
      </c>
      <c r="D133" s="18" t="e">
        <f>VLOOKUP(F133,LOOKUP!$C$2:$C$8,2,0)</f>
        <v>#N/A</v>
      </c>
      <c r="E133" s="18"/>
      <c r="F133" s="18"/>
      <c r="G133" s="19"/>
      <c r="H133" s="19"/>
      <c r="I133" s="19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</row>
    <row r="134" spans="2:34" ht="41.25" customHeight="1">
      <c r="B134" s="21"/>
      <c r="C134" s="57" t="str">
        <f t="shared" ref="C134:C197" si="4">IF(B134="","",MONTH(B134))</f>
        <v/>
      </c>
      <c r="D134" s="18" t="e">
        <f>VLOOKUP(F134,LOOKUP!$C$2:$C$8,2,0)</f>
        <v>#N/A</v>
      </c>
      <c r="E134" s="18"/>
      <c r="F134" s="15"/>
      <c r="G134" s="19"/>
      <c r="H134" s="19"/>
      <c r="I134" s="19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</row>
    <row r="135" spans="2:34" ht="41.25" customHeight="1">
      <c r="B135" s="21"/>
      <c r="C135" s="57" t="str">
        <f t="shared" si="4"/>
        <v/>
      </c>
      <c r="D135" s="18" t="e">
        <f>VLOOKUP(F135,LOOKUP!$C$2:$C$8,2,0)</f>
        <v>#N/A</v>
      </c>
      <c r="E135" s="18"/>
      <c r="F135" s="15"/>
      <c r="G135" s="19"/>
      <c r="H135" s="19"/>
      <c r="I135" s="19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</row>
    <row r="136" spans="2:34" ht="41.25" customHeight="1">
      <c r="B136" s="21"/>
      <c r="C136" s="57" t="str">
        <f t="shared" si="4"/>
        <v/>
      </c>
      <c r="D136" s="18" t="e">
        <f>VLOOKUP(F136,LOOKUP!$C$2:$C$8,2,0)</f>
        <v>#N/A</v>
      </c>
      <c r="E136" s="18"/>
      <c r="F136" s="15"/>
      <c r="G136" s="19"/>
      <c r="H136" s="19"/>
      <c r="I136" s="19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</row>
    <row r="137" spans="2:34" ht="41.25" customHeight="1">
      <c r="B137" s="18"/>
      <c r="C137" s="57" t="str">
        <f t="shared" si="4"/>
        <v/>
      </c>
      <c r="D137" s="18" t="e">
        <f>VLOOKUP(F137,LOOKUP!$C$2:$C$8,2,0)</f>
        <v>#N/A</v>
      </c>
      <c r="E137" s="18"/>
      <c r="F137" s="18"/>
      <c r="G137" s="19"/>
      <c r="H137" s="19"/>
      <c r="I137" s="19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</row>
    <row r="138" spans="2:34" ht="41.25" customHeight="1">
      <c r="B138" s="18"/>
      <c r="C138" s="57" t="str">
        <f t="shared" si="4"/>
        <v/>
      </c>
      <c r="D138" s="18" t="e">
        <f>VLOOKUP(F138,LOOKUP!$C$2:$C$8,2,0)</f>
        <v>#N/A</v>
      </c>
      <c r="E138" s="18"/>
      <c r="F138" s="18"/>
      <c r="G138" s="19"/>
      <c r="H138" s="19"/>
      <c r="I138" s="19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</row>
    <row r="139" spans="2:34" ht="41.25" customHeight="1">
      <c r="B139" s="21"/>
      <c r="C139" s="57" t="str">
        <f t="shared" si="4"/>
        <v/>
      </c>
      <c r="D139" s="18" t="e">
        <f>VLOOKUP(F139,LOOKUP!$C$2:$C$8,2,0)</f>
        <v>#N/A</v>
      </c>
      <c r="E139" s="18"/>
      <c r="F139" s="15"/>
      <c r="G139" s="19"/>
      <c r="H139" s="19"/>
      <c r="I139" s="19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</row>
    <row r="140" spans="2:34" ht="41.25" customHeight="1">
      <c r="B140" s="21"/>
      <c r="C140" s="57" t="str">
        <f t="shared" si="4"/>
        <v/>
      </c>
      <c r="D140" s="18" t="e">
        <f>VLOOKUP(F140,LOOKUP!$C$2:$C$8,2,0)</f>
        <v>#N/A</v>
      </c>
      <c r="E140" s="18"/>
      <c r="F140" s="15"/>
      <c r="G140" s="19"/>
      <c r="H140" s="19"/>
      <c r="I140" s="19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</row>
    <row r="141" spans="2:34" ht="41.25" customHeight="1">
      <c r="B141" s="21"/>
      <c r="C141" s="57" t="str">
        <f t="shared" si="4"/>
        <v/>
      </c>
      <c r="D141" s="18" t="e">
        <f>VLOOKUP(F141,LOOKUP!$C$2:$C$8,2,0)</f>
        <v>#N/A</v>
      </c>
      <c r="E141" s="18"/>
      <c r="F141" s="15"/>
      <c r="G141" s="19"/>
      <c r="H141" s="19"/>
      <c r="I141" s="19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</row>
    <row r="142" spans="2:34" ht="41.25" customHeight="1">
      <c r="B142" s="21"/>
      <c r="C142" s="57" t="str">
        <f t="shared" si="4"/>
        <v/>
      </c>
      <c r="D142" s="18" t="e">
        <f>VLOOKUP(F142,LOOKUP!$C$2:$C$8,2,0)</f>
        <v>#N/A</v>
      </c>
      <c r="E142" s="18"/>
      <c r="F142" s="15"/>
      <c r="G142" s="19"/>
      <c r="H142" s="19"/>
      <c r="I142" s="19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</row>
    <row r="143" spans="2:34" ht="41.25" customHeight="1">
      <c r="B143" s="21"/>
      <c r="C143" s="57" t="str">
        <f t="shared" si="4"/>
        <v/>
      </c>
      <c r="D143" s="18" t="e">
        <f>VLOOKUP(F143,LOOKUP!$C$2:$C$8,2,0)</f>
        <v>#N/A</v>
      </c>
      <c r="E143" s="18"/>
      <c r="F143" s="15"/>
      <c r="G143" s="19"/>
      <c r="H143" s="19"/>
      <c r="I143" s="19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</row>
    <row r="144" spans="2:34" ht="41.25" customHeight="1">
      <c r="B144" s="18"/>
      <c r="C144" s="57" t="str">
        <f t="shared" si="4"/>
        <v/>
      </c>
      <c r="D144" s="18" t="e">
        <f>VLOOKUP(F144,LOOKUP!$C$2:$C$8,2,0)</f>
        <v>#N/A</v>
      </c>
      <c r="E144" s="18"/>
      <c r="F144" s="18"/>
      <c r="G144" s="19"/>
      <c r="H144" s="19"/>
      <c r="I144" s="19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</row>
    <row r="145" spans="1:94" ht="41.25" customHeight="1">
      <c r="B145" s="18"/>
      <c r="C145" s="57" t="str">
        <f t="shared" si="4"/>
        <v/>
      </c>
      <c r="D145" s="18" t="e">
        <f>VLOOKUP(F145,LOOKUP!$C$2:$C$8,2,0)</f>
        <v>#N/A</v>
      </c>
      <c r="E145" s="18"/>
      <c r="F145" s="18"/>
      <c r="G145" s="23"/>
      <c r="H145" s="23"/>
      <c r="I145" s="23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</row>
    <row r="146" spans="1:94" ht="41.25" customHeight="1">
      <c r="B146" s="18"/>
      <c r="C146" s="57" t="str">
        <f t="shared" si="4"/>
        <v/>
      </c>
      <c r="D146" s="18" t="e">
        <f>VLOOKUP(F146,LOOKUP!$C$2:$C$8,2,0)</f>
        <v>#N/A</v>
      </c>
      <c r="E146" s="18"/>
      <c r="F146" s="18"/>
      <c r="G146" s="19"/>
      <c r="H146" s="19"/>
      <c r="I146" s="19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</row>
    <row r="147" spans="1:94" ht="41.25" customHeight="1">
      <c r="B147" s="18"/>
      <c r="C147" s="57" t="str">
        <f t="shared" si="4"/>
        <v/>
      </c>
      <c r="D147" s="18" t="e">
        <f>VLOOKUP(F147,LOOKUP!$C$2:$C$8,2,0)</f>
        <v>#N/A</v>
      </c>
      <c r="E147" s="18"/>
      <c r="F147" s="18"/>
      <c r="G147" s="19"/>
      <c r="H147" s="19"/>
      <c r="I147" s="19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</row>
    <row r="148" spans="1:94" ht="41.25" customHeight="1">
      <c r="B148" s="18"/>
      <c r="C148" s="57" t="str">
        <f t="shared" si="4"/>
        <v/>
      </c>
      <c r="D148" s="18" t="e">
        <f>VLOOKUP(F148,LOOKUP!$C$2:$C$8,2,0)</f>
        <v>#N/A</v>
      </c>
      <c r="E148" s="18"/>
      <c r="F148" s="18"/>
      <c r="G148" s="19"/>
      <c r="H148" s="19"/>
      <c r="I148" s="19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</row>
    <row r="149" spans="1:94" ht="41.25" customHeight="1">
      <c r="B149" s="18"/>
      <c r="C149" s="57" t="str">
        <f t="shared" si="4"/>
        <v/>
      </c>
      <c r="D149" s="18" t="e">
        <f>VLOOKUP(F149,LOOKUP!$C$2:$C$8,2,0)</f>
        <v>#N/A</v>
      </c>
      <c r="E149" s="18"/>
      <c r="F149" s="18"/>
      <c r="G149" s="19"/>
      <c r="H149" s="19"/>
      <c r="I149" s="19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</row>
    <row r="150" spans="1:94" ht="41.25" customHeight="1">
      <c r="B150" s="18"/>
      <c r="C150" s="57" t="str">
        <f t="shared" si="4"/>
        <v/>
      </c>
      <c r="D150" s="18" t="e">
        <f>VLOOKUP(F150,LOOKUP!$C$2:$C$8,2,0)</f>
        <v>#N/A</v>
      </c>
      <c r="E150" s="18"/>
      <c r="F150" s="18"/>
      <c r="G150" s="19"/>
      <c r="H150" s="19"/>
      <c r="I150" s="19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</row>
    <row r="151" spans="1:94" ht="41.25" customHeight="1">
      <c r="B151" s="18"/>
      <c r="C151" s="57" t="str">
        <f t="shared" si="4"/>
        <v/>
      </c>
      <c r="D151" s="18" t="e">
        <f>VLOOKUP(F151,LOOKUP!$C$2:$C$8,2,0)</f>
        <v>#N/A</v>
      </c>
      <c r="E151" s="18"/>
      <c r="F151" s="18"/>
      <c r="G151" s="19"/>
      <c r="H151" s="19"/>
      <c r="I151" s="19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</row>
    <row r="152" spans="1:94" ht="41.25" customHeight="1">
      <c r="B152" s="18"/>
      <c r="C152" s="57" t="str">
        <f t="shared" si="4"/>
        <v/>
      </c>
      <c r="D152" s="18" t="e">
        <f>VLOOKUP(F152,LOOKUP!$C$2:$C$8,2,0)</f>
        <v>#N/A</v>
      </c>
      <c r="E152" s="18"/>
      <c r="F152" s="18"/>
      <c r="G152" s="19"/>
      <c r="H152" s="19"/>
      <c r="I152" s="19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</row>
    <row r="153" spans="1:94" s="9" customFormat="1" ht="41.25" customHeight="1">
      <c r="A153" s="13"/>
      <c r="B153" s="21"/>
      <c r="C153" s="57" t="str">
        <f t="shared" si="4"/>
        <v/>
      </c>
      <c r="D153" s="18" t="e">
        <f>VLOOKUP(F153,LOOKUP!$C$2:$C$8,2,0)</f>
        <v>#N/A</v>
      </c>
      <c r="E153" s="18"/>
      <c r="F153" s="15"/>
      <c r="G153" s="19"/>
      <c r="H153" s="19"/>
      <c r="I153" s="19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</row>
    <row r="154" spans="1:94" ht="41.25" customHeight="1">
      <c r="B154" s="18"/>
      <c r="C154" s="57" t="str">
        <f t="shared" si="4"/>
        <v/>
      </c>
      <c r="D154" s="18" t="e">
        <f>VLOOKUP(F154,LOOKUP!$C$2:$C$8,2,0)</f>
        <v>#N/A</v>
      </c>
      <c r="E154" s="18"/>
      <c r="F154" s="18"/>
      <c r="G154" s="19"/>
      <c r="H154" s="19"/>
      <c r="I154" s="19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</row>
    <row r="155" spans="1:94" ht="41.25" customHeight="1">
      <c r="B155" s="18"/>
      <c r="C155" s="57" t="str">
        <f t="shared" si="4"/>
        <v/>
      </c>
      <c r="D155" s="18" t="e">
        <f>VLOOKUP(F155,LOOKUP!$C$2:$C$8,2,0)</f>
        <v>#N/A</v>
      </c>
      <c r="E155" s="18"/>
      <c r="F155" s="15"/>
      <c r="G155" s="19"/>
      <c r="H155" s="19"/>
      <c r="I155" s="19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</row>
    <row r="156" spans="1:94" ht="41.25" customHeight="1">
      <c r="B156" s="18"/>
      <c r="C156" s="57" t="str">
        <f t="shared" si="4"/>
        <v/>
      </c>
      <c r="D156" s="18" t="e">
        <f>VLOOKUP(F156,LOOKUP!$C$2:$C$8,2,0)</f>
        <v>#N/A</v>
      </c>
      <c r="E156" s="18"/>
      <c r="F156" s="18"/>
      <c r="G156" s="19"/>
      <c r="H156" s="19"/>
      <c r="I156" s="19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</row>
    <row r="157" spans="1:94" ht="41.25" customHeight="1">
      <c r="B157" s="18"/>
      <c r="C157" s="57" t="str">
        <f t="shared" si="4"/>
        <v/>
      </c>
      <c r="D157" s="18" t="e">
        <f>VLOOKUP(F157,LOOKUP!$C$2:$C$8,2,0)</f>
        <v>#N/A</v>
      </c>
      <c r="E157" s="18"/>
      <c r="F157" s="18"/>
      <c r="G157" s="19"/>
      <c r="H157" s="19"/>
      <c r="I157" s="19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</row>
    <row r="158" spans="1:94" ht="41.25" customHeight="1">
      <c r="B158" s="18"/>
      <c r="C158" s="57" t="str">
        <f t="shared" si="4"/>
        <v/>
      </c>
      <c r="D158" s="18" t="e">
        <f>VLOOKUP(F158,LOOKUP!$C$2:$C$8,2,0)</f>
        <v>#N/A</v>
      </c>
      <c r="E158" s="18"/>
      <c r="F158" s="18"/>
      <c r="G158" s="19"/>
      <c r="H158" s="19"/>
      <c r="I158" s="19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</row>
    <row r="159" spans="1:94" ht="41.25" customHeight="1">
      <c r="B159" s="18"/>
      <c r="C159" s="57" t="str">
        <f t="shared" si="4"/>
        <v/>
      </c>
      <c r="D159" s="18" t="e">
        <f>VLOOKUP(F159,LOOKUP!$C$2:$C$8,2,0)</f>
        <v>#N/A</v>
      </c>
      <c r="E159" s="18"/>
      <c r="F159" s="18"/>
      <c r="G159" s="19"/>
      <c r="H159" s="19"/>
      <c r="I159" s="19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</row>
    <row r="160" spans="1:94" ht="41.25" customHeight="1">
      <c r="B160" s="18"/>
      <c r="C160" s="57" t="str">
        <f t="shared" si="4"/>
        <v/>
      </c>
      <c r="D160" s="18" t="e">
        <f>VLOOKUP(F160,LOOKUP!$C$2:$C$8,2,0)</f>
        <v>#N/A</v>
      </c>
      <c r="E160" s="18"/>
      <c r="F160" s="18"/>
      <c r="G160" s="19"/>
      <c r="H160" s="19"/>
      <c r="I160" s="19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</row>
    <row r="161" spans="2:34" ht="41.25" customHeight="1">
      <c r="B161" s="18"/>
      <c r="C161" s="57" t="str">
        <f t="shared" si="4"/>
        <v/>
      </c>
      <c r="D161" s="18" t="e">
        <f>VLOOKUP(F161,LOOKUP!$C$2:$C$8,2,0)</f>
        <v>#N/A</v>
      </c>
      <c r="E161" s="18"/>
      <c r="F161" s="18"/>
      <c r="G161" s="19"/>
      <c r="H161" s="19"/>
      <c r="I161" s="19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</row>
    <row r="162" spans="2:34" ht="41.25" customHeight="1">
      <c r="B162" s="21"/>
      <c r="C162" s="57" t="str">
        <f t="shared" si="4"/>
        <v/>
      </c>
      <c r="D162" s="18" t="e">
        <f>VLOOKUP(F162,LOOKUP!$C$2:$C$8,2,0)</f>
        <v>#N/A</v>
      </c>
      <c r="E162" s="18"/>
      <c r="F162" s="15"/>
      <c r="G162" s="19"/>
      <c r="H162" s="19"/>
      <c r="I162" s="19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</row>
    <row r="163" spans="2:34" ht="41.25" customHeight="1">
      <c r="B163" s="21"/>
      <c r="C163" s="57" t="str">
        <f t="shared" si="4"/>
        <v/>
      </c>
      <c r="D163" s="18" t="e">
        <f>VLOOKUP(F163,LOOKUP!$C$2:$C$8,2,0)</f>
        <v>#N/A</v>
      </c>
      <c r="E163" s="18"/>
      <c r="F163" s="15"/>
      <c r="G163" s="19"/>
      <c r="H163" s="19"/>
      <c r="I163" s="19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</row>
    <row r="164" spans="2:34" ht="41.25" customHeight="1">
      <c r="B164" s="21"/>
      <c r="C164" s="57" t="str">
        <f t="shared" si="4"/>
        <v/>
      </c>
      <c r="D164" s="18" t="e">
        <f>VLOOKUP(F164,LOOKUP!$C$2:$C$8,2,0)</f>
        <v>#N/A</v>
      </c>
      <c r="E164" s="18"/>
      <c r="F164" s="15"/>
      <c r="G164" s="19"/>
      <c r="H164" s="19"/>
      <c r="I164" s="19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</row>
    <row r="165" spans="2:34" ht="41.25" customHeight="1">
      <c r="B165" s="18"/>
      <c r="C165" s="57" t="str">
        <f t="shared" si="4"/>
        <v/>
      </c>
      <c r="D165" s="18" t="e">
        <f>VLOOKUP(F165,LOOKUP!$C$2:$C$8,2,0)</f>
        <v>#N/A</v>
      </c>
      <c r="E165" s="18"/>
      <c r="F165" s="18"/>
      <c r="G165" s="19"/>
      <c r="H165" s="19"/>
      <c r="I165" s="19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</row>
    <row r="166" spans="2:34" ht="41.25" customHeight="1">
      <c r="B166" s="18"/>
      <c r="C166" s="57" t="str">
        <f t="shared" si="4"/>
        <v/>
      </c>
      <c r="D166" s="18" t="e">
        <f>VLOOKUP(F166,LOOKUP!$C$2:$C$8,2,0)</f>
        <v>#N/A</v>
      </c>
      <c r="E166" s="18"/>
      <c r="F166" s="15"/>
      <c r="G166" s="19"/>
      <c r="H166" s="19"/>
      <c r="I166" s="19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</row>
    <row r="167" spans="2:34" ht="41.25" customHeight="1">
      <c r="B167" s="21"/>
      <c r="C167" s="57" t="str">
        <f t="shared" si="4"/>
        <v/>
      </c>
      <c r="D167" s="18" t="e">
        <f>VLOOKUP(F167,LOOKUP!$C$2:$C$8,2,0)</f>
        <v>#N/A</v>
      </c>
      <c r="E167" s="18"/>
      <c r="F167" s="15"/>
      <c r="G167" s="19"/>
      <c r="H167" s="19"/>
      <c r="I167" s="19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</row>
    <row r="168" spans="2:34" ht="41.25" customHeight="1">
      <c r="B168" s="21"/>
      <c r="C168" s="57" t="str">
        <f t="shared" si="4"/>
        <v/>
      </c>
      <c r="D168" s="18" t="e">
        <f>VLOOKUP(F168,LOOKUP!$C$2:$C$8,2,0)</f>
        <v>#N/A</v>
      </c>
      <c r="E168" s="18"/>
      <c r="F168" s="15"/>
      <c r="G168" s="19"/>
      <c r="H168" s="19"/>
      <c r="I168" s="19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</row>
    <row r="169" spans="2:34" ht="41.25" customHeight="1">
      <c r="B169" s="21"/>
      <c r="C169" s="57" t="str">
        <f t="shared" si="4"/>
        <v/>
      </c>
      <c r="D169" s="18" t="e">
        <f>VLOOKUP(F169,LOOKUP!$C$2:$C$8,2,0)</f>
        <v>#N/A</v>
      </c>
      <c r="E169" s="18"/>
      <c r="F169" s="15"/>
      <c r="G169" s="19"/>
      <c r="H169" s="19"/>
      <c r="I169" s="19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</row>
    <row r="170" spans="2:34" ht="41.25" customHeight="1">
      <c r="B170" s="21"/>
      <c r="C170" s="57" t="str">
        <f t="shared" si="4"/>
        <v/>
      </c>
      <c r="D170" s="18" t="e">
        <f>VLOOKUP(F170,LOOKUP!$C$2:$C$8,2,0)</f>
        <v>#N/A</v>
      </c>
      <c r="E170" s="18"/>
      <c r="F170" s="15"/>
      <c r="G170" s="19"/>
      <c r="H170" s="19"/>
      <c r="I170" s="19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</row>
    <row r="171" spans="2:34" ht="41.25" customHeight="1">
      <c r="B171" s="21"/>
      <c r="C171" s="57" t="str">
        <f t="shared" si="4"/>
        <v/>
      </c>
      <c r="D171" s="18" t="e">
        <f>VLOOKUP(F171,LOOKUP!$C$2:$C$8,2,0)</f>
        <v>#N/A</v>
      </c>
      <c r="E171" s="18"/>
      <c r="F171" s="15"/>
      <c r="G171" s="19"/>
      <c r="H171" s="19"/>
      <c r="I171" s="19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</row>
    <row r="172" spans="2:34" ht="41.25" customHeight="1">
      <c r="B172" s="21"/>
      <c r="C172" s="57" t="str">
        <f t="shared" si="4"/>
        <v/>
      </c>
      <c r="D172" s="18" t="e">
        <f>VLOOKUP(F172,LOOKUP!$C$2:$C$8,2,0)</f>
        <v>#N/A</v>
      </c>
      <c r="E172" s="18"/>
      <c r="F172" s="15"/>
      <c r="G172" s="19"/>
      <c r="H172" s="19"/>
      <c r="I172" s="19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</row>
    <row r="173" spans="2:34" ht="41.25" customHeight="1">
      <c r="B173" s="21"/>
      <c r="C173" s="57" t="str">
        <f t="shared" si="4"/>
        <v/>
      </c>
      <c r="D173" s="18" t="e">
        <f>VLOOKUP(F173,LOOKUP!$C$2:$C$8,2,0)</f>
        <v>#N/A</v>
      </c>
      <c r="E173" s="18"/>
      <c r="F173" s="15"/>
      <c r="G173" s="19"/>
      <c r="H173" s="19"/>
      <c r="I173" s="19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</row>
    <row r="174" spans="2:34" ht="41.25" customHeight="1">
      <c r="B174" s="21"/>
      <c r="C174" s="57" t="str">
        <f t="shared" si="4"/>
        <v/>
      </c>
      <c r="D174" s="18" t="e">
        <f>VLOOKUP(F174,LOOKUP!$C$2:$C$8,2,0)</f>
        <v>#N/A</v>
      </c>
      <c r="E174" s="18"/>
      <c r="F174" s="15"/>
      <c r="G174" s="19"/>
      <c r="H174" s="19"/>
      <c r="I174" s="19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</row>
    <row r="175" spans="2:34" ht="41.25" customHeight="1">
      <c r="B175" s="21"/>
      <c r="C175" s="57" t="str">
        <f t="shared" si="4"/>
        <v/>
      </c>
      <c r="D175" s="18" t="e">
        <f>VLOOKUP(F175,LOOKUP!$C$2:$C$8,2,0)</f>
        <v>#N/A</v>
      </c>
      <c r="E175" s="18"/>
      <c r="F175" s="15"/>
      <c r="G175" s="19"/>
      <c r="H175" s="19"/>
      <c r="I175" s="19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</row>
    <row r="176" spans="2:34" ht="41.25" customHeight="1">
      <c r="B176" s="18"/>
      <c r="C176" s="57" t="str">
        <f t="shared" si="4"/>
        <v/>
      </c>
      <c r="D176" s="18" t="e">
        <f>VLOOKUP(F176,LOOKUP!$C$2:$C$8,2,0)</f>
        <v>#N/A</v>
      </c>
      <c r="E176" s="18"/>
      <c r="F176" s="15"/>
      <c r="G176" s="19"/>
      <c r="H176" s="19"/>
      <c r="I176" s="19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</row>
    <row r="177" spans="2:34" ht="41.25" customHeight="1">
      <c r="B177" s="21"/>
      <c r="C177" s="57" t="str">
        <f t="shared" si="4"/>
        <v/>
      </c>
      <c r="D177" s="18" t="e">
        <f>VLOOKUP(F177,LOOKUP!$C$2:$C$8,2,0)</f>
        <v>#N/A</v>
      </c>
      <c r="E177" s="18"/>
      <c r="F177" s="15"/>
      <c r="G177" s="19"/>
      <c r="H177" s="19"/>
      <c r="I177" s="19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</row>
    <row r="178" spans="2:34" ht="41.25" customHeight="1">
      <c r="B178" s="21"/>
      <c r="C178" s="57" t="str">
        <f t="shared" si="4"/>
        <v/>
      </c>
      <c r="D178" s="18" t="e">
        <f>VLOOKUP(F178,LOOKUP!$C$2:$C$8,2,0)</f>
        <v>#N/A</v>
      </c>
      <c r="E178" s="18"/>
      <c r="F178" s="15"/>
      <c r="G178" s="19"/>
      <c r="H178" s="19"/>
      <c r="I178" s="19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</row>
    <row r="179" spans="2:34" ht="41.25" customHeight="1">
      <c r="B179" s="21"/>
      <c r="C179" s="57" t="str">
        <f t="shared" si="4"/>
        <v/>
      </c>
      <c r="D179" s="18" t="e">
        <f>VLOOKUP(F179,LOOKUP!$C$2:$C$8,2,0)</f>
        <v>#N/A</v>
      </c>
      <c r="E179" s="18"/>
      <c r="F179" s="15"/>
      <c r="G179" s="19"/>
      <c r="H179" s="19"/>
      <c r="I179" s="19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</row>
    <row r="180" spans="2:34" ht="41.25" customHeight="1">
      <c r="B180" s="21"/>
      <c r="C180" s="57" t="str">
        <f t="shared" si="4"/>
        <v/>
      </c>
      <c r="D180" s="18" t="e">
        <f>VLOOKUP(F180,LOOKUP!$C$2:$C$8,2,0)</f>
        <v>#N/A</v>
      </c>
      <c r="E180" s="18"/>
      <c r="F180" s="15"/>
      <c r="G180" s="19"/>
      <c r="H180" s="19"/>
      <c r="I180" s="19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</row>
    <row r="181" spans="2:34" ht="41.25" customHeight="1">
      <c r="B181" s="21"/>
      <c r="C181" s="57" t="str">
        <f t="shared" si="4"/>
        <v/>
      </c>
      <c r="D181" s="18"/>
      <c r="E181" s="18"/>
      <c r="F181" s="15"/>
      <c r="G181" s="19"/>
      <c r="H181" s="19"/>
      <c r="I181" s="19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</row>
    <row r="182" spans="2:34" ht="41.25" customHeight="1">
      <c r="B182" s="21"/>
      <c r="C182" s="57" t="str">
        <f t="shared" si="4"/>
        <v/>
      </c>
      <c r="D182" s="18"/>
      <c r="E182" s="18"/>
      <c r="F182" s="15"/>
      <c r="G182" s="19"/>
      <c r="H182" s="19"/>
      <c r="I182" s="19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</row>
    <row r="183" spans="2:34" ht="41.25" customHeight="1">
      <c r="B183" s="21"/>
      <c r="C183" s="57" t="str">
        <f t="shared" si="4"/>
        <v/>
      </c>
      <c r="D183" s="18"/>
      <c r="E183" s="18"/>
      <c r="F183" s="15"/>
      <c r="G183" s="19"/>
      <c r="H183" s="19"/>
      <c r="I183" s="19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</row>
    <row r="184" spans="2:34" ht="41.25" customHeight="1">
      <c r="B184" s="21"/>
      <c r="C184" s="57" t="str">
        <f t="shared" si="4"/>
        <v/>
      </c>
      <c r="D184" s="18"/>
      <c r="E184" s="18"/>
      <c r="F184" s="15"/>
      <c r="G184" s="19"/>
      <c r="H184" s="19"/>
      <c r="I184" s="19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</row>
    <row r="185" spans="2:34" ht="41.25" customHeight="1">
      <c r="B185" s="21"/>
      <c r="C185" s="57" t="str">
        <f t="shared" si="4"/>
        <v/>
      </c>
      <c r="D185" s="18"/>
      <c r="E185" s="18"/>
      <c r="F185" s="15"/>
      <c r="G185" s="19"/>
      <c r="H185" s="19"/>
      <c r="I185" s="19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</row>
    <row r="186" spans="2:34" ht="41.25" customHeight="1">
      <c r="B186" s="21"/>
      <c r="C186" s="57" t="str">
        <f t="shared" si="4"/>
        <v/>
      </c>
      <c r="D186" s="18"/>
      <c r="E186" s="18"/>
      <c r="F186" s="15"/>
      <c r="G186" s="19"/>
      <c r="H186" s="19"/>
      <c r="I186" s="19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</row>
    <row r="187" spans="2:34" ht="41.25" customHeight="1">
      <c r="B187" s="21"/>
      <c r="C187" s="57" t="str">
        <f t="shared" si="4"/>
        <v/>
      </c>
      <c r="D187" s="18"/>
      <c r="E187" s="18"/>
      <c r="F187" s="15"/>
      <c r="G187" s="19"/>
      <c r="H187" s="19"/>
      <c r="I187" s="19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</row>
    <row r="188" spans="2:34" ht="41.25" customHeight="1">
      <c r="B188" s="21"/>
      <c r="C188" s="57" t="str">
        <f t="shared" si="4"/>
        <v/>
      </c>
      <c r="D188" s="18"/>
      <c r="E188" s="18"/>
      <c r="F188" s="15"/>
      <c r="G188" s="19"/>
      <c r="H188" s="19"/>
      <c r="I188" s="19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</row>
    <row r="189" spans="2:34" ht="41.25" customHeight="1">
      <c r="B189" s="21"/>
      <c r="C189" s="57" t="str">
        <f t="shared" si="4"/>
        <v/>
      </c>
      <c r="D189" s="18"/>
      <c r="E189" s="18"/>
      <c r="F189" s="15"/>
      <c r="G189" s="19"/>
      <c r="H189" s="19"/>
      <c r="I189" s="19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</row>
    <row r="190" spans="2:34" ht="41.25" customHeight="1">
      <c r="B190" s="21"/>
      <c r="C190" s="57" t="str">
        <f t="shared" si="4"/>
        <v/>
      </c>
      <c r="D190" s="18"/>
      <c r="E190" s="18"/>
      <c r="F190" s="15"/>
      <c r="G190" s="19"/>
      <c r="H190" s="19"/>
      <c r="I190" s="19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</row>
    <row r="191" spans="2:34" ht="41.25" customHeight="1">
      <c r="B191" s="21"/>
      <c r="C191" s="57" t="str">
        <f t="shared" si="4"/>
        <v/>
      </c>
      <c r="D191" s="18"/>
      <c r="E191" s="18"/>
      <c r="F191" s="15"/>
      <c r="G191" s="19"/>
      <c r="H191" s="19"/>
      <c r="I191" s="19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</row>
    <row r="192" spans="2:34" ht="41.25" customHeight="1">
      <c r="B192" s="21"/>
      <c r="C192" s="57" t="str">
        <f t="shared" si="4"/>
        <v/>
      </c>
      <c r="D192" s="18"/>
      <c r="E192" s="18"/>
      <c r="F192" s="15"/>
      <c r="G192" s="19"/>
      <c r="H192" s="19"/>
      <c r="I192" s="19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</row>
    <row r="193" spans="2:34" ht="41.25" customHeight="1">
      <c r="B193" s="21"/>
      <c r="C193" s="57" t="str">
        <f t="shared" si="4"/>
        <v/>
      </c>
      <c r="D193" s="18"/>
      <c r="E193" s="18"/>
      <c r="F193" s="15"/>
      <c r="G193" s="19"/>
      <c r="H193" s="19"/>
      <c r="I193" s="19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</row>
    <row r="194" spans="2:34" ht="41.25" customHeight="1">
      <c r="B194" s="21"/>
      <c r="C194" s="57" t="str">
        <f t="shared" si="4"/>
        <v/>
      </c>
      <c r="D194" s="18"/>
      <c r="E194" s="18"/>
      <c r="F194" s="15"/>
      <c r="G194" s="19"/>
      <c r="H194" s="19"/>
      <c r="I194" s="19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</row>
    <row r="195" spans="2:34" ht="41.25" customHeight="1">
      <c r="B195" s="21"/>
      <c r="C195" s="57" t="str">
        <f t="shared" si="4"/>
        <v/>
      </c>
      <c r="D195" s="18"/>
      <c r="E195" s="18"/>
      <c r="F195" s="15"/>
      <c r="G195" s="19"/>
      <c r="H195" s="19"/>
      <c r="I195" s="19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</row>
    <row r="196" spans="2:34" ht="41.25" customHeight="1">
      <c r="B196" s="21"/>
      <c r="C196" s="57" t="str">
        <f t="shared" si="4"/>
        <v/>
      </c>
      <c r="D196" s="18"/>
      <c r="E196" s="18"/>
      <c r="F196" s="15"/>
      <c r="G196" s="19"/>
      <c r="H196" s="19"/>
      <c r="I196" s="19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</row>
    <row r="197" spans="2:34" ht="41.25" customHeight="1">
      <c r="B197" s="21"/>
      <c r="C197" s="57" t="str">
        <f t="shared" si="4"/>
        <v/>
      </c>
      <c r="D197" s="18"/>
      <c r="E197" s="18"/>
      <c r="F197" s="15"/>
      <c r="G197" s="19"/>
      <c r="H197" s="19"/>
      <c r="I197" s="19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</row>
    <row r="198" spans="2:34" ht="41.25" customHeight="1">
      <c r="B198" s="21"/>
      <c r="C198" s="57" t="str">
        <f t="shared" ref="C198:C261" si="5">IF(B198="","",MONTH(B198))</f>
        <v/>
      </c>
      <c r="D198" s="18"/>
      <c r="E198" s="18"/>
      <c r="F198" s="15"/>
      <c r="G198" s="19"/>
      <c r="H198" s="19"/>
      <c r="I198" s="19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</row>
    <row r="199" spans="2:34" ht="41.25" customHeight="1">
      <c r="B199" s="21"/>
      <c r="C199" s="57" t="str">
        <f t="shared" si="5"/>
        <v/>
      </c>
      <c r="D199" s="18"/>
      <c r="E199" s="18"/>
      <c r="F199" s="15"/>
      <c r="G199" s="19"/>
      <c r="H199" s="19"/>
      <c r="I199" s="19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</row>
    <row r="200" spans="2:34" ht="41.25" customHeight="1">
      <c r="B200" s="21"/>
      <c r="C200" s="57" t="str">
        <f t="shared" si="5"/>
        <v/>
      </c>
      <c r="D200" s="18"/>
      <c r="E200" s="18"/>
      <c r="F200" s="15"/>
      <c r="G200" s="19"/>
      <c r="H200" s="19"/>
      <c r="I200" s="19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</row>
    <row r="201" spans="2:34" ht="41.25" customHeight="1">
      <c r="B201" s="21"/>
      <c r="C201" s="57" t="str">
        <f t="shared" si="5"/>
        <v/>
      </c>
      <c r="D201" s="18"/>
      <c r="E201" s="18"/>
      <c r="F201" s="15"/>
      <c r="G201" s="19"/>
      <c r="H201" s="19"/>
      <c r="I201" s="19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</row>
    <row r="202" spans="2:34" ht="41.25" customHeight="1">
      <c r="B202" s="21"/>
      <c r="C202" s="57" t="str">
        <f t="shared" si="5"/>
        <v/>
      </c>
      <c r="D202" s="18"/>
      <c r="E202" s="18"/>
      <c r="F202" s="15"/>
      <c r="G202" s="19"/>
      <c r="H202" s="19"/>
      <c r="I202" s="19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</row>
    <row r="203" spans="2:34" ht="41.25" customHeight="1">
      <c r="B203" s="21"/>
      <c r="C203" s="57" t="str">
        <f t="shared" si="5"/>
        <v/>
      </c>
      <c r="D203" s="18"/>
      <c r="E203" s="18"/>
      <c r="F203" s="15"/>
      <c r="G203" s="19"/>
      <c r="H203" s="19"/>
      <c r="I203" s="19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</row>
    <row r="204" spans="2:34" ht="41.25" customHeight="1">
      <c r="B204" s="21"/>
      <c r="C204" s="57" t="str">
        <f t="shared" si="5"/>
        <v/>
      </c>
      <c r="D204" s="18"/>
      <c r="E204" s="18"/>
      <c r="F204" s="15"/>
      <c r="G204" s="19"/>
      <c r="H204" s="19"/>
      <c r="I204" s="19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</row>
    <row r="205" spans="2:34" ht="41.25" customHeight="1">
      <c r="B205" s="21"/>
      <c r="C205" s="57" t="str">
        <f t="shared" si="5"/>
        <v/>
      </c>
      <c r="D205" s="18"/>
      <c r="E205" s="18"/>
      <c r="F205" s="15"/>
      <c r="G205" s="19"/>
      <c r="H205" s="19"/>
      <c r="I205" s="19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</row>
    <row r="206" spans="2:34" ht="41.25" customHeight="1">
      <c r="B206" s="21"/>
      <c r="C206" s="57" t="str">
        <f t="shared" si="5"/>
        <v/>
      </c>
      <c r="D206" s="18"/>
      <c r="E206" s="18"/>
      <c r="F206" s="15"/>
      <c r="G206" s="19"/>
      <c r="H206" s="19"/>
      <c r="I206" s="19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</row>
    <row r="207" spans="2:34" ht="41.25" customHeight="1">
      <c r="B207" s="21"/>
      <c r="C207" s="57" t="str">
        <f t="shared" si="5"/>
        <v/>
      </c>
      <c r="D207" s="18"/>
      <c r="E207" s="18"/>
      <c r="F207" s="15"/>
      <c r="G207" s="19"/>
      <c r="H207" s="19"/>
      <c r="I207" s="19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</row>
    <row r="208" spans="2:34" ht="41.25" customHeight="1">
      <c r="B208" s="21"/>
      <c r="C208" s="57" t="str">
        <f t="shared" si="5"/>
        <v/>
      </c>
      <c r="D208" s="18"/>
      <c r="E208" s="18"/>
      <c r="F208" s="15"/>
      <c r="G208" s="19"/>
      <c r="H208" s="19"/>
      <c r="I208" s="19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</row>
    <row r="209" spans="2:34" ht="41.25" customHeight="1">
      <c r="B209" s="21"/>
      <c r="C209" s="57" t="str">
        <f t="shared" si="5"/>
        <v/>
      </c>
      <c r="D209" s="18"/>
      <c r="E209" s="18"/>
      <c r="F209" s="15"/>
      <c r="G209" s="19"/>
      <c r="H209" s="19"/>
      <c r="I209" s="19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</row>
    <row r="210" spans="2:34" ht="41.25" customHeight="1">
      <c r="B210" s="21"/>
      <c r="C210" s="57" t="str">
        <f t="shared" si="5"/>
        <v/>
      </c>
      <c r="D210" s="18"/>
      <c r="E210" s="18"/>
      <c r="F210" s="15"/>
      <c r="G210" s="19"/>
      <c r="H210" s="19"/>
      <c r="I210" s="19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</row>
    <row r="211" spans="2:34" ht="41.25" customHeight="1">
      <c r="B211" s="21"/>
      <c r="C211" s="57" t="str">
        <f t="shared" si="5"/>
        <v/>
      </c>
      <c r="D211" s="18"/>
      <c r="E211" s="18"/>
      <c r="F211" s="15"/>
      <c r="G211" s="19"/>
      <c r="H211" s="19"/>
      <c r="I211" s="19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</row>
    <row r="212" spans="2:34" ht="41.25" customHeight="1">
      <c r="B212" s="21"/>
      <c r="C212" s="57" t="str">
        <f t="shared" si="5"/>
        <v/>
      </c>
      <c r="D212" s="18"/>
      <c r="E212" s="18"/>
      <c r="F212" s="15"/>
      <c r="G212" s="19"/>
      <c r="H212" s="19"/>
      <c r="I212" s="19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</row>
    <row r="213" spans="2:34" ht="41.25" customHeight="1">
      <c r="B213" s="21"/>
      <c r="C213" s="57" t="str">
        <f t="shared" si="5"/>
        <v/>
      </c>
      <c r="D213" s="18"/>
      <c r="E213" s="18"/>
      <c r="F213" s="15"/>
      <c r="G213" s="19"/>
      <c r="H213" s="19"/>
      <c r="I213" s="19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</row>
    <row r="214" spans="2:34" ht="41.25" customHeight="1">
      <c r="B214" s="21"/>
      <c r="C214" s="57" t="str">
        <f t="shared" si="5"/>
        <v/>
      </c>
      <c r="D214" s="18"/>
      <c r="E214" s="18"/>
      <c r="F214" s="15"/>
      <c r="G214" s="19"/>
      <c r="H214" s="19"/>
      <c r="I214" s="19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</row>
    <row r="215" spans="2:34" ht="41.25" customHeight="1">
      <c r="B215" s="21"/>
      <c r="C215" s="57" t="str">
        <f t="shared" si="5"/>
        <v/>
      </c>
      <c r="D215" s="18"/>
      <c r="E215" s="18"/>
      <c r="F215" s="15"/>
      <c r="G215" s="19"/>
      <c r="H215" s="19"/>
      <c r="I215" s="19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</row>
    <row r="216" spans="2:34" ht="41.25" customHeight="1">
      <c r="B216" s="21"/>
      <c r="C216" s="57" t="str">
        <f t="shared" si="5"/>
        <v/>
      </c>
      <c r="D216" s="18"/>
      <c r="E216" s="18"/>
      <c r="F216" s="15"/>
      <c r="G216" s="19"/>
      <c r="H216" s="19"/>
      <c r="I216" s="19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</row>
    <row r="217" spans="2:34" ht="41.25" customHeight="1">
      <c r="B217" s="21"/>
      <c r="C217" s="57" t="str">
        <f t="shared" si="5"/>
        <v/>
      </c>
      <c r="D217" s="18"/>
      <c r="E217" s="18"/>
      <c r="F217" s="15"/>
      <c r="G217" s="19"/>
      <c r="H217" s="19"/>
      <c r="I217" s="19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</row>
    <row r="218" spans="2:34" ht="41.25" customHeight="1">
      <c r="B218" s="21"/>
      <c r="C218" s="57" t="str">
        <f t="shared" si="5"/>
        <v/>
      </c>
      <c r="D218" s="18"/>
      <c r="E218" s="18"/>
      <c r="F218" s="15"/>
      <c r="G218" s="19"/>
      <c r="H218" s="19"/>
      <c r="I218" s="19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</row>
    <row r="219" spans="2:34" ht="41.25" customHeight="1">
      <c r="B219" s="21"/>
      <c r="C219" s="57" t="str">
        <f t="shared" si="5"/>
        <v/>
      </c>
      <c r="D219" s="18"/>
      <c r="E219" s="18"/>
      <c r="F219" s="15"/>
      <c r="G219" s="19"/>
      <c r="H219" s="19"/>
      <c r="I219" s="19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</row>
    <row r="220" spans="2:34" ht="41.25" customHeight="1">
      <c r="B220" s="21"/>
      <c r="C220" s="57" t="str">
        <f t="shared" si="5"/>
        <v/>
      </c>
      <c r="D220" s="18"/>
      <c r="E220" s="18"/>
      <c r="F220" s="15"/>
      <c r="G220" s="19"/>
      <c r="H220" s="19"/>
      <c r="I220" s="19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</row>
    <row r="221" spans="2:34" ht="41.25" customHeight="1">
      <c r="B221" s="21"/>
      <c r="C221" s="57" t="str">
        <f t="shared" si="5"/>
        <v/>
      </c>
      <c r="D221" s="18"/>
      <c r="E221" s="18"/>
      <c r="F221" s="15"/>
      <c r="G221" s="19"/>
      <c r="H221" s="19"/>
      <c r="I221" s="19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</row>
    <row r="222" spans="2:34" ht="41.25" customHeight="1">
      <c r="B222" s="21"/>
      <c r="C222" s="57" t="str">
        <f t="shared" si="5"/>
        <v/>
      </c>
      <c r="D222" s="18"/>
      <c r="E222" s="18"/>
      <c r="F222" s="15"/>
      <c r="G222" s="19"/>
      <c r="H222" s="19"/>
      <c r="I222" s="19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</row>
    <row r="223" spans="2:34" ht="41.25" customHeight="1">
      <c r="B223" s="21"/>
      <c r="C223" s="57" t="str">
        <f t="shared" si="5"/>
        <v/>
      </c>
      <c r="D223" s="18"/>
      <c r="E223" s="18"/>
      <c r="F223" s="15"/>
      <c r="G223" s="19"/>
      <c r="H223" s="19"/>
      <c r="I223" s="19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</row>
    <row r="224" spans="2:34" ht="41.25" customHeight="1">
      <c r="B224" s="21"/>
      <c r="C224" s="57" t="str">
        <f t="shared" si="5"/>
        <v/>
      </c>
      <c r="D224" s="18"/>
      <c r="E224" s="18"/>
      <c r="F224" s="15"/>
      <c r="G224" s="19"/>
      <c r="H224" s="19"/>
      <c r="I224" s="19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</row>
    <row r="225" spans="1:34" ht="41.25" customHeight="1">
      <c r="B225" s="21"/>
      <c r="C225" s="57" t="str">
        <f t="shared" si="5"/>
        <v/>
      </c>
      <c r="D225" s="18"/>
      <c r="E225" s="18"/>
      <c r="F225" s="15"/>
      <c r="G225" s="19"/>
      <c r="H225" s="19"/>
      <c r="I225" s="19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</row>
    <row r="226" spans="1:34" s="9" customFormat="1" ht="41.25" customHeight="1">
      <c r="A226" s="13"/>
      <c r="B226" s="21"/>
      <c r="C226" s="57" t="str">
        <f t="shared" si="5"/>
        <v/>
      </c>
      <c r="D226" s="18"/>
      <c r="E226" s="18"/>
      <c r="F226" s="15"/>
      <c r="G226" s="19"/>
      <c r="H226" s="19"/>
      <c r="I226" s="19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</row>
    <row r="227" spans="1:34" ht="41.25" customHeight="1">
      <c r="B227" s="21"/>
      <c r="C227" s="57" t="str">
        <f t="shared" si="5"/>
        <v/>
      </c>
      <c r="D227" s="18"/>
      <c r="E227" s="18"/>
      <c r="F227" s="15"/>
      <c r="G227" s="19"/>
      <c r="H227" s="19"/>
      <c r="I227" s="19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</row>
    <row r="228" spans="1:34" ht="41.25" customHeight="1">
      <c r="B228" s="21"/>
      <c r="C228" s="57" t="str">
        <f t="shared" si="5"/>
        <v/>
      </c>
      <c r="D228" s="18"/>
      <c r="E228" s="18"/>
      <c r="F228" s="15"/>
      <c r="G228" s="19"/>
      <c r="H228" s="19"/>
      <c r="I228" s="19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</row>
    <row r="229" spans="1:34" ht="41.25" customHeight="1">
      <c r="B229" s="21"/>
      <c r="C229" s="57" t="str">
        <f t="shared" si="5"/>
        <v/>
      </c>
      <c r="D229" s="18"/>
      <c r="E229" s="18"/>
      <c r="F229" s="15"/>
      <c r="G229" s="19"/>
      <c r="H229" s="19"/>
      <c r="I229" s="19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</row>
    <row r="230" spans="1:34" ht="41.25" customHeight="1">
      <c r="B230" s="21"/>
      <c r="C230" s="57" t="str">
        <f t="shared" si="5"/>
        <v/>
      </c>
      <c r="D230" s="18"/>
      <c r="E230" s="18"/>
      <c r="F230" s="15"/>
      <c r="G230" s="19"/>
      <c r="H230" s="19"/>
      <c r="I230" s="19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</row>
    <row r="231" spans="1:34" ht="41.25" customHeight="1">
      <c r="B231" s="21"/>
      <c r="C231" s="57" t="str">
        <f t="shared" si="5"/>
        <v/>
      </c>
      <c r="D231" s="18"/>
      <c r="E231" s="18"/>
      <c r="F231" s="15"/>
      <c r="G231" s="19"/>
      <c r="H231" s="19"/>
      <c r="I231" s="19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</row>
    <row r="232" spans="1:34" ht="41.25" customHeight="1">
      <c r="B232" s="21"/>
      <c r="C232" s="57" t="str">
        <f t="shared" si="5"/>
        <v/>
      </c>
      <c r="D232" s="18"/>
      <c r="E232" s="18"/>
      <c r="F232" s="15"/>
      <c r="G232" s="19"/>
      <c r="H232" s="19"/>
      <c r="I232" s="19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</row>
    <row r="233" spans="1:34" ht="41.25" customHeight="1">
      <c r="B233" s="21"/>
      <c r="C233" s="57" t="str">
        <f t="shared" si="5"/>
        <v/>
      </c>
      <c r="D233" s="18"/>
      <c r="E233" s="18"/>
      <c r="F233" s="15"/>
      <c r="G233" s="19"/>
      <c r="H233" s="19"/>
      <c r="I233" s="19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</row>
    <row r="234" spans="1:34" ht="41.25" customHeight="1">
      <c r="B234" s="21"/>
      <c r="C234" s="57" t="str">
        <f t="shared" si="5"/>
        <v/>
      </c>
      <c r="D234" s="18"/>
      <c r="E234" s="18"/>
      <c r="F234" s="15"/>
      <c r="G234" s="19"/>
      <c r="H234" s="19"/>
      <c r="I234" s="19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</row>
    <row r="235" spans="1:34" ht="41.25" customHeight="1">
      <c r="B235" s="21"/>
      <c r="C235" s="57" t="str">
        <f t="shared" si="5"/>
        <v/>
      </c>
      <c r="D235" s="18"/>
      <c r="E235" s="18"/>
      <c r="F235" s="15"/>
      <c r="G235" s="19"/>
      <c r="H235" s="19"/>
      <c r="I235" s="19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</row>
    <row r="236" spans="1:34" ht="41.25" customHeight="1">
      <c r="B236" s="21"/>
      <c r="C236" s="57" t="str">
        <f t="shared" si="5"/>
        <v/>
      </c>
      <c r="D236" s="18"/>
      <c r="E236" s="18"/>
      <c r="F236" s="15"/>
      <c r="G236" s="19"/>
      <c r="H236" s="19"/>
      <c r="I236" s="19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</row>
    <row r="237" spans="1:34" ht="41.25" customHeight="1">
      <c r="B237" s="21"/>
      <c r="C237" s="57" t="str">
        <f t="shared" si="5"/>
        <v/>
      </c>
      <c r="D237" s="18"/>
      <c r="E237" s="18"/>
      <c r="F237" s="15"/>
      <c r="G237" s="19"/>
      <c r="H237" s="19"/>
      <c r="I237" s="19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</row>
    <row r="238" spans="1:34" ht="41.25" customHeight="1">
      <c r="B238" s="21"/>
      <c r="C238" s="57" t="str">
        <f t="shared" si="5"/>
        <v/>
      </c>
      <c r="D238" s="18"/>
      <c r="E238" s="18"/>
      <c r="F238" s="15"/>
      <c r="G238" s="19"/>
      <c r="H238" s="19"/>
      <c r="I238" s="19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</row>
    <row r="239" spans="1:34" ht="41.25" customHeight="1">
      <c r="B239" s="21"/>
      <c r="C239" s="57" t="str">
        <f t="shared" si="5"/>
        <v/>
      </c>
      <c r="D239" s="18"/>
      <c r="E239" s="18"/>
      <c r="F239" s="15"/>
      <c r="G239" s="19"/>
      <c r="H239" s="19"/>
      <c r="I239" s="19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</row>
    <row r="240" spans="1:34" ht="41.25" customHeight="1">
      <c r="B240" s="21"/>
      <c r="C240" s="57" t="str">
        <f t="shared" si="5"/>
        <v/>
      </c>
      <c r="D240" s="18"/>
      <c r="E240" s="18"/>
      <c r="F240" s="15"/>
      <c r="G240" s="19"/>
      <c r="H240" s="19"/>
      <c r="I240" s="19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</row>
    <row r="241" spans="2:34" ht="41.25" customHeight="1">
      <c r="B241" s="21"/>
      <c r="C241" s="57" t="str">
        <f t="shared" si="5"/>
        <v/>
      </c>
      <c r="D241" s="18"/>
      <c r="E241" s="18"/>
      <c r="F241" s="15"/>
      <c r="G241" s="19"/>
      <c r="H241" s="19"/>
      <c r="I241" s="19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</row>
    <row r="242" spans="2:34" ht="41.25" customHeight="1">
      <c r="B242" s="21"/>
      <c r="C242" s="57" t="str">
        <f t="shared" si="5"/>
        <v/>
      </c>
      <c r="D242" s="18"/>
      <c r="E242" s="18"/>
      <c r="F242" s="15"/>
      <c r="G242" s="19"/>
      <c r="H242" s="19"/>
      <c r="I242" s="19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</row>
    <row r="243" spans="2:34" ht="41.25" customHeight="1">
      <c r="B243" s="21"/>
      <c r="C243" s="57" t="str">
        <f t="shared" si="5"/>
        <v/>
      </c>
      <c r="D243" s="18"/>
      <c r="E243" s="18"/>
      <c r="F243" s="15"/>
      <c r="G243" s="19"/>
      <c r="H243" s="19"/>
      <c r="I243" s="19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</row>
    <row r="244" spans="2:34" ht="41.25" customHeight="1">
      <c r="B244" s="21"/>
      <c r="C244" s="57" t="str">
        <f t="shared" si="5"/>
        <v/>
      </c>
      <c r="D244" s="18"/>
      <c r="E244" s="18"/>
      <c r="F244" s="15"/>
      <c r="G244" s="19"/>
      <c r="H244" s="19"/>
      <c r="I244" s="19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</row>
    <row r="245" spans="2:34" ht="41.25" customHeight="1">
      <c r="B245" s="21"/>
      <c r="C245" s="57" t="str">
        <f t="shared" si="5"/>
        <v/>
      </c>
      <c r="D245" s="18"/>
      <c r="E245" s="18"/>
      <c r="F245" s="15"/>
      <c r="G245" s="19"/>
      <c r="H245" s="19"/>
      <c r="I245" s="19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</row>
    <row r="246" spans="2:34" ht="41.25" customHeight="1">
      <c r="B246" s="21"/>
      <c r="C246" s="57" t="str">
        <f t="shared" si="5"/>
        <v/>
      </c>
      <c r="D246" s="18"/>
      <c r="E246" s="18"/>
      <c r="F246" s="15"/>
      <c r="G246" s="19"/>
      <c r="H246" s="19"/>
      <c r="I246" s="19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</row>
    <row r="247" spans="2:34" ht="41.25" customHeight="1">
      <c r="B247" s="21"/>
      <c r="C247" s="57" t="str">
        <f t="shared" si="5"/>
        <v/>
      </c>
      <c r="D247" s="18"/>
      <c r="E247" s="18"/>
      <c r="F247" s="15"/>
      <c r="G247" s="19"/>
      <c r="H247" s="19"/>
      <c r="I247" s="19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</row>
    <row r="248" spans="2:34" ht="41.25" customHeight="1">
      <c r="B248" s="21"/>
      <c r="C248" s="57" t="str">
        <f t="shared" si="5"/>
        <v/>
      </c>
      <c r="D248" s="18"/>
      <c r="E248" s="18"/>
      <c r="F248" s="15"/>
      <c r="G248" s="19"/>
      <c r="H248" s="19"/>
      <c r="I248" s="19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</row>
    <row r="249" spans="2:34" ht="41.25" customHeight="1">
      <c r="B249" s="21"/>
      <c r="C249" s="57" t="str">
        <f t="shared" si="5"/>
        <v/>
      </c>
      <c r="D249" s="18"/>
      <c r="E249" s="18"/>
      <c r="F249" s="15"/>
      <c r="G249" s="19"/>
      <c r="H249" s="19"/>
      <c r="I249" s="19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</row>
    <row r="250" spans="2:34" ht="41.25" customHeight="1">
      <c r="B250" s="21"/>
      <c r="C250" s="57" t="str">
        <f t="shared" si="5"/>
        <v/>
      </c>
      <c r="D250" s="18"/>
      <c r="E250" s="18"/>
      <c r="F250" s="15"/>
      <c r="G250" s="19"/>
      <c r="H250" s="19"/>
      <c r="I250" s="19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</row>
    <row r="251" spans="2:34" ht="41.25" customHeight="1">
      <c r="B251" s="21"/>
      <c r="C251" s="57" t="str">
        <f t="shared" si="5"/>
        <v/>
      </c>
      <c r="D251" s="18"/>
      <c r="E251" s="18"/>
      <c r="F251" s="15"/>
      <c r="G251" s="19"/>
      <c r="H251" s="19"/>
      <c r="I251" s="19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</row>
    <row r="252" spans="2:34" ht="41.25" customHeight="1">
      <c r="B252" s="21"/>
      <c r="C252" s="57" t="str">
        <f t="shared" si="5"/>
        <v/>
      </c>
      <c r="D252" s="18"/>
      <c r="E252" s="18"/>
      <c r="F252" s="15"/>
      <c r="G252" s="19"/>
      <c r="H252" s="19"/>
      <c r="I252" s="19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</row>
    <row r="253" spans="2:34" ht="41.25" customHeight="1">
      <c r="B253" s="21"/>
      <c r="C253" s="57" t="str">
        <f t="shared" si="5"/>
        <v/>
      </c>
      <c r="D253" s="18"/>
      <c r="E253" s="18"/>
      <c r="F253" s="15"/>
      <c r="G253" s="19"/>
      <c r="H253" s="19"/>
      <c r="I253" s="19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</row>
    <row r="254" spans="2:34" ht="41.25" customHeight="1">
      <c r="B254" s="21"/>
      <c r="C254" s="57" t="str">
        <f t="shared" si="5"/>
        <v/>
      </c>
      <c r="D254" s="18"/>
      <c r="E254" s="18"/>
      <c r="F254" s="15"/>
      <c r="G254" s="19"/>
      <c r="H254" s="19"/>
      <c r="I254" s="19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</row>
    <row r="255" spans="2:34" ht="41.25" customHeight="1">
      <c r="B255" s="21"/>
      <c r="C255" s="57" t="str">
        <f t="shared" si="5"/>
        <v/>
      </c>
      <c r="D255" s="18"/>
      <c r="E255" s="18"/>
      <c r="F255" s="15"/>
      <c r="G255" s="19"/>
      <c r="H255" s="19"/>
      <c r="I255" s="19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</row>
    <row r="256" spans="2:34" ht="41.25" customHeight="1">
      <c r="B256" s="21"/>
      <c r="C256" s="57" t="str">
        <f t="shared" si="5"/>
        <v/>
      </c>
      <c r="D256" s="18"/>
      <c r="E256" s="18"/>
      <c r="F256" s="15"/>
      <c r="G256" s="19"/>
      <c r="H256" s="19"/>
      <c r="I256" s="19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</row>
    <row r="257" spans="2:34" ht="41.25" customHeight="1">
      <c r="B257" s="21"/>
      <c r="C257" s="57" t="str">
        <f t="shared" si="5"/>
        <v/>
      </c>
      <c r="D257" s="18"/>
      <c r="E257" s="18"/>
      <c r="F257" s="15"/>
      <c r="G257" s="19"/>
      <c r="H257" s="19"/>
      <c r="I257" s="19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</row>
    <row r="258" spans="2:34" ht="41.25" customHeight="1">
      <c r="B258" s="21"/>
      <c r="C258" s="57" t="str">
        <f t="shared" si="5"/>
        <v/>
      </c>
      <c r="D258" s="18"/>
      <c r="E258" s="18"/>
      <c r="F258" s="15"/>
      <c r="G258" s="19"/>
      <c r="H258" s="19"/>
      <c r="I258" s="19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</row>
    <row r="259" spans="2:34" ht="41.25" customHeight="1">
      <c r="B259" s="21"/>
      <c r="C259" s="57" t="str">
        <f t="shared" si="5"/>
        <v/>
      </c>
      <c r="D259" s="18"/>
      <c r="E259" s="18"/>
      <c r="F259" s="15"/>
      <c r="G259" s="19"/>
      <c r="H259" s="19"/>
      <c r="I259" s="19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</row>
    <row r="260" spans="2:34" ht="41.25" customHeight="1">
      <c r="B260" s="21"/>
      <c r="C260" s="57" t="str">
        <f t="shared" si="5"/>
        <v/>
      </c>
      <c r="D260" s="18"/>
      <c r="E260" s="18"/>
      <c r="F260" s="15"/>
      <c r="G260" s="19"/>
      <c r="H260" s="19"/>
      <c r="I260" s="19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</row>
    <row r="261" spans="2:34" ht="41.25" customHeight="1">
      <c r="B261" s="21"/>
      <c r="C261" s="57" t="str">
        <f t="shared" si="5"/>
        <v/>
      </c>
      <c r="D261" s="18"/>
      <c r="E261" s="18"/>
      <c r="F261" s="15"/>
      <c r="G261" s="19"/>
      <c r="H261" s="19"/>
      <c r="I261" s="19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</row>
    <row r="262" spans="2:34" ht="41.25" customHeight="1">
      <c r="B262" s="21"/>
      <c r="C262" s="57" t="str">
        <f t="shared" ref="C262:C325" si="6">IF(B262="","",MONTH(B262))</f>
        <v/>
      </c>
      <c r="D262" s="18"/>
      <c r="E262" s="18"/>
      <c r="F262" s="15"/>
      <c r="G262" s="19"/>
      <c r="H262" s="19"/>
      <c r="I262" s="19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</row>
    <row r="263" spans="2:34" ht="41.25" customHeight="1">
      <c r="B263" s="21"/>
      <c r="C263" s="57" t="str">
        <f t="shared" si="6"/>
        <v/>
      </c>
      <c r="D263" s="18"/>
      <c r="E263" s="18"/>
      <c r="F263" s="15"/>
      <c r="G263" s="19"/>
      <c r="H263" s="19"/>
      <c r="I263" s="19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</row>
    <row r="264" spans="2:34" ht="41.25" customHeight="1">
      <c r="B264" s="21"/>
      <c r="C264" s="57" t="str">
        <f t="shared" si="6"/>
        <v/>
      </c>
      <c r="D264" s="18"/>
      <c r="E264" s="18"/>
      <c r="F264" s="15"/>
      <c r="G264" s="19"/>
      <c r="H264" s="19"/>
      <c r="I264" s="19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</row>
    <row r="265" spans="2:34" ht="41.25" customHeight="1">
      <c r="B265" s="21"/>
      <c r="C265" s="57" t="str">
        <f t="shared" si="6"/>
        <v/>
      </c>
      <c r="D265" s="18"/>
      <c r="E265" s="18"/>
      <c r="F265" s="15"/>
      <c r="G265" s="19"/>
      <c r="H265" s="19"/>
      <c r="I265" s="19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</row>
    <row r="266" spans="2:34" ht="41.25" customHeight="1">
      <c r="B266" s="21"/>
      <c r="C266" s="57" t="str">
        <f t="shared" si="6"/>
        <v/>
      </c>
      <c r="D266" s="18"/>
      <c r="E266" s="18"/>
      <c r="F266" s="15"/>
      <c r="G266" s="19"/>
      <c r="H266" s="19"/>
      <c r="I266" s="19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</row>
    <row r="267" spans="2:34" ht="41.25" customHeight="1">
      <c r="B267" s="21"/>
      <c r="C267" s="57" t="str">
        <f t="shared" si="6"/>
        <v/>
      </c>
      <c r="D267" s="18"/>
      <c r="E267" s="18"/>
      <c r="F267" s="15"/>
      <c r="G267" s="19"/>
      <c r="H267" s="19"/>
      <c r="I267" s="19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</row>
    <row r="268" spans="2:34" ht="41.25" customHeight="1">
      <c r="B268" s="21"/>
      <c r="C268" s="57" t="str">
        <f t="shared" si="6"/>
        <v/>
      </c>
      <c r="D268" s="18"/>
      <c r="E268" s="18"/>
      <c r="F268" s="15"/>
      <c r="G268" s="19"/>
      <c r="H268" s="19"/>
      <c r="I268" s="19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</row>
    <row r="269" spans="2:34" ht="41.25" customHeight="1">
      <c r="B269" s="21"/>
      <c r="C269" s="57" t="str">
        <f t="shared" si="6"/>
        <v/>
      </c>
      <c r="D269" s="18"/>
      <c r="E269" s="18"/>
      <c r="F269" s="15"/>
      <c r="G269" s="19"/>
      <c r="H269" s="19"/>
      <c r="I269" s="19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</row>
    <row r="270" spans="2:34" ht="41.25" customHeight="1">
      <c r="B270" s="21"/>
      <c r="C270" s="57" t="str">
        <f t="shared" si="6"/>
        <v/>
      </c>
      <c r="D270" s="18"/>
      <c r="E270" s="18"/>
      <c r="F270" s="15"/>
      <c r="G270" s="19"/>
      <c r="H270" s="19"/>
      <c r="I270" s="19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</row>
    <row r="271" spans="2:34" ht="41.25" customHeight="1">
      <c r="B271" s="21"/>
      <c r="C271" s="57" t="str">
        <f t="shared" si="6"/>
        <v/>
      </c>
      <c r="D271" s="18"/>
      <c r="E271" s="18"/>
      <c r="F271" s="15"/>
      <c r="G271" s="19"/>
      <c r="H271" s="19"/>
      <c r="I271" s="19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</row>
    <row r="272" spans="2:34" ht="41.25" customHeight="1">
      <c r="B272" s="21"/>
      <c r="C272" s="57" t="str">
        <f t="shared" si="6"/>
        <v/>
      </c>
      <c r="D272" s="18"/>
      <c r="E272" s="18"/>
      <c r="F272" s="15"/>
      <c r="G272" s="19"/>
      <c r="H272" s="19"/>
      <c r="I272" s="19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</row>
    <row r="273" spans="2:34" ht="41.25" customHeight="1">
      <c r="B273" s="21"/>
      <c r="C273" s="57" t="str">
        <f t="shared" si="6"/>
        <v/>
      </c>
      <c r="D273" s="18"/>
      <c r="E273" s="18"/>
      <c r="F273" s="15"/>
      <c r="G273" s="19"/>
      <c r="H273" s="19"/>
      <c r="I273" s="19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</row>
    <row r="274" spans="2:34" ht="41.25" customHeight="1">
      <c r="B274" s="21"/>
      <c r="C274" s="57" t="str">
        <f t="shared" si="6"/>
        <v/>
      </c>
      <c r="D274" s="18"/>
      <c r="E274" s="18"/>
      <c r="F274" s="15"/>
      <c r="G274" s="19"/>
      <c r="H274" s="19"/>
      <c r="I274" s="19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</row>
    <row r="275" spans="2:34" ht="41.25" customHeight="1">
      <c r="B275" s="21"/>
      <c r="C275" s="57" t="str">
        <f t="shared" si="6"/>
        <v/>
      </c>
      <c r="D275" s="18"/>
      <c r="E275" s="18"/>
      <c r="F275" s="15"/>
      <c r="G275" s="19"/>
      <c r="H275" s="19"/>
      <c r="I275" s="19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</row>
    <row r="276" spans="2:34" ht="41.25" customHeight="1">
      <c r="B276" s="21"/>
      <c r="C276" s="57" t="str">
        <f t="shared" si="6"/>
        <v/>
      </c>
      <c r="D276" s="18"/>
      <c r="E276" s="18"/>
      <c r="F276" s="15"/>
      <c r="G276" s="19"/>
      <c r="H276" s="19"/>
      <c r="I276" s="19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</row>
    <row r="277" spans="2:34" ht="41.25" customHeight="1" outlineLevel="1">
      <c r="B277" s="21"/>
      <c r="C277" s="57" t="str">
        <f t="shared" si="6"/>
        <v/>
      </c>
      <c r="D277" s="18"/>
      <c r="E277" s="18"/>
      <c r="F277" s="15"/>
      <c r="G277" s="19"/>
      <c r="H277" s="19"/>
      <c r="I277" s="19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</row>
    <row r="278" spans="2:34" ht="41.25" customHeight="1" outlineLevel="1">
      <c r="B278" s="21"/>
      <c r="C278" s="57" t="str">
        <f t="shared" si="6"/>
        <v/>
      </c>
      <c r="D278" s="18"/>
      <c r="E278" s="18"/>
      <c r="F278" s="15"/>
      <c r="G278" s="19"/>
      <c r="H278" s="19"/>
      <c r="I278" s="19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</row>
    <row r="279" spans="2:34" ht="41.25" customHeight="1" outlineLevel="1">
      <c r="B279" s="21"/>
      <c r="C279" s="57" t="str">
        <f t="shared" si="6"/>
        <v/>
      </c>
      <c r="D279" s="18"/>
      <c r="E279" s="18"/>
      <c r="F279" s="15"/>
      <c r="G279" s="19"/>
      <c r="H279" s="19"/>
      <c r="I279" s="19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</row>
    <row r="280" spans="2:34" ht="41.25" customHeight="1" outlineLevel="1">
      <c r="B280" s="21"/>
      <c r="C280" s="57" t="str">
        <f t="shared" si="6"/>
        <v/>
      </c>
      <c r="D280" s="18"/>
      <c r="E280" s="18"/>
      <c r="F280" s="15"/>
      <c r="G280" s="19"/>
      <c r="H280" s="19"/>
      <c r="I280" s="19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</row>
    <row r="281" spans="2:34" ht="41.25" customHeight="1" outlineLevel="1">
      <c r="B281" s="21"/>
      <c r="C281" s="57" t="str">
        <f t="shared" si="6"/>
        <v/>
      </c>
      <c r="D281" s="18"/>
      <c r="E281" s="18"/>
      <c r="F281" s="15"/>
      <c r="G281" s="19"/>
      <c r="H281" s="19"/>
      <c r="I281" s="19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</row>
    <row r="282" spans="2:34" ht="41.25" customHeight="1" outlineLevel="1">
      <c r="B282" s="21"/>
      <c r="C282" s="57" t="str">
        <f t="shared" si="6"/>
        <v/>
      </c>
      <c r="D282" s="18"/>
      <c r="E282" s="18"/>
      <c r="F282" s="15"/>
      <c r="G282" s="19"/>
      <c r="H282" s="19"/>
      <c r="I282" s="19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</row>
    <row r="283" spans="2:34" ht="41.25" customHeight="1" outlineLevel="1">
      <c r="B283" s="21"/>
      <c r="C283" s="57" t="str">
        <f t="shared" si="6"/>
        <v/>
      </c>
      <c r="D283" s="18"/>
      <c r="E283" s="18"/>
      <c r="F283" s="15"/>
      <c r="G283" s="19"/>
      <c r="H283" s="19"/>
      <c r="I283" s="19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</row>
    <row r="284" spans="2:34" ht="41.25" customHeight="1" outlineLevel="1">
      <c r="B284" s="21"/>
      <c r="C284" s="57" t="str">
        <f t="shared" si="6"/>
        <v/>
      </c>
      <c r="D284" s="18"/>
      <c r="E284" s="18"/>
      <c r="F284" s="15"/>
      <c r="G284" s="19"/>
      <c r="H284" s="19"/>
      <c r="I284" s="19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</row>
    <row r="285" spans="2:34" ht="41.25" customHeight="1" outlineLevel="1">
      <c r="B285" s="21"/>
      <c r="C285" s="57" t="str">
        <f t="shared" si="6"/>
        <v/>
      </c>
      <c r="D285" s="18"/>
      <c r="E285" s="18"/>
      <c r="F285" s="15"/>
      <c r="G285" s="19"/>
      <c r="H285" s="19"/>
      <c r="I285" s="19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</row>
    <row r="286" spans="2:34" ht="41.25" customHeight="1" outlineLevel="1">
      <c r="B286" s="21"/>
      <c r="C286" s="57" t="str">
        <f t="shared" si="6"/>
        <v/>
      </c>
      <c r="D286" s="18"/>
      <c r="E286" s="18"/>
      <c r="F286" s="15"/>
      <c r="G286" s="19"/>
      <c r="H286" s="19"/>
      <c r="I286" s="19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</row>
    <row r="287" spans="2:34" ht="41.25" customHeight="1" outlineLevel="1">
      <c r="B287" s="21"/>
      <c r="C287" s="57" t="str">
        <f t="shared" si="6"/>
        <v/>
      </c>
      <c r="D287" s="18"/>
      <c r="E287" s="18"/>
      <c r="F287" s="15"/>
      <c r="G287" s="19"/>
      <c r="H287" s="19"/>
      <c r="I287" s="19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</row>
    <row r="288" spans="2:34" ht="41.25" customHeight="1" outlineLevel="1">
      <c r="B288" s="21"/>
      <c r="C288" s="57" t="str">
        <f t="shared" si="6"/>
        <v/>
      </c>
      <c r="D288" s="18"/>
      <c r="E288" s="18"/>
      <c r="F288" s="15"/>
      <c r="G288" s="19"/>
      <c r="H288" s="19"/>
      <c r="I288" s="19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</row>
    <row r="289" spans="2:34" ht="41.25" customHeight="1" outlineLevel="1">
      <c r="B289" s="21"/>
      <c r="C289" s="57" t="str">
        <f t="shared" si="6"/>
        <v/>
      </c>
      <c r="D289" s="18"/>
      <c r="E289" s="18"/>
      <c r="F289" s="15"/>
      <c r="G289" s="19"/>
      <c r="H289" s="19"/>
      <c r="I289" s="19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</row>
    <row r="290" spans="2:34" ht="41.25" customHeight="1" outlineLevel="1">
      <c r="B290" s="21"/>
      <c r="C290" s="57" t="str">
        <f t="shared" si="6"/>
        <v/>
      </c>
      <c r="D290" s="18"/>
      <c r="E290" s="18"/>
      <c r="F290" s="15"/>
      <c r="G290" s="19"/>
      <c r="H290" s="19"/>
      <c r="I290" s="19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</row>
    <row r="291" spans="2:34" ht="41.25" customHeight="1" outlineLevel="1">
      <c r="B291" s="21"/>
      <c r="C291" s="57" t="str">
        <f t="shared" si="6"/>
        <v/>
      </c>
      <c r="D291" s="18"/>
      <c r="E291" s="18"/>
      <c r="F291" s="15"/>
      <c r="G291" s="19"/>
      <c r="H291" s="19"/>
      <c r="I291" s="19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</row>
    <row r="292" spans="2:34" ht="41.25" customHeight="1" outlineLevel="1">
      <c r="B292" s="21"/>
      <c r="C292" s="57" t="str">
        <f t="shared" si="6"/>
        <v/>
      </c>
      <c r="D292" s="18"/>
      <c r="E292" s="18"/>
      <c r="F292" s="15"/>
      <c r="G292" s="19"/>
      <c r="H292" s="19"/>
      <c r="I292" s="19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</row>
    <row r="293" spans="2:34" ht="41.25" customHeight="1" outlineLevel="1">
      <c r="B293" s="21"/>
      <c r="C293" s="57" t="str">
        <f t="shared" si="6"/>
        <v/>
      </c>
      <c r="D293" s="18"/>
      <c r="E293" s="18"/>
      <c r="F293" s="15"/>
      <c r="G293" s="19"/>
      <c r="H293" s="19"/>
      <c r="I293" s="19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</row>
    <row r="294" spans="2:34" ht="41.25" customHeight="1" outlineLevel="1">
      <c r="B294" s="21"/>
      <c r="C294" s="57" t="str">
        <f t="shared" si="6"/>
        <v/>
      </c>
      <c r="D294" s="18"/>
      <c r="E294" s="18"/>
      <c r="F294" s="15"/>
      <c r="G294" s="19"/>
      <c r="H294" s="19"/>
      <c r="I294" s="19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</row>
    <row r="295" spans="2:34" ht="41.25" customHeight="1" outlineLevel="1">
      <c r="B295" s="21"/>
      <c r="C295" s="57" t="str">
        <f t="shared" si="6"/>
        <v/>
      </c>
      <c r="D295" s="18"/>
      <c r="E295" s="18"/>
      <c r="F295" s="15"/>
      <c r="G295" s="19"/>
      <c r="H295" s="19"/>
      <c r="I295" s="19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</row>
    <row r="296" spans="2:34" ht="41.25" customHeight="1" outlineLevel="1">
      <c r="B296" s="21"/>
      <c r="C296" s="57" t="str">
        <f t="shared" si="6"/>
        <v/>
      </c>
      <c r="D296" s="18"/>
      <c r="E296" s="18"/>
      <c r="F296" s="15"/>
      <c r="G296" s="19"/>
      <c r="H296" s="19"/>
      <c r="I296" s="19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</row>
    <row r="297" spans="2:34" ht="41.25" customHeight="1" outlineLevel="1">
      <c r="B297" s="21"/>
      <c r="C297" s="57" t="str">
        <f t="shared" si="6"/>
        <v/>
      </c>
      <c r="D297" s="18"/>
      <c r="E297" s="18"/>
      <c r="F297" s="15"/>
      <c r="G297" s="19"/>
      <c r="H297" s="19"/>
      <c r="I297" s="19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</row>
    <row r="298" spans="2:34" ht="41.25" customHeight="1" outlineLevel="1">
      <c r="B298" s="21"/>
      <c r="C298" s="57" t="str">
        <f t="shared" si="6"/>
        <v/>
      </c>
      <c r="D298" s="18"/>
      <c r="E298" s="18"/>
      <c r="F298" s="15"/>
      <c r="G298" s="19"/>
      <c r="H298" s="19"/>
      <c r="I298" s="19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</row>
    <row r="299" spans="2:34" ht="41.25" customHeight="1" outlineLevel="1">
      <c r="B299" s="21"/>
      <c r="C299" s="57" t="str">
        <f t="shared" si="6"/>
        <v/>
      </c>
      <c r="D299" s="18"/>
      <c r="E299" s="18"/>
      <c r="F299" s="15"/>
      <c r="G299" s="19"/>
      <c r="H299" s="19"/>
      <c r="I299" s="19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</row>
    <row r="300" spans="2:34" ht="41.25" customHeight="1" outlineLevel="1">
      <c r="B300" s="21"/>
      <c r="C300" s="57" t="str">
        <f t="shared" si="6"/>
        <v/>
      </c>
      <c r="D300" s="18"/>
      <c r="E300" s="18"/>
      <c r="F300" s="15"/>
      <c r="G300" s="19"/>
      <c r="H300" s="19"/>
      <c r="I300" s="19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</row>
    <row r="301" spans="2:34" ht="41.25" customHeight="1" outlineLevel="1">
      <c r="B301" s="21"/>
      <c r="C301" s="57" t="str">
        <f t="shared" si="6"/>
        <v/>
      </c>
      <c r="D301" s="18"/>
      <c r="E301" s="18"/>
      <c r="F301" s="15"/>
      <c r="G301" s="19"/>
      <c r="H301" s="19"/>
      <c r="I301" s="19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</row>
    <row r="302" spans="2:34" ht="41.25" customHeight="1" outlineLevel="1">
      <c r="B302" s="21"/>
      <c r="C302" s="57" t="str">
        <f t="shared" si="6"/>
        <v/>
      </c>
      <c r="D302" s="18"/>
      <c r="E302" s="18"/>
      <c r="F302" s="15"/>
      <c r="G302" s="19"/>
      <c r="H302" s="19"/>
      <c r="I302" s="19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</row>
    <row r="303" spans="2:34" ht="41.25" customHeight="1" outlineLevel="1">
      <c r="B303" s="21"/>
      <c r="C303" s="57" t="str">
        <f t="shared" si="6"/>
        <v/>
      </c>
      <c r="D303" s="18"/>
      <c r="E303" s="18"/>
      <c r="F303" s="15"/>
      <c r="G303" s="19"/>
      <c r="H303" s="19"/>
      <c r="I303" s="19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</row>
    <row r="304" spans="2:34" ht="41.25" customHeight="1" outlineLevel="1">
      <c r="B304" s="21"/>
      <c r="C304" s="57" t="str">
        <f t="shared" si="6"/>
        <v/>
      </c>
      <c r="D304" s="18"/>
      <c r="E304" s="18"/>
      <c r="F304" s="15"/>
      <c r="G304" s="19"/>
      <c r="H304" s="19"/>
      <c r="I304" s="19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</row>
    <row r="305" spans="2:34" ht="41.25" customHeight="1" outlineLevel="1">
      <c r="B305" s="21"/>
      <c r="C305" s="57" t="str">
        <f t="shared" si="6"/>
        <v/>
      </c>
      <c r="D305" s="18"/>
      <c r="E305" s="18"/>
      <c r="F305" s="15"/>
      <c r="G305" s="19"/>
      <c r="H305" s="19"/>
      <c r="I305" s="19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</row>
    <row r="306" spans="2:34" ht="41.25" customHeight="1" outlineLevel="1">
      <c r="B306" s="21"/>
      <c r="C306" s="57" t="str">
        <f t="shared" si="6"/>
        <v/>
      </c>
      <c r="D306" s="18"/>
      <c r="E306" s="18"/>
      <c r="F306" s="15"/>
      <c r="G306" s="19"/>
      <c r="H306" s="19"/>
      <c r="I306" s="19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</row>
    <row r="307" spans="2:34" ht="41.25" customHeight="1" outlineLevel="1">
      <c r="B307" s="21"/>
      <c r="C307" s="57" t="str">
        <f t="shared" si="6"/>
        <v/>
      </c>
      <c r="D307" s="18"/>
      <c r="E307" s="18"/>
      <c r="F307" s="15"/>
      <c r="G307" s="19"/>
      <c r="H307" s="19"/>
      <c r="I307" s="19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</row>
    <row r="308" spans="2:34" ht="41.25" customHeight="1" outlineLevel="1">
      <c r="B308" s="21"/>
      <c r="C308" s="57" t="str">
        <f t="shared" si="6"/>
        <v/>
      </c>
      <c r="D308" s="18"/>
      <c r="E308" s="18"/>
      <c r="F308" s="15"/>
      <c r="G308" s="19"/>
      <c r="H308" s="19"/>
      <c r="I308" s="19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</row>
    <row r="309" spans="2:34" ht="41.25" customHeight="1" outlineLevel="1">
      <c r="B309" s="21"/>
      <c r="C309" s="57" t="str">
        <f t="shared" si="6"/>
        <v/>
      </c>
      <c r="D309" s="18"/>
      <c r="E309" s="18"/>
      <c r="F309" s="15"/>
      <c r="G309" s="19"/>
      <c r="H309" s="19"/>
      <c r="I309" s="19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</row>
    <row r="310" spans="2:34" ht="41.25" customHeight="1" outlineLevel="1">
      <c r="B310" s="21"/>
      <c r="C310" s="57" t="str">
        <f t="shared" si="6"/>
        <v/>
      </c>
      <c r="D310" s="18"/>
      <c r="E310" s="18"/>
      <c r="F310" s="15"/>
      <c r="G310" s="19"/>
      <c r="H310" s="19"/>
      <c r="I310" s="19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</row>
    <row r="311" spans="2:34" ht="41.25" customHeight="1" outlineLevel="1">
      <c r="B311" s="21"/>
      <c r="C311" s="57" t="str">
        <f t="shared" si="6"/>
        <v/>
      </c>
      <c r="D311" s="18"/>
      <c r="E311" s="18"/>
      <c r="F311" s="15"/>
      <c r="G311" s="19"/>
      <c r="H311" s="19"/>
      <c r="I311" s="19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</row>
    <row r="312" spans="2:34" ht="41.25" customHeight="1" outlineLevel="1">
      <c r="B312" s="21"/>
      <c r="C312" s="57" t="str">
        <f t="shared" si="6"/>
        <v/>
      </c>
      <c r="D312" s="18"/>
      <c r="E312" s="18"/>
      <c r="F312" s="15"/>
      <c r="G312" s="19"/>
      <c r="H312" s="19"/>
      <c r="I312" s="19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</row>
    <row r="313" spans="2:34" ht="41.25" customHeight="1" outlineLevel="1">
      <c r="B313" s="21"/>
      <c r="C313" s="57" t="str">
        <f t="shared" si="6"/>
        <v/>
      </c>
      <c r="D313" s="18"/>
      <c r="E313" s="18"/>
      <c r="F313" s="15"/>
      <c r="G313" s="19"/>
      <c r="H313" s="19"/>
      <c r="I313" s="19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</row>
    <row r="314" spans="2:34" ht="41.25" customHeight="1" outlineLevel="1">
      <c r="B314" s="21"/>
      <c r="C314" s="57" t="str">
        <f t="shared" si="6"/>
        <v/>
      </c>
      <c r="D314" s="18"/>
      <c r="E314" s="18"/>
      <c r="F314" s="15"/>
      <c r="G314" s="19"/>
      <c r="H314" s="19"/>
      <c r="I314" s="19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</row>
    <row r="315" spans="2:34" ht="41.25" customHeight="1" outlineLevel="1">
      <c r="B315" s="21"/>
      <c r="C315" s="57" t="str">
        <f t="shared" si="6"/>
        <v/>
      </c>
      <c r="D315" s="18"/>
      <c r="E315" s="18"/>
      <c r="F315" s="15"/>
      <c r="G315" s="19"/>
      <c r="H315" s="19"/>
      <c r="I315" s="19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</row>
    <row r="316" spans="2:34" ht="41.25" customHeight="1" outlineLevel="1">
      <c r="B316" s="21"/>
      <c r="C316" s="57" t="str">
        <f t="shared" si="6"/>
        <v/>
      </c>
      <c r="D316" s="18"/>
      <c r="E316" s="18"/>
      <c r="F316" s="15"/>
      <c r="G316" s="19"/>
      <c r="H316" s="19"/>
      <c r="I316" s="19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</row>
    <row r="317" spans="2:34" ht="41.25" customHeight="1" outlineLevel="1">
      <c r="B317" s="21"/>
      <c r="C317" s="57" t="str">
        <f t="shared" si="6"/>
        <v/>
      </c>
      <c r="D317" s="18"/>
      <c r="E317" s="18"/>
      <c r="F317" s="15"/>
      <c r="G317" s="19"/>
      <c r="H317" s="19"/>
      <c r="I317" s="19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</row>
    <row r="318" spans="2:34" ht="41.25" customHeight="1" outlineLevel="1">
      <c r="B318" s="21"/>
      <c r="C318" s="57" t="str">
        <f t="shared" si="6"/>
        <v/>
      </c>
      <c r="D318" s="18"/>
      <c r="E318" s="18"/>
      <c r="F318" s="15"/>
      <c r="G318" s="19"/>
      <c r="H318" s="19"/>
      <c r="I318" s="19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</row>
    <row r="319" spans="2:34" ht="41.25" customHeight="1" outlineLevel="1">
      <c r="B319" s="21"/>
      <c r="C319" s="57" t="str">
        <f t="shared" si="6"/>
        <v/>
      </c>
      <c r="D319" s="18"/>
      <c r="E319" s="18"/>
      <c r="F319" s="15"/>
      <c r="G319" s="19"/>
      <c r="H319" s="19"/>
      <c r="I319" s="19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</row>
    <row r="320" spans="2:34" ht="41.25" customHeight="1" outlineLevel="1">
      <c r="B320" s="21"/>
      <c r="C320" s="57" t="str">
        <f t="shared" si="6"/>
        <v/>
      </c>
      <c r="D320" s="18"/>
      <c r="E320" s="18"/>
      <c r="F320" s="15"/>
      <c r="G320" s="19"/>
      <c r="H320" s="19"/>
      <c r="I320" s="19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</row>
    <row r="321" spans="2:34" ht="41.25" customHeight="1" outlineLevel="1">
      <c r="B321" s="21"/>
      <c r="C321" s="57" t="str">
        <f t="shared" si="6"/>
        <v/>
      </c>
      <c r="D321" s="18"/>
      <c r="E321" s="18"/>
      <c r="F321" s="15"/>
      <c r="G321" s="19"/>
      <c r="H321" s="19"/>
      <c r="I321" s="19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</row>
    <row r="322" spans="2:34" ht="41.25" customHeight="1" outlineLevel="1">
      <c r="B322" s="21"/>
      <c r="C322" s="57" t="str">
        <f t="shared" si="6"/>
        <v/>
      </c>
      <c r="D322" s="18"/>
      <c r="E322" s="18"/>
      <c r="F322" s="15"/>
      <c r="G322" s="19"/>
      <c r="H322" s="19"/>
      <c r="I322" s="19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</row>
    <row r="323" spans="2:34" ht="41.25" customHeight="1" outlineLevel="1">
      <c r="B323" s="21"/>
      <c r="C323" s="57" t="str">
        <f t="shared" si="6"/>
        <v/>
      </c>
      <c r="D323" s="18"/>
      <c r="E323" s="18"/>
      <c r="F323" s="15"/>
      <c r="G323" s="19"/>
      <c r="H323" s="19"/>
      <c r="I323" s="19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</row>
    <row r="324" spans="2:34" ht="41.25" customHeight="1" outlineLevel="1">
      <c r="B324" s="21"/>
      <c r="C324" s="57" t="str">
        <f t="shared" si="6"/>
        <v/>
      </c>
      <c r="D324" s="18"/>
      <c r="E324" s="18"/>
      <c r="F324" s="15"/>
      <c r="G324" s="19"/>
      <c r="H324" s="19"/>
      <c r="I324" s="19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</row>
    <row r="325" spans="2:34" ht="41.25" customHeight="1" outlineLevel="1">
      <c r="B325" s="21"/>
      <c r="C325" s="57" t="str">
        <f t="shared" si="6"/>
        <v/>
      </c>
      <c r="D325" s="18"/>
      <c r="E325" s="18"/>
      <c r="F325" s="15"/>
      <c r="G325" s="19"/>
      <c r="H325" s="19"/>
      <c r="I325" s="19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</row>
    <row r="326" spans="2:34" ht="41.25" customHeight="1" outlineLevel="1">
      <c r="B326" s="21"/>
      <c r="C326" s="57" t="str">
        <f t="shared" ref="C326:C389" si="7">IF(B326="","",MONTH(B326))</f>
        <v/>
      </c>
      <c r="D326" s="18"/>
      <c r="E326" s="18"/>
      <c r="F326" s="15"/>
      <c r="G326" s="19"/>
      <c r="H326" s="19"/>
      <c r="I326" s="19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</row>
    <row r="327" spans="2:34" ht="41.25" customHeight="1" outlineLevel="1">
      <c r="B327" s="21"/>
      <c r="C327" s="57" t="str">
        <f t="shared" si="7"/>
        <v/>
      </c>
      <c r="D327" s="18"/>
      <c r="E327" s="18"/>
      <c r="F327" s="15"/>
      <c r="G327" s="19"/>
      <c r="H327" s="19"/>
      <c r="I327" s="19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</row>
    <row r="328" spans="2:34" ht="41.25" customHeight="1" outlineLevel="1">
      <c r="B328" s="21"/>
      <c r="C328" s="57" t="str">
        <f t="shared" si="7"/>
        <v/>
      </c>
      <c r="D328" s="18"/>
      <c r="E328" s="18"/>
      <c r="F328" s="15"/>
      <c r="G328" s="19"/>
      <c r="H328" s="19"/>
      <c r="I328" s="19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</row>
    <row r="329" spans="2:34" ht="41.25" customHeight="1" outlineLevel="1">
      <c r="B329" s="21"/>
      <c r="C329" s="57" t="str">
        <f t="shared" si="7"/>
        <v/>
      </c>
      <c r="D329" s="18"/>
      <c r="E329" s="18"/>
      <c r="F329" s="15"/>
      <c r="G329" s="19"/>
      <c r="H329" s="19"/>
      <c r="I329" s="19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</row>
    <row r="330" spans="2:34" ht="41.25" customHeight="1" outlineLevel="1">
      <c r="B330" s="21"/>
      <c r="C330" s="57" t="str">
        <f t="shared" si="7"/>
        <v/>
      </c>
      <c r="D330" s="18"/>
      <c r="E330" s="18"/>
      <c r="F330" s="15"/>
      <c r="G330" s="19"/>
      <c r="H330" s="19"/>
      <c r="I330" s="19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</row>
    <row r="331" spans="2:34" ht="41.25" customHeight="1" outlineLevel="1">
      <c r="B331" s="21"/>
      <c r="C331" s="57" t="str">
        <f t="shared" si="7"/>
        <v/>
      </c>
      <c r="D331" s="18"/>
      <c r="E331" s="18"/>
      <c r="F331" s="15"/>
      <c r="G331" s="19"/>
      <c r="H331" s="19"/>
      <c r="I331" s="19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</row>
    <row r="332" spans="2:34" ht="41.25" customHeight="1" outlineLevel="1">
      <c r="B332" s="21"/>
      <c r="C332" s="57" t="str">
        <f t="shared" si="7"/>
        <v/>
      </c>
      <c r="D332" s="18"/>
      <c r="E332" s="18"/>
      <c r="F332" s="15"/>
      <c r="G332" s="19"/>
      <c r="H332" s="19"/>
      <c r="I332" s="19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</row>
    <row r="333" spans="2:34" ht="41.25" customHeight="1" outlineLevel="1">
      <c r="B333" s="21"/>
      <c r="C333" s="57" t="str">
        <f t="shared" si="7"/>
        <v/>
      </c>
      <c r="D333" s="18"/>
      <c r="E333" s="18"/>
      <c r="F333" s="15"/>
      <c r="G333" s="19"/>
      <c r="H333" s="19"/>
      <c r="I333" s="19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</row>
    <row r="334" spans="2:34" ht="41.25" customHeight="1" outlineLevel="1">
      <c r="B334" s="21"/>
      <c r="C334" s="57" t="str">
        <f t="shared" si="7"/>
        <v/>
      </c>
      <c r="D334" s="18"/>
      <c r="E334" s="18"/>
      <c r="F334" s="15"/>
      <c r="G334" s="19"/>
      <c r="H334" s="19"/>
      <c r="I334" s="19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</row>
    <row r="335" spans="2:34" ht="41.25" customHeight="1" outlineLevel="1">
      <c r="B335" s="21"/>
      <c r="C335" s="57" t="str">
        <f t="shared" si="7"/>
        <v/>
      </c>
      <c r="D335" s="18"/>
      <c r="E335" s="18"/>
      <c r="F335" s="15"/>
      <c r="G335" s="19"/>
      <c r="H335" s="19"/>
      <c r="I335" s="19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</row>
    <row r="336" spans="2:34" ht="41.25" customHeight="1" outlineLevel="1">
      <c r="B336" s="21"/>
      <c r="C336" s="57" t="str">
        <f t="shared" si="7"/>
        <v/>
      </c>
      <c r="D336" s="18"/>
      <c r="E336" s="18"/>
      <c r="F336" s="15"/>
      <c r="G336" s="19"/>
      <c r="H336" s="19"/>
      <c r="I336" s="19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</row>
    <row r="337" spans="2:34" ht="41.25" customHeight="1" outlineLevel="1">
      <c r="B337" s="21"/>
      <c r="C337" s="57" t="str">
        <f t="shared" si="7"/>
        <v/>
      </c>
      <c r="D337" s="18"/>
      <c r="E337" s="18"/>
      <c r="F337" s="15"/>
      <c r="G337" s="19"/>
      <c r="H337" s="19"/>
      <c r="I337" s="19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</row>
    <row r="338" spans="2:34" ht="41.25" customHeight="1" outlineLevel="1">
      <c r="B338" s="21"/>
      <c r="C338" s="57" t="str">
        <f t="shared" si="7"/>
        <v/>
      </c>
      <c r="D338" s="18"/>
      <c r="E338" s="18"/>
      <c r="F338" s="15"/>
      <c r="G338" s="19"/>
      <c r="H338" s="19"/>
      <c r="I338" s="19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</row>
    <row r="339" spans="2:34" ht="41.25" customHeight="1" outlineLevel="1">
      <c r="B339" s="21"/>
      <c r="C339" s="57" t="str">
        <f t="shared" si="7"/>
        <v/>
      </c>
      <c r="D339" s="18"/>
      <c r="E339" s="18"/>
      <c r="F339" s="15"/>
      <c r="G339" s="19"/>
      <c r="H339" s="19"/>
      <c r="I339" s="19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</row>
    <row r="340" spans="2:34" ht="41.25" customHeight="1" outlineLevel="1">
      <c r="B340" s="21"/>
      <c r="C340" s="57" t="str">
        <f t="shared" si="7"/>
        <v/>
      </c>
      <c r="D340" s="18"/>
      <c r="E340" s="18"/>
      <c r="F340" s="15"/>
      <c r="G340" s="19"/>
      <c r="H340" s="19"/>
      <c r="I340" s="19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</row>
    <row r="341" spans="2:34" ht="41.25" customHeight="1" outlineLevel="1">
      <c r="B341" s="21"/>
      <c r="C341" s="57" t="str">
        <f t="shared" si="7"/>
        <v/>
      </c>
      <c r="D341" s="18"/>
      <c r="E341" s="18"/>
      <c r="F341" s="15"/>
      <c r="G341" s="19"/>
      <c r="H341" s="19"/>
      <c r="I341" s="19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</row>
    <row r="342" spans="2:34" ht="41.25" customHeight="1" outlineLevel="1">
      <c r="B342" s="21"/>
      <c r="C342" s="57" t="str">
        <f t="shared" si="7"/>
        <v/>
      </c>
      <c r="D342" s="18"/>
      <c r="E342" s="18"/>
      <c r="F342" s="15"/>
      <c r="G342" s="19"/>
      <c r="H342" s="19"/>
      <c r="I342" s="19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</row>
    <row r="343" spans="2:34" ht="41.25" customHeight="1" outlineLevel="1">
      <c r="B343" s="21"/>
      <c r="C343" s="57" t="str">
        <f t="shared" si="7"/>
        <v/>
      </c>
      <c r="D343" s="18"/>
      <c r="E343" s="18"/>
      <c r="F343" s="15"/>
      <c r="G343" s="19"/>
      <c r="H343" s="19"/>
      <c r="I343" s="19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</row>
    <row r="344" spans="2:34" ht="41.25" customHeight="1" outlineLevel="1">
      <c r="B344" s="21"/>
      <c r="C344" s="57" t="str">
        <f t="shared" si="7"/>
        <v/>
      </c>
      <c r="D344" s="18"/>
      <c r="E344" s="18"/>
      <c r="F344" s="15"/>
      <c r="G344" s="19"/>
      <c r="H344" s="19"/>
      <c r="I344" s="19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</row>
    <row r="345" spans="2:34" ht="41.25" customHeight="1" outlineLevel="1">
      <c r="B345" s="21"/>
      <c r="C345" s="57" t="str">
        <f t="shared" si="7"/>
        <v/>
      </c>
      <c r="D345" s="18"/>
      <c r="E345" s="18"/>
      <c r="F345" s="15"/>
      <c r="G345" s="19"/>
      <c r="H345" s="19"/>
      <c r="I345" s="19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</row>
    <row r="346" spans="2:34" s="10" customFormat="1" ht="41.25" customHeight="1" outlineLevel="1">
      <c r="B346" s="21"/>
      <c r="C346" s="57" t="str">
        <f t="shared" si="7"/>
        <v/>
      </c>
      <c r="D346" s="18"/>
      <c r="E346" s="18"/>
      <c r="F346" s="15"/>
      <c r="G346" s="19"/>
      <c r="H346" s="19"/>
      <c r="I346" s="19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</row>
    <row r="347" spans="2:34" ht="41.25" customHeight="1" outlineLevel="1">
      <c r="B347" s="21"/>
      <c r="C347" s="57" t="str">
        <f t="shared" si="7"/>
        <v/>
      </c>
      <c r="D347" s="18"/>
      <c r="E347" s="18"/>
      <c r="F347" s="15"/>
      <c r="G347" s="19"/>
      <c r="H347" s="19"/>
      <c r="I347" s="19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</row>
    <row r="348" spans="2:34" ht="41.25" customHeight="1" outlineLevel="1">
      <c r="B348" s="21"/>
      <c r="C348" s="57" t="str">
        <f t="shared" si="7"/>
        <v/>
      </c>
      <c r="D348" s="18"/>
      <c r="E348" s="18"/>
      <c r="F348" s="15"/>
      <c r="G348" s="19"/>
      <c r="H348" s="19"/>
      <c r="I348" s="19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</row>
    <row r="349" spans="2:34" ht="41.25" customHeight="1" outlineLevel="1">
      <c r="B349" s="21"/>
      <c r="C349" s="57" t="str">
        <f t="shared" si="7"/>
        <v/>
      </c>
      <c r="D349" s="18"/>
      <c r="E349" s="18"/>
      <c r="F349" s="15"/>
      <c r="G349" s="19"/>
      <c r="H349" s="19"/>
      <c r="I349" s="19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</row>
    <row r="350" spans="2:34" ht="41.25" customHeight="1" outlineLevel="1">
      <c r="B350" s="21"/>
      <c r="C350" s="57" t="str">
        <f t="shared" si="7"/>
        <v/>
      </c>
      <c r="D350" s="18"/>
      <c r="E350" s="18"/>
      <c r="F350" s="15"/>
      <c r="G350" s="19"/>
      <c r="H350" s="19"/>
      <c r="I350" s="19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</row>
    <row r="351" spans="2:34" ht="41.25" customHeight="1" outlineLevel="1">
      <c r="B351" s="21"/>
      <c r="C351" s="57" t="str">
        <f t="shared" si="7"/>
        <v/>
      </c>
      <c r="D351" s="18"/>
      <c r="E351" s="18"/>
      <c r="F351" s="15"/>
      <c r="G351" s="19"/>
      <c r="H351" s="19"/>
      <c r="I351" s="19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</row>
    <row r="352" spans="2:34" ht="41.25" customHeight="1" outlineLevel="1">
      <c r="B352" s="18"/>
      <c r="C352" s="57" t="str">
        <f t="shared" si="7"/>
        <v/>
      </c>
      <c r="D352" s="18"/>
      <c r="E352" s="18"/>
      <c r="F352" s="15"/>
      <c r="G352" s="19"/>
      <c r="H352" s="19"/>
      <c r="I352" s="19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</row>
    <row r="353" spans="2:34" ht="41.25" customHeight="1" outlineLevel="1">
      <c r="B353" s="18"/>
      <c r="C353" s="57" t="str">
        <f t="shared" si="7"/>
        <v/>
      </c>
      <c r="D353" s="18"/>
      <c r="E353" s="18"/>
      <c r="F353" s="15"/>
      <c r="G353" s="19"/>
      <c r="H353" s="19"/>
      <c r="I353" s="19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</row>
    <row r="354" spans="2:34" s="11" customFormat="1" ht="41.25" customHeight="1" outlineLevel="1">
      <c r="B354" s="24"/>
      <c r="C354" s="57" t="str">
        <f t="shared" si="7"/>
        <v/>
      </c>
      <c r="D354" s="24"/>
      <c r="E354" s="24"/>
      <c r="F354" s="25"/>
      <c r="G354" s="26"/>
      <c r="H354" s="26"/>
      <c r="I354" s="26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</row>
    <row r="355" spans="2:34" ht="41.25" customHeight="1" outlineLevel="1">
      <c r="B355" s="18"/>
      <c r="C355" s="57" t="str">
        <f t="shared" si="7"/>
        <v/>
      </c>
      <c r="D355" s="18"/>
      <c r="E355" s="18"/>
      <c r="F355" s="15"/>
      <c r="G355" s="19"/>
      <c r="H355" s="19"/>
      <c r="I355" s="19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</row>
    <row r="356" spans="2:34" ht="41.25" customHeight="1" outlineLevel="1">
      <c r="B356" s="18"/>
      <c r="C356" s="57" t="str">
        <f t="shared" si="7"/>
        <v/>
      </c>
      <c r="D356" s="18"/>
      <c r="E356" s="18"/>
      <c r="F356" s="15"/>
      <c r="G356" s="19"/>
      <c r="H356" s="19"/>
      <c r="I356" s="19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</row>
    <row r="357" spans="2:34" ht="41.25" customHeight="1" outlineLevel="1">
      <c r="B357" s="18"/>
      <c r="C357" s="57" t="str">
        <f t="shared" si="7"/>
        <v/>
      </c>
      <c r="D357" s="18"/>
      <c r="E357" s="18"/>
      <c r="F357" s="15"/>
      <c r="G357" s="19"/>
      <c r="H357" s="19"/>
      <c r="I357" s="19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</row>
    <row r="358" spans="2:34" ht="41.25" customHeight="1" outlineLevel="1">
      <c r="B358" s="18"/>
      <c r="C358" s="57" t="str">
        <f t="shared" si="7"/>
        <v/>
      </c>
      <c r="D358" s="18"/>
      <c r="E358" s="18"/>
      <c r="F358" s="15"/>
      <c r="G358" s="19"/>
      <c r="H358" s="19"/>
      <c r="I358" s="19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</row>
    <row r="359" spans="2:34" ht="41.25" customHeight="1" outlineLevel="1">
      <c r="B359" s="18"/>
      <c r="C359" s="57" t="str">
        <f t="shared" si="7"/>
        <v/>
      </c>
      <c r="D359" s="18"/>
      <c r="E359" s="18"/>
      <c r="F359" s="15"/>
      <c r="G359" s="19"/>
      <c r="H359" s="19"/>
      <c r="I359" s="19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</row>
    <row r="360" spans="2:34" ht="41.25" customHeight="1" outlineLevel="1">
      <c r="B360" s="18"/>
      <c r="C360" s="57" t="str">
        <f t="shared" si="7"/>
        <v/>
      </c>
      <c r="D360" s="18"/>
      <c r="E360" s="18"/>
      <c r="F360" s="15"/>
      <c r="G360" s="19"/>
      <c r="H360" s="19"/>
      <c r="I360" s="19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</row>
    <row r="361" spans="2:34" ht="41.25" customHeight="1" outlineLevel="1">
      <c r="B361" s="18"/>
      <c r="C361" s="57" t="str">
        <f t="shared" si="7"/>
        <v/>
      </c>
      <c r="D361" s="18"/>
      <c r="E361" s="18"/>
      <c r="F361" s="15"/>
      <c r="G361" s="19"/>
      <c r="H361" s="19"/>
      <c r="I361" s="19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</row>
    <row r="362" spans="2:34" ht="41.25" customHeight="1" outlineLevel="1">
      <c r="B362" s="18"/>
      <c r="C362" s="57" t="str">
        <f t="shared" si="7"/>
        <v/>
      </c>
      <c r="D362" s="18"/>
      <c r="E362" s="18"/>
      <c r="F362" s="15"/>
      <c r="G362" s="19"/>
      <c r="H362" s="19"/>
      <c r="I362" s="19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</row>
    <row r="363" spans="2:34" ht="41.25" customHeight="1" outlineLevel="1">
      <c r="B363" s="18"/>
      <c r="C363" s="57" t="str">
        <f t="shared" si="7"/>
        <v/>
      </c>
      <c r="D363" s="18"/>
      <c r="E363" s="18"/>
      <c r="F363" s="15"/>
      <c r="G363" s="19"/>
      <c r="H363" s="19"/>
      <c r="I363" s="19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</row>
    <row r="364" spans="2:34" ht="41.25" customHeight="1" outlineLevel="1">
      <c r="B364" s="18"/>
      <c r="C364" s="57" t="str">
        <f t="shared" si="7"/>
        <v/>
      </c>
      <c r="D364" s="18"/>
      <c r="E364" s="18"/>
      <c r="F364" s="15"/>
      <c r="G364" s="19"/>
      <c r="H364" s="19"/>
      <c r="I364" s="19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</row>
    <row r="365" spans="2:34" ht="41.25" customHeight="1" outlineLevel="1">
      <c r="B365" s="18"/>
      <c r="C365" s="57" t="str">
        <f t="shared" si="7"/>
        <v/>
      </c>
      <c r="D365" s="18"/>
      <c r="E365" s="18"/>
      <c r="F365" s="15"/>
      <c r="G365" s="19"/>
      <c r="H365" s="19"/>
      <c r="I365" s="19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</row>
    <row r="366" spans="2:34" ht="41.25" customHeight="1" outlineLevel="1">
      <c r="B366" s="18"/>
      <c r="C366" s="57" t="str">
        <f t="shared" si="7"/>
        <v/>
      </c>
      <c r="D366" s="18"/>
      <c r="E366" s="18"/>
      <c r="F366" s="15"/>
      <c r="G366" s="19"/>
      <c r="H366" s="19"/>
      <c r="I366" s="19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</row>
    <row r="367" spans="2:34" ht="41.25" customHeight="1" outlineLevel="1">
      <c r="B367" s="18"/>
      <c r="C367" s="57" t="str">
        <f t="shared" si="7"/>
        <v/>
      </c>
      <c r="D367" s="18"/>
      <c r="E367" s="18"/>
      <c r="F367" s="15"/>
      <c r="G367" s="19"/>
      <c r="H367" s="19"/>
      <c r="I367" s="19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</row>
    <row r="368" spans="2:34" ht="41.25" customHeight="1" outlineLevel="1">
      <c r="B368" s="18"/>
      <c r="C368" s="57" t="str">
        <f t="shared" si="7"/>
        <v/>
      </c>
      <c r="D368" s="18"/>
      <c r="E368" s="18"/>
      <c r="F368" s="15"/>
      <c r="G368" s="19"/>
      <c r="H368" s="19"/>
      <c r="I368" s="19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</row>
    <row r="369" spans="2:34" ht="41.25" customHeight="1" outlineLevel="1">
      <c r="B369" s="18"/>
      <c r="C369" s="57" t="str">
        <f t="shared" si="7"/>
        <v/>
      </c>
      <c r="D369" s="18"/>
      <c r="E369" s="18"/>
      <c r="F369" s="15"/>
      <c r="G369" s="19"/>
      <c r="H369" s="19"/>
      <c r="I369" s="19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</row>
    <row r="370" spans="2:34" ht="41.25" customHeight="1" outlineLevel="1">
      <c r="B370" s="18"/>
      <c r="C370" s="57" t="str">
        <f t="shared" si="7"/>
        <v/>
      </c>
      <c r="D370" s="18"/>
      <c r="E370" s="18"/>
      <c r="F370" s="15"/>
      <c r="G370" s="19"/>
      <c r="H370" s="19"/>
      <c r="I370" s="19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</row>
    <row r="371" spans="2:34" ht="41.25" customHeight="1" outlineLevel="1">
      <c r="B371" s="18"/>
      <c r="C371" s="57" t="str">
        <f t="shared" si="7"/>
        <v/>
      </c>
      <c r="D371" s="18"/>
      <c r="E371" s="18"/>
      <c r="F371" s="15"/>
      <c r="G371" s="19"/>
      <c r="H371" s="19"/>
      <c r="I371" s="19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</row>
    <row r="372" spans="2:34" ht="41.25" customHeight="1" outlineLevel="1">
      <c r="B372" s="18"/>
      <c r="C372" s="57" t="str">
        <f t="shared" si="7"/>
        <v/>
      </c>
      <c r="D372" s="18"/>
      <c r="E372" s="18"/>
      <c r="F372" s="15"/>
      <c r="G372" s="19"/>
      <c r="H372" s="19"/>
      <c r="I372" s="19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</row>
    <row r="373" spans="2:34" ht="41.25" customHeight="1" outlineLevel="1">
      <c r="B373" s="18"/>
      <c r="C373" s="57" t="str">
        <f t="shared" si="7"/>
        <v/>
      </c>
      <c r="D373" s="18"/>
      <c r="E373" s="18"/>
      <c r="F373" s="15"/>
      <c r="G373" s="19"/>
      <c r="H373" s="19"/>
      <c r="I373" s="19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</row>
    <row r="374" spans="2:34" ht="41.25" customHeight="1" outlineLevel="1">
      <c r="B374" s="18"/>
      <c r="C374" s="57" t="str">
        <f t="shared" si="7"/>
        <v/>
      </c>
      <c r="D374" s="18"/>
      <c r="E374" s="18"/>
      <c r="F374" s="15"/>
      <c r="G374" s="19"/>
      <c r="H374" s="19"/>
      <c r="I374" s="19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</row>
    <row r="375" spans="2:34" ht="41.25" customHeight="1" outlineLevel="1">
      <c r="B375" s="18"/>
      <c r="C375" s="57" t="str">
        <f t="shared" si="7"/>
        <v/>
      </c>
      <c r="D375" s="18"/>
      <c r="E375" s="18"/>
      <c r="F375" s="15"/>
      <c r="G375" s="19"/>
      <c r="H375" s="19"/>
      <c r="I375" s="19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</row>
    <row r="376" spans="2:34" ht="41.25" customHeight="1" outlineLevel="1">
      <c r="B376" s="18"/>
      <c r="C376" s="57" t="str">
        <f t="shared" si="7"/>
        <v/>
      </c>
      <c r="D376" s="18"/>
      <c r="E376" s="18"/>
      <c r="F376" s="15"/>
      <c r="G376" s="19"/>
      <c r="H376" s="19"/>
      <c r="I376" s="19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</row>
    <row r="377" spans="2:34" ht="41.25" customHeight="1" outlineLevel="1">
      <c r="B377" s="18"/>
      <c r="C377" s="57" t="str">
        <f t="shared" si="7"/>
        <v/>
      </c>
      <c r="D377" s="18"/>
      <c r="E377" s="18"/>
      <c r="F377" s="15"/>
      <c r="G377" s="19"/>
      <c r="H377" s="19"/>
      <c r="I377" s="19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</row>
    <row r="378" spans="2:34" ht="41.25" customHeight="1" outlineLevel="1">
      <c r="B378" s="18"/>
      <c r="C378" s="57" t="str">
        <f t="shared" si="7"/>
        <v/>
      </c>
      <c r="D378" s="18"/>
      <c r="E378" s="18"/>
      <c r="F378" s="15"/>
      <c r="G378" s="19"/>
      <c r="H378" s="19"/>
      <c r="I378" s="19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</row>
    <row r="379" spans="2:34" ht="41.25" customHeight="1" outlineLevel="1">
      <c r="B379" s="18"/>
      <c r="C379" s="57" t="str">
        <f t="shared" si="7"/>
        <v/>
      </c>
      <c r="D379" s="18"/>
      <c r="E379" s="18"/>
      <c r="F379" s="15"/>
      <c r="G379" s="19"/>
      <c r="H379" s="19"/>
      <c r="I379" s="19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</row>
    <row r="380" spans="2:34" ht="41.25" customHeight="1" outlineLevel="1">
      <c r="B380" s="18"/>
      <c r="C380" s="57" t="str">
        <f t="shared" si="7"/>
        <v/>
      </c>
      <c r="D380" s="18"/>
      <c r="E380" s="18"/>
      <c r="F380" s="15"/>
      <c r="G380" s="19"/>
      <c r="H380" s="19"/>
      <c r="I380" s="19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</row>
    <row r="381" spans="2:34" ht="41.25" customHeight="1" outlineLevel="1">
      <c r="B381" s="18"/>
      <c r="C381" s="57" t="str">
        <f t="shared" si="7"/>
        <v/>
      </c>
      <c r="D381" s="18"/>
      <c r="E381" s="18"/>
      <c r="F381" s="15"/>
      <c r="G381" s="19"/>
      <c r="H381" s="19"/>
      <c r="I381" s="19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</row>
    <row r="382" spans="2:34" s="12" customFormat="1" ht="41.25" customHeight="1" outlineLevel="1">
      <c r="B382" s="28"/>
      <c r="C382" s="57" t="str">
        <f t="shared" si="7"/>
        <v/>
      </c>
      <c r="D382" s="28"/>
      <c r="E382" s="28"/>
      <c r="F382" s="29"/>
      <c r="G382" s="19"/>
      <c r="H382" s="19"/>
      <c r="I382" s="19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</row>
    <row r="383" spans="2:34" ht="41.25" customHeight="1" outlineLevel="1">
      <c r="B383" s="18"/>
      <c r="C383" s="57" t="str">
        <f t="shared" si="7"/>
        <v/>
      </c>
      <c r="D383" s="18"/>
      <c r="E383" s="18"/>
      <c r="F383" s="15"/>
      <c r="G383" s="19"/>
      <c r="H383" s="19"/>
      <c r="I383" s="19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</row>
    <row r="384" spans="2:34" ht="41.25" customHeight="1" outlineLevel="1">
      <c r="B384" s="18"/>
      <c r="C384" s="57" t="str">
        <f t="shared" si="7"/>
        <v/>
      </c>
      <c r="D384" s="18"/>
      <c r="E384" s="18"/>
      <c r="F384" s="15"/>
      <c r="G384" s="19"/>
      <c r="H384" s="19"/>
      <c r="I384" s="19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</row>
    <row r="385" spans="2:34" ht="41.25" customHeight="1" outlineLevel="1">
      <c r="B385" s="18"/>
      <c r="C385" s="57" t="str">
        <f t="shared" si="7"/>
        <v/>
      </c>
      <c r="D385" s="18"/>
      <c r="E385" s="18"/>
      <c r="F385" s="15"/>
      <c r="G385" s="19"/>
      <c r="H385" s="19"/>
      <c r="I385" s="19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</row>
    <row r="386" spans="2:34" ht="41.25" customHeight="1" outlineLevel="1">
      <c r="B386" s="18"/>
      <c r="C386" s="57" t="str">
        <f t="shared" si="7"/>
        <v/>
      </c>
      <c r="D386" s="18"/>
      <c r="E386" s="18"/>
      <c r="F386" s="15"/>
      <c r="G386" s="19"/>
      <c r="H386" s="19"/>
      <c r="I386" s="19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</row>
    <row r="387" spans="2:34" ht="41.25" customHeight="1" outlineLevel="1">
      <c r="B387" s="18"/>
      <c r="C387" s="57" t="str">
        <f t="shared" si="7"/>
        <v/>
      </c>
      <c r="D387" s="18"/>
      <c r="E387" s="18"/>
      <c r="F387" s="15"/>
      <c r="G387" s="19"/>
      <c r="H387" s="19"/>
      <c r="I387" s="19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</row>
    <row r="388" spans="2:34" ht="41.25" customHeight="1" outlineLevel="1">
      <c r="B388" s="18"/>
      <c r="C388" s="57" t="str">
        <f t="shared" si="7"/>
        <v/>
      </c>
      <c r="D388" s="18"/>
      <c r="E388" s="18"/>
      <c r="F388" s="15"/>
      <c r="G388" s="19"/>
      <c r="H388" s="19"/>
      <c r="I388" s="19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</row>
    <row r="389" spans="2:34" ht="41.25" customHeight="1" outlineLevel="1">
      <c r="B389" s="18"/>
      <c r="C389" s="57" t="str">
        <f t="shared" si="7"/>
        <v/>
      </c>
      <c r="D389" s="18"/>
      <c r="E389" s="18"/>
      <c r="F389" s="15"/>
      <c r="G389" s="19"/>
      <c r="H389" s="19"/>
      <c r="I389" s="19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</row>
    <row r="390" spans="2:34" ht="41.25" customHeight="1" outlineLevel="1">
      <c r="B390" s="18"/>
      <c r="C390" s="57" t="str">
        <f t="shared" ref="C390:C417" si="8">IF(B390="","",MONTH(B390))</f>
        <v/>
      </c>
      <c r="D390" s="18"/>
      <c r="E390" s="18"/>
      <c r="F390" s="15"/>
      <c r="G390" s="19"/>
      <c r="H390" s="19"/>
      <c r="I390" s="19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</row>
    <row r="391" spans="2:34" ht="41.25" customHeight="1" outlineLevel="1">
      <c r="B391" s="18"/>
      <c r="C391" s="57" t="str">
        <f t="shared" si="8"/>
        <v/>
      </c>
      <c r="D391" s="18"/>
      <c r="E391" s="18"/>
      <c r="F391" s="15"/>
      <c r="G391" s="19"/>
      <c r="H391" s="19"/>
      <c r="I391" s="19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</row>
    <row r="392" spans="2:34" ht="41.25" customHeight="1" outlineLevel="1">
      <c r="B392" s="18"/>
      <c r="C392" s="57" t="str">
        <f t="shared" si="8"/>
        <v/>
      </c>
      <c r="D392" s="18"/>
      <c r="E392" s="18"/>
      <c r="F392" s="15"/>
      <c r="G392" s="19"/>
      <c r="H392" s="19"/>
      <c r="I392" s="19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</row>
    <row r="393" spans="2:34" ht="41.25" customHeight="1" outlineLevel="1">
      <c r="B393" s="18"/>
      <c r="C393" s="57" t="str">
        <f t="shared" si="8"/>
        <v/>
      </c>
      <c r="D393" s="18"/>
      <c r="E393" s="18"/>
      <c r="F393" s="15"/>
      <c r="G393" s="19"/>
      <c r="H393" s="19"/>
      <c r="I393" s="19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</row>
    <row r="394" spans="2:34" ht="41.25" customHeight="1" outlineLevel="1">
      <c r="B394" s="18"/>
      <c r="C394" s="57" t="str">
        <f t="shared" si="8"/>
        <v/>
      </c>
      <c r="D394" s="18"/>
      <c r="E394" s="18"/>
      <c r="F394" s="15"/>
      <c r="G394" s="19"/>
      <c r="H394" s="19"/>
      <c r="I394" s="19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</row>
    <row r="395" spans="2:34" ht="41.25" customHeight="1" outlineLevel="1">
      <c r="B395" s="18"/>
      <c r="C395" s="57" t="str">
        <f t="shared" si="8"/>
        <v/>
      </c>
      <c r="D395" s="18"/>
      <c r="E395" s="18"/>
      <c r="F395" s="15"/>
      <c r="G395" s="19"/>
      <c r="H395" s="19"/>
      <c r="I395" s="19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</row>
    <row r="396" spans="2:34" ht="41.25" customHeight="1" outlineLevel="1">
      <c r="B396" s="18"/>
      <c r="C396" s="57" t="str">
        <f t="shared" si="8"/>
        <v/>
      </c>
      <c r="D396" s="18"/>
      <c r="E396" s="18"/>
      <c r="F396" s="15"/>
      <c r="G396" s="19"/>
      <c r="H396" s="19"/>
      <c r="I396" s="19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</row>
    <row r="397" spans="2:34" ht="41.25" customHeight="1" outlineLevel="1">
      <c r="B397" s="18"/>
      <c r="C397" s="57" t="str">
        <f t="shared" si="8"/>
        <v/>
      </c>
      <c r="D397" s="18"/>
      <c r="E397" s="18"/>
      <c r="F397" s="15"/>
      <c r="G397" s="19"/>
      <c r="H397" s="19"/>
      <c r="I397" s="19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</row>
    <row r="398" spans="2:34" ht="41.25" customHeight="1" outlineLevel="1">
      <c r="B398" s="18"/>
      <c r="C398" s="57" t="str">
        <f t="shared" si="8"/>
        <v/>
      </c>
      <c r="D398" s="18"/>
      <c r="E398" s="18"/>
      <c r="F398" s="15"/>
      <c r="G398" s="19"/>
      <c r="H398" s="19"/>
      <c r="I398" s="19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</row>
    <row r="399" spans="2:34" ht="41.25" customHeight="1" outlineLevel="1">
      <c r="B399" s="18"/>
      <c r="C399" s="57" t="str">
        <f t="shared" si="8"/>
        <v/>
      </c>
      <c r="D399" s="18"/>
      <c r="E399" s="18"/>
      <c r="F399" s="15"/>
      <c r="G399" s="19"/>
      <c r="H399" s="19"/>
      <c r="I399" s="19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</row>
    <row r="400" spans="2:34" ht="41.25" customHeight="1" outlineLevel="1">
      <c r="B400" s="18"/>
      <c r="C400" s="57" t="str">
        <f t="shared" si="8"/>
        <v/>
      </c>
      <c r="D400" s="18"/>
      <c r="E400" s="18"/>
      <c r="F400" s="15"/>
      <c r="G400" s="19"/>
      <c r="H400" s="19"/>
      <c r="I400" s="19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</row>
    <row r="401" spans="2:34" ht="41.25" customHeight="1" outlineLevel="1">
      <c r="B401" s="18"/>
      <c r="C401" s="57" t="str">
        <f t="shared" si="8"/>
        <v/>
      </c>
      <c r="D401" s="18"/>
      <c r="E401" s="18"/>
      <c r="F401" s="15"/>
      <c r="G401" s="19"/>
      <c r="H401" s="19"/>
      <c r="I401" s="19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</row>
    <row r="402" spans="2:34" ht="41.25" customHeight="1" outlineLevel="1">
      <c r="B402" s="18"/>
      <c r="C402" s="57" t="str">
        <f t="shared" si="8"/>
        <v/>
      </c>
      <c r="D402" s="18"/>
      <c r="E402" s="18"/>
      <c r="F402" s="15"/>
      <c r="G402" s="19"/>
      <c r="H402" s="19"/>
      <c r="I402" s="19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</row>
    <row r="403" spans="2:34" ht="41.25" customHeight="1" outlineLevel="1">
      <c r="B403" s="18"/>
      <c r="C403" s="57" t="str">
        <f t="shared" si="8"/>
        <v/>
      </c>
      <c r="D403" s="18"/>
      <c r="E403" s="18"/>
      <c r="F403" s="15"/>
      <c r="G403" s="19"/>
      <c r="H403" s="19"/>
      <c r="I403" s="19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</row>
    <row r="404" spans="2:34" ht="41.25" customHeight="1" outlineLevel="1">
      <c r="B404" s="18"/>
      <c r="C404" s="57" t="str">
        <f t="shared" si="8"/>
        <v/>
      </c>
      <c r="D404" s="18"/>
      <c r="E404" s="18"/>
      <c r="F404" s="15"/>
      <c r="G404" s="19"/>
      <c r="H404" s="19"/>
      <c r="I404" s="19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</row>
    <row r="405" spans="2:34" ht="41.25" customHeight="1" outlineLevel="1">
      <c r="B405" s="18"/>
      <c r="C405" s="57" t="str">
        <f t="shared" si="8"/>
        <v/>
      </c>
      <c r="D405" s="18"/>
      <c r="E405" s="18"/>
      <c r="F405" s="15"/>
      <c r="G405" s="19"/>
      <c r="H405" s="19"/>
      <c r="I405" s="19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</row>
    <row r="406" spans="2:34" ht="41.25" customHeight="1" outlineLevel="1">
      <c r="B406" s="18"/>
      <c r="C406" s="57" t="str">
        <f t="shared" si="8"/>
        <v/>
      </c>
      <c r="D406" s="18"/>
      <c r="E406" s="18"/>
      <c r="F406" s="15"/>
      <c r="G406" s="19"/>
      <c r="H406" s="19"/>
      <c r="I406" s="19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</row>
    <row r="407" spans="2:34" ht="41.25" customHeight="1" outlineLevel="1">
      <c r="B407" s="18"/>
      <c r="C407" s="57" t="str">
        <f t="shared" si="8"/>
        <v/>
      </c>
      <c r="D407" s="18"/>
      <c r="E407" s="18"/>
      <c r="F407" s="15"/>
      <c r="G407" s="19"/>
      <c r="H407" s="19"/>
      <c r="I407" s="19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</row>
    <row r="408" spans="2:34" ht="41.25" customHeight="1" outlineLevel="1">
      <c r="B408" s="18"/>
      <c r="C408" s="57" t="str">
        <f t="shared" si="8"/>
        <v/>
      </c>
      <c r="D408" s="18"/>
      <c r="E408" s="18"/>
      <c r="F408" s="15"/>
      <c r="G408" s="19"/>
      <c r="H408" s="19"/>
      <c r="I408" s="19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</row>
    <row r="409" spans="2:34" ht="41.25" customHeight="1" outlineLevel="1">
      <c r="B409" s="18"/>
      <c r="C409" s="57" t="str">
        <f t="shared" si="8"/>
        <v/>
      </c>
      <c r="D409" s="18"/>
      <c r="E409" s="18"/>
      <c r="F409" s="15"/>
      <c r="G409" s="19"/>
      <c r="H409" s="19"/>
      <c r="I409" s="19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</row>
    <row r="410" spans="2:34" ht="41.25" customHeight="1" outlineLevel="1">
      <c r="B410" s="18"/>
      <c r="C410" s="57" t="str">
        <f t="shared" si="8"/>
        <v/>
      </c>
      <c r="D410" s="18"/>
      <c r="E410" s="18"/>
      <c r="F410" s="15"/>
      <c r="G410" s="19"/>
      <c r="H410" s="19"/>
      <c r="I410" s="19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</row>
    <row r="411" spans="2:34" ht="41.25" customHeight="1" outlineLevel="1">
      <c r="B411" s="18"/>
      <c r="C411" s="57" t="str">
        <f t="shared" si="8"/>
        <v/>
      </c>
      <c r="D411" s="18"/>
      <c r="E411" s="18"/>
      <c r="F411" s="15"/>
      <c r="G411" s="19"/>
      <c r="H411" s="19"/>
      <c r="I411" s="19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</row>
    <row r="412" spans="2:34" ht="41.25" customHeight="1" outlineLevel="1">
      <c r="B412" s="18"/>
      <c r="C412" s="57" t="str">
        <f t="shared" si="8"/>
        <v/>
      </c>
      <c r="D412" s="18"/>
      <c r="E412" s="18"/>
      <c r="F412" s="15"/>
      <c r="G412" s="19"/>
      <c r="H412" s="19"/>
      <c r="I412" s="19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</row>
    <row r="413" spans="2:34" ht="41.25" customHeight="1" outlineLevel="1">
      <c r="B413" s="18"/>
      <c r="C413" s="57" t="str">
        <f t="shared" si="8"/>
        <v/>
      </c>
      <c r="D413" s="18"/>
      <c r="E413" s="18"/>
      <c r="F413" s="15"/>
      <c r="G413" s="19"/>
      <c r="H413" s="19"/>
      <c r="I413" s="19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</row>
    <row r="414" spans="2:34" ht="41.25" customHeight="1" outlineLevel="1">
      <c r="B414" s="18"/>
      <c r="C414" s="57" t="str">
        <f t="shared" si="8"/>
        <v/>
      </c>
      <c r="D414" s="18"/>
      <c r="E414" s="18"/>
      <c r="F414" s="15"/>
      <c r="G414" s="19"/>
      <c r="H414" s="19"/>
      <c r="I414" s="19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</row>
    <row r="415" spans="2:34" ht="41.25" customHeight="1" outlineLevel="1">
      <c r="B415" s="18"/>
      <c r="C415" s="57" t="str">
        <f t="shared" si="8"/>
        <v/>
      </c>
      <c r="D415" s="18"/>
      <c r="E415" s="18"/>
      <c r="F415" s="15"/>
      <c r="G415" s="19"/>
      <c r="H415" s="19"/>
      <c r="I415" s="19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</row>
    <row r="416" spans="2:34" ht="41.25" customHeight="1" outlineLevel="1">
      <c r="B416" s="18"/>
      <c r="C416" s="57" t="str">
        <f t="shared" si="8"/>
        <v/>
      </c>
      <c r="D416" s="18"/>
      <c r="E416" s="18"/>
      <c r="F416" s="15"/>
      <c r="G416" s="19"/>
      <c r="H416" s="19"/>
      <c r="I416" s="19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</row>
    <row r="417" spans="2:34" ht="41.25" customHeight="1" outlineLevel="1">
      <c r="B417" s="18"/>
      <c r="C417" s="57" t="str">
        <f t="shared" si="8"/>
        <v/>
      </c>
      <c r="D417" s="18"/>
      <c r="E417" s="18"/>
      <c r="F417" s="15"/>
      <c r="G417" s="19"/>
      <c r="H417" s="19"/>
      <c r="I417" s="19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</row>
    <row r="418" spans="2:34" ht="29.4" customHeight="1">
      <c r="B418" s="30"/>
      <c r="C418" s="30"/>
      <c r="D418" s="30"/>
      <c r="E418" s="30"/>
      <c r="F418" s="30"/>
      <c r="G418" s="31"/>
      <c r="H418" s="31"/>
      <c r="I418" s="31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</row>
    <row r="419" spans="2:34">
      <c r="B419"/>
      <c r="C419"/>
    </row>
    <row r="420" spans="2:34">
      <c r="B420"/>
      <c r="C420"/>
    </row>
    <row r="421" spans="2:34" ht="27" customHeight="1"/>
    <row r="422" spans="2:34">
      <c r="B422" t="s">
        <v>11</v>
      </c>
      <c r="C422" t="s">
        <v>12</v>
      </c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</row>
    <row r="423" spans="2:34">
      <c r="B423" s="7" t="s">
        <v>13</v>
      </c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</row>
    <row r="424" spans="2:34">
      <c r="B424" s="7" t="s">
        <v>6</v>
      </c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</row>
    <row r="425" spans="2:34">
      <c r="B425" s="7" t="s">
        <v>14</v>
      </c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</row>
    <row r="426" spans="2:34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</row>
    <row r="427" spans="2:34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</row>
    <row r="428" spans="2:34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</row>
    <row r="429" spans="2:34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</row>
    <row r="430" spans="2:34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</row>
    <row r="431" spans="2:34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</row>
    <row r="432" spans="2:34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</row>
    <row r="433" spans="2:18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</row>
    <row r="434" spans="2:18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</row>
    <row r="435" spans="2:18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</row>
    <row r="436" spans="2:18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</row>
    <row r="437" spans="2:18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</row>
    <row r="438" spans="2:18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</row>
    <row r="439" spans="2:18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</row>
    <row r="440" spans="2:18">
      <c r="B440"/>
      <c r="C440"/>
      <c r="D440"/>
      <c r="E440"/>
      <c r="F440" s="32"/>
      <c r="G440"/>
      <c r="H440"/>
      <c r="I440"/>
      <c r="J440"/>
      <c r="K440"/>
      <c r="L440"/>
      <c r="M440"/>
      <c r="N440"/>
      <c r="O440"/>
      <c r="P440"/>
      <c r="Q440"/>
      <c r="R440"/>
    </row>
    <row r="441" spans="2:18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</row>
    <row r="442" spans="2:18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</row>
    <row r="443" spans="2:18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</row>
    <row r="444" spans="2:18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</row>
    <row r="445" spans="2:18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</row>
    <row r="446" spans="2:18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</row>
    <row r="447" spans="2:18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</row>
    <row r="448" spans="2:18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</row>
    <row r="449" spans="2:18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</row>
    <row r="450" spans="2:18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</row>
    <row r="451" spans="2:18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</row>
    <row r="452" spans="2:18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</row>
    <row r="453" spans="2:18">
      <c r="B453"/>
      <c r="C453"/>
      <c r="D453"/>
      <c r="E453"/>
      <c r="F453"/>
    </row>
  </sheetData>
  <autoFilter ref="B5:AH417" xr:uid="{00000000-0009-0000-0000-000026000000}"/>
  <mergeCells count="9">
    <mergeCell ref="AA4:AC4"/>
    <mergeCell ref="AD4:AE4"/>
    <mergeCell ref="AG4:AH4"/>
    <mergeCell ref="E1:G1"/>
    <mergeCell ref="E2:G2"/>
    <mergeCell ref="K4:O4"/>
    <mergeCell ref="P4:R4"/>
    <mergeCell ref="S4:V4"/>
    <mergeCell ref="X4:Y4"/>
  </mergeCells>
  <conditionalFormatting sqref="C6:C417">
    <cfRule type="cellIs" dxfId="23" priority="1" operator="between">
      <formula>"B1"</formula>
      <formula>"B100"</formula>
    </cfRule>
    <cfRule type="cellIs" dxfId="22" priority="2" operator="equal">
      <formula>"HA"</formula>
    </cfRule>
    <cfRule type="cellIs" dxfId="21" priority="3" operator="equal">
      <formula>"LD"</formula>
    </cfRule>
  </conditionalFormatting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B75E2-1ED8-4A8A-843A-CB154A8C63FC}">
  <dimension ref="A1:CP456"/>
  <sheetViews>
    <sheetView topLeftCell="E6" zoomScale="50" zoomScaleNormal="50" workbookViewId="0">
      <selection activeCell="S28" sqref="S28"/>
    </sheetView>
  </sheetViews>
  <sheetFormatPr defaultColWidth="8.88671875" defaultRowHeight="18" outlineLevelRow="1"/>
  <cols>
    <col min="1" max="1" width="8.88671875" style="13"/>
    <col min="2" max="2" width="17.88671875" style="14" customWidth="1"/>
    <col min="3" max="3" width="31.5546875" style="14" customWidth="1"/>
    <col min="4" max="4" width="29.109375" style="14" customWidth="1"/>
    <col min="5" max="6" width="16.6640625" style="14" customWidth="1"/>
    <col min="7" max="7" width="32.5546875" style="14" customWidth="1"/>
    <col min="8" max="8" width="31.109375" style="14" customWidth="1"/>
    <col min="9" max="9" width="27.88671875" style="14" customWidth="1"/>
    <col min="10" max="10" width="30.109375" style="13" customWidth="1"/>
    <col min="11" max="22" width="25.33203125" style="13" customWidth="1"/>
    <col min="23" max="25" width="32.6640625" style="13" customWidth="1"/>
    <col min="26" max="27" width="34.109375" style="13" customWidth="1"/>
    <col min="28" max="31" width="25.33203125" style="13" customWidth="1"/>
    <col min="32" max="32" width="34.109375" style="13" bestFit="1" customWidth="1"/>
    <col min="33" max="34" width="25.33203125" style="13" customWidth="1"/>
    <col min="35" max="16384" width="8.88671875" style="13"/>
  </cols>
  <sheetData>
    <row r="1" spans="2:34" ht="27" customHeight="1">
      <c r="E1" s="108" t="s">
        <v>60</v>
      </c>
      <c r="F1" s="108"/>
      <c r="G1" s="108"/>
      <c r="H1" s="16"/>
      <c r="I1" s="50"/>
      <c r="J1" s="58">
        <v>308.10000000000002</v>
      </c>
      <c r="K1" s="59">
        <v>45.12</v>
      </c>
      <c r="L1" s="59">
        <v>68</v>
      </c>
      <c r="M1" s="59">
        <v>61.09</v>
      </c>
      <c r="N1" s="59">
        <v>61.09</v>
      </c>
      <c r="O1" s="59">
        <v>61.09</v>
      </c>
      <c r="P1" s="59">
        <v>498.85</v>
      </c>
      <c r="Q1" s="59">
        <v>513.01</v>
      </c>
      <c r="R1" s="59">
        <v>639</v>
      </c>
      <c r="S1" s="59">
        <v>443.78</v>
      </c>
      <c r="T1" s="59">
        <v>317.43</v>
      </c>
      <c r="U1" s="59">
        <v>184.75</v>
      </c>
      <c r="V1" s="59">
        <v>276.63</v>
      </c>
      <c r="W1" s="59">
        <v>439.59</v>
      </c>
      <c r="X1" s="59">
        <v>794.42</v>
      </c>
      <c r="Y1" s="59">
        <v>726.72</v>
      </c>
      <c r="Z1" s="59">
        <v>66.52</v>
      </c>
      <c r="AA1" s="59">
        <v>78.930000000000007</v>
      </c>
      <c r="AB1" s="59">
        <v>108.19</v>
      </c>
      <c r="AC1" s="59">
        <v>94.13</v>
      </c>
      <c r="AD1" s="59">
        <v>343.33</v>
      </c>
      <c r="AE1" s="59">
        <v>136.44</v>
      </c>
      <c r="AF1" s="59">
        <v>69.959999999999994</v>
      </c>
      <c r="AG1" s="59">
        <v>96.3</v>
      </c>
      <c r="AH1" s="60">
        <v>96.3</v>
      </c>
    </row>
    <row r="2" spans="2:34" ht="27" customHeight="1">
      <c r="E2" s="108" t="s">
        <v>59</v>
      </c>
      <c r="F2" s="108"/>
      <c r="G2" s="108"/>
      <c r="H2" s="51">
        <f>SUM(J2:AH2)</f>
        <v>19790.320000000003</v>
      </c>
      <c r="I2" s="50"/>
      <c r="J2" s="61">
        <f>J1*J3</f>
        <v>5237.7000000000007</v>
      </c>
      <c r="K2" s="62">
        <f t="shared" ref="K2:AH2" si="0">K1*K3</f>
        <v>0</v>
      </c>
      <c r="L2" s="62">
        <f t="shared" si="0"/>
        <v>0</v>
      </c>
      <c r="M2" s="62">
        <f t="shared" si="0"/>
        <v>549.81000000000006</v>
      </c>
      <c r="N2" s="62">
        <f t="shared" si="0"/>
        <v>0</v>
      </c>
      <c r="O2" s="62">
        <f t="shared" si="0"/>
        <v>122.18</v>
      </c>
      <c r="P2" s="62">
        <f t="shared" si="0"/>
        <v>0</v>
      </c>
      <c r="Q2" s="62">
        <f t="shared" si="0"/>
        <v>0</v>
      </c>
      <c r="R2" s="62">
        <f t="shared" si="0"/>
        <v>639</v>
      </c>
      <c r="S2" s="62">
        <f t="shared" si="0"/>
        <v>0</v>
      </c>
      <c r="T2" s="62">
        <f t="shared" si="0"/>
        <v>317.43</v>
      </c>
      <c r="U2" s="62">
        <f t="shared" si="0"/>
        <v>184.75</v>
      </c>
      <c r="V2" s="62">
        <f t="shared" si="0"/>
        <v>276.63</v>
      </c>
      <c r="W2" s="62">
        <f t="shared" si="0"/>
        <v>0</v>
      </c>
      <c r="X2" s="62">
        <f t="shared" si="0"/>
        <v>3177.68</v>
      </c>
      <c r="Y2" s="62">
        <f t="shared" si="0"/>
        <v>0</v>
      </c>
      <c r="Z2" s="62">
        <f t="shared" si="0"/>
        <v>1995.6</v>
      </c>
      <c r="AA2" s="62">
        <f t="shared" si="0"/>
        <v>1578.6000000000001</v>
      </c>
      <c r="AB2" s="62">
        <f t="shared" si="0"/>
        <v>2163.8000000000002</v>
      </c>
      <c r="AC2" s="62">
        <f t="shared" si="0"/>
        <v>0</v>
      </c>
      <c r="AD2" s="62">
        <f t="shared" si="0"/>
        <v>2059.98</v>
      </c>
      <c r="AE2" s="62">
        <f t="shared" si="0"/>
        <v>682.2</v>
      </c>
      <c r="AF2" s="62">
        <f t="shared" si="0"/>
        <v>419.76</v>
      </c>
      <c r="AG2" s="63">
        <f t="shared" si="0"/>
        <v>385.2</v>
      </c>
      <c r="AH2" s="64">
        <f t="shared" si="0"/>
        <v>0</v>
      </c>
    </row>
    <row r="3" spans="2:34" s="8" customFormat="1" ht="36.6" customHeight="1">
      <c r="B3" s="16"/>
      <c r="C3" s="16"/>
      <c r="D3" s="16"/>
      <c r="E3" s="16"/>
      <c r="F3" s="16"/>
      <c r="G3" s="16"/>
      <c r="H3" s="16"/>
      <c r="I3" s="16"/>
      <c r="J3" s="52">
        <f t="shared" ref="J3:AH3" si="1">SUM(J6:J420)</f>
        <v>17</v>
      </c>
      <c r="K3" s="53">
        <f t="shared" si="1"/>
        <v>0</v>
      </c>
      <c r="L3" s="54">
        <f t="shared" si="1"/>
        <v>0</v>
      </c>
      <c r="M3" s="54">
        <f t="shared" si="1"/>
        <v>9</v>
      </c>
      <c r="N3" s="54">
        <f t="shared" si="1"/>
        <v>0</v>
      </c>
      <c r="O3" s="55">
        <f t="shared" si="1"/>
        <v>2</v>
      </c>
      <c r="P3" s="53">
        <f t="shared" si="1"/>
        <v>0</v>
      </c>
      <c r="Q3" s="54">
        <f t="shared" si="1"/>
        <v>0</v>
      </c>
      <c r="R3" s="55">
        <f t="shared" si="1"/>
        <v>1</v>
      </c>
      <c r="S3" s="53">
        <f t="shared" si="1"/>
        <v>0</v>
      </c>
      <c r="T3" s="54">
        <f t="shared" si="1"/>
        <v>1</v>
      </c>
      <c r="U3" s="54">
        <f t="shared" si="1"/>
        <v>1</v>
      </c>
      <c r="V3" s="55">
        <f t="shared" si="1"/>
        <v>1</v>
      </c>
      <c r="W3" s="56">
        <f t="shared" si="1"/>
        <v>0</v>
      </c>
      <c r="X3" s="53">
        <f t="shared" si="1"/>
        <v>4</v>
      </c>
      <c r="Y3" s="55">
        <f t="shared" si="1"/>
        <v>0</v>
      </c>
      <c r="Z3" s="52">
        <f t="shared" si="1"/>
        <v>30</v>
      </c>
      <c r="AA3" s="53">
        <f t="shared" si="1"/>
        <v>20</v>
      </c>
      <c r="AB3" s="54">
        <f t="shared" si="1"/>
        <v>20</v>
      </c>
      <c r="AC3" s="55">
        <f t="shared" si="1"/>
        <v>0</v>
      </c>
      <c r="AD3" s="53">
        <f t="shared" si="1"/>
        <v>6</v>
      </c>
      <c r="AE3" s="55">
        <f t="shared" si="1"/>
        <v>5</v>
      </c>
      <c r="AF3" s="56">
        <f t="shared" si="1"/>
        <v>6</v>
      </c>
      <c r="AG3" s="53">
        <f t="shared" si="1"/>
        <v>4</v>
      </c>
      <c r="AH3" s="55">
        <f t="shared" si="1"/>
        <v>0</v>
      </c>
    </row>
    <row r="4" spans="2:34" s="40" customFormat="1" ht="21">
      <c r="B4" s="38"/>
      <c r="C4" s="38"/>
      <c r="D4" s="38"/>
      <c r="E4" s="38"/>
      <c r="F4" s="38"/>
      <c r="G4" s="38"/>
      <c r="H4" s="38"/>
      <c r="I4" s="38"/>
      <c r="J4" s="48" t="s">
        <v>2</v>
      </c>
      <c r="K4" s="105" t="s">
        <v>48</v>
      </c>
      <c r="L4" s="106"/>
      <c r="M4" s="106"/>
      <c r="N4" s="106"/>
      <c r="O4" s="107"/>
      <c r="P4" s="109" t="s">
        <v>49</v>
      </c>
      <c r="Q4" s="111"/>
      <c r="R4" s="110"/>
      <c r="S4" s="105" t="s">
        <v>51</v>
      </c>
      <c r="T4" s="106"/>
      <c r="U4" s="106"/>
      <c r="V4" s="107"/>
      <c r="W4" s="41" t="s">
        <v>50</v>
      </c>
      <c r="X4" s="105" t="s">
        <v>52</v>
      </c>
      <c r="Y4" s="107"/>
      <c r="Z4" s="49" t="s">
        <v>53</v>
      </c>
      <c r="AA4" s="105" t="s">
        <v>54</v>
      </c>
      <c r="AB4" s="106"/>
      <c r="AC4" s="107"/>
      <c r="AD4" s="109" t="s">
        <v>55</v>
      </c>
      <c r="AE4" s="110"/>
      <c r="AF4" s="39" t="s">
        <v>3</v>
      </c>
      <c r="AG4" s="109" t="s">
        <v>4</v>
      </c>
      <c r="AH4" s="110"/>
    </row>
    <row r="5" spans="2:34" ht="94.95" customHeight="1">
      <c r="B5" s="17" t="s">
        <v>0</v>
      </c>
      <c r="C5" s="17" t="s">
        <v>9</v>
      </c>
      <c r="D5" s="17" t="s">
        <v>10</v>
      </c>
      <c r="E5" s="17" t="s">
        <v>5</v>
      </c>
      <c r="F5" s="17" t="s">
        <v>1</v>
      </c>
      <c r="G5" s="17" t="s">
        <v>56</v>
      </c>
      <c r="H5" s="17" t="s">
        <v>57</v>
      </c>
      <c r="I5" s="36" t="s">
        <v>58</v>
      </c>
      <c r="J5" s="42" t="s">
        <v>20</v>
      </c>
      <c r="K5" s="17" t="s">
        <v>42</v>
      </c>
      <c r="L5" s="17" t="s">
        <v>43</v>
      </c>
      <c r="M5" s="17" t="s">
        <v>44</v>
      </c>
      <c r="N5" s="17" t="s">
        <v>45</v>
      </c>
      <c r="O5" s="17" t="s">
        <v>46</v>
      </c>
      <c r="P5" s="42" t="s">
        <v>29</v>
      </c>
      <c r="Q5" s="42" t="s">
        <v>30</v>
      </c>
      <c r="R5" s="42" t="s">
        <v>31</v>
      </c>
      <c r="S5" s="17" t="s">
        <v>28</v>
      </c>
      <c r="T5" s="37" t="s">
        <v>68</v>
      </c>
      <c r="U5" s="37" t="s">
        <v>34</v>
      </c>
      <c r="V5" s="37" t="s">
        <v>35</v>
      </c>
      <c r="W5" s="42" t="s">
        <v>33</v>
      </c>
      <c r="X5" s="17" t="s">
        <v>39</v>
      </c>
      <c r="Y5" s="17" t="s">
        <v>40</v>
      </c>
      <c r="Z5" s="45" t="s">
        <v>22</v>
      </c>
      <c r="AA5" s="37" t="s">
        <v>23</v>
      </c>
      <c r="AB5" s="37" t="s">
        <v>24</v>
      </c>
      <c r="AC5" s="37" t="s">
        <v>25</v>
      </c>
      <c r="AD5" s="45" t="s">
        <v>26</v>
      </c>
      <c r="AE5" s="45" t="s">
        <v>27</v>
      </c>
      <c r="AF5" s="17" t="s">
        <v>21</v>
      </c>
      <c r="AG5" s="42" t="s">
        <v>36</v>
      </c>
      <c r="AH5" s="42" t="s">
        <v>37</v>
      </c>
    </row>
    <row r="6" spans="2:34" s="14" customFormat="1" ht="41.25" customHeight="1">
      <c r="B6" s="18" t="s">
        <v>71</v>
      </c>
      <c r="C6" s="57" t="s">
        <v>69</v>
      </c>
      <c r="D6" s="18" t="e">
        <f>VLOOKUP(F6,LOOKUP!$C$2:$C$8,2,0)</f>
        <v>#REF!</v>
      </c>
      <c r="E6" s="18" t="s">
        <v>64</v>
      </c>
      <c r="F6" s="18" t="s">
        <v>18</v>
      </c>
      <c r="G6" s="19" t="s">
        <v>70</v>
      </c>
      <c r="H6" s="19" t="s">
        <v>66</v>
      </c>
      <c r="I6" s="19" t="s">
        <v>67</v>
      </c>
      <c r="J6" s="43">
        <v>1</v>
      </c>
      <c r="K6" s="15"/>
      <c r="L6" s="15"/>
      <c r="M6" s="15"/>
      <c r="N6" s="15"/>
      <c r="O6" s="15"/>
      <c r="P6" s="43"/>
      <c r="Q6" s="43"/>
      <c r="R6" s="43">
        <v>1</v>
      </c>
      <c r="S6" s="15"/>
      <c r="T6" s="15">
        <v>1</v>
      </c>
      <c r="U6" s="15"/>
      <c r="V6" s="15"/>
      <c r="W6" s="43"/>
      <c r="X6" s="15"/>
      <c r="Y6" s="15"/>
      <c r="Z6" s="43"/>
      <c r="AA6" s="15"/>
      <c r="AB6" s="15"/>
      <c r="AC6" s="15"/>
      <c r="AD6" s="43"/>
      <c r="AE6" s="43"/>
      <c r="AF6" s="15"/>
      <c r="AG6" s="43"/>
      <c r="AH6" s="43"/>
    </row>
    <row r="7" spans="2:34" s="14" customFormat="1" ht="41.25" customHeight="1">
      <c r="B7" s="18" t="s">
        <v>72</v>
      </c>
      <c r="C7" s="57" t="s">
        <v>69</v>
      </c>
      <c r="D7" s="18" t="s">
        <v>7</v>
      </c>
      <c r="E7" s="18" t="s">
        <v>64</v>
      </c>
      <c r="F7" s="18" t="s">
        <v>18</v>
      </c>
      <c r="G7" s="19" t="s">
        <v>70</v>
      </c>
      <c r="H7" s="19" t="s">
        <v>66</v>
      </c>
      <c r="I7" s="19" t="s">
        <v>67</v>
      </c>
      <c r="J7" s="43"/>
      <c r="K7" s="15"/>
      <c r="L7" s="15"/>
      <c r="M7" s="15"/>
      <c r="N7" s="15"/>
      <c r="O7" s="15"/>
      <c r="P7" s="43"/>
      <c r="Q7" s="43"/>
      <c r="R7" s="43"/>
      <c r="S7" s="15"/>
      <c r="T7" s="15"/>
      <c r="U7" s="15"/>
      <c r="V7" s="15"/>
      <c r="W7" s="43"/>
      <c r="X7" s="15"/>
      <c r="Y7" s="15"/>
      <c r="Z7" s="43"/>
      <c r="AA7" s="15"/>
      <c r="AB7" s="15"/>
      <c r="AC7" s="15"/>
      <c r="AD7" s="43"/>
      <c r="AE7" s="43"/>
      <c r="AF7" s="15">
        <v>1</v>
      </c>
      <c r="AG7" s="43"/>
      <c r="AH7" s="43"/>
    </row>
    <row r="8" spans="2:34" s="14" customFormat="1" ht="41.25" customHeight="1">
      <c r="B8" s="18" t="s">
        <v>73</v>
      </c>
      <c r="C8" s="57" t="s">
        <v>69</v>
      </c>
      <c r="D8" s="18" t="s">
        <v>7</v>
      </c>
      <c r="E8" s="18" t="s">
        <v>64</v>
      </c>
      <c r="F8" s="18" t="s">
        <v>18</v>
      </c>
      <c r="G8" s="19" t="s">
        <v>70</v>
      </c>
      <c r="H8" s="19" t="s">
        <v>66</v>
      </c>
      <c r="I8" s="19" t="s">
        <v>67</v>
      </c>
      <c r="J8" s="43">
        <v>2</v>
      </c>
      <c r="K8" s="15"/>
      <c r="L8" s="15"/>
      <c r="M8" s="15"/>
      <c r="N8" s="15"/>
      <c r="O8" s="15"/>
      <c r="P8" s="43"/>
      <c r="Q8" s="43"/>
      <c r="R8" s="43"/>
      <c r="S8" s="15"/>
      <c r="T8" s="15"/>
      <c r="U8" s="15"/>
      <c r="V8" s="15"/>
      <c r="W8" s="43"/>
      <c r="X8" s="15"/>
      <c r="Y8" s="15"/>
      <c r="Z8" s="43"/>
      <c r="AA8" s="15"/>
      <c r="AB8" s="15"/>
      <c r="AC8" s="15"/>
      <c r="AD8" s="43"/>
      <c r="AE8" s="43"/>
      <c r="AF8" s="15"/>
      <c r="AG8" s="43"/>
      <c r="AH8" s="43"/>
    </row>
    <row r="9" spans="2:34" s="14" customFormat="1" ht="41.25" customHeight="1">
      <c r="B9" s="18" t="s">
        <v>73</v>
      </c>
      <c r="C9" s="57" t="s">
        <v>69</v>
      </c>
      <c r="D9" s="18" t="s">
        <v>7</v>
      </c>
      <c r="E9" s="18" t="s">
        <v>78</v>
      </c>
      <c r="F9" s="15" t="s">
        <v>18</v>
      </c>
      <c r="G9" s="19" t="s">
        <v>79</v>
      </c>
      <c r="H9" s="19" t="s">
        <v>66</v>
      </c>
      <c r="I9" s="19" t="s">
        <v>67</v>
      </c>
      <c r="J9" s="43"/>
      <c r="K9" s="15"/>
      <c r="L9" s="15"/>
      <c r="M9" s="15">
        <v>2</v>
      </c>
      <c r="N9" s="15"/>
      <c r="O9" s="15"/>
      <c r="P9" s="43"/>
      <c r="Q9" s="43"/>
      <c r="R9" s="43"/>
      <c r="S9" s="15"/>
      <c r="T9" s="15"/>
      <c r="U9" s="15"/>
      <c r="V9" s="15"/>
      <c r="W9" s="43"/>
      <c r="X9" s="15"/>
      <c r="Y9" s="15"/>
      <c r="Z9" s="43"/>
      <c r="AA9" s="15"/>
      <c r="AB9" s="15"/>
      <c r="AC9" s="15"/>
      <c r="AD9" s="43"/>
      <c r="AE9" s="43"/>
      <c r="AF9" s="15"/>
      <c r="AG9" s="43"/>
      <c r="AH9" s="43"/>
    </row>
    <row r="10" spans="2:34" s="14" customFormat="1" ht="41.25" customHeight="1">
      <c r="B10" s="18" t="s">
        <v>77</v>
      </c>
      <c r="C10" s="57" t="s">
        <v>69</v>
      </c>
      <c r="D10" s="18" t="s">
        <v>7</v>
      </c>
      <c r="E10" s="18" t="s">
        <v>64</v>
      </c>
      <c r="F10" s="20" t="s">
        <v>18</v>
      </c>
      <c r="G10" s="19" t="s">
        <v>70</v>
      </c>
      <c r="H10" s="19" t="s">
        <v>66</v>
      </c>
      <c r="I10" s="19" t="s">
        <v>67</v>
      </c>
      <c r="J10" s="43">
        <v>2</v>
      </c>
      <c r="K10" s="15"/>
      <c r="L10" s="15"/>
      <c r="M10" s="15"/>
      <c r="N10" s="15"/>
      <c r="O10" s="15"/>
      <c r="P10" s="43"/>
      <c r="Q10" s="43"/>
      <c r="R10" s="43"/>
      <c r="S10" s="15"/>
      <c r="T10" s="15"/>
      <c r="U10" s="15"/>
      <c r="V10" s="15"/>
      <c r="W10" s="43"/>
      <c r="X10" s="15"/>
      <c r="Y10" s="15"/>
      <c r="Z10" s="43"/>
      <c r="AA10" s="15"/>
      <c r="AB10" s="15"/>
      <c r="AC10" s="15"/>
      <c r="AD10" s="43"/>
      <c r="AE10" s="43"/>
      <c r="AF10" s="15"/>
      <c r="AG10" s="43"/>
      <c r="AH10" s="43"/>
    </row>
    <row r="11" spans="2:34" s="14" customFormat="1" ht="41.25" customHeight="1">
      <c r="B11" s="18" t="s">
        <v>80</v>
      </c>
      <c r="C11" s="57" t="s">
        <v>69</v>
      </c>
      <c r="D11" s="18" t="s">
        <v>7</v>
      </c>
      <c r="E11" s="18" t="s">
        <v>64</v>
      </c>
      <c r="F11" s="15" t="s">
        <v>18</v>
      </c>
      <c r="G11" s="19" t="s">
        <v>70</v>
      </c>
      <c r="H11" s="19" t="s">
        <v>66</v>
      </c>
      <c r="I11" s="19" t="s">
        <v>67</v>
      </c>
      <c r="J11" s="43"/>
      <c r="K11" s="15"/>
      <c r="L11" s="15"/>
      <c r="M11" s="15">
        <v>2</v>
      </c>
      <c r="N11" s="15"/>
      <c r="O11" s="15"/>
      <c r="P11" s="43"/>
      <c r="Q11" s="43"/>
      <c r="R11" s="43"/>
      <c r="S11" s="15"/>
      <c r="T11" s="15"/>
      <c r="U11" s="15"/>
      <c r="V11" s="15"/>
      <c r="W11" s="43"/>
      <c r="X11" s="15"/>
      <c r="Y11" s="15"/>
      <c r="Z11" s="43"/>
      <c r="AA11" s="15"/>
      <c r="AB11" s="15"/>
      <c r="AC11" s="15"/>
      <c r="AD11" s="43"/>
      <c r="AE11" s="43"/>
      <c r="AF11" s="15"/>
      <c r="AG11" s="43"/>
      <c r="AH11" s="43"/>
    </row>
    <row r="12" spans="2:34" s="14" customFormat="1" ht="41.25" customHeight="1">
      <c r="B12" s="18" t="s">
        <v>81</v>
      </c>
      <c r="C12" s="57" t="s">
        <v>69</v>
      </c>
      <c r="D12" s="18" t="s">
        <v>7</v>
      </c>
      <c r="E12" s="18" t="s">
        <v>64</v>
      </c>
      <c r="F12" s="18" t="s">
        <v>18</v>
      </c>
      <c r="G12" s="19" t="s">
        <v>70</v>
      </c>
      <c r="H12" s="19" t="s">
        <v>66</v>
      </c>
      <c r="I12" s="19" t="s">
        <v>67</v>
      </c>
      <c r="J12" s="43">
        <v>1</v>
      </c>
      <c r="K12" s="15"/>
      <c r="L12" s="15"/>
      <c r="M12" s="15"/>
      <c r="N12" s="15"/>
      <c r="O12" s="15"/>
      <c r="P12" s="43"/>
      <c r="Q12" s="43"/>
      <c r="R12" s="43"/>
      <c r="S12" s="15"/>
      <c r="T12" s="15"/>
      <c r="U12" s="15"/>
      <c r="V12" s="15"/>
      <c r="W12" s="43"/>
      <c r="X12" s="15"/>
      <c r="Y12" s="15"/>
      <c r="Z12" s="43">
        <v>10</v>
      </c>
      <c r="AA12" s="15"/>
      <c r="AB12" s="15"/>
      <c r="AC12" s="15"/>
      <c r="AD12" s="43"/>
      <c r="AE12" s="43"/>
      <c r="AF12" s="15"/>
      <c r="AG12" s="43"/>
      <c r="AH12" s="43"/>
    </row>
    <row r="13" spans="2:34" s="14" customFormat="1" ht="41.25" customHeight="1">
      <c r="B13" s="18" t="s">
        <v>82</v>
      </c>
      <c r="C13" s="57" t="s">
        <v>69</v>
      </c>
      <c r="D13" s="18" t="s">
        <v>7</v>
      </c>
      <c r="E13" s="18" t="s">
        <v>64</v>
      </c>
      <c r="F13" s="19" t="s">
        <v>18</v>
      </c>
      <c r="G13" s="19" t="s">
        <v>70</v>
      </c>
      <c r="H13" s="19" t="s">
        <v>66</v>
      </c>
      <c r="I13" s="19" t="s">
        <v>67</v>
      </c>
      <c r="J13" s="44">
        <v>2</v>
      </c>
      <c r="K13" s="19"/>
      <c r="L13" s="19"/>
      <c r="M13" s="19"/>
      <c r="N13" s="19"/>
      <c r="O13" s="19"/>
      <c r="P13" s="44"/>
      <c r="Q13" s="44"/>
      <c r="R13" s="44"/>
      <c r="S13" s="19"/>
      <c r="T13" s="19"/>
      <c r="U13" s="19"/>
      <c r="V13" s="19"/>
      <c r="W13" s="44"/>
      <c r="X13" s="19"/>
      <c r="Y13" s="19"/>
      <c r="Z13" s="44"/>
      <c r="AA13" s="19"/>
      <c r="AB13" s="19"/>
      <c r="AC13" s="19"/>
      <c r="AD13" s="44"/>
      <c r="AE13" s="44"/>
      <c r="AF13" s="19"/>
      <c r="AG13" s="44"/>
      <c r="AH13" s="44"/>
    </row>
    <row r="14" spans="2:34" s="14" customFormat="1" ht="41.25" customHeight="1">
      <c r="B14" s="18" t="s">
        <v>83</v>
      </c>
      <c r="C14" s="57" t="s">
        <v>69</v>
      </c>
      <c r="D14" s="18" t="s">
        <v>7</v>
      </c>
      <c r="E14" s="18" t="s">
        <v>64</v>
      </c>
      <c r="F14" s="15" t="s">
        <v>18</v>
      </c>
      <c r="G14" s="19" t="s">
        <v>70</v>
      </c>
      <c r="H14" s="19" t="s">
        <v>66</v>
      </c>
      <c r="I14" s="19" t="s">
        <v>67</v>
      </c>
      <c r="J14" s="43">
        <v>1</v>
      </c>
      <c r="K14" s="15"/>
      <c r="L14" s="15"/>
      <c r="M14" s="15"/>
      <c r="N14" s="15"/>
      <c r="O14" s="15"/>
      <c r="P14" s="43"/>
      <c r="Q14" s="43"/>
      <c r="R14" s="43"/>
      <c r="S14" s="15"/>
      <c r="T14" s="15"/>
      <c r="U14" s="15"/>
      <c r="V14" s="15"/>
      <c r="W14" s="43"/>
      <c r="X14" s="15"/>
      <c r="Y14" s="15"/>
      <c r="Z14" s="43"/>
      <c r="AA14" s="15"/>
      <c r="AB14" s="15"/>
      <c r="AC14" s="15"/>
      <c r="AD14" s="43"/>
      <c r="AE14" s="43"/>
      <c r="AF14" s="15"/>
      <c r="AG14" s="43"/>
      <c r="AH14" s="43"/>
    </row>
    <row r="15" spans="2:34" s="14" customFormat="1" ht="41.25" customHeight="1">
      <c r="B15" s="18" t="s">
        <v>94</v>
      </c>
      <c r="C15" s="57" t="s">
        <v>69</v>
      </c>
      <c r="D15" s="18" t="s">
        <v>7</v>
      </c>
      <c r="E15" s="18" t="s">
        <v>78</v>
      </c>
      <c r="F15" s="18" t="s">
        <v>18</v>
      </c>
      <c r="G15" s="19" t="s">
        <v>70</v>
      </c>
      <c r="H15" s="19" t="s">
        <v>66</v>
      </c>
      <c r="I15" s="19" t="s">
        <v>67</v>
      </c>
      <c r="J15" s="43">
        <v>1</v>
      </c>
      <c r="K15" s="15"/>
      <c r="L15" s="15"/>
      <c r="M15" s="15"/>
      <c r="N15" s="15"/>
      <c r="O15" s="15"/>
      <c r="P15" s="43"/>
      <c r="Q15" s="43"/>
      <c r="R15" s="43"/>
      <c r="S15" s="15"/>
      <c r="T15" s="15"/>
      <c r="U15" s="15"/>
      <c r="V15" s="15"/>
      <c r="W15" s="43"/>
      <c r="X15" s="15">
        <v>1</v>
      </c>
      <c r="Y15" s="15"/>
      <c r="Z15" s="43"/>
      <c r="AA15" s="15"/>
      <c r="AB15" s="15"/>
      <c r="AC15" s="15"/>
      <c r="AD15" s="43"/>
      <c r="AE15" s="43"/>
      <c r="AF15" s="15"/>
      <c r="AG15" s="43"/>
      <c r="AH15" s="43"/>
    </row>
    <row r="16" spans="2:34" s="14" customFormat="1" ht="41.25" customHeight="1">
      <c r="B16" s="18" t="s">
        <v>94</v>
      </c>
      <c r="C16" s="57" t="s">
        <v>69</v>
      </c>
      <c r="D16" s="18" t="s">
        <v>7</v>
      </c>
      <c r="E16" s="18" t="s">
        <v>78</v>
      </c>
      <c r="F16" s="18" t="s">
        <v>18</v>
      </c>
      <c r="G16" s="19" t="s">
        <v>70</v>
      </c>
      <c r="H16" s="19" t="s">
        <v>66</v>
      </c>
      <c r="I16" s="19" t="s">
        <v>67</v>
      </c>
      <c r="J16" s="43">
        <v>1</v>
      </c>
      <c r="K16" s="15"/>
      <c r="L16" s="15"/>
      <c r="M16" s="15"/>
      <c r="N16" s="15"/>
      <c r="O16" s="15"/>
      <c r="P16" s="43"/>
      <c r="Q16" s="43"/>
      <c r="R16" s="43"/>
      <c r="S16" s="15"/>
      <c r="T16" s="15"/>
      <c r="U16" s="15"/>
      <c r="V16" s="15"/>
      <c r="W16" s="43"/>
      <c r="X16" s="15">
        <v>1</v>
      </c>
      <c r="Y16" s="15"/>
      <c r="Z16" s="43"/>
      <c r="AA16" s="15"/>
      <c r="AB16" s="15"/>
      <c r="AC16" s="15"/>
      <c r="AD16" s="43"/>
      <c r="AE16" s="43"/>
      <c r="AF16" s="15"/>
      <c r="AG16" s="43"/>
      <c r="AH16" s="43"/>
    </row>
    <row r="17" spans="2:34" s="14" customFormat="1" ht="41.25" customHeight="1">
      <c r="B17" s="18" t="s">
        <v>84</v>
      </c>
      <c r="C17" s="57" t="s">
        <v>69</v>
      </c>
      <c r="D17" s="18" t="s">
        <v>7</v>
      </c>
      <c r="E17" s="18"/>
      <c r="F17" s="15"/>
      <c r="G17" s="19" t="s">
        <v>85</v>
      </c>
      <c r="H17" s="19" t="s">
        <v>66</v>
      </c>
      <c r="I17" s="19" t="s">
        <v>67</v>
      </c>
      <c r="J17" s="43">
        <v>1</v>
      </c>
      <c r="K17" s="15"/>
      <c r="L17" s="15"/>
      <c r="M17" s="15"/>
      <c r="N17" s="15"/>
      <c r="O17" s="15"/>
      <c r="P17" s="43"/>
      <c r="Q17" s="43"/>
      <c r="R17" s="43"/>
      <c r="S17" s="15"/>
      <c r="T17" s="15"/>
      <c r="U17" s="15"/>
      <c r="V17" s="15"/>
      <c r="W17" s="43"/>
      <c r="X17" s="15"/>
      <c r="Y17" s="15"/>
      <c r="Z17" s="43"/>
      <c r="AA17" s="15"/>
      <c r="AB17" s="15"/>
      <c r="AC17" s="15"/>
      <c r="AD17" s="43"/>
      <c r="AE17" s="43"/>
      <c r="AF17" s="15"/>
      <c r="AG17" s="43">
        <v>2</v>
      </c>
      <c r="AH17" s="43"/>
    </row>
    <row r="18" spans="2:34" s="14" customFormat="1" ht="41.25" customHeight="1">
      <c r="B18" s="18" t="s">
        <v>84</v>
      </c>
      <c r="C18" s="57" t="s">
        <v>69</v>
      </c>
      <c r="D18" s="18" t="s">
        <v>7</v>
      </c>
      <c r="E18" s="18" t="s">
        <v>78</v>
      </c>
      <c r="F18" s="15" t="s">
        <v>18</v>
      </c>
      <c r="G18" s="19" t="s">
        <v>89</v>
      </c>
      <c r="H18" s="19" t="s">
        <v>66</v>
      </c>
      <c r="I18" s="19" t="s">
        <v>67</v>
      </c>
      <c r="J18" s="43">
        <v>1</v>
      </c>
      <c r="K18" s="15"/>
      <c r="L18" s="15"/>
      <c r="M18" s="15"/>
      <c r="N18" s="15"/>
      <c r="O18" s="15"/>
      <c r="P18" s="43"/>
      <c r="Q18" s="43"/>
      <c r="R18" s="43"/>
      <c r="S18" s="15"/>
      <c r="T18" s="15"/>
      <c r="U18" s="15"/>
      <c r="V18" s="15"/>
      <c r="W18" s="43"/>
      <c r="X18" s="15"/>
      <c r="Y18" s="15"/>
      <c r="Z18" s="43">
        <v>10</v>
      </c>
      <c r="AA18" s="15">
        <v>10</v>
      </c>
      <c r="AB18" s="15"/>
      <c r="AC18" s="15"/>
      <c r="AD18" s="43"/>
      <c r="AE18" s="43"/>
      <c r="AF18" s="15"/>
      <c r="AG18" s="43">
        <v>2</v>
      </c>
      <c r="AH18" s="43"/>
    </row>
    <row r="19" spans="2:34" s="14" customFormat="1" ht="41.25" customHeight="1">
      <c r="B19" s="18" t="s">
        <v>86</v>
      </c>
      <c r="C19" s="57" t="s">
        <v>69</v>
      </c>
      <c r="D19" s="18" t="s">
        <v>7</v>
      </c>
      <c r="E19" s="18"/>
      <c r="F19" s="15" t="s">
        <v>88</v>
      </c>
      <c r="G19" s="19" t="s">
        <v>87</v>
      </c>
      <c r="H19" s="19" t="s">
        <v>66</v>
      </c>
      <c r="I19" s="19" t="s">
        <v>67</v>
      </c>
      <c r="J19" s="43">
        <v>1</v>
      </c>
      <c r="K19" s="15"/>
      <c r="L19" s="15"/>
      <c r="M19" s="15"/>
      <c r="N19" s="15"/>
      <c r="O19" s="15">
        <v>2</v>
      </c>
      <c r="P19" s="43"/>
      <c r="Q19" s="43"/>
      <c r="R19" s="43"/>
      <c r="S19" s="15"/>
      <c r="T19" s="15"/>
      <c r="U19" s="15">
        <v>1</v>
      </c>
      <c r="V19" s="15">
        <v>1</v>
      </c>
      <c r="W19" s="43"/>
      <c r="X19" s="15">
        <v>2</v>
      </c>
      <c r="Y19" s="15"/>
      <c r="Z19" s="43">
        <v>10</v>
      </c>
      <c r="AA19" s="15">
        <v>10</v>
      </c>
      <c r="AB19" s="15">
        <v>10</v>
      </c>
      <c r="AC19" s="15"/>
      <c r="AD19" s="43">
        <v>6</v>
      </c>
      <c r="AE19" s="43">
        <v>5</v>
      </c>
      <c r="AF19" s="15">
        <v>5</v>
      </c>
      <c r="AG19" s="43"/>
      <c r="AH19" s="43"/>
    </row>
    <row r="20" spans="2:34" s="14" customFormat="1" ht="41.25" customHeight="1">
      <c r="B20" s="18" t="s">
        <v>90</v>
      </c>
      <c r="C20" s="57" t="s">
        <v>69</v>
      </c>
      <c r="D20" s="18" t="s">
        <v>7</v>
      </c>
      <c r="E20" s="18" t="s">
        <v>78</v>
      </c>
      <c r="F20" s="15" t="s">
        <v>18</v>
      </c>
      <c r="G20" s="19" t="s">
        <v>91</v>
      </c>
      <c r="H20" s="19" t="s">
        <v>66</v>
      </c>
      <c r="I20" s="19" t="s">
        <v>67</v>
      </c>
      <c r="J20" s="43"/>
      <c r="K20" s="15"/>
      <c r="L20" s="15"/>
      <c r="M20" s="15">
        <v>2</v>
      </c>
      <c r="N20" s="15"/>
      <c r="O20" s="15"/>
      <c r="P20" s="43"/>
      <c r="Q20" s="43"/>
      <c r="R20" s="43"/>
      <c r="S20" s="15"/>
      <c r="T20" s="15"/>
      <c r="U20" s="15"/>
      <c r="V20" s="15"/>
      <c r="W20" s="43"/>
      <c r="X20" s="15"/>
      <c r="Y20" s="15"/>
      <c r="Z20" s="43"/>
      <c r="AA20" s="15"/>
      <c r="AB20" s="15"/>
      <c r="AC20" s="15"/>
      <c r="AD20" s="43"/>
      <c r="AE20" s="43"/>
      <c r="AF20" s="15"/>
      <c r="AG20" s="43"/>
      <c r="AH20" s="43"/>
    </row>
    <row r="21" spans="2:34" s="14" customFormat="1" ht="41.25" customHeight="1">
      <c r="B21" s="18" t="s">
        <v>92</v>
      </c>
      <c r="C21" s="57" t="s">
        <v>69</v>
      </c>
      <c r="D21" s="18" t="s">
        <v>7</v>
      </c>
      <c r="E21" s="18" t="s">
        <v>78</v>
      </c>
      <c r="F21" s="19" t="s">
        <v>18</v>
      </c>
      <c r="G21" s="19" t="s">
        <v>91</v>
      </c>
      <c r="H21" s="19" t="s">
        <v>66</v>
      </c>
      <c r="I21" s="19" t="s">
        <v>67</v>
      </c>
      <c r="J21" s="44">
        <v>2</v>
      </c>
      <c r="K21" s="19"/>
      <c r="L21" s="19"/>
      <c r="M21" s="19">
        <v>3</v>
      </c>
      <c r="N21" s="19"/>
      <c r="O21" s="19"/>
      <c r="P21" s="44"/>
      <c r="Q21" s="44"/>
      <c r="R21" s="44"/>
      <c r="S21" s="19"/>
      <c r="T21" s="19"/>
      <c r="U21" s="19"/>
      <c r="V21" s="19"/>
      <c r="W21" s="44"/>
      <c r="X21" s="19"/>
      <c r="Y21" s="19"/>
      <c r="Z21" s="44"/>
      <c r="AA21" s="19"/>
      <c r="AB21" s="19">
        <v>10</v>
      </c>
      <c r="AC21" s="19"/>
      <c r="AD21" s="44"/>
      <c r="AE21" s="44"/>
      <c r="AF21" s="19"/>
      <c r="AG21" s="44"/>
      <c r="AH21" s="44"/>
    </row>
    <row r="22" spans="2:34" s="14" customFormat="1" ht="41.25" customHeight="1">
      <c r="B22" s="18" t="s">
        <v>93</v>
      </c>
      <c r="C22" s="57" t="s">
        <v>69</v>
      </c>
      <c r="D22" s="18" t="s">
        <v>7</v>
      </c>
      <c r="E22" s="18" t="s">
        <v>78</v>
      </c>
      <c r="F22" s="15" t="s">
        <v>18</v>
      </c>
      <c r="G22" s="19" t="s">
        <v>91</v>
      </c>
      <c r="H22" s="19" t="s">
        <v>66</v>
      </c>
      <c r="I22" s="19" t="s">
        <v>67</v>
      </c>
      <c r="J22" s="43">
        <v>1</v>
      </c>
      <c r="K22" s="15"/>
      <c r="L22" s="15"/>
      <c r="M22" s="15"/>
      <c r="N22" s="15"/>
      <c r="O22" s="15"/>
      <c r="P22" s="43"/>
      <c r="Q22" s="43"/>
      <c r="R22" s="43"/>
      <c r="S22" s="15"/>
      <c r="T22" s="15"/>
      <c r="U22" s="15"/>
      <c r="V22" s="15"/>
      <c r="W22" s="43"/>
      <c r="X22" s="15"/>
      <c r="Y22" s="15"/>
      <c r="Z22" s="43"/>
      <c r="AA22" s="15"/>
      <c r="AB22" s="15"/>
      <c r="AC22" s="15"/>
      <c r="AD22" s="43"/>
      <c r="AE22" s="43"/>
      <c r="AF22" s="15"/>
      <c r="AG22" s="43"/>
      <c r="AH22" s="43"/>
    </row>
    <row r="23" spans="2:34" s="14" customFormat="1" ht="41.25" customHeight="1">
      <c r="B23" s="18"/>
      <c r="C23" s="57" t="str">
        <f t="shared" ref="C23:C61" si="2">IF(B23="","",MONTH(B23))</f>
        <v/>
      </c>
      <c r="D23" s="18" t="e">
        <f>VLOOKUP(F23,LOOKUP!$C$2:$C$8,2,0)</f>
        <v>#N/A</v>
      </c>
      <c r="E23" s="18"/>
      <c r="F23" s="18"/>
      <c r="G23" s="19"/>
      <c r="H23" s="19"/>
      <c r="I23" s="15"/>
      <c r="J23" s="43"/>
      <c r="K23" s="15"/>
      <c r="L23" s="15"/>
      <c r="M23" s="15"/>
      <c r="N23" s="15"/>
      <c r="O23" s="15"/>
      <c r="P23" s="43"/>
      <c r="Q23" s="43"/>
      <c r="R23" s="43"/>
      <c r="S23" s="15"/>
      <c r="T23" s="15"/>
      <c r="U23" s="15"/>
      <c r="V23" s="15"/>
      <c r="W23" s="43"/>
      <c r="X23" s="15"/>
      <c r="Y23" s="15"/>
      <c r="Z23" s="43"/>
      <c r="AA23" s="15"/>
      <c r="AB23" s="15"/>
      <c r="AC23" s="15"/>
      <c r="AD23" s="43"/>
      <c r="AE23" s="43"/>
      <c r="AF23" s="15"/>
      <c r="AG23" s="43"/>
      <c r="AH23" s="43"/>
    </row>
    <row r="24" spans="2:34" s="14" customFormat="1" ht="41.25" customHeight="1">
      <c r="B24" s="18"/>
      <c r="C24" s="57" t="str">
        <f t="shared" si="2"/>
        <v/>
      </c>
      <c r="D24" s="18" t="e">
        <f>VLOOKUP(F24,LOOKUP!$C$2:$C$8,2,0)</f>
        <v>#N/A</v>
      </c>
      <c r="E24" s="18"/>
      <c r="F24" s="18"/>
      <c r="G24" s="19"/>
      <c r="H24" s="19"/>
      <c r="I24" s="15"/>
      <c r="J24" s="43"/>
      <c r="K24" s="15"/>
      <c r="L24" s="15"/>
      <c r="M24" s="15"/>
      <c r="N24" s="15"/>
      <c r="O24" s="15"/>
      <c r="P24" s="43"/>
      <c r="Q24" s="43"/>
      <c r="R24" s="43"/>
      <c r="S24" s="15"/>
      <c r="T24" s="15"/>
      <c r="U24" s="15"/>
      <c r="V24" s="15"/>
      <c r="W24" s="43"/>
      <c r="X24" s="15"/>
      <c r="Y24" s="15"/>
      <c r="Z24" s="43"/>
      <c r="AA24" s="15"/>
      <c r="AB24" s="15"/>
      <c r="AC24" s="15"/>
      <c r="AD24" s="43"/>
      <c r="AE24" s="43"/>
      <c r="AF24" s="15"/>
      <c r="AG24" s="43"/>
      <c r="AH24" s="43"/>
    </row>
    <row r="25" spans="2:34" s="14" customFormat="1" ht="41.25" customHeight="1">
      <c r="B25" s="18"/>
      <c r="C25" s="57" t="str">
        <f t="shared" si="2"/>
        <v/>
      </c>
      <c r="D25" s="18" t="e">
        <f>VLOOKUP(F25,LOOKUP!$C$2:$C$8,2,0)</f>
        <v>#N/A</v>
      </c>
      <c r="E25" s="18"/>
      <c r="F25" s="18"/>
      <c r="G25" s="19"/>
      <c r="H25" s="19"/>
      <c r="I25" s="15"/>
      <c r="J25" s="43"/>
      <c r="K25" s="15"/>
      <c r="L25" s="15"/>
      <c r="M25" s="15"/>
      <c r="N25" s="15"/>
      <c r="O25" s="15"/>
      <c r="P25" s="43"/>
      <c r="Q25" s="43"/>
      <c r="R25" s="43"/>
      <c r="S25" s="15"/>
      <c r="T25" s="15"/>
      <c r="U25" s="15"/>
      <c r="V25" s="15"/>
      <c r="W25" s="43"/>
      <c r="X25" s="15"/>
      <c r="Y25" s="15"/>
      <c r="Z25" s="43"/>
      <c r="AA25" s="15"/>
      <c r="AB25" s="15"/>
      <c r="AC25" s="15"/>
      <c r="AD25" s="43"/>
      <c r="AE25" s="43"/>
      <c r="AF25" s="15"/>
      <c r="AG25" s="43"/>
      <c r="AH25" s="43"/>
    </row>
    <row r="26" spans="2:34" s="14" customFormat="1" ht="41.25" customHeight="1">
      <c r="B26" s="18"/>
      <c r="C26" s="57" t="str">
        <f t="shared" si="2"/>
        <v/>
      </c>
      <c r="D26" s="18" t="e">
        <f>VLOOKUP(F26,LOOKUP!$C$2:$C$8,2,0)</f>
        <v>#N/A</v>
      </c>
      <c r="E26" s="18"/>
      <c r="F26" s="18"/>
      <c r="G26" s="19"/>
      <c r="H26" s="19"/>
      <c r="I26" s="15"/>
      <c r="J26" s="43"/>
      <c r="K26" s="15"/>
      <c r="L26" s="15"/>
      <c r="M26" s="15"/>
      <c r="N26" s="15"/>
      <c r="O26" s="15"/>
      <c r="P26" s="43"/>
      <c r="Q26" s="43"/>
      <c r="R26" s="43"/>
      <c r="S26" s="15"/>
      <c r="T26" s="15"/>
      <c r="U26" s="15"/>
      <c r="V26" s="15"/>
      <c r="W26" s="43"/>
      <c r="X26" s="15"/>
      <c r="Y26" s="15"/>
      <c r="Z26" s="43"/>
      <c r="AA26" s="15"/>
      <c r="AB26" s="15"/>
      <c r="AC26" s="15"/>
      <c r="AD26" s="43"/>
      <c r="AE26" s="43"/>
      <c r="AF26" s="15"/>
      <c r="AG26" s="43"/>
      <c r="AH26" s="43"/>
    </row>
    <row r="27" spans="2:34" s="14" customFormat="1" ht="41.25" customHeight="1">
      <c r="B27" s="18"/>
      <c r="C27" s="57" t="str">
        <f t="shared" si="2"/>
        <v/>
      </c>
      <c r="D27" s="18" t="e">
        <f>VLOOKUP(F27,LOOKUP!$C$2:$C$8,2,0)</f>
        <v>#N/A</v>
      </c>
      <c r="E27" s="18"/>
      <c r="F27" s="18"/>
      <c r="G27" s="19"/>
      <c r="H27" s="19"/>
      <c r="I27" s="15"/>
      <c r="J27" s="43"/>
      <c r="K27" s="15"/>
      <c r="L27" s="15"/>
      <c r="M27" s="15"/>
      <c r="N27" s="15"/>
      <c r="O27" s="15"/>
      <c r="P27" s="43"/>
      <c r="Q27" s="43"/>
      <c r="R27" s="43"/>
      <c r="S27" s="15"/>
      <c r="T27" s="15"/>
      <c r="U27" s="15"/>
      <c r="V27" s="15"/>
      <c r="W27" s="43"/>
      <c r="X27" s="15"/>
      <c r="Y27" s="15"/>
      <c r="Z27" s="43"/>
      <c r="AA27" s="15"/>
      <c r="AB27" s="15"/>
      <c r="AC27" s="15"/>
      <c r="AD27" s="43"/>
      <c r="AE27" s="43"/>
      <c r="AF27" s="15"/>
      <c r="AG27" s="43"/>
      <c r="AH27" s="43"/>
    </row>
    <row r="28" spans="2:34" s="14" customFormat="1" ht="41.25" customHeight="1">
      <c r="B28" s="18"/>
      <c r="C28" s="57" t="str">
        <f t="shared" si="2"/>
        <v/>
      </c>
      <c r="D28" s="18" t="e">
        <f>VLOOKUP(F28,LOOKUP!$C$2:$C$8,2,0)</f>
        <v>#N/A</v>
      </c>
      <c r="E28" s="18"/>
      <c r="F28" s="18"/>
      <c r="G28" s="19"/>
      <c r="H28" s="19"/>
      <c r="I28" s="15"/>
      <c r="J28" s="43"/>
      <c r="K28" s="15"/>
      <c r="L28" s="15"/>
      <c r="M28" s="15"/>
      <c r="N28" s="15"/>
      <c r="O28" s="15"/>
      <c r="P28" s="43"/>
      <c r="Q28" s="43"/>
      <c r="R28" s="43"/>
      <c r="S28" s="15"/>
      <c r="T28" s="15"/>
      <c r="U28" s="15"/>
      <c r="V28" s="15"/>
      <c r="W28" s="43"/>
      <c r="X28" s="15"/>
      <c r="Y28" s="15"/>
      <c r="Z28" s="43"/>
      <c r="AA28" s="15"/>
      <c r="AB28" s="15"/>
      <c r="AC28" s="15"/>
      <c r="AD28" s="43"/>
      <c r="AE28" s="43"/>
      <c r="AF28" s="15"/>
      <c r="AG28" s="43"/>
      <c r="AH28" s="43"/>
    </row>
    <row r="29" spans="2:34" s="14" customFormat="1" ht="41.25" customHeight="1">
      <c r="B29" s="18"/>
      <c r="C29" s="57" t="str">
        <f t="shared" si="2"/>
        <v/>
      </c>
      <c r="D29" s="18" t="e">
        <f>VLOOKUP(F29,LOOKUP!$C$2:$C$8,2,0)</f>
        <v>#N/A</v>
      </c>
      <c r="E29" s="18"/>
      <c r="F29" s="18"/>
      <c r="G29" s="19"/>
      <c r="H29" s="19"/>
      <c r="I29" s="15"/>
      <c r="J29" s="43"/>
      <c r="K29" s="15"/>
      <c r="L29" s="15"/>
      <c r="M29" s="15"/>
      <c r="N29" s="15"/>
      <c r="O29" s="15"/>
      <c r="P29" s="43"/>
      <c r="Q29" s="43"/>
      <c r="R29" s="43"/>
      <c r="S29" s="15"/>
      <c r="T29" s="15"/>
      <c r="U29" s="15"/>
      <c r="V29" s="15"/>
      <c r="W29" s="43"/>
      <c r="X29" s="15"/>
      <c r="Y29" s="15"/>
      <c r="Z29" s="43"/>
      <c r="AA29" s="15"/>
      <c r="AB29" s="15"/>
      <c r="AC29" s="15"/>
      <c r="AD29" s="43"/>
      <c r="AE29" s="43"/>
      <c r="AF29" s="15"/>
      <c r="AG29" s="43"/>
      <c r="AH29" s="43"/>
    </row>
    <row r="30" spans="2:34" s="14" customFormat="1" ht="41.25" customHeight="1">
      <c r="B30" s="18"/>
      <c r="C30" s="57" t="str">
        <f t="shared" si="2"/>
        <v/>
      </c>
      <c r="D30" s="18" t="e">
        <f>VLOOKUP(F30,LOOKUP!$C$2:$C$8,2,0)</f>
        <v>#N/A</v>
      </c>
      <c r="E30" s="18"/>
      <c r="F30" s="18"/>
      <c r="G30" s="19"/>
      <c r="H30" s="19"/>
      <c r="I30" s="15"/>
      <c r="J30" s="43"/>
      <c r="K30" s="15"/>
      <c r="L30" s="15"/>
      <c r="M30" s="15"/>
      <c r="N30" s="15"/>
      <c r="O30" s="15"/>
      <c r="P30" s="43"/>
      <c r="Q30" s="43"/>
      <c r="R30" s="43"/>
      <c r="S30" s="15"/>
      <c r="T30" s="15"/>
      <c r="U30" s="15"/>
      <c r="V30" s="15"/>
      <c r="W30" s="43"/>
      <c r="X30" s="15"/>
      <c r="Y30" s="15"/>
      <c r="Z30" s="43"/>
      <c r="AA30" s="15"/>
      <c r="AB30" s="15"/>
      <c r="AC30" s="15"/>
      <c r="AD30" s="43"/>
      <c r="AE30" s="43"/>
      <c r="AF30" s="15"/>
      <c r="AG30" s="43"/>
      <c r="AH30" s="43"/>
    </row>
    <row r="31" spans="2:34" s="14" customFormat="1" ht="41.25" customHeight="1">
      <c r="B31" s="18"/>
      <c r="C31" s="57" t="str">
        <f t="shared" si="2"/>
        <v/>
      </c>
      <c r="D31" s="18" t="e">
        <f>VLOOKUP(F31,LOOKUP!$C$2:$C$8,2,0)</f>
        <v>#N/A</v>
      </c>
      <c r="E31" s="18"/>
      <c r="F31" s="18"/>
      <c r="G31" s="19"/>
      <c r="H31" s="19"/>
      <c r="I31" s="15"/>
      <c r="J31" s="43"/>
      <c r="K31" s="15"/>
      <c r="L31" s="15"/>
      <c r="M31" s="15"/>
      <c r="N31" s="15"/>
      <c r="O31" s="15"/>
      <c r="P31" s="43"/>
      <c r="Q31" s="43"/>
      <c r="R31" s="43"/>
      <c r="S31" s="15"/>
      <c r="T31" s="15"/>
      <c r="U31" s="15"/>
      <c r="V31" s="15"/>
      <c r="W31" s="43"/>
      <c r="X31" s="15"/>
      <c r="Y31" s="15"/>
      <c r="Z31" s="43"/>
      <c r="AA31" s="15"/>
      <c r="AB31" s="15"/>
      <c r="AC31" s="15"/>
      <c r="AD31" s="43"/>
      <c r="AE31" s="43"/>
      <c r="AF31" s="15"/>
      <c r="AG31" s="43"/>
      <c r="AH31" s="43"/>
    </row>
    <row r="32" spans="2:34" s="14" customFormat="1" ht="41.25" customHeight="1">
      <c r="B32" s="18"/>
      <c r="C32" s="57" t="str">
        <f t="shared" si="2"/>
        <v/>
      </c>
      <c r="D32" s="18" t="e">
        <f>VLOOKUP(F32,LOOKUP!$C$2:$C$8,2,0)</f>
        <v>#N/A</v>
      </c>
      <c r="E32" s="18"/>
      <c r="F32" s="18"/>
      <c r="G32" s="19"/>
      <c r="H32" s="19"/>
      <c r="I32" s="15"/>
      <c r="J32" s="43"/>
      <c r="K32" s="15"/>
      <c r="L32" s="15"/>
      <c r="M32" s="15"/>
      <c r="N32" s="15"/>
      <c r="O32" s="15"/>
      <c r="P32" s="43"/>
      <c r="Q32" s="43"/>
      <c r="R32" s="43"/>
      <c r="S32" s="15"/>
      <c r="T32" s="15"/>
      <c r="U32" s="15"/>
      <c r="V32" s="15"/>
      <c r="W32" s="43"/>
      <c r="X32" s="15"/>
      <c r="Y32" s="15"/>
      <c r="Z32" s="43"/>
      <c r="AA32" s="15"/>
      <c r="AB32" s="15"/>
      <c r="AC32" s="15"/>
      <c r="AD32" s="43"/>
      <c r="AE32" s="43"/>
      <c r="AF32" s="15"/>
      <c r="AG32" s="43"/>
      <c r="AH32" s="43"/>
    </row>
    <row r="33" spans="2:34" s="14" customFormat="1" ht="41.25" customHeight="1">
      <c r="B33" s="18"/>
      <c r="C33" s="57" t="str">
        <f t="shared" si="2"/>
        <v/>
      </c>
      <c r="D33" s="18" t="e">
        <f>VLOOKUP(F33,LOOKUP!$C$2:$C$8,2,0)</f>
        <v>#N/A</v>
      </c>
      <c r="E33" s="18"/>
      <c r="F33" s="18"/>
      <c r="G33" s="19"/>
      <c r="H33" s="19"/>
      <c r="I33" s="15"/>
      <c r="J33" s="43"/>
      <c r="K33" s="15"/>
      <c r="L33" s="15"/>
      <c r="M33" s="15"/>
      <c r="N33" s="15"/>
      <c r="O33" s="15"/>
      <c r="P33" s="43"/>
      <c r="Q33" s="43"/>
      <c r="R33" s="43"/>
      <c r="S33" s="15"/>
      <c r="T33" s="15"/>
      <c r="U33" s="15"/>
      <c r="V33" s="15"/>
      <c r="W33" s="43"/>
      <c r="X33" s="15"/>
      <c r="Y33" s="15"/>
      <c r="Z33" s="43"/>
      <c r="AA33" s="15"/>
      <c r="AB33" s="15"/>
      <c r="AC33" s="15"/>
      <c r="AD33" s="43"/>
      <c r="AE33" s="43"/>
      <c r="AF33" s="15"/>
      <c r="AG33" s="43"/>
      <c r="AH33" s="43"/>
    </row>
    <row r="34" spans="2:34" s="14" customFormat="1" ht="41.25" customHeight="1">
      <c r="B34" s="18"/>
      <c r="C34" s="57" t="str">
        <f t="shared" si="2"/>
        <v/>
      </c>
      <c r="D34" s="18" t="e">
        <f>VLOOKUP(F34,LOOKUP!$C$2:$C$8,2,0)</f>
        <v>#N/A</v>
      </c>
      <c r="E34" s="18"/>
      <c r="F34" s="18"/>
      <c r="G34" s="19"/>
      <c r="H34" s="19"/>
      <c r="I34" s="15"/>
      <c r="J34" s="43"/>
      <c r="K34" s="15"/>
      <c r="L34" s="15"/>
      <c r="M34" s="15"/>
      <c r="N34" s="15"/>
      <c r="O34" s="15"/>
      <c r="P34" s="43"/>
      <c r="Q34" s="43"/>
      <c r="R34" s="43"/>
      <c r="S34" s="15"/>
      <c r="T34" s="15"/>
      <c r="U34" s="15"/>
      <c r="V34" s="15"/>
      <c r="W34" s="43"/>
      <c r="X34" s="15"/>
      <c r="Y34" s="15"/>
      <c r="Z34" s="43"/>
      <c r="AA34" s="15"/>
      <c r="AB34" s="15"/>
      <c r="AC34" s="15"/>
      <c r="AD34" s="43"/>
      <c r="AE34" s="43"/>
      <c r="AF34" s="15"/>
      <c r="AG34" s="43"/>
      <c r="AH34" s="43"/>
    </row>
    <row r="35" spans="2:34" s="14" customFormat="1" ht="41.25" customHeight="1">
      <c r="B35" s="18"/>
      <c r="C35" s="57" t="str">
        <f t="shared" si="2"/>
        <v/>
      </c>
      <c r="D35" s="18" t="e">
        <f>VLOOKUP(F35,LOOKUP!$C$2:$C$8,2,0)</f>
        <v>#N/A</v>
      </c>
      <c r="E35" s="18"/>
      <c r="F35" s="18"/>
      <c r="G35" s="19"/>
      <c r="H35" s="19"/>
      <c r="I35" s="15"/>
      <c r="J35" s="43"/>
      <c r="K35" s="15"/>
      <c r="L35" s="15"/>
      <c r="M35" s="15"/>
      <c r="N35" s="15"/>
      <c r="O35" s="15"/>
      <c r="P35" s="43"/>
      <c r="Q35" s="43"/>
      <c r="R35" s="43"/>
      <c r="S35" s="15"/>
      <c r="T35" s="15"/>
      <c r="U35" s="15"/>
      <c r="V35" s="15"/>
      <c r="W35" s="43"/>
      <c r="X35" s="15"/>
      <c r="Y35" s="15"/>
      <c r="Z35" s="43"/>
      <c r="AA35" s="15"/>
      <c r="AB35" s="15"/>
      <c r="AC35" s="15"/>
      <c r="AD35" s="43"/>
      <c r="AE35" s="43"/>
      <c r="AF35" s="15"/>
      <c r="AG35" s="43"/>
      <c r="AH35" s="43"/>
    </row>
    <row r="36" spans="2:34" s="14" customFormat="1" ht="41.25" customHeight="1">
      <c r="B36" s="18"/>
      <c r="C36" s="57" t="str">
        <f t="shared" si="2"/>
        <v/>
      </c>
      <c r="D36" s="18" t="e">
        <f>VLOOKUP(F36,LOOKUP!$C$2:$C$8,2,0)</f>
        <v>#N/A</v>
      </c>
      <c r="E36" s="18"/>
      <c r="F36" s="18"/>
      <c r="G36" s="19"/>
      <c r="H36" s="19"/>
      <c r="I36" s="15"/>
      <c r="J36" s="43"/>
      <c r="K36" s="15"/>
      <c r="L36" s="15"/>
      <c r="M36" s="15"/>
      <c r="N36" s="15"/>
      <c r="O36" s="15"/>
      <c r="P36" s="43"/>
      <c r="Q36" s="43"/>
      <c r="R36" s="43"/>
      <c r="S36" s="15"/>
      <c r="T36" s="15"/>
      <c r="U36" s="15"/>
      <c r="V36" s="15"/>
      <c r="W36" s="43"/>
      <c r="X36" s="15"/>
      <c r="Y36" s="15"/>
      <c r="Z36" s="43"/>
      <c r="AA36" s="15"/>
      <c r="AB36" s="15"/>
      <c r="AC36" s="15"/>
      <c r="AD36" s="43"/>
      <c r="AE36" s="43"/>
      <c r="AF36" s="15"/>
      <c r="AG36" s="43"/>
      <c r="AH36" s="43"/>
    </row>
    <row r="37" spans="2:34" s="14" customFormat="1" ht="41.25" customHeight="1">
      <c r="B37" s="18"/>
      <c r="C37" s="57" t="str">
        <f t="shared" si="2"/>
        <v/>
      </c>
      <c r="D37" s="18" t="e">
        <f>VLOOKUP(F37,LOOKUP!$C$2:$C$8,2,0)</f>
        <v>#N/A</v>
      </c>
      <c r="E37" s="18"/>
      <c r="F37" s="18"/>
      <c r="G37" s="19"/>
      <c r="H37" s="19"/>
      <c r="I37" s="15"/>
      <c r="J37" s="43"/>
      <c r="K37" s="15"/>
      <c r="L37" s="15"/>
      <c r="M37" s="15"/>
      <c r="N37" s="15"/>
      <c r="O37" s="15"/>
      <c r="P37" s="43"/>
      <c r="Q37" s="43"/>
      <c r="R37" s="43"/>
      <c r="S37" s="15"/>
      <c r="T37" s="15"/>
      <c r="U37" s="15"/>
      <c r="V37" s="15"/>
      <c r="W37" s="43"/>
      <c r="X37" s="15"/>
      <c r="Y37" s="15"/>
      <c r="Z37" s="43"/>
      <c r="AA37" s="15"/>
      <c r="AB37" s="15"/>
      <c r="AC37" s="15"/>
      <c r="AD37" s="43"/>
      <c r="AE37" s="43"/>
      <c r="AF37" s="15"/>
      <c r="AG37" s="43"/>
      <c r="AH37" s="43"/>
    </row>
    <row r="38" spans="2:34" s="14" customFormat="1" ht="41.25" customHeight="1">
      <c r="B38" s="18"/>
      <c r="C38" s="57" t="str">
        <f t="shared" si="2"/>
        <v/>
      </c>
      <c r="D38" s="18" t="e">
        <f>VLOOKUP(F38,LOOKUP!$C$2:$C$8,2,0)</f>
        <v>#N/A</v>
      </c>
      <c r="E38" s="18"/>
      <c r="F38" s="18"/>
      <c r="G38" s="19"/>
      <c r="H38" s="19"/>
      <c r="I38" s="15"/>
      <c r="J38" s="43"/>
      <c r="K38" s="15"/>
      <c r="L38" s="15"/>
      <c r="M38" s="15"/>
      <c r="N38" s="15"/>
      <c r="O38" s="15"/>
      <c r="P38" s="43"/>
      <c r="Q38" s="43"/>
      <c r="R38" s="43"/>
      <c r="S38" s="15"/>
      <c r="T38" s="15"/>
      <c r="U38" s="15"/>
      <c r="V38" s="15"/>
      <c r="W38" s="43"/>
      <c r="X38" s="15"/>
      <c r="Y38" s="15"/>
      <c r="Z38" s="43"/>
      <c r="AA38" s="15"/>
      <c r="AB38" s="15"/>
      <c r="AC38" s="15"/>
      <c r="AD38" s="43"/>
      <c r="AE38" s="43"/>
      <c r="AF38" s="15"/>
      <c r="AG38" s="43"/>
      <c r="AH38" s="43"/>
    </row>
    <row r="39" spans="2:34" s="14" customFormat="1" ht="41.25" customHeight="1">
      <c r="B39" s="18"/>
      <c r="C39" s="57" t="str">
        <f t="shared" si="2"/>
        <v/>
      </c>
      <c r="D39" s="18" t="e">
        <f>VLOOKUP(F39,LOOKUP!$C$2:$C$8,2,0)</f>
        <v>#N/A</v>
      </c>
      <c r="E39" s="18"/>
      <c r="F39" s="18"/>
      <c r="G39" s="19"/>
      <c r="H39" s="19"/>
      <c r="I39" s="15"/>
      <c r="J39" s="43"/>
      <c r="K39" s="15"/>
      <c r="L39" s="15"/>
      <c r="M39" s="15"/>
      <c r="N39" s="15"/>
      <c r="O39" s="15"/>
      <c r="P39" s="43"/>
      <c r="Q39" s="43"/>
      <c r="R39" s="43"/>
      <c r="S39" s="15"/>
      <c r="T39" s="15"/>
      <c r="U39" s="15"/>
      <c r="V39" s="15"/>
      <c r="W39" s="43"/>
      <c r="X39" s="15"/>
      <c r="Y39" s="15"/>
      <c r="Z39" s="43"/>
      <c r="AA39" s="15"/>
      <c r="AB39" s="15"/>
      <c r="AC39" s="15"/>
      <c r="AD39" s="43"/>
      <c r="AE39" s="43"/>
      <c r="AF39" s="15"/>
      <c r="AG39" s="43"/>
      <c r="AH39" s="43"/>
    </row>
    <row r="40" spans="2:34" s="14" customFormat="1" ht="41.25" customHeight="1">
      <c r="B40" s="18"/>
      <c r="C40" s="57" t="str">
        <f t="shared" si="2"/>
        <v/>
      </c>
      <c r="D40" s="18" t="e">
        <f>VLOOKUP(F40,LOOKUP!$C$2:$C$8,2,0)</f>
        <v>#N/A</v>
      </c>
      <c r="E40" s="18"/>
      <c r="F40" s="18"/>
      <c r="G40" s="19"/>
      <c r="H40" s="19"/>
      <c r="I40" s="15"/>
      <c r="J40" s="43"/>
      <c r="K40" s="15"/>
      <c r="L40" s="15"/>
      <c r="M40" s="15"/>
      <c r="N40" s="15"/>
      <c r="O40" s="15"/>
      <c r="P40" s="43"/>
      <c r="Q40" s="43"/>
      <c r="R40" s="43"/>
      <c r="S40" s="15"/>
      <c r="T40" s="15"/>
      <c r="U40" s="15"/>
      <c r="V40" s="15"/>
      <c r="W40" s="43"/>
      <c r="X40" s="15"/>
      <c r="Y40" s="15"/>
      <c r="Z40" s="43"/>
      <c r="AA40" s="15"/>
      <c r="AB40" s="15"/>
      <c r="AC40" s="15"/>
      <c r="AD40" s="43"/>
      <c r="AE40" s="43"/>
      <c r="AF40" s="15"/>
      <c r="AG40" s="43"/>
      <c r="AH40" s="43"/>
    </row>
    <row r="41" spans="2:34" s="14" customFormat="1" ht="41.25" customHeight="1">
      <c r="B41" s="18"/>
      <c r="C41" s="57" t="str">
        <f t="shared" si="2"/>
        <v/>
      </c>
      <c r="D41" s="18" t="e">
        <f>VLOOKUP(F41,LOOKUP!$C$2:$C$8,2,0)</f>
        <v>#N/A</v>
      </c>
      <c r="E41" s="18"/>
      <c r="F41" s="18"/>
      <c r="G41" s="19"/>
      <c r="H41" s="19"/>
      <c r="I41" s="15"/>
      <c r="J41" s="43"/>
      <c r="K41" s="15"/>
      <c r="L41" s="15"/>
      <c r="M41" s="15"/>
      <c r="N41" s="15"/>
      <c r="O41" s="15"/>
      <c r="P41" s="43"/>
      <c r="Q41" s="43"/>
      <c r="R41" s="43"/>
      <c r="S41" s="15"/>
      <c r="T41" s="15"/>
      <c r="U41" s="15"/>
      <c r="V41" s="15"/>
      <c r="W41" s="43"/>
      <c r="X41" s="15"/>
      <c r="Y41" s="15"/>
      <c r="Z41" s="43"/>
      <c r="AA41" s="15"/>
      <c r="AB41" s="15"/>
      <c r="AC41" s="15"/>
      <c r="AD41" s="43"/>
      <c r="AE41" s="43"/>
      <c r="AF41" s="15"/>
      <c r="AG41" s="43"/>
      <c r="AH41" s="43"/>
    </row>
    <row r="42" spans="2:34" s="14" customFormat="1" ht="41.25" customHeight="1">
      <c r="B42" s="18"/>
      <c r="C42" s="57" t="str">
        <f t="shared" si="2"/>
        <v/>
      </c>
      <c r="D42" s="18" t="e">
        <f>VLOOKUP(F42,LOOKUP!$C$2:$C$8,2,0)</f>
        <v>#N/A</v>
      </c>
      <c r="E42" s="18"/>
      <c r="F42" s="18"/>
      <c r="G42" s="19"/>
      <c r="H42" s="19"/>
      <c r="I42" s="15"/>
      <c r="J42" s="43"/>
      <c r="K42" s="15"/>
      <c r="L42" s="15"/>
      <c r="M42" s="15"/>
      <c r="N42" s="15"/>
      <c r="O42" s="15"/>
      <c r="P42" s="43"/>
      <c r="Q42" s="43"/>
      <c r="R42" s="43"/>
      <c r="S42" s="15"/>
      <c r="T42" s="15"/>
      <c r="U42" s="15"/>
      <c r="V42" s="15"/>
      <c r="W42" s="43"/>
      <c r="X42" s="15"/>
      <c r="Y42" s="15"/>
      <c r="Z42" s="43"/>
      <c r="AA42" s="15"/>
      <c r="AB42" s="15"/>
      <c r="AC42" s="15"/>
      <c r="AD42" s="43"/>
      <c r="AE42" s="43"/>
      <c r="AF42" s="15"/>
      <c r="AG42" s="43"/>
      <c r="AH42" s="43"/>
    </row>
    <row r="43" spans="2:34" s="14" customFormat="1" ht="41.25" customHeight="1">
      <c r="B43" s="18"/>
      <c r="C43" s="57" t="str">
        <f t="shared" si="2"/>
        <v/>
      </c>
      <c r="D43" s="18" t="e">
        <f>VLOOKUP(F43,LOOKUP!$C$2:$C$8,2,0)</f>
        <v>#N/A</v>
      </c>
      <c r="E43" s="18"/>
      <c r="F43" s="18"/>
      <c r="G43" s="19"/>
      <c r="H43" s="19"/>
      <c r="I43" s="15"/>
      <c r="J43" s="43"/>
      <c r="K43" s="15"/>
      <c r="L43" s="15"/>
      <c r="M43" s="15"/>
      <c r="N43" s="15"/>
      <c r="O43" s="15"/>
      <c r="P43" s="43"/>
      <c r="Q43" s="43"/>
      <c r="R43" s="43"/>
      <c r="S43" s="15"/>
      <c r="T43" s="15"/>
      <c r="U43" s="15"/>
      <c r="V43" s="15"/>
      <c r="W43" s="43"/>
      <c r="X43" s="15"/>
      <c r="Y43" s="15"/>
      <c r="Z43" s="43"/>
      <c r="AA43" s="15"/>
      <c r="AB43" s="15"/>
      <c r="AC43" s="15"/>
      <c r="AD43" s="43"/>
      <c r="AE43" s="43"/>
      <c r="AF43" s="15"/>
      <c r="AG43" s="43"/>
      <c r="AH43" s="43"/>
    </row>
    <row r="44" spans="2:34" s="14" customFormat="1" ht="41.25" customHeight="1">
      <c r="B44" s="18"/>
      <c r="C44" s="57" t="str">
        <f t="shared" si="2"/>
        <v/>
      </c>
      <c r="D44" s="18" t="e">
        <f>VLOOKUP(F44,LOOKUP!$C$2:$C$8,2,0)</f>
        <v>#N/A</v>
      </c>
      <c r="E44" s="18"/>
      <c r="F44" s="18"/>
      <c r="G44" s="19"/>
      <c r="H44" s="19"/>
      <c r="I44" s="15"/>
      <c r="J44" s="43"/>
      <c r="K44" s="15"/>
      <c r="L44" s="15"/>
      <c r="M44" s="15"/>
      <c r="N44" s="15"/>
      <c r="O44" s="15"/>
      <c r="P44" s="43"/>
      <c r="Q44" s="43"/>
      <c r="R44" s="43"/>
      <c r="S44" s="15"/>
      <c r="T44" s="15"/>
      <c r="U44" s="15"/>
      <c r="V44" s="15"/>
      <c r="W44" s="43"/>
      <c r="X44" s="15"/>
      <c r="Y44" s="15"/>
      <c r="Z44" s="43"/>
      <c r="AA44" s="15"/>
      <c r="AB44" s="15"/>
      <c r="AC44" s="15"/>
      <c r="AD44" s="43"/>
      <c r="AE44" s="43"/>
      <c r="AF44" s="15"/>
      <c r="AG44" s="43"/>
      <c r="AH44" s="43"/>
    </row>
    <row r="45" spans="2:34" s="14" customFormat="1" ht="41.25" customHeight="1">
      <c r="B45" s="18"/>
      <c r="C45" s="57" t="str">
        <f t="shared" si="2"/>
        <v/>
      </c>
      <c r="D45" s="18" t="e">
        <f>VLOOKUP(F45,LOOKUP!$C$2:$C$8,2,0)</f>
        <v>#N/A</v>
      </c>
      <c r="E45" s="18"/>
      <c r="F45" s="18"/>
      <c r="G45" s="19"/>
      <c r="H45" s="19"/>
      <c r="I45" s="15"/>
      <c r="J45" s="43"/>
      <c r="K45" s="15"/>
      <c r="L45" s="15"/>
      <c r="M45" s="15"/>
      <c r="N45" s="15"/>
      <c r="O45" s="15"/>
      <c r="P45" s="43"/>
      <c r="Q45" s="43"/>
      <c r="R45" s="43"/>
      <c r="S45" s="15"/>
      <c r="T45" s="15"/>
      <c r="U45" s="15"/>
      <c r="V45" s="15"/>
      <c r="W45" s="43"/>
      <c r="X45" s="15"/>
      <c r="Y45" s="15"/>
      <c r="Z45" s="43"/>
      <c r="AA45" s="15"/>
      <c r="AB45" s="15"/>
      <c r="AC45" s="15"/>
      <c r="AD45" s="43"/>
      <c r="AE45" s="43"/>
      <c r="AF45" s="15"/>
      <c r="AG45" s="43"/>
      <c r="AH45" s="43"/>
    </row>
    <row r="46" spans="2:34" s="14" customFormat="1" ht="41.25" customHeight="1">
      <c r="B46" s="18"/>
      <c r="C46" s="57" t="str">
        <f t="shared" si="2"/>
        <v/>
      </c>
      <c r="D46" s="18" t="e">
        <f>VLOOKUP(F46,LOOKUP!$C$2:$C$8,2,0)</f>
        <v>#N/A</v>
      </c>
      <c r="E46" s="18"/>
      <c r="F46" s="18"/>
      <c r="G46" s="19"/>
      <c r="H46" s="19"/>
      <c r="I46" s="15"/>
      <c r="J46" s="43"/>
      <c r="K46" s="15"/>
      <c r="L46" s="15"/>
      <c r="M46" s="15"/>
      <c r="N46" s="15"/>
      <c r="O46" s="15"/>
      <c r="P46" s="43"/>
      <c r="Q46" s="43"/>
      <c r="R46" s="43"/>
      <c r="S46" s="15"/>
      <c r="T46" s="15"/>
      <c r="U46" s="15"/>
      <c r="V46" s="15"/>
      <c r="W46" s="43"/>
      <c r="X46" s="15"/>
      <c r="Y46" s="15"/>
      <c r="Z46" s="43"/>
      <c r="AA46" s="15"/>
      <c r="AB46" s="15"/>
      <c r="AC46" s="15"/>
      <c r="AD46" s="43"/>
      <c r="AE46" s="43"/>
      <c r="AF46" s="15"/>
      <c r="AG46" s="43"/>
      <c r="AH46" s="43"/>
    </row>
    <row r="47" spans="2:34" s="14" customFormat="1" ht="41.25" customHeight="1">
      <c r="B47" s="18"/>
      <c r="C47" s="57" t="str">
        <f t="shared" si="2"/>
        <v/>
      </c>
      <c r="D47" s="18" t="e">
        <f>VLOOKUP(F47,LOOKUP!$C$2:$C$8,2,0)</f>
        <v>#N/A</v>
      </c>
      <c r="E47" s="18"/>
      <c r="F47" s="18"/>
      <c r="G47" s="19"/>
      <c r="H47" s="19"/>
      <c r="I47" s="15"/>
      <c r="J47" s="43"/>
      <c r="K47" s="15"/>
      <c r="L47" s="15"/>
      <c r="M47" s="15"/>
      <c r="N47" s="15"/>
      <c r="O47" s="15"/>
      <c r="P47" s="43"/>
      <c r="Q47" s="43"/>
      <c r="R47" s="43"/>
      <c r="S47" s="15"/>
      <c r="T47" s="15"/>
      <c r="U47" s="15"/>
      <c r="V47" s="15"/>
      <c r="W47" s="43"/>
      <c r="X47" s="15"/>
      <c r="Y47" s="15"/>
      <c r="Z47" s="43"/>
      <c r="AA47" s="15"/>
      <c r="AB47" s="15"/>
      <c r="AC47" s="15"/>
      <c r="AD47" s="43"/>
      <c r="AE47" s="43"/>
      <c r="AF47" s="15"/>
      <c r="AG47" s="43"/>
      <c r="AH47" s="43"/>
    </row>
    <row r="48" spans="2:34" s="14" customFormat="1" ht="41.25" customHeight="1">
      <c r="B48" s="18"/>
      <c r="C48" s="57" t="str">
        <f t="shared" si="2"/>
        <v/>
      </c>
      <c r="D48" s="18" t="e">
        <f>VLOOKUP(F48,LOOKUP!$C$2:$C$8,2,0)</f>
        <v>#N/A</v>
      </c>
      <c r="E48" s="18"/>
      <c r="F48" s="18"/>
      <c r="G48" s="19"/>
      <c r="H48" s="19"/>
      <c r="I48" s="15"/>
      <c r="J48" s="43"/>
      <c r="K48" s="15"/>
      <c r="L48" s="15"/>
      <c r="M48" s="15"/>
      <c r="N48" s="15"/>
      <c r="O48" s="15"/>
      <c r="P48" s="43"/>
      <c r="Q48" s="43"/>
      <c r="R48" s="43"/>
      <c r="S48" s="15"/>
      <c r="T48" s="15"/>
      <c r="U48" s="15"/>
      <c r="V48" s="15"/>
      <c r="W48" s="43"/>
      <c r="X48" s="15"/>
      <c r="Y48" s="15"/>
      <c r="Z48" s="43"/>
      <c r="AA48" s="15"/>
      <c r="AB48" s="15"/>
      <c r="AC48" s="15"/>
      <c r="AD48" s="43"/>
      <c r="AE48" s="43"/>
      <c r="AF48" s="15"/>
      <c r="AG48" s="43"/>
      <c r="AH48" s="43"/>
    </row>
    <row r="49" spans="1:34" s="14" customFormat="1" ht="41.25" customHeight="1">
      <c r="B49" s="18"/>
      <c r="C49" s="57" t="str">
        <f t="shared" si="2"/>
        <v/>
      </c>
      <c r="D49" s="18" t="e">
        <f>VLOOKUP(F49,LOOKUP!$C$2:$C$8,2,0)</f>
        <v>#N/A</v>
      </c>
      <c r="E49" s="18"/>
      <c r="F49" s="18"/>
      <c r="G49" s="19"/>
      <c r="H49" s="19"/>
      <c r="I49" s="15"/>
      <c r="J49" s="43"/>
      <c r="K49" s="15"/>
      <c r="L49" s="15"/>
      <c r="M49" s="15"/>
      <c r="N49" s="15"/>
      <c r="O49" s="15"/>
      <c r="P49" s="43"/>
      <c r="Q49" s="43"/>
      <c r="R49" s="43"/>
      <c r="S49" s="15"/>
      <c r="T49" s="15"/>
      <c r="U49" s="15"/>
      <c r="V49" s="15"/>
      <c r="W49" s="43"/>
      <c r="X49" s="15"/>
      <c r="Y49" s="15"/>
      <c r="Z49" s="43"/>
      <c r="AA49" s="15"/>
      <c r="AB49" s="15"/>
      <c r="AC49" s="15"/>
      <c r="AD49" s="43"/>
      <c r="AE49" s="43"/>
      <c r="AF49" s="15"/>
      <c r="AG49" s="43"/>
      <c r="AH49" s="43"/>
    </row>
    <row r="50" spans="1:34" s="14" customFormat="1" ht="41.25" customHeight="1">
      <c r="B50" s="18"/>
      <c r="C50" s="57" t="str">
        <f t="shared" si="2"/>
        <v/>
      </c>
      <c r="D50" s="18" t="e">
        <f>VLOOKUP(F50,LOOKUP!$C$2:$C$8,2,0)</f>
        <v>#N/A</v>
      </c>
      <c r="E50" s="18"/>
      <c r="F50" s="18"/>
      <c r="G50" s="19"/>
      <c r="H50" s="19"/>
      <c r="I50" s="15"/>
      <c r="J50" s="43"/>
      <c r="K50" s="15"/>
      <c r="L50" s="15"/>
      <c r="M50" s="15"/>
      <c r="N50" s="15"/>
      <c r="O50" s="15"/>
      <c r="P50" s="43"/>
      <c r="Q50" s="43"/>
      <c r="R50" s="43"/>
      <c r="S50" s="15"/>
      <c r="T50" s="15"/>
      <c r="U50" s="15"/>
      <c r="V50" s="15"/>
      <c r="W50" s="43"/>
      <c r="X50" s="15"/>
      <c r="Y50" s="15"/>
      <c r="Z50" s="43"/>
      <c r="AA50" s="15"/>
      <c r="AB50" s="15"/>
      <c r="AC50" s="15"/>
      <c r="AD50" s="43"/>
      <c r="AE50" s="43"/>
      <c r="AF50" s="15"/>
      <c r="AG50" s="43"/>
      <c r="AH50" s="43"/>
    </row>
    <row r="51" spans="1:34" s="14" customFormat="1" ht="41.25" customHeight="1">
      <c r="B51" s="18"/>
      <c r="C51" s="57" t="str">
        <f t="shared" si="2"/>
        <v/>
      </c>
      <c r="D51" s="18" t="e">
        <f>VLOOKUP(F51,LOOKUP!$C$2:$C$8,2,0)</f>
        <v>#N/A</v>
      </c>
      <c r="E51" s="18"/>
      <c r="F51" s="18"/>
      <c r="G51" s="19"/>
      <c r="H51" s="19"/>
      <c r="I51" s="15"/>
      <c r="J51" s="43"/>
      <c r="K51" s="15"/>
      <c r="L51" s="15"/>
      <c r="M51" s="15"/>
      <c r="N51" s="15"/>
      <c r="O51" s="15"/>
      <c r="P51" s="43"/>
      <c r="Q51" s="43"/>
      <c r="R51" s="43"/>
      <c r="S51" s="15"/>
      <c r="T51" s="15"/>
      <c r="U51" s="15"/>
      <c r="V51" s="15"/>
      <c r="W51" s="43"/>
      <c r="X51" s="15"/>
      <c r="Y51" s="15"/>
      <c r="Z51" s="43"/>
      <c r="AA51" s="15"/>
      <c r="AB51" s="15"/>
      <c r="AC51" s="15"/>
      <c r="AD51" s="43"/>
      <c r="AE51" s="43"/>
      <c r="AF51" s="15"/>
      <c r="AG51" s="43"/>
      <c r="AH51" s="43"/>
    </row>
    <row r="52" spans="1:34" s="14" customFormat="1" ht="41.25" customHeight="1">
      <c r="B52" s="18"/>
      <c r="C52" s="57" t="str">
        <f t="shared" si="2"/>
        <v/>
      </c>
      <c r="D52" s="18" t="e">
        <f>VLOOKUP(F52,LOOKUP!$C$2:$C$8,2,0)</f>
        <v>#N/A</v>
      </c>
      <c r="E52" s="18"/>
      <c r="F52" s="18"/>
      <c r="G52" s="19"/>
      <c r="H52" s="19"/>
      <c r="I52" s="15"/>
      <c r="J52" s="43"/>
      <c r="K52" s="15"/>
      <c r="L52" s="15"/>
      <c r="M52" s="15"/>
      <c r="N52" s="15"/>
      <c r="O52" s="15"/>
      <c r="P52" s="43"/>
      <c r="Q52" s="43"/>
      <c r="R52" s="43"/>
      <c r="S52" s="15"/>
      <c r="T52" s="15"/>
      <c r="U52" s="15"/>
      <c r="V52" s="15"/>
      <c r="W52" s="43"/>
      <c r="X52" s="15"/>
      <c r="Y52" s="15"/>
      <c r="Z52" s="43"/>
      <c r="AA52" s="15"/>
      <c r="AB52" s="15"/>
      <c r="AC52" s="15"/>
      <c r="AD52" s="43"/>
      <c r="AE52" s="43"/>
      <c r="AF52" s="15"/>
      <c r="AG52" s="43"/>
      <c r="AH52" s="43"/>
    </row>
    <row r="53" spans="1:34" s="14" customFormat="1" ht="41.25" customHeight="1">
      <c r="B53" s="18"/>
      <c r="C53" s="57" t="str">
        <f t="shared" si="2"/>
        <v/>
      </c>
      <c r="D53" s="18" t="e">
        <f>VLOOKUP(F53,LOOKUP!$C$2:$C$8,2,0)</f>
        <v>#N/A</v>
      </c>
      <c r="E53" s="18"/>
      <c r="F53" s="18"/>
      <c r="G53" s="19"/>
      <c r="H53" s="19"/>
      <c r="I53" s="15"/>
      <c r="J53" s="43"/>
      <c r="K53" s="15"/>
      <c r="L53" s="15"/>
      <c r="M53" s="15"/>
      <c r="N53" s="15"/>
      <c r="O53" s="15"/>
      <c r="P53" s="43"/>
      <c r="Q53" s="43"/>
      <c r="R53" s="43"/>
      <c r="S53" s="15"/>
      <c r="T53" s="15"/>
      <c r="U53" s="15"/>
      <c r="V53" s="15"/>
      <c r="W53" s="43"/>
      <c r="X53" s="15"/>
      <c r="Y53" s="15"/>
      <c r="Z53" s="43"/>
      <c r="AA53" s="15"/>
      <c r="AB53" s="15"/>
      <c r="AC53" s="15"/>
      <c r="AD53" s="43"/>
      <c r="AE53" s="43"/>
      <c r="AF53" s="15"/>
      <c r="AG53" s="43"/>
      <c r="AH53" s="43"/>
    </row>
    <row r="54" spans="1:34" s="14" customFormat="1" ht="41.25" customHeight="1">
      <c r="B54" s="18"/>
      <c r="C54" s="57" t="str">
        <f t="shared" si="2"/>
        <v/>
      </c>
      <c r="D54" s="18" t="e">
        <f>VLOOKUP(F54,LOOKUP!$C$2:$C$8,2,0)</f>
        <v>#N/A</v>
      </c>
      <c r="E54" s="18"/>
      <c r="F54" s="18"/>
      <c r="G54" s="19"/>
      <c r="H54" s="19"/>
      <c r="I54" s="15"/>
      <c r="J54" s="43"/>
      <c r="K54" s="15"/>
      <c r="L54" s="15"/>
      <c r="M54" s="15"/>
      <c r="N54" s="15"/>
      <c r="O54" s="15"/>
      <c r="P54" s="43"/>
      <c r="Q54" s="43"/>
      <c r="R54" s="43"/>
      <c r="S54" s="15"/>
      <c r="T54" s="15"/>
      <c r="U54" s="15"/>
      <c r="V54" s="15"/>
      <c r="W54" s="43"/>
      <c r="X54" s="15"/>
      <c r="Y54" s="15"/>
      <c r="Z54" s="43"/>
      <c r="AA54" s="15"/>
      <c r="AB54" s="15"/>
      <c r="AC54" s="15"/>
      <c r="AD54" s="43"/>
      <c r="AE54" s="43"/>
      <c r="AF54" s="15"/>
      <c r="AG54" s="43"/>
      <c r="AH54" s="43"/>
    </row>
    <row r="55" spans="1:34" s="14" customFormat="1" ht="41.25" customHeight="1">
      <c r="B55" s="18"/>
      <c r="C55" s="57" t="str">
        <f t="shared" si="2"/>
        <v/>
      </c>
      <c r="D55" s="18" t="e">
        <f>VLOOKUP(F55,LOOKUP!$C$2:$C$8,2,0)</f>
        <v>#N/A</v>
      </c>
      <c r="E55" s="18"/>
      <c r="F55" s="18"/>
      <c r="G55" s="19"/>
      <c r="H55" s="19"/>
      <c r="I55" s="15"/>
      <c r="J55" s="43"/>
      <c r="K55" s="15"/>
      <c r="L55" s="15"/>
      <c r="M55" s="15"/>
      <c r="N55" s="15"/>
      <c r="O55" s="15"/>
      <c r="P55" s="43"/>
      <c r="Q55" s="43"/>
      <c r="R55" s="43"/>
      <c r="S55" s="15"/>
      <c r="T55" s="15"/>
      <c r="U55" s="15"/>
      <c r="V55" s="15"/>
      <c r="W55" s="43"/>
      <c r="X55" s="15"/>
      <c r="Y55" s="15"/>
      <c r="Z55" s="43"/>
      <c r="AA55" s="15"/>
      <c r="AB55" s="15"/>
      <c r="AC55" s="15"/>
      <c r="AD55" s="43"/>
      <c r="AE55" s="43"/>
      <c r="AF55" s="15"/>
      <c r="AG55" s="43"/>
      <c r="AH55" s="43"/>
    </row>
    <row r="56" spans="1:34" s="14" customFormat="1" ht="41.25" customHeight="1">
      <c r="B56" s="18"/>
      <c r="C56" s="57" t="str">
        <f t="shared" si="2"/>
        <v/>
      </c>
      <c r="D56" s="18" t="e">
        <f>VLOOKUP(F56,LOOKUP!$C$2:$C$8,2,0)</f>
        <v>#N/A</v>
      </c>
      <c r="E56" s="18"/>
      <c r="F56" s="18"/>
      <c r="G56" s="19"/>
      <c r="H56" s="19"/>
      <c r="I56" s="15"/>
      <c r="J56" s="43"/>
      <c r="K56" s="15"/>
      <c r="L56" s="15"/>
      <c r="M56" s="15"/>
      <c r="N56" s="15"/>
      <c r="O56" s="15"/>
      <c r="P56" s="43"/>
      <c r="Q56" s="43"/>
      <c r="R56" s="43"/>
      <c r="S56" s="15"/>
      <c r="T56" s="15"/>
      <c r="U56" s="15"/>
      <c r="V56" s="15"/>
      <c r="W56" s="43"/>
      <c r="X56" s="15"/>
      <c r="Y56" s="15"/>
      <c r="Z56" s="43"/>
      <c r="AA56" s="15"/>
      <c r="AB56" s="15"/>
      <c r="AC56" s="15"/>
      <c r="AD56" s="43"/>
      <c r="AE56" s="43"/>
      <c r="AF56" s="15"/>
      <c r="AG56" s="43"/>
      <c r="AH56" s="43"/>
    </row>
    <row r="57" spans="1:34" s="14" customFormat="1" ht="41.25" customHeight="1">
      <c r="A57" s="35"/>
      <c r="B57" s="18"/>
      <c r="C57" s="57" t="str">
        <f t="shared" si="2"/>
        <v/>
      </c>
      <c r="D57" s="18" t="e">
        <f>VLOOKUP(F57,LOOKUP!$C$2:$C$8,2,0)</f>
        <v>#N/A</v>
      </c>
      <c r="E57" s="18"/>
      <c r="F57" s="18"/>
      <c r="G57" s="19"/>
      <c r="H57" s="19"/>
      <c r="I57" s="15"/>
      <c r="J57" s="43"/>
      <c r="K57" s="15"/>
      <c r="L57" s="15"/>
      <c r="M57" s="15"/>
      <c r="N57" s="15"/>
      <c r="O57" s="15"/>
      <c r="P57" s="43"/>
      <c r="Q57" s="43"/>
      <c r="R57" s="43"/>
      <c r="S57" s="15"/>
      <c r="T57" s="15"/>
      <c r="U57" s="15"/>
      <c r="V57" s="15"/>
      <c r="W57" s="43"/>
      <c r="X57" s="15"/>
      <c r="Y57" s="15"/>
      <c r="Z57" s="43"/>
      <c r="AA57" s="15"/>
      <c r="AB57" s="15"/>
      <c r="AC57" s="15"/>
      <c r="AD57" s="43"/>
      <c r="AE57" s="43"/>
      <c r="AF57" s="15"/>
      <c r="AG57" s="43"/>
      <c r="AH57" s="43"/>
    </row>
    <row r="58" spans="1:34" s="14" customFormat="1" ht="41.25" customHeight="1">
      <c r="B58" s="18"/>
      <c r="C58" s="57" t="str">
        <f t="shared" si="2"/>
        <v/>
      </c>
      <c r="D58" s="18" t="e">
        <f>VLOOKUP(F58,LOOKUP!$C$2:$C$8,2,0)</f>
        <v>#N/A</v>
      </c>
      <c r="E58" s="18"/>
      <c r="F58" s="18"/>
      <c r="G58" s="19"/>
      <c r="H58" s="19"/>
      <c r="I58" s="15"/>
      <c r="J58" s="43"/>
      <c r="K58" s="15"/>
      <c r="L58" s="15"/>
      <c r="M58" s="15"/>
      <c r="N58" s="15"/>
      <c r="O58" s="15"/>
      <c r="P58" s="43"/>
      <c r="Q58" s="43"/>
      <c r="R58" s="43"/>
      <c r="S58" s="15"/>
      <c r="T58" s="15"/>
      <c r="U58" s="15"/>
      <c r="V58" s="15"/>
      <c r="W58" s="43"/>
      <c r="X58" s="15"/>
      <c r="Y58" s="15"/>
      <c r="Z58" s="43"/>
      <c r="AA58" s="15"/>
      <c r="AB58" s="15"/>
      <c r="AC58" s="15"/>
      <c r="AD58" s="43"/>
      <c r="AE58" s="43"/>
      <c r="AF58" s="15"/>
      <c r="AG58" s="43"/>
      <c r="AH58" s="43"/>
    </row>
    <row r="59" spans="1:34" s="14" customFormat="1" ht="41.25" customHeight="1">
      <c r="B59" s="18"/>
      <c r="C59" s="57" t="str">
        <f t="shared" si="2"/>
        <v/>
      </c>
      <c r="D59" s="18" t="e">
        <f>VLOOKUP(F59,LOOKUP!$C$2:$C$8,2,0)</f>
        <v>#N/A</v>
      </c>
      <c r="E59" s="18"/>
      <c r="F59" s="18"/>
      <c r="G59" s="19"/>
      <c r="H59" s="19"/>
      <c r="I59" s="15"/>
      <c r="J59" s="43"/>
      <c r="K59" s="15"/>
      <c r="L59" s="15"/>
      <c r="M59" s="15"/>
      <c r="N59" s="15"/>
      <c r="O59" s="15"/>
      <c r="P59" s="43"/>
      <c r="Q59" s="43"/>
      <c r="R59" s="43"/>
      <c r="S59" s="15"/>
      <c r="T59" s="15"/>
      <c r="U59" s="15"/>
      <c r="V59" s="15"/>
      <c r="W59" s="43"/>
      <c r="X59" s="15"/>
      <c r="Y59" s="15"/>
      <c r="Z59" s="43"/>
      <c r="AA59" s="15"/>
      <c r="AB59" s="15"/>
      <c r="AC59" s="15"/>
      <c r="AD59" s="43"/>
      <c r="AE59" s="43"/>
      <c r="AF59" s="15"/>
      <c r="AG59" s="43"/>
      <c r="AH59" s="43"/>
    </row>
    <row r="60" spans="1:34" s="14" customFormat="1" ht="41.25" customHeight="1">
      <c r="B60" s="18"/>
      <c r="C60" s="57" t="str">
        <f t="shared" si="2"/>
        <v/>
      </c>
      <c r="D60" s="18" t="e">
        <f>VLOOKUP(F60,LOOKUP!$C$2:$C$8,2,0)</f>
        <v>#N/A</v>
      </c>
      <c r="E60" s="18"/>
      <c r="F60" s="18"/>
      <c r="G60" s="19"/>
      <c r="H60" s="19"/>
      <c r="I60" s="15"/>
      <c r="J60" s="43"/>
      <c r="K60" s="15"/>
      <c r="L60" s="15"/>
      <c r="M60" s="15"/>
      <c r="N60" s="15"/>
      <c r="O60" s="15"/>
      <c r="P60" s="43"/>
      <c r="Q60" s="43"/>
      <c r="R60" s="43"/>
      <c r="S60" s="15"/>
      <c r="T60" s="15"/>
      <c r="U60" s="15"/>
      <c r="V60" s="15"/>
      <c r="W60" s="43"/>
      <c r="X60" s="15"/>
      <c r="Y60" s="15"/>
      <c r="Z60" s="43"/>
      <c r="AA60" s="15"/>
      <c r="AB60" s="15"/>
      <c r="AC60" s="15"/>
      <c r="AD60" s="43"/>
      <c r="AE60" s="43"/>
      <c r="AF60" s="15"/>
      <c r="AG60" s="43"/>
      <c r="AH60" s="43"/>
    </row>
    <row r="61" spans="1:34" s="14" customFormat="1" ht="41.25" customHeight="1">
      <c r="B61" s="18"/>
      <c r="C61" s="57" t="str">
        <f t="shared" si="2"/>
        <v/>
      </c>
      <c r="D61" s="18" t="e">
        <f>VLOOKUP(F61,LOOKUP!$C$2:$C$8,2,0)</f>
        <v>#N/A</v>
      </c>
      <c r="E61" s="18"/>
      <c r="F61" s="18"/>
      <c r="G61" s="19"/>
      <c r="H61" s="19"/>
      <c r="I61" s="15"/>
      <c r="J61" s="43"/>
      <c r="K61" s="15"/>
      <c r="L61" s="15"/>
      <c r="M61" s="15"/>
      <c r="N61" s="15"/>
      <c r="O61" s="15"/>
      <c r="P61" s="43"/>
      <c r="Q61" s="43"/>
      <c r="R61" s="43"/>
      <c r="S61" s="15"/>
      <c r="T61" s="15"/>
      <c r="U61" s="15"/>
      <c r="V61" s="15"/>
      <c r="W61" s="43"/>
      <c r="X61" s="15"/>
      <c r="Y61" s="15"/>
      <c r="Z61" s="43"/>
      <c r="AA61" s="15"/>
      <c r="AB61" s="15"/>
      <c r="AC61" s="15"/>
      <c r="AD61" s="43"/>
      <c r="AE61" s="43"/>
      <c r="AF61" s="15"/>
      <c r="AG61" s="43"/>
      <c r="AH61" s="43"/>
    </row>
    <row r="62" spans="1:34" s="14" customFormat="1" ht="41.25" customHeight="1">
      <c r="B62" s="18"/>
      <c r="C62" s="57" t="str">
        <f t="shared" ref="C62:C117" si="3">IF(B62="","",MONTH(B62))</f>
        <v/>
      </c>
      <c r="D62" s="18" t="e">
        <f>VLOOKUP(F62,LOOKUP!$C$2:$C$8,2,0)</f>
        <v>#N/A</v>
      </c>
      <c r="E62" s="18"/>
      <c r="F62" s="18"/>
      <c r="G62" s="19"/>
      <c r="H62" s="19"/>
      <c r="I62" s="15"/>
      <c r="J62" s="43"/>
      <c r="K62" s="15"/>
      <c r="L62" s="15"/>
      <c r="M62" s="15"/>
      <c r="N62" s="15"/>
      <c r="O62" s="15"/>
      <c r="P62" s="43"/>
      <c r="Q62" s="43"/>
      <c r="R62" s="43"/>
      <c r="S62" s="15"/>
      <c r="T62" s="15"/>
      <c r="U62" s="15"/>
      <c r="V62" s="15"/>
      <c r="W62" s="43"/>
      <c r="X62" s="15"/>
      <c r="Y62" s="15"/>
      <c r="Z62" s="43"/>
      <c r="AA62" s="15"/>
      <c r="AB62" s="15"/>
      <c r="AC62" s="15"/>
      <c r="AD62" s="43"/>
      <c r="AE62" s="43"/>
      <c r="AF62" s="15"/>
      <c r="AG62" s="43"/>
      <c r="AH62" s="43"/>
    </row>
    <row r="63" spans="1:34" s="14" customFormat="1" ht="41.25" customHeight="1">
      <c r="B63" s="18"/>
      <c r="C63" s="57" t="str">
        <f t="shared" si="3"/>
        <v/>
      </c>
      <c r="D63" s="18" t="e">
        <f>VLOOKUP(F63,LOOKUP!$C$2:$C$8,2,0)</f>
        <v>#N/A</v>
      </c>
      <c r="E63" s="18"/>
      <c r="F63" s="18"/>
      <c r="G63" s="19"/>
      <c r="H63" s="19"/>
      <c r="I63" s="19"/>
      <c r="J63" s="43"/>
      <c r="K63" s="15"/>
      <c r="L63" s="15"/>
      <c r="M63" s="15"/>
      <c r="N63" s="15"/>
      <c r="O63" s="15"/>
      <c r="P63" s="43"/>
      <c r="Q63" s="43"/>
      <c r="R63" s="43"/>
      <c r="S63" s="15"/>
      <c r="T63" s="15"/>
      <c r="U63" s="15"/>
      <c r="V63" s="15"/>
      <c r="W63" s="43"/>
      <c r="X63" s="15"/>
      <c r="Y63" s="15"/>
      <c r="Z63" s="43"/>
      <c r="AA63" s="15"/>
      <c r="AB63" s="15"/>
      <c r="AC63" s="15"/>
      <c r="AD63" s="43"/>
      <c r="AE63" s="43"/>
      <c r="AF63" s="15"/>
      <c r="AG63" s="43"/>
      <c r="AH63" s="43"/>
    </row>
    <row r="64" spans="1:34" s="14" customFormat="1" ht="41.25" customHeight="1">
      <c r="B64" s="18"/>
      <c r="C64" s="57" t="str">
        <f t="shared" si="3"/>
        <v/>
      </c>
      <c r="D64" s="18" t="e">
        <f>VLOOKUP(F64,LOOKUP!$C$2:$C$8,2,0)</f>
        <v>#N/A</v>
      </c>
      <c r="E64" s="18"/>
      <c r="F64" s="19"/>
      <c r="G64" s="19"/>
      <c r="H64" s="19"/>
      <c r="I64" s="19"/>
      <c r="J64" s="44"/>
      <c r="K64" s="19"/>
      <c r="L64" s="19"/>
      <c r="M64" s="19"/>
      <c r="N64" s="19"/>
      <c r="O64" s="19"/>
      <c r="P64" s="44"/>
      <c r="Q64" s="44"/>
      <c r="R64" s="44"/>
      <c r="S64" s="19"/>
      <c r="T64" s="19"/>
      <c r="U64" s="19"/>
      <c r="V64" s="19"/>
      <c r="W64" s="44"/>
      <c r="X64" s="19"/>
      <c r="Y64" s="19"/>
      <c r="Z64" s="44"/>
      <c r="AA64" s="19"/>
      <c r="AB64" s="19"/>
      <c r="AC64" s="19"/>
      <c r="AD64" s="44"/>
      <c r="AE64" s="44"/>
      <c r="AF64" s="19"/>
      <c r="AG64" s="44"/>
      <c r="AH64" s="44"/>
    </row>
    <row r="65" spans="2:34" s="14" customFormat="1" ht="41.25" customHeight="1">
      <c r="B65" s="18"/>
      <c r="C65" s="57" t="str">
        <f t="shared" si="3"/>
        <v/>
      </c>
      <c r="D65" s="18" t="e">
        <f>VLOOKUP(F65,LOOKUP!$C$2:$C$8,2,0)</f>
        <v>#N/A</v>
      </c>
      <c r="E65" s="18"/>
      <c r="F65" s="18"/>
      <c r="G65" s="19"/>
      <c r="H65" s="19"/>
      <c r="I65" s="19"/>
      <c r="J65" s="43"/>
      <c r="K65" s="15"/>
      <c r="L65" s="15"/>
      <c r="M65" s="15"/>
      <c r="N65" s="15"/>
      <c r="O65" s="15"/>
      <c r="P65" s="43"/>
      <c r="Q65" s="43"/>
      <c r="R65" s="43"/>
      <c r="S65" s="15"/>
      <c r="T65" s="15"/>
      <c r="U65" s="15"/>
      <c r="V65" s="15"/>
      <c r="W65" s="43"/>
      <c r="X65" s="15"/>
      <c r="Y65" s="15"/>
      <c r="Z65" s="43"/>
      <c r="AA65" s="15"/>
      <c r="AB65" s="15"/>
      <c r="AC65" s="15"/>
      <c r="AD65" s="43"/>
      <c r="AE65" s="43"/>
      <c r="AF65" s="15"/>
      <c r="AG65" s="43"/>
      <c r="AH65" s="43"/>
    </row>
    <row r="66" spans="2:34" s="14" customFormat="1" ht="41.25" customHeight="1">
      <c r="B66" s="18"/>
      <c r="C66" s="57" t="str">
        <f t="shared" si="3"/>
        <v/>
      </c>
      <c r="D66" s="18" t="e">
        <f>VLOOKUP(F66,LOOKUP!$C$2:$C$8,2,0)</f>
        <v>#N/A</v>
      </c>
      <c r="E66" s="18"/>
      <c r="F66" s="18"/>
      <c r="G66" s="19"/>
      <c r="H66" s="19"/>
      <c r="I66" s="15"/>
      <c r="J66" s="43"/>
      <c r="K66" s="15"/>
      <c r="L66" s="15"/>
      <c r="M66" s="15"/>
      <c r="N66" s="15"/>
      <c r="O66" s="15"/>
      <c r="P66" s="43"/>
      <c r="Q66" s="43"/>
      <c r="R66" s="43"/>
      <c r="S66" s="15"/>
      <c r="T66" s="15"/>
      <c r="U66" s="15"/>
      <c r="V66" s="15"/>
      <c r="W66" s="43"/>
      <c r="X66" s="15"/>
      <c r="Y66" s="15"/>
      <c r="Z66" s="43"/>
      <c r="AA66" s="15"/>
      <c r="AB66" s="15"/>
      <c r="AC66" s="15"/>
      <c r="AD66" s="43"/>
      <c r="AE66" s="43"/>
      <c r="AF66" s="15"/>
      <c r="AG66" s="43"/>
      <c r="AH66" s="46"/>
    </row>
    <row r="67" spans="2:34" s="14" customFormat="1" ht="41.25" customHeight="1">
      <c r="B67" s="18"/>
      <c r="C67" s="57" t="str">
        <f t="shared" si="3"/>
        <v/>
      </c>
      <c r="D67" s="18" t="e">
        <f>VLOOKUP(F67,LOOKUP!$C$2:$C$8,2,0)</f>
        <v>#N/A</v>
      </c>
      <c r="E67" s="18"/>
      <c r="F67" s="19"/>
      <c r="G67" s="19"/>
      <c r="H67" s="19"/>
      <c r="I67" s="15"/>
      <c r="J67" s="44"/>
      <c r="K67" s="19"/>
      <c r="L67" s="19"/>
      <c r="M67" s="19"/>
      <c r="N67" s="19"/>
      <c r="O67" s="19"/>
      <c r="P67" s="44"/>
      <c r="Q67" s="44"/>
      <c r="R67" s="44"/>
      <c r="S67" s="19"/>
      <c r="T67" s="19"/>
      <c r="U67" s="19"/>
      <c r="V67" s="19"/>
      <c r="W67" s="44"/>
      <c r="X67" s="19"/>
      <c r="Y67" s="19"/>
      <c r="Z67" s="44"/>
      <c r="AA67" s="19"/>
      <c r="AB67" s="19"/>
      <c r="AC67" s="19"/>
      <c r="AD67" s="44"/>
      <c r="AE67" s="44"/>
      <c r="AF67" s="19"/>
      <c r="AG67" s="44"/>
      <c r="AH67" s="44"/>
    </row>
    <row r="68" spans="2:34" s="14" customFormat="1" ht="41.25" customHeight="1">
      <c r="B68" s="18"/>
      <c r="C68" s="57" t="str">
        <f t="shared" si="3"/>
        <v/>
      </c>
      <c r="D68" s="18" t="e">
        <f>VLOOKUP(F68,LOOKUP!$C$2:$C$8,2,0)</f>
        <v>#N/A</v>
      </c>
      <c r="E68" s="18"/>
      <c r="F68" s="19"/>
      <c r="G68" s="19"/>
      <c r="H68" s="19"/>
      <c r="I68" s="15"/>
      <c r="J68" s="44"/>
      <c r="K68" s="19"/>
      <c r="L68" s="19"/>
      <c r="M68" s="19"/>
      <c r="N68" s="19"/>
      <c r="O68" s="19"/>
      <c r="P68" s="44"/>
      <c r="Q68" s="44"/>
      <c r="R68" s="44"/>
      <c r="S68" s="19"/>
      <c r="T68" s="19"/>
      <c r="U68" s="19"/>
      <c r="V68" s="19"/>
      <c r="W68" s="44"/>
      <c r="X68" s="19"/>
      <c r="Y68" s="19"/>
      <c r="Z68" s="44"/>
      <c r="AA68" s="19"/>
      <c r="AB68" s="19"/>
      <c r="AC68" s="19"/>
      <c r="AD68" s="44"/>
      <c r="AE68" s="44"/>
      <c r="AF68" s="19"/>
      <c r="AG68" s="44"/>
      <c r="AH68" s="44"/>
    </row>
    <row r="69" spans="2:34" s="14" customFormat="1" ht="41.25" customHeight="1">
      <c r="B69" s="18"/>
      <c r="C69" s="57" t="str">
        <f t="shared" si="3"/>
        <v/>
      </c>
      <c r="D69" s="18" t="e">
        <f>VLOOKUP(F69,LOOKUP!$C$2:$C$8,2,0)</f>
        <v>#N/A</v>
      </c>
      <c r="E69" s="18"/>
      <c r="F69" s="18"/>
      <c r="G69" s="18"/>
      <c r="H69" s="19"/>
      <c r="I69" s="15"/>
      <c r="J69" s="43"/>
      <c r="K69" s="15"/>
      <c r="L69" s="15"/>
      <c r="M69" s="15"/>
      <c r="N69" s="15"/>
      <c r="O69" s="15"/>
      <c r="P69" s="43"/>
      <c r="Q69" s="43"/>
      <c r="R69" s="43"/>
      <c r="S69" s="15"/>
      <c r="T69" s="15"/>
      <c r="U69" s="15"/>
      <c r="V69" s="15"/>
      <c r="W69" s="43"/>
      <c r="X69" s="15"/>
      <c r="Y69" s="15"/>
      <c r="Z69" s="43"/>
      <c r="AA69" s="15"/>
      <c r="AB69" s="15"/>
      <c r="AC69" s="15"/>
      <c r="AD69" s="43"/>
      <c r="AE69" s="43"/>
      <c r="AF69" s="15"/>
      <c r="AG69" s="43"/>
      <c r="AH69" s="43"/>
    </row>
    <row r="70" spans="2:34" s="14" customFormat="1" ht="41.25" customHeight="1">
      <c r="B70" s="18"/>
      <c r="C70" s="57" t="str">
        <f t="shared" si="3"/>
        <v/>
      </c>
      <c r="D70" s="18" t="e">
        <f>VLOOKUP(F70,LOOKUP!$C$2:$C$8,2,0)</f>
        <v>#N/A</v>
      </c>
      <c r="E70" s="18"/>
      <c r="F70" s="18"/>
      <c r="G70" s="18"/>
      <c r="H70" s="19"/>
      <c r="I70" s="15"/>
      <c r="J70" s="43"/>
      <c r="K70" s="15"/>
      <c r="L70" s="15"/>
      <c r="M70" s="15"/>
      <c r="N70" s="15"/>
      <c r="O70" s="15"/>
      <c r="P70" s="43"/>
      <c r="Q70" s="43"/>
      <c r="R70" s="43"/>
      <c r="S70" s="15"/>
      <c r="T70" s="15"/>
      <c r="U70" s="15"/>
      <c r="V70" s="15"/>
      <c r="W70" s="43"/>
      <c r="X70" s="15"/>
      <c r="Y70" s="15"/>
      <c r="Z70" s="43"/>
      <c r="AA70" s="15"/>
      <c r="AB70" s="15"/>
      <c r="AC70" s="15"/>
      <c r="AD70" s="43"/>
      <c r="AE70" s="43"/>
      <c r="AF70" s="15"/>
      <c r="AG70" s="43"/>
      <c r="AH70" s="43"/>
    </row>
    <row r="71" spans="2:34" s="14" customFormat="1" ht="41.25" customHeight="1">
      <c r="B71" s="18"/>
      <c r="C71" s="57" t="str">
        <f t="shared" si="3"/>
        <v/>
      </c>
      <c r="D71" s="18" t="e">
        <f>VLOOKUP(F71,LOOKUP!$C$2:$C$8,2,0)</f>
        <v>#N/A</v>
      </c>
      <c r="E71" s="18"/>
      <c r="F71" s="19"/>
      <c r="G71" s="19"/>
      <c r="H71" s="19"/>
      <c r="I71" s="19"/>
      <c r="J71" s="44"/>
      <c r="K71" s="19"/>
      <c r="L71" s="19"/>
      <c r="M71" s="19"/>
      <c r="N71" s="19"/>
      <c r="O71" s="19"/>
      <c r="P71" s="44"/>
      <c r="Q71" s="44"/>
      <c r="R71" s="44"/>
      <c r="S71" s="19"/>
      <c r="T71" s="19"/>
      <c r="U71" s="19"/>
      <c r="V71" s="19"/>
      <c r="W71" s="44"/>
      <c r="X71" s="19"/>
      <c r="Y71" s="19"/>
      <c r="Z71" s="44"/>
      <c r="AA71" s="19"/>
      <c r="AB71" s="19"/>
      <c r="AC71" s="19"/>
      <c r="AD71" s="44"/>
      <c r="AE71" s="44"/>
      <c r="AF71" s="19"/>
      <c r="AG71" s="44"/>
      <c r="AH71" s="44"/>
    </row>
    <row r="72" spans="2:34" s="14" customFormat="1" ht="41.25" customHeight="1">
      <c r="B72" s="18"/>
      <c r="C72" s="57" t="str">
        <f t="shared" si="3"/>
        <v/>
      </c>
      <c r="D72" s="18" t="e">
        <f>VLOOKUP(F72,LOOKUP!$C$2:$C$8,2,0)</f>
        <v>#N/A</v>
      </c>
      <c r="E72" s="18"/>
      <c r="F72" s="18"/>
      <c r="G72" s="19"/>
      <c r="H72" s="19"/>
      <c r="I72" s="19"/>
      <c r="J72" s="47"/>
      <c r="K72" s="22"/>
      <c r="L72" s="22"/>
      <c r="M72" s="22"/>
      <c r="N72" s="22"/>
      <c r="O72" s="22"/>
      <c r="P72" s="47"/>
      <c r="Q72" s="47"/>
      <c r="R72" s="47"/>
      <c r="S72" s="22"/>
      <c r="T72" s="22"/>
      <c r="U72" s="22"/>
      <c r="V72" s="22"/>
      <c r="W72" s="47"/>
      <c r="X72" s="22"/>
      <c r="Y72" s="22"/>
      <c r="Z72" s="47"/>
      <c r="AA72" s="22"/>
      <c r="AB72" s="22"/>
      <c r="AC72" s="22"/>
      <c r="AD72" s="47"/>
      <c r="AE72" s="47"/>
      <c r="AF72" s="22"/>
      <c r="AG72" s="47"/>
      <c r="AH72" s="47"/>
    </row>
    <row r="73" spans="2:34" s="14" customFormat="1" ht="41.25" customHeight="1">
      <c r="B73" s="18"/>
      <c r="C73" s="57" t="str">
        <f t="shared" si="3"/>
        <v/>
      </c>
      <c r="D73" s="18" t="e">
        <f>VLOOKUP(F73,LOOKUP!$C$2:$C$8,2,0)</f>
        <v>#N/A</v>
      </c>
      <c r="E73" s="18"/>
      <c r="F73" s="18"/>
      <c r="G73" s="19"/>
      <c r="H73" s="19"/>
      <c r="I73" s="19"/>
      <c r="J73" s="47"/>
      <c r="K73" s="22"/>
      <c r="L73" s="22"/>
      <c r="M73" s="22"/>
      <c r="N73" s="22"/>
      <c r="O73" s="22"/>
      <c r="P73" s="47"/>
      <c r="Q73" s="47"/>
      <c r="R73" s="47"/>
      <c r="S73" s="22"/>
      <c r="T73" s="22"/>
      <c r="U73" s="22"/>
      <c r="V73" s="22"/>
      <c r="W73" s="47"/>
      <c r="X73" s="22"/>
      <c r="Y73" s="22"/>
      <c r="Z73" s="47"/>
      <c r="AA73" s="22"/>
      <c r="AB73" s="22"/>
      <c r="AC73" s="22"/>
      <c r="AD73" s="47"/>
      <c r="AE73" s="47"/>
      <c r="AF73" s="22"/>
      <c r="AG73" s="47"/>
      <c r="AH73" s="47"/>
    </row>
    <row r="74" spans="2:34" s="14" customFormat="1" ht="41.25" customHeight="1">
      <c r="B74" s="18"/>
      <c r="C74" s="57" t="str">
        <f t="shared" si="3"/>
        <v/>
      </c>
      <c r="D74" s="18" t="e">
        <f>VLOOKUP(F74,LOOKUP!$C$2:$C$8,2,0)</f>
        <v>#N/A</v>
      </c>
      <c r="E74" s="18"/>
      <c r="F74" s="18"/>
      <c r="G74" s="19"/>
      <c r="H74" s="19"/>
      <c r="I74" s="19"/>
      <c r="J74" s="47"/>
      <c r="K74" s="22"/>
      <c r="L74" s="22"/>
      <c r="M74" s="22"/>
      <c r="N74" s="22"/>
      <c r="O74" s="22"/>
      <c r="P74" s="47"/>
      <c r="Q74" s="47"/>
      <c r="R74" s="47"/>
      <c r="S74" s="22"/>
      <c r="T74" s="22"/>
      <c r="U74" s="22"/>
      <c r="V74" s="22"/>
      <c r="W74" s="47"/>
      <c r="X74" s="22"/>
      <c r="Y74" s="22"/>
      <c r="Z74" s="47"/>
      <c r="AA74" s="22"/>
      <c r="AB74" s="22"/>
      <c r="AC74" s="22"/>
      <c r="AD74" s="47"/>
      <c r="AE74" s="47"/>
      <c r="AF74" s="22"/>
      <c r="AG74" s="47"/>
      <c r="AH74" s="47"/>
    </row>
    <row r="75" spans="2:34" s="14" customFormat="1" ht="41.25" customHeight="1">
      <c r="B75" s="18"/>
      <c r="C75" s="57" t="str">
        <f t="shared" si="3"/>
        <v/>
      </c>
      <c r="D75" s="18" t="e">
        <f>VLOOKUP(F75,LOOKUP!$C$2:$C$8,2,0)</f>
        <v>#N/A</v>
      </c>
      <c r="E75" s="18"/>
      <c r="F75" s="18"/>
      <c r="G75" s="19"/>
      <c r="H75" s="19"/>
      <c r="I75" s="19"/>
      <c r="J75" s="47"/>
      <c r="K75" s="22"/>
      <c r="L75" s="22"/>
      <c r="M75" s="22"/>
      <c r="N75" s="22"/>
      <c r="O75" s="22"/>
      <c r="P75" s="47"/>
      <c r="Q75" s="47"/>
      <c r="R75" s="47"/>
      <c r="S75" s="22"/>
      <c r="T75" s="22"/>
      <c r="U75" s="22"/>
      <c r="V75" s="22"/>
      <c r="W75" s="47"/>
      <c r="X75" s="22"/>
      <c r="Y75" s="22"/>
      <c r="Z75" s="47"/>
      <c r="AA75" s="22"/>
      <c r="AB75" s="22"/>
      <c r="AC75" s="22"/>
      <c r="AD75" s="47"/>
      <c r="AE75" s="47"/>
      <c r="AF75" s="22"/>
      <c r="AG75" s="47"/>
      <c r="AH75" s="47"/>
    </row>
    <row r="76" spans="2:34" s="14" customFormat="1" ht="41.25" customHeight="1">
      <c r="B76" s="18"/>
      <c r="C76" s="57" t="str">
        <f t="shared" si="3"/>
        <v/>
      </c>
      <c r="D76" s="18" t="e">
        <f>VLOOKUP(F76,LOOKUP!$C$2:$C$8,2,0)</f>
        <v>#N/A</v>
      </c>
      <c r="E76" s="18"/>
      <c r="F76" s="18"/>
      <c r="G76" s="19"/>
      <c r="H76" s="19"/>
      <c r="I76" s="19"/>
      <c r="J76" s="47"/>
      <c r="K76" s="22"/>
      <c r="L76" s="22"/>
      <c r="M76" s="22"/>
      <c r="N76" s="22"/>
      <c r="O76" s="22"/>
      <c r="P76" s="47"/>
      <c r="Q76" s="47"/>
      <c r="R76" s="47"/>
      <c r="S76" s="22"/>
      <c r="T76" s="22"/>
      <c r="U76" s="22"/>
      <c r="V76" s="22"/>
      <c r="W76" s="47"/>
      <c r="X76" s="22"/>
      <c r="Y76" s="22"/>
      <c r="Z76" s="47"/>
      <c r="AA76" s="22"/>
      <c r="AB76" s="22"/>
      <c r="AC76" s="22"/>
      <c r="AD76" s="47"/>
      <c r="AE76" s="47"/>
      <c r="AF76" s="22"/>
      <c r="AG76" s="47"/>
      <c r="AH76" s="47"/>
    </row>
    <row r="77" spans="2:34" s="14" customFormat="1" ht="41.25" customHeight="1">
      <c r="B77" s="18"/>
      <c r="C77" s="57" t="str">
        <f t="shared" si="3"/>
        <v/>
      </c>
      <c r="D77" s="18" t="e">
        <f>VLOOKUP(F77,LOOKUP!$C$2:$C$8,2,0)</f>
        <v>#N/A</v>
      </c>
      <c r="E77" s="18"/>
      <c r="F77" s="18"/>
      <c r="G77" s="18"/>
      <c r="H77" s="18"/>
      <c r="I77" s="15"/>
      <c r="J77" s="43"/>
      <c r="K77" s="15"/>
      <c r="L77" s="15"/>
      <c r="M77" s="15"/>
      <c r="N77" s="15"/>
      <c r="O77" s="15"/>
      <c r="P77" s="43"/>
      <c r="Q77" s="43"/>
      <c r="R77" s="43"/>
      <c r="S77" s="15"/>
      <c r="T77" s="15"/>
      <c r="U77" s="15"/>
      <c r="V77" s="15"/>
      <c r="W77" s="43"/>
      <c r="X77" s="15"/>
      <c r="Y77" s="15"/>
      <c r="Z77" s="43"/>
      <c r="AA77" s="15"/>
      <c r="AB77" s="15"/>
      <c r="AC77" s="15"/>
      <c r="AD77" s="43"/>
      <c r="AE77" s="43"/>
      <c r="AF77" s="15"/>
      <c r="AG77" s="43"/>
      <c r="AH77" s="43"/>
    </row>
    <row r="78" spans="2:34" s="14" customFormat="1" ht="41.25" customHeight="1">
      <c r="B78" s="18"/>
      <c r="C78" s="57" t="str">
        <f t="shared" si="3"/>
        <v/>
      </c>
      <c r="D78" s="18" t="e">
        <f>VLOOKUP(F78,LOOKUP!$C$2:$C$8,2,0)</f>
        <v>#N/A</v>
      </c>
      <c r="E78" s="18"/>
      <c r="F78" s="18"/>
      <c r="G78" s="19"/>
      <c r="H78" s="19"/>
      <c r="I78" s="19"/>
      <c r="J78" s="43"/>
      <c r="K78" s="15"/>
      <c r="L78" s="15"/>
      <c r="M78" s="15"/>
      <c r="N78" s="15"/>
      <c r="O78" s="15"/>
      <c r="P78" s="43"/>
      <c r="Q78" s="43"/>
      <c r="R78" s="43"/>
      <c r="S78" s="15"/>
      <c r="T78" s="15"/>
      <c r="U78" s="15"/>
      <c r="V78" s="15"/>
      <c r="W78" s="43"/>
      <c r="X78" s="15"/>
      <c r="Y78" s="15"/>
      <c r="Z78" s="43"/>
      <c r="AA78" s="15"/>
      <c r="AB78" s="15"/>
      <c r="AC78" s="15"/>
      <c r="AD78" s="43"/>
      <c r="AE78" s="43"/>
      <c r="AF78" s="15"/>
      <c r="AG78" s="43"/>
      <c r="AH78" s="43"/>
    </row>
    <row r="79" spans="2:34" s="14" customFormat="1" ht="41.25" customHeight="1">
      <c r="B79" s="18"/>
      <c r="C79" s="57" t="str">
        <f t="shared" si="3"/>
        <v/>
      </c>
      <c r="D79" s="18" t="e">
        <f>VLOOKUP(F79,LOOKUP!$C$2:$C$8,2,0)</f>
        <v>#N/A</v>
      </c>
      <c r="E79" s="18"/>
      <c r="F79" s="18"/>
      <c r="G79" s="19"/>
      <c r="H79" s="19"/>
      <c r="I79" s="19"/>
      <c r="J79" s="43"/>
      <c r="K79" s="15"/>
      <c r="L79" s="15"/>
      <c r="M79" s="15"/>
      <c r="N79" s="15"/>
      <c r="O79" s="15"/>
      <c r="P79" s="43"/>
      <c r="Q79" s="43"/>
      <c r="R79" s="43"/>
      <c r="S79" s="15"/>
      <c r="T79" s="15"/>
      <c r="U79" s="15"/>
      <c r="V79" s="15"/>
      <c r="W79" s="43"/>
      <c r="X79" s="15"/>
      <c r="Y79" s="15"/>
      <c r="Z79" s="43"/>
      <c r="AA79" s="15"/>
      <c r="AB79" s="15"/>
      <c r="AC79" s="15"/>
      <c r="AD79" s="43"/>
      <c r="AE79" s="43"/>
      <c r="AF79" s="15"/>
      <c r="AG79" s="43"/>
      <c r="AH79" s="43"/>
    </row>
    <row r="80" spans="2:34" s="14" customFormat="1" ht="41.25" customHeight="1">
      <c r="B80" s="18"/>
      <c r="C80" s="57" t="str">
        <f t="shared" si="3"/>
        <v/>
      </c>
      <c r="D80" s="18" t="e">
        <f>VLOOKUP(F80,LOOKUP!$C$2:$C$8,2,0)</f>
        <v>#N/A</v>
      </c>
      <c r="E80" s="18"/>
      <c r="F80" s="18"/>
      <c r="G80" s="19"/>
      <c r="H80" s="19"/>
      <c r="I80" s="19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</row>
    <row r="81" spans="2:34" s="14" customFormat="1" ht="41.25" customHeight="1">
      <c r="B81" s="18"/>
      <c r="C81" s="57" t="str">
        <f t="shared" si="3"/>
        <v/>
      </c>
      <c r="D81" s="18" t="e">
        <f>VLOOKUP(F81,LOOKUP!$C$2:$C$8,2,0)</f>
        <v>#N/A</v>
      </c>
      <c r="E81" s="18"/>
      <c r="F81" s="18"/>
      <c r="G81" s="19"/>
      <c r="H81" s="19"/>
      <c r="I81" s="19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</row>
    <row r="82" spans="2:34" s="14" customFormat="1" ht="41.25" customHeight="1">
      <c r="B82" s="18"/>
      <c r="C82" s="57" t="str">
        <f t="shared" si="3"/>
        <v/>
      </c>
      <c r="D82" s="18" t="e">
        <f>VLOOKUP(F82,LOOKUP!$C$2:$C$8,2,0)</f>
        <v>#N/A</v>
      </c>
      <c r="E82" s="18"/>
      <c r="F82" s="18"/>
      <c r="G82" s="19"/>
      <c r="H82" s="19"/>
      <c r="I82" s="19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</row>
    <row r="83" spans="2:34" s="14" customFormat="1" ht="41.25" customHeight="1">
      <c r="B83" s="18"/>
      <c r="C83" s="57" t="str">
        <f t="shared" si="3"/>
        <v/>
      </c>
      <c r="D83" s="18" t="e">
        <f>VLOOKUP(F83,LOOKUP!$C$2:$C$8,2,0)</f>
        <v>#N/A</v>
      </c>
      <c r="E83" s="18"/>
      <c r="F83" s="18"/>
      <c r="G83" s="19"/>
      <c r="H83" s="19"/>
      <c r="I83" s="19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</row>
    <row r="84" spans="2:34" s="14" customFormat="1" ht="41.25" customHeight="1">
      <c r="B84" s="18"/>
      <c r="C84" s="57" t="str">
        <f t="shared" si="3"/>
        <v/>
      </c>
      <c r="D84" s="18" t="e">
        <f>VLOOKUP(F84,LOOKUP!$C$2:$C$8,2,0)</f>
        <v>#N/A</v>
      </c>
      <c r="E84" s="18"/>
      <c r="F84" s="15"/>
      <c r="G84" s="19"/>
      <c r="H84" s="19"/>
      <c r="I84" s="19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</row>
    <row r="85" spans="2:34" s="14" customFormat="1" ht="41.25" customHeight="1">
      <c r="B85" s="18"/>
      <c r="C85" s="57" t="str">
        <f t="shared" si="3"/>
        <v/>
      </c>
      <c r="D85" s="18" t="e">
        <f>VLOOKUP(F85,LOOKUP!$C$2:$C$8,2,0)</f>
        <v>#N/A</v>
      </c>
      <c r="E85" s="18"/>
      <c r="F85" s="18"/>
      <c r="G85" s="18"/>
      <c r="H85" s="18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</row>
    <row r="86" spans="2:34" s="14" customFormat="1" ht="41.25" customHeight="1">
      <c r="B86" s="18"/>
      <c r="C86" s="57" t="str">
        <f t="shared" si="3"/>
        <v/>
      </c>
      <c r="D86" s="18" t="e">
        <f>VLOOKUP(F86,LOOKUP!$C$2:$C$8,2,0)</f>
        <v>#N/A</v>
      </c>
      <c r="E86" s="18"/>
      <c r="F86" s="18"/>
      <c r="G86" s="18"/>
      <c r="H86" s="18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</row>
    <row r="87" spans="2:34" s="14" customFormat="1" ht="41.25" customHeight="1">
      <c r="B87" s="18"/>
      <c r="C87" s="57" t="str">
        <f t="shared" si="3"/>
        <v/>
      </c>
      <c r="D87" s="18" t="e">
        <f>VLOOKUP(F87,LOOKUP!$C$2:$C$8,2,0)</f>
        <v>#N/A</v>
      </c>
      <c r="E87" s="18"/>
      <c r="F87" s="18"/>
      <c r="G87" s="18"/>
      <c r="H87" s="18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</row>
    <row r="88" spans="2:34" s="14" customFormat="1" ht="41.25" customHeight="1">
      <c r="B88" s="18"/>
      <c r="C88" s="57" t="str">
        <f t="shared" si="3"/>
        <v/>
      </c>
      <c r="D88" s="18" t="e">
        <f>VLOOKUP(F88,LOOKUP!$C$2:$C$8,2,0)</f>
        <v>#N/A</v>
      </c>
      <c r="E88" s="18"/>
      <c r="F88" s="15"/>
      <c r="G88" s="15"/>
      <c r="H88" s="19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</row>
    <row r="89" spans="2:34" ht="41.25" customHeight="1">
      <c r="B89" s="18"/>
      <c r="C89" s="57" t="str">
        <f t="shared" si="3"/>
        <v/>
      </c>
      <c r="D89" s="18" t="e">
        <f>VLOOKUP(F89,LOOKUP!$C$2:$C$8,2,0)</f>
        <v>#N/A</v>
      </c>
      <c r="E89" s="18"/>
      <c r="F89" s="18"/>
      <c r="G89" s="19"/>
      <c r="H89" s="19"/>
      <c r="I89" s="19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</row>
    <row r="90" spans="2:34" ht="41.25" customHeight="1">
      <c r="B90" s="18"/>
      <c r="C90" s="57" t="str">
        <f t="shared" si="3"/>
        <v/>
      </c>
      <c r="D90" s="18" t="e">
        <f>VLOOKUP(F90,LOOKUP!$C$2:$C$8,2,0)</f>
        <v>#N/A</v>
      </c>
      <c r="E90" s="18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</row>
    <row r="91" spans="2:34" ht="41.25" customHeight="1">
      <c r="B91" s="18"/>
      <c r="C91" s="57" t="str">
        <f t="shared" si="3"/>
        <v/>
      </c>
      <c r="D91" s="18" t="e">
        <f>VLOOKUP(F91,LOOKUP!$C$2:$C$8,2,0)</f>
        <v>#N/A</v>
      </c>
      <c r="E91" s="18"/>
      <c r="F91" s="18"/>
      <c r="G91" s="18"/>
      <c r="H91" s="18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</row>
    <row r="92" spans="2:34" ht="41.25" customHeight="1">
      <c r="B92" s="18"/>
      <c r="C92" s="57" t="str">
        <f t="shared" si="3"/>
        <v/>
      </c>
      <c r="D92" s="18" t="e">
        <f>VLOOKUP(F92,LOOKUP!$C$2:$C$8,2,0)</f>
        <v>#N/A</v>
      </c>
      <c r="E92" s="18"/>
      <c r="F92" s="18"/>
      <c r="G92" s="18"/>
      <c r="H92" s="19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</row>
    <row r="93" spans="2:34" ht="41.25" customHeight="1">
      <c r="B93" s="18"/>
      <c r="C93" s="57" t="str">
        <f t="shared" si="3"/>
        <v/>
      </c>
      <c r="D93" s="18" t="e">
        <f>VLOOKUP(F93,LOOKUP!$C$2:$C$8,2,0)</f>
        <v>#N/A</v>
      </c>
      <c r="E93" s="18"/>
      <c r="F93" s="18"/>
      <c r="G93" s="18"/>
      <c r="H93" s="18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</row>
    <row r="94" spans="2:34" ht="41.25" customHeight="1">
      <c r="B94" s="18"/>
      <c r="C94" s="57" t="str">
        <f t="shared" si="3"/>
        <v/>
      </c>
      <c r="D94" s="18" t="e">
        <f>VLOOKUP(F94,LOOKUP!$C$2:$C$8,2,0)</f>
        <v>#N/A</v>
      </c>
      <c r="E94" s="18"/>
      <c r="F94" s="18"/>
      <c r="G94" s="18"/>
      <c r="H94" s="19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</row>
    <row r="95" spans="2:34" ht="41.25" customHeight="1">
      <c r="B95" s="18"/>
      <c r="C95" s="57" t="str">
        <f t="shared" si="3"/>
        <v/>
      </c>
      <c r="D95" s="18" t="e">
        <f>VLOOKUP(F95,LOOKUP!$C$2:$C$8,2,0)</f>
        <v>#N/A</v>
      </c>
      <c r="E95" s="18"/>
      <c r="F95" s="18"/>
      <c r="G95" s="19"/>
      <c r="H95" s="19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</row>
    <row r="96" spans="2:34" ht="41.25" customHeight="1">
      <c r="B96" s="21"/>
      <c r="C96" s="57" t="str">
        <f t="shared" si="3"/>
        <v/>
      </c>
      <c r="D96" s="18" t="e">
        <f>VLOOKUP(F96,LOOKUP!$C$2:$C$8,2,0)</f>
        <v>#N/A</v>
      </c>
      <c r="E96" s="18"/>
      <c r="F96" s="18"/>
      <c r="G96" s="19"/>
      <c r="H96" s="19"/>
      <c r="I96" s="19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</row>
    <row r="97" spans="2:34" ht="41.25" customHeight="1">
      <c r="B97" s="21"/>
      <c r="C97" s="57" t="str">
        <f t="shared" si="3"/>
        <v/>
      </c>
      <c r="D97" s="18" t="e">
        <f>VLOOKUP(F97,LOOKUP!$C$2:$C$8,2,0)</f>
        <v>#N/A</v>
      </c>
      <c r="E97" s="18"/>
      <c r="F97" s="15"/>
      <c r="G97" s="19"/>
      <c r="H97" s="19"/>
      <c r="I97" s="19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</row>
    <row r="98" spans="2:34" ht="41.25" customHeight="1">
      <c r="B98" s="21"/>
      <c r="C98" s="57" t="str">
        <f t="shared" si="3"/>
        <v/>
      </c>
      <c r="D98" s="18" t="e">
        <f>VLOOKUP(F98,LOOKUP!$C$2:$C$8,2,0)</f>
        <v>#N/A</v>
      </c>
      <c r="E98" s="18"/>
      <c r="F98" s="18"/>
      <c r="G98" s="19"/>
      <c r="H98" s="19"/>
      <c r="I98" s="19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</row>
    <row r="99" spans="2:34" ht="41.25" customHeight="1">
      <c r="B99" s="21"/>
      <c r="C99" s="57" t="str">
        <f t="shared" si="3"/>
        <v/>
      </c>
      <c r="D99" s="18" t="e">
        <f>VLOOKUP(F99,LOOKUP!$C$2:$C$8,2,0)</f>
        <v>#N/A</v>
      </c>
      <c r="E99" s="18"/>
      <c r="F99" s="18"/>
      <c r="G99" s="19"/>
      <c r="H99" s="19"/>
      <c r="I99" s="19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</row>
    <row r="100" spans="2:34" ht="41.25" customHeight="1">
      <c r="B100" s="18"/>
      <c r="C100" s="57" t="str">
        <f t="shared" si="3"/>
        <v/>
      </c>
      <c r="D100" s="18" t="e">
        <f>VLOOKUP(F100,LOOKUP!$C$2:$C$8,2,0)</f>
        <v>#N/A</v>
      </c>
      <c r="E100" s="18"/>
      <c r="F100" s="18"/>
      <c r="G100" s="19"/>
      <c r="H100" s="19"/>
      <c r="I100" s="19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</row>
    <row r="101" spans="2:34" ht="41.25" customHeight="1">
      <c r="B101" s="18"/>
      <c r="C101" s="57" t="str">
        <f t="shared" si="3"/>
        <v/>
      </c>
      <c r="D101" s="18" t="e">
        <f>VLOOKUP(F101,LOOKUP!$C$2:$C$8,2,0)</f>
        <v>#N/A</v>
      </c>
      <c r="E101" s="18"/>
      <c r="F101" s="15"/>
      <c r="G101" s="19"/>
      <c r="H101" s="19"/>
      <c r="I101" s="19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</row>
    <row r="102" spans="2:34" ht="41.25" customHeight="1">
      <c r="B102" s="18"/>
      <c r="C102" s="57" t="str">
        <f t="shared" si="3"/>
        <v/>
      </c>
      <c r="D102" s="18" t="e">
        <f>VLOOKUP(F102,LOOKUP!$C$2:$C$8,2,0)</f>
        <v>#N/A</v>
      </c>
      <c r="E102" s="18"/>
      <c r="F102" s="18"/>
      <c r="G102" s="19"/>
      <c r="H102" s="19"/>
      <c r="I102" s="19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</row>
    <row r="103" spans="2:34" ht="41.25" customHeight="1">
      <c r="B103" s="18"/>
      <c r="C103" s="57" t="str">
        <f t="shared" si="3"/>
        <v/>
      </c>
      <c r="D103" s="18" t="e">
        <f>VLOOKUP(F103,LOOKUP!$C$2:$C$8,2,0)</f>
        <v>#N/A</v>
      </c>
      <c r="E103" s="18"/>
      <c r="F103" s="18"/>
      <c r="G103" s="19"/>
      <c r="H103" s="19"/>
      <c r="I103" s="19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</row>
    <row r="104" spans="2:34" ht="41.25" customHeight="1">
      <c r="B104" s="18"/>
      <c r="C104" s="57" t="str">
        <f t="shared" si="3"/>
        <v/>
      </c>
      <c r="D104" s="18" t="e">
        <f>VLOOKUP(F104,LOOKUP!$C$2:$C$8,2,0)</f>
        <v>#N/A</v>
      </c>
      <c r="E104" s="18"/>
      <c r="F104" s="18"/>
      <c r="G104" s="19"/>
      <c r="H104" s="19"/>
      <c r="I104" s="19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</row>
    <row r="105" spans="2:34" ht="41.25" customHeight="1">
      <c r="B105" s="21"/>
      <c r="C105" s="57" t="str">
        <f t="shared" si="3"/>
        <v/>
      </c>
      <c r="D105" s="18" t="e">
        <f>VLOOKUP(F105,LOOKUP!$C$2:$C$8,2,0)</f>
        <v>#N/A</v>
      </c>
      <c r="E105" s="18"/>
      <c r="F105" s="15"/>
      <c r="G105" s="19"/>
      <c r="H105" s="19"/>
      <c r="I105" s="19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</row>
    <row r="106" spans="2:34" ht="41.25" customHeight="1">
      <c r="B106" s="21"/>
      <c r="C106" s="57" t="str">
        <f t="shared" si="3"/>
        <v/>
      </c>
      <c r="D106" s="18" t="e">
        <f>VLOOKUP(F106,LOOKUP!$C$2:$C$8,2,0)</f>
        <v>#N/A</v>
      </c>
      <c r="E106" s="18"/>
      <c r="F106" s="15"/>
      <c r="G106" s="19"/>
      <c r="H106" s="19"/>
      <c r="I106" s="19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</row>
    <row r="107" spans="2:34" ht="41.25" customHeight="1">
      <c r="B107" s="21"/>
      <c r="C107" s="57" t="str">
        <f t="shared" si="3"/>
        <v/>
      </c>
      <c r="D107" s="18" t="e">
        <f>VLOOKUP(F107,LOOKUP!$C$2:$C$8,2,0)</f>
        <v>#N/A</v>
      </c>
      <c r="E107" s="18"/>
      <c r="F107" s="15"/>
      <c r="G107" s="19"/>
      <c r="H107" s="19"/>
      <c r="I107" s="19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</row>
    <row r="108" spans="2:34" ht="41.25" customHeight="1">
      <c r="B108" s="21"/>
      <c r="C108" s="57" t="str">
        <f t="shared" si="3"/>
        <v/>
      </c>
      <c r="D108" s="18" t="e">
        <f>VLOOKUP(F108,LOOKUP!$C$2:$C$8,2,0)</f>
        <v>#N/A</v>
      </c>
      <c r="E108" s="18"/>
      <c r="F108" s="15"/>
      <c r="G108" s="19"/>
      <c r="H108" s="19"/>
      <c r="I108" s="19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</row>
    <row r="109" spans="2:34" ht="41.25" customHeight="1">
      <c r="B109" s="21"/>
      <c r="C109" s="57" t="str">
        <f t="shared" si="3"/>
        <v/>
      </c>
      <c r="D109" s="18" t="e">
        <f>VLOOKUP(F109,LOOKUP!$C$2:$C$8,2,0)</f>
        <v>#N/A</v>
      </c>
      <c r="E109" s="18"/>
      <c r="F109" s="15"/>
      <c r="G109" s="18"/>
      <c r="H109" s="19"/>
      <c r="I109" s="19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</row>
    <row r="110" spans="2:34" ht="41.25" customHeight="1">
      <c r="B110" s="21"/>
      <c r="C110" s="57" t="str">
        <f t="shared" si="3"/>
        <v/>
      </c>
      <c r="D110" s="18" t="e">
        <f>VLOOKUP(F110,LOOKUP!$C$2:$C$8,2,0)</f>
        <v>#N/A</v>
      </c>
      <c r="E110" s="18"/>
      <c r="F110" s="18"/>
      <c r="G110" s="19"/>
      <c r="H110" s="19"/>
      <c r="I110" s="19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</row>
    <row r="111" spans="2:34" ht="41.25" customHeight="1">
      <c r="B111" s="21"/>
      <c r="C111" s="57" t="str">
        <f t="shared" si="3"/>
        <v/>
      </c>
      <c r="D111" s="18" t="e">
        <f>VLOOKUP(F111,LOOKUP!$C$2:$C$8,2,0)</f>
        <v>#N/A</v>
      </c>
      <c r="E111" s="18"/>
      <c r="F111" s="15"/>
      <c r="G111" s="19"/>
      <c r="H111" s="19"/>
      <c r="I111" s="19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</row>
    <row r="112" spans="2:34" ht="41.25" customHeight="1">
      <c r="B112" s="21"/>
      <c r="C112" s="57" t="str">
        <f t="shared" si="3"/>
        <v/>
      </c>
      <c r="D112" s="18" t="e">
        <f>VLOOKUP(F112,LOOKUP!$C$2:$C$8,2,0)</f>
        <v>#N/A</v>
      </c>
      <c r="E112" s="18"/>
      <c r="F112" s="15"/>
      <c r="G112" s="19"/>
      <c r="H112" s="19"/>
      <c r="I112" s="19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</row>
    <row r="113" spans="2:34" ht="41.25" customHeight="1">
      <c r="B113" s="21"/>
      <c r="C113" s="57" t="str">
        <f t="shared" si="3"/>
        <v/>
      </c>
      <c r="D113" s="18" t="e">
        <f>VLOOKUP(F113,LOOKUP!$C$2:$C$8,2,0)</f>
        <v>#N/A</v>
      </c>
      <c r="E113" s="18"/>
      <c r="F113" s="18"/>
      <c r="G113" s="19"/>
      <c r="H113" s="19"/>
      <c r="I113" s="19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</row>
    <row r="114" spans="2:34" ht="41.25" customHeight="1">
      <c r="B114" s="18"/>
      <c r="C114" s="57" t="str">
        <f t="shared" si="3"/>
        <v/>
      </c>
      <c r="D114" s="18" t="e">
        <f>VLOOKUP(F114,LOOKUP!$C$2:$C$8,2,0)</f>
        <v>#N/A</v>
      </c>
      <c r="E114" s="18"/>
      <c r="F114" s="18"/>
      <c r="G114" s="19"/>
      <c r="H114" s="19"/>
      <c r="I114" s="19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</row>
    <row r="115" spans="2:34" ht="41.25" customHeight="1">
      <c r="B115" s="18"/>
      <c r="C115" s="57" t="str">
        <f t="shared" si="3"/>
        <v/>
      </c>
      <c r="D115" s="18" t="e">
        <f>VLOOKUP(F115,LOOKUP!$C$2:$C$8,2,0)</f>
        <v>#N/A</v>
      </c>
      <c r="E115" s="18"/>
      <c r="F115" s="15"/>
      <c r="G115" s="19"/>
      <c r="H115" s="19"/>
      <c r="I115" s="19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</row>
    <row r="116" spans="2:34" ht="41.25" customHeight="1">
      <c r="B116" s="21"/>
      <c r="C116" s="57" t="str">
        <f t="shared" si="3"/>
        <v/>
      </c>
      <c r="D116" s="18" t="e">
        <f>VLOOKUP(F116,LOOKUP!$C$2:$C$8,2,0)</f>
        <v>#N/A</v>
      </c>
      <c r="E116" s="21"/>
      <c r="F116" s="18"/>
      <c r="G116" s="19"/>
      <c r="H116" s="19"/>
      <c r="I116" s="19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</row>
    <row r="117" spans="2:34" ht="41.25" customHeight="1">
      <c r="B117" s="21"/>
      <c r="C117" s="57" t="str">
        <f t="shared" si="3"/>
        <v/>
      </c>
      <c r="D117" s="18" t="e">
        <f>VLOOKUP(F117,LOOKUP!$C$2:$C$8,2,0)</f>
        <v>#N/A</v>
      </c>
      <c r="E117" s="18"/>
      <c r="F117" s="18"/>
      <c r="G117" s="19"/>
      <c r="H117" s="19"/>
      <c r="I117" s="19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</row>
    <row r="118" spans="2:34" ht="41.25" customHeight="1">
      <c r="B118" s="21"/>
      <c r="C118" s="57" t="str">
        <f t="shared" ref="C118:C181" si="4">IF(B118="","",MONTH(B118))</f>
        <v/>
      </c>
      <c r="D118" s="18" t="e">
        <f>VLOOKUP(F118,LOOKUP!$C$2:$C$8,2,0)</f>
        <v>#N/A</v>
      </c>
      <c r="E118" s="18"/>
      <c r="F118" s="15"/>
      <c r="G118" s="19"/>
      <c r="H118" s="19"/>
      <c r="I118" s="19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</row>
    <row r="119" spans="2:34" ht="41.25" customHeight="1">
      <c r="B119" s="21"/>
      <c r="C119" s="57" t="str">
        <f t="shared" si="4"/>
        <v/>
      </c>
      <c r="D119" s="18" t="e">
        <f>VLOOKUP(F119,LOOKUP!$C$2:$C$8,2,0)</f>
        <v>#N/A</v>
      </c>
      <c r="E119" s="18"/>
      <c r="F119" s="15"/>
      <c r="G119" s="19"/>
      <c r="H119" s="19"/>
      <c r="I119" s="19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</row>
    <row r="120" spans="2:34" ht="41.25" customHeight="1">
      <c r="B120" s="21"/>
      <c r="C120" s="57" t="str">
        <f t="shared" si="4"/>
        <v/>
      </c>
      <c r="D120" s="18" t="e">
        <f>VLOOKUP(F120,LOOKUP!$C$2:$C$8,2,0)</f>
        <v>#N/A</v>
      </c>
      <c r="E120" s="18"/>
      <c r="F120" s="15"/>
      <c r="G120" s="19"/>
      <c r="H120" s="19"/>
      <c r="I120" s="19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</row>
    <row r="121" spans="2:34" ht="41.25" customHeight="1">
      <c r="B121" s="18"/>
      <c r="C121" s="57" t="str">
        <f t="shared" si="4"/>
        <v/>
      </c>
      <c r="D121" s="18" t="e">
        <f>VLOOKUP(F121,LOOKUP!$C$2:$C$8,2,0)</f>
        <v>#N/A</v>
      </c>
      <c r="E121" s="18"/>
      <c r="F121" s="18"/>
      <c r="G121" s="19"/>
      <c r="H121" s="19"/>
      <c r="I121" s="19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</row>
    <row r="122" spans="2:34" ht="41.25" customHeight="1">
      <c r="B122" s="18"/>
      <c r="C122" s="57" t="str">
        <f t="shared" si="4"/>
        <v/>
      </c>
      <c r="D122" s="18" t="e">
        <f>VLOOKUP(F122,LOOKUP!$C$2:$C$8,2,0)</f>
        <v>#N/A</v>
      </c>
      <c r="E122" s="18"/>
      <c r="F122" s="15"/>
      <c r="G122" s="19"/>
      <c r="H122" s="19"/>
      <c r="I122" s="19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</row>
    <row r="123" spans="2:34" ht="41.25" customHeight="1">
      <c r="B123" s="21"/>
      <c r="C123" s="57" t="str">
        <f t="shared" si="4"/>
        <v/>
      </c>
      <c r="D123" s="18" t="e">
        <f>VLOOKUP(F123,LOOKUP!$C$2:$C$8,2,0)</f>
        <v>#N/A</v>
      </c>
      <c r="E123" s="18"/>
      <c r="F123" s="15"/>
      <c r="G123" s="19"/>
      <c r="H123" s="19"/>
      <c r="I123" s="19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</row>
    <row r="124" spans="2:34" ht="41.25" customHeight="1">
      <c r="B124" s="21"/>
      <c r="C124" s="57" t="str">
        <f t="shared" si="4"/>
        <v/>
      </c>
      <c r="D124" s="18" t="e">
        <f>VLOOKUP(F124,LOOKUP!$C$2:$C$8,2,0)</f>
        <v>#N/A</v>
      </c>
      <c r="E124" s="18"/>
      <c r="F124" s="15"/>
      <c r="G124" s="19"/>
      <c r="H124" s="19"/>
      <c r="I124" s="19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</row>
    <row r="125" spans="2:34" ht="41.25" customHeight="1">
      <c r="B125" s="18"/>
      <c r="C125" s="57" t="str">
        <f t="shared" si="4"/>
        <v/>
      </c>
      <c r="D125" s="18" t="e">
        <f>VLOOKUP(F125,LOOKUP!$C$2:$C$8,2,0)</f>
        <v>#N/A</v>
      </c>
      <c r="E125" s="18"/>
      <c r="F125" s="18"/>
      <c r="G125" s="19"/>
      <c r="H125" s="19"/>
      <c r="I125" s="19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</row>
    <row r="126" spans="2:34" ht="41.25" customHeight="1">
      <c r="B126" s="18"/>
      <c r="C126" s="57" t="str">
        <f t="shared" si="4"/>
        <v/>
      </c>
      <c r="D126" s="18" t="e">
        <f>VLOOKUP(F126,LOOKUP!$C$2:$C$8,2,0)</f>
        <v>#N/A</v>
      </c>
      <c r="E126" s="18"/>
      <c r="F126" s="18"/>
      <c r="G126" s="19"/>
      <c r="H126" s="19"/>
      <c r="I126" s="19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</row>
    <row r="127" spans="2:34" ht="41.25" customHeight="1">
      <c r="B127" s="18"/>
      <c r="C127" s="57" t="str">
        <f t="shared" si="4"/>
        <v/>
      </c>
      <c r="D127" s="18" t="e">
        <f>VLOOKUP(F127,LOOKUP!$C$2:$C$8,2,0)</f>
        <v>#N/A</v>
      </c>
      <c r="E127" s="18"/>
      <c r="F127" s="18"/>
      <c r="G127" s="19"/>
      <c r="H127" s="19"/>
      <c r="I127" s="19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</row>
    <row r="128" spans="2:34" ht="41.25" customHeight="1">
      <c r="B128" s="18"/>
      <c r="C128" s="57" t="str">
        <f t="shared" si="4"/>
        <v/>
      </c>
      <c r="D128" s="18" t="e">
        <f>VLOOKUP(F128,LOOKUP!$C$2:$C$8,2,0)</f>
        <v>#N/A</v>
      </c>
      <c r="E128" s="18"/>
      <c r="F128" s="18"/>
      <c r="G128" s="19"/>
      <c r="H128" s="19"/>
      <c r="I128" s="19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</row>
    <row r="129" spans="2:34" ht="41.25" customHeight="1">
      <c r="B129" s="18"/>
      <c r="C129" s="57" t="str">
        <f t="shared" si="4"/>
        <v/>
      </c>
      <c r="D129" s="18" t="e">
        <f>VLOOKUP(F129,LOOKUP!$C$2:$C$8,2,0)</f>
        <v>#N/A</v>
      </c>
      <c r="E129" s="18"/>
      <c r="F129" s="18"/>
      <c r="G129" s="19"/>
      <c r="H129" s="19"/>
      <c r="I129" s="19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</row>
    <row r="130" spans="2:34" ht="41.25" customHeight="1">
      <c r="B130" s="18"/>
      <c r="C130" s="57" t="str">
        <f t="shared" si="4"/>
        <v/>
      </c>
      <c r="D130" s="18" t="e">
        <f>VLOOKUP(F130,LOOKUP!$C$2:$C$8,2,0)</f>
        <v>#N/A</v>
      </c>
      <c r="E130" s="18"/>
      <c r="F130" s="18"/>
      <c r="G130" s="19"/>
      <c r="H130" s="19"/>
      <c r="I130" s="19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</row>
    <row r="131" spans="2:34" ht="41.25" customHeight="1">
      <c r="B131" s="18"/>
      <c r="C131" s="57" t="str">
        <f t="shared" si="4"/>
        <v/>
      </c>
      <c r="D131" s="18" t="e">
        <f>VLOOKUP(F131,LOOKUP!$C$2:$C$8,2,0)</f>
        <v>#N/A</v>
      </c>
      <c r="E131" s="18"/>
      <c r="F131" s="18"/>
      <c r="G131" s="19"/>
      <c r="H131" s="19"/>
      <c r="I131" s="19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</row>
    <row r="132" spans="2:34" ht="41.25" customHeight="1">
      <c r="B132" s="18"/>
      <c r="C132" s="57" t="str">
        <f t="shared" si="4"/>
        <v/>
      </c>
      <c r="D132" s="18" t="e">
        <f>VLOOKUP(F132,LOOKUP!$C$2:$C$8,2,0)</f>
        <v>#N/A</v>
      </c>
      <c r="E132" s="18"/>
      <c r="F132" s="18"/>
      <c r="G132" s="19"/>
      <c r="H132" s="19"/>
      <c r="I132" s="19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</row>
    <row r="133" spans="2:34" ht="41.25" customHeight="1">
      <c r="B133" s="18"/>
      <c r="C133" s="57" t="str">
        <f t="shared" si="4"/>
        <v/>
      </c>
      <c r="D133" s="18" t="e">
        <f>VLOOKUP(F133,LOOKUP!$C$2:$C$8,2,0)</f>
        <v>#N/A</v>
      </c>
      <c r="E133" s="18"/>
      <c r="F133" s="18"/>
      <c r="G133" s="19"/>
      <c r="H133" s="19"/>
      <c r="I133" s="19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</row>
    <row r="134" spans="2:34" ht="41.25" customHeight="1">
      <c r="B134" s="18"/>
      <c r="C134" s="57" t="str">
        <f t="shared" si="4"/>
        <v/>
      </c>
      <c r="D134" s="18" t="e">
        <f>VLOOKUP(F134,LOOKUP!$C$2:$C$8,2,0)</f>
        <v>#N/A</v>
      </c>
      <c r="E134" s="18"/>
      <c r="F134" s="18"/>
      <c r="G134" s="19"/>
      <c r="H134" s="19"/>
      <c r="I134" s="19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</row>
    <row r="135" spans="2:34" ht="41.25" customHeight="1">
      <c r="B135" s="18"/>
      <c r="C135" s="57" t="str">
        <f t="shared" si="4"/>
        <v/>
      </c>
      <c r="D135" s="18" t="e">
        <f>VLOOKUP(F135,LOOKUP!$C$2:$C$8,2,0)</f>
        <v>#N/A</v>
      </c>
      <c r="E135" s="18"/>
      <c r="F135" s="18"/>
      <c r="G135" s="19"/>
      <c r="H135" s="19"/>
      <c r="I135" s="19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</row>
    <row r="136" spans="2:34" ht="41.25" customHeight="1">
      <c r="B136" s="18"/>
      <c r="C136" s="57" t="str">
        <f t="shared" si="4"/>
        <v/>
      </c>
      <c r="D136" s="18" t="e">
        <f>VLOOKUP(F136,LOOKUP!$C$2:$C$8,2,0)</f>
        <v>#N/A</v>
      </c>
      <c r="E136" s="18"/>
      <c r="F136" s="18"/>
      <c r="G136" s="19"/>
      <c r="H136" s="19"/>
      <c r="I136" s="19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</row>
    <row r="137" spans="2:34" ht="41.25" customHeight="1">
      <c r="B137" s="21"/>
      <c r="C137" s="57" t="str">
        <f t="shared" si="4"/>
        <v/>
      </c>
      <c r="D137" s="18" t="e">
        <f>VLOOKUP(F137,LOOKUP!$C$2:$C$8,2,0)</f>
        <v>#N/A</v>
      </c>
      <c r="E137" s="18"/>
      <c r="F137" s="15"/>
      <c r="G137" s="19"/>
      <c r="H137" s="19"/>
      <c r="I137" s="19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</row>
    <row r="138" spans="2:34" ht="41.25" customHeight="1">
      <c r="B138" s="21"/>
      <c r="C138" s="57" t="str">
        <f t="shared" si="4"/>
        <v/>
      </c>
      <c r="D138" s="18" t="e">
        <f>VLOOKUP(F138,LOOKUP!$C$2:$C$8,2,0)</f>
        <v>#N/A</v>
      </c>
      <c r="E138" s="18"/>
      <c r="F138" s="15"/>
      <c r="G138" s="19"/>
      <c r="H138" s="19"/>
      <c r="I138" s="19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</row>
    <row r="139" spans="2:34" ht="41.25" customHeight="1">
      <c r="B139" s="21"/>
      <c r="C139" s="57" t="str">
        <f t="shared" si="4"/>
        <v/>
      </c>
      <c r="D139" s="18" t="e">
        <f>VLOOKUP(F139,LOOKUP!$C$2:$C$8,2,0)</f>
        <v>#N/A</v>
      </c>
      <c r="E139" s="18"/>
      <c r="F139" s="15"/>
      <c r="G139" s="19"/>
      <c r="H139" s="19"/>
      <c r="I139" s="19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</row>
    <row r="140" spans="2:34" ht="41.25" customHeight="1">
      <c r="B140" s="18"/>
      <c r="C140" s="57" t="str">
        <f t="shared" si="4"/>
        <v/>
      </c>
      <c r="D140" s="18" t="e">
        <f>VLOOKUP(F140,LOOKUP!$C$2:$C$8,2,0)</f>
        <v>#N/A</v>
      </c>
      <c r="E140" s="18"/>
      <c r="F140" s="18"/>
      <c r="G140" s="19"/>
      <c r="H140" s="19"/>
      <c r="I140" s="19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</row>
    <row r="141" spans="2:34" ht="41.25" customHeight="1">
      <c r="B141" s="18"/>
      <c r="C141" s="57" t="str">
        <f t="shared" si="4"/>
        <v/>
      </c>
      <c r="D141" s="18" t="e">
        <f>VLOOKUP(F141,LOOKUP!$C$2:$C$8,2,0)</f>
        <v>#N/A</v>
      </c>
      <c r="E141" s="18"/>
      <c r="F141" s="18"/>
      <c r="G141" s="19"/>
      <c r="H141" s="19"/>
      <c r="I141" s="19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</row>
    <row r="142" spans="2:34" ht="41.25" customHeight="1">
      <c r="B142" s="21"/>
      <c r="C142" s="57" t="str">
        <f t="shared" si="4"/>
        <v/>
      </c>
      <c r="D142" s="18" t="e">
        <f>VLOOKUP(F142,LOOKUP!$C$2:$C$8,2,0)</f>
        <v>#N/A</v>
      </c>
      <c r="E142" s="18"/>
      <c r="F142" s="15"/>
      <c r="G142" s="19"/>
      <c r="H142" s="19"/>
      <c r="I142" s="19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</row>
    <row r="143" spans="2:34" ht="41.25" customHeight="1">
      <c r="B143" s="21"/>
      <c r="C143" s="57" t="str">
        <f t="shared" si="4"/>
        <v/>
      </c>
      <c r="D143" s="18" t="e">
        <f>VLOOKUP(F143,LOOKUP!$C$2:$C$8,2,0)</f>
        <v>#N/A</v>
      </c>
      <c r="E143" s="18"/>
      <c r="F143" s="15"/>
      <c r="G143" s="19"/>
      <c r="H143" s="19"/>
      <c r="I143" s="19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</row>
    <row r="144" spans="2:34" ht="41.25" customHeight="1">
      <c r="B144" s="21"/>
      <c r="C144" s="57" t="str">
        <f t="shared" si="4"/>
        <v/>
      </c>
      <c r="D144" s="18" t="e">
        <f>VLOOKUP(F144,LOOKUP!$C$2:$C$8,2,0)</f>
        <v>#N/A</v>
      </c>
      <c r="E144" s="18"/>
      <c r="F144" s="15"/>
      <c r="G144" s="19"/>
      <c r="H144" s="19"/>
      <c r="I144" s="19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</row>
    <row r="145" spans="1:94" ht="41.25" customHeight="1">
      <c r="B145" s="21"/>
      <c r="C145" s="57" t="str">
        <f t="shared" si="4"/>
        <v/>
      </c>
      <c r="D145" s="18" t="e">
        <f>VLOOKUP(F145,LOOKUP!$C$2:$C$8,2,0)</f>
        <v>#N/A</v>
      </c>
      <c r="E145" s="18"/>
      <c r="F145" s="15"/>
      <c r="G145" s="19"/>
      <c r="H145" s="19"/>
      <c r="I145" s="19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</row>
    <row r="146" spans="1:94" ht="41.25" customHeight="1">
      <c r="B146" s="21"/>
      <c r="C146" s="57" t="str">
        <f t="shared" si="4"/>
        <v/>
      </c>
      <c r="D146" s="18" t="e">
        <f>VLOOKUP(F146,LOOKUP!$C$2:$C$8,2,0)</f>
        <v>#N/A</v>
      </c>
      <c r="E146" s="18"/>
      <c r="F146" s="15"/>
      <c r="G146" s="19"/>
      <c r="H146" s="19"/>
      <c r="I146" s="19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</row>
    <row r="147" spans="1:94" ht="41.25" customHeight="1">
      <c r="B147" s="18"/>
      <c r="C147" s="57" t="str">
        <f t="shared" si="4"/>
        <v/>
      </c>
      <c r="D147" s="18" t="e">
        <f>VLOOKUP(F147,LOOKUP!$C$2:$C$8,2,0)</f>
        <v>#N/A</v>
      </c>
      <c r="E147" s="18"/>
      <c r="F147" s="18"/>
      <c r="G147" s="19"/>
      <c r="H147" s="19"/>
      <c r="I147" s="19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</row>
    <row r="148" spans="1:94" ht="41.25" customHeight="1">
      <c r="B148" s="18"/>
      <c r="C148" s="57" t="str">
        <f t="shared" si="4"/>
        <v/>
      </c>
      <c r="D148" s="18" t="e">
        <f>VLOOKUP(F148,LOOKUP!$C$2:$C$8,2,0)</f>
        <v>#N/A</v>
      </c>
      <c r="E148" s="18"/>
      <c r="F148" s="18"/>
      <c r="G148" s="23"/>
      <c r="H148" s="23"/>
      <c r="I148" s="23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</row>
    <row r="149" spans="1:94" ht="41.25" customHeight="1">
      <c r="B149" s="18"/>
      <c r="C149" s="57" t="str">
        <f t="shared" si="4"/>
        <v/>
      </c>
      <c r="D149" s="18" t="e">
        <f>VLOOKUP(F149,LOOKUP!$C$2:$C$8,2,0)</f>
        <v>#N/A</v>
      </c>
      <c r="E149" s="18"/>
      <c r="F149" s="18"/>
      <c r="G149" s="19"/>
      <c r="H149" s="19"/>
      <c r="I149" s="19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</row>
    <row r="150" spans="1:94" ht="41.25" customHeight="1">
      <c r="B150" s="18"/>
      <c r="C150" s="57" t="str">
        <f t="shared" si="4"/>
        <v/>
      </c>
      <c r="D150" s="18" t="e">
        <f>VLOOKUP(F150,LOOKUP!$C$2:$C$8,2,0)</f>
        <v>#N/A</v>
      </c>
      <c r="E150" s="18"/>
      <c r="F150" s="18"/>
      <c r="G150" s="19"/>
      <c r="H150" s="19"/>
      <c r="I150" s="19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</row>
    <row r="151" spans="1:94" ht="41.25" customHeight="1">
      <c r="B151" s="18"/>
      <c r="C151" s="57" t="str">
        <f t="shared" si="4"/>
        <v/>
      </c>
      <c r="D151" s="18" t="e">
        <f>VLOOKUP(F151,LOOKUP!$C$2:$C$8,2,0)</f>
        <v>#N/A</v>
      </c>
      <c r="E151" s="18"/>
      <c r="F151" s="18"/>
      <c r="G151" s="19"/>
      <c r="H151" s="19"/>
      <c r="I151" s="19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</row>
    <row r="152" spans="1:94" ht="41.25" customHeight="1">
      <c r="B152" s="18"/>
      <c r="C152" s="57" t="str">
        <f t="shared" si="4"/>
        <v/>
      </c>
      <c r="D152" s="18" t="e">
        <f>VLOOKUP(F152,LOOKUP!$C$2:$C$8,2,0)</f>
        <v>#N/A</v>
      </c>
      <c r="E152" s="18"/>
      <c r="F152" s="18"/>
      <c r="G152" s="19"/>
      <c r="H152" s="19"/>
      <c r="I152" s="19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</row>
    <row r="153" spans="1:94" ht="41.25" customHeight="1">
      <c r="B153" s="18"/>
      <c r="C153" s="57" t="str">
        <f t="shared" si="4"/>
        <v/>
      </c>
      <c r="D153" s="18" t="e">
        <f>VLOOKUP(F153,LOOKUP!$C$2:$C$8,2,0)</f>
        <v>#N/A</v>
      </c>
      <c r="E153" s="18"/>
      <c r="F153" s="18"/>
      <c r="G153" s="19"/>
      <c r="H153" s="19"/>
      <c r="I153" s="19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</row>
    <row r="154" spans="1:94" ht="41.25" customHeight="1">
      <c r="B154" s="18"/>
      <c r="C154" s="57" t="str">
        <f t="shared" si="4"/>
        <v/>
      </c>
      <c r="D154" s="18" t="e">
        <f>VLOOKUP(F154,LOOKUP!$C$2:$C$8,2,0)</f>
        <v>#N/A</v>
      </c>
      <c r="E154" s="18"/>
      <c r="F154" s="18"/>
      <c r="G154" s="19"/>
      <c r="H154" s="19"/>
      <c r="I154" s="19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</row>
    <row r="155" spans="1:94" ht="41.25" customHeight="1">
      <c r="B155" s="18"/>
      <c r="C155" s="57" t="str">
        <f t="shared" si="4"/>
        <v/>
      </c>
      <c r="D155" s="18" t="e">
        <f>VLOOKUP(F155,LOOKUP!$C$2:$C$8,2,0)</f>
        <v>#N/A</v>
      </c>
      <c r="E155" s="18"/>
      <c r="F155" s="18"/>
      <c r="G155" s="19"/>
      <c r="H155" s="19"/>
      <c r="I155" s="19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</row>
    <row r="156" spans="1:94" s="9" customFormat="1" ht="41.25" customHeight="1">
      <c r="A156" s="13"/>
      <c r="B156" s="21"/>
      <c r="C156" s="57" t="str">
        <f t="shared" si="4"/>
        <v/>
      </c>
      <c r="D156" s="18" t="e">
        <f>VLOOKUP(F156,LOOKUP!$C$2:$C$8,2,0)</f>
        <v>#N/A</v>
      </c>
      <c r="E156" s="18"/>
      <c r="F156" s="15"/>
      <c r="G156" s="19"/>
      <c r="H156" s="19"/>
      <c r="I156" s="19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</row>
    <row r="157" spans="1:94" ht="41.25" customHeight="1">
      <c r="B157" s="18"/>
      <c r="C157" s="57" t="str">
        <f t="shared" si="4"/>
        <v/>
      </c>
      <c r="D157" s="18" t="e">
        <f>VLOOKUP(F157,LOOKUP!$C$2:$C$8,2,0)</f>
        <v>#N/A</v>
      </c>
      <c r="E157" s="18"/>
      <c r="F157" s="18"/>
      <c r="G157" s="19"/>
      <c r="H157" s="19"/>
      <c r="I157" s="19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</row>
    <row r="158" spans="1:94" ht="41.25" customHeight="1">
      <c r="B158" s="18"/>
      <c r="C158" s="57" t="str">
        <f t="shared" si="4"/>
        <v/>
      </c>
      <c r="D158" s="18" t="e">
        <f>VLOOKUP(F158,LOOKUP!$C$2:$C$8,2,0)</f>
        <v>#N/A</v>
      </c>
      <c r="E158" s="18"/>
      <c r="F158" s="15"/>
      <c r="G158" s="19"/>
      <c r="H158" s="19"/>
      <c r="I158" s="19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</row>
    <row r="159" spans="1:94" ht="41.25" customHeight="1">
      <c r="B159" s="18"/>
      <c r="C159" s="57" t="str">
        <f t="shared" si="4"/>
        <v/>
      </c>
      <c r="D159" s="18" t="e">
        <f>VLOOKUP(F159,LOOKUP!$C$2:$C$8,2,0)</f>
        <v>#N/A</v>
      </c>
      <c r="E159" s="18"/>
      <c r="F159" s="18"/>
      <c r="G159" s="19"/>
      <c r="H159" s="19"/>
      <c r="I159" s="19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</row>
    <row r="160" spans="1:94" ht="41.25" customHeight="1">
      <c r="B160" s="18"/>
      <c r="C160" s="57" t="str">
        <f t="shared" si="4"/>
        <v/>
      </c>
      <c r="D160" s="18" t="e">
        <f>VLOOKUP(F160,LOOKUP!$C$2:$C$8,2,0)</f>
        <v>#N/A</v>
      </c>
      <c r="E160" s="18"/>
      <c r="F160" s="18"/>
      <c r="G160" s="19"/>
      <c r="H160" s="19"/>
      <c r="I160" s="19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</row>
    <row r="161" spans="2:34" ht="41.25" customHeight="1">
      <c r="B161" s="18"/>
      <c r="C161" s="57" t="str">
        <f t="shared" si="4"/>
        <v/>
      </c>
      <c r="D161" s="18" t="e">
        <f>VLOOKUP(F161,LOOKUP!$C$2:$C$8,2,0)</f>
        <v>#N/A</v>
      </c>
      <c r="E161" s="18"/>
      <c r="F161" s="18"/>
      <c r="G161" s="19"/>
      <c r="H161" s="19"/>
      <c r="I161" s="19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</row>
    <row r="162" spans="2:34" ht="41.25" customHeight="1">
      <c r="B162" s="18"/>
      <c r="C162" s="57" t="str">
        <f t="shared" si="4"/>
        <v/>
      </c>
      <c r="D162" s="18" t="e">
        <f>VLOOKUP(F162,LOOKUP!$C$2:$C$8,2,0)</f>
        <v>#N/A</v>
      </c>
      <c r="E162" s="18"/>
      <c r="F162" s="18"/>
      <c r="G162" s="19"/>
      <c r="H162" s="19"/>
      <c r="I162" s="19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</row>
    <row r="163" spans="2:34" ht="41.25" customHeight="1">
      <c r="B163" s="18"/>
      <c r="C163" s="57" t="str">
        <f t="shared" si="4"/>
        <v/>
      </c>
      <c r="D163" s="18" t="e">
        <f>VLOOKUP(F163,LOOKUP!$C$2:$C$8,2,0)</f>
        <v>#N/A</v>
      </c>
      <c r="E163" s="18"/>
      <c r="F163" s="18"/>
      <c r="G163" s="19"/>
      <c r="H163" s="19"/>
      <c r="I163" s="19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</row>
    <row r="164" spans="2:34" ht="41.25" customHeight="1">
      <c r="B164" s="18"/>
      <c r="C164" s="57" t="str">
        <f t="shared" si="4"/>
        <v/>
      </c>
      <c r="D164" s="18" t="e">
        <f>VLOOKUP(F164,LOOKUP!$C$2:$C$8,2,0)</f>
        <v>#N/A</v>
      </c>
      <c r="E164" s="18"/>
      <c r="F164" s="18"/>
      <c r="G164" s="19"/>
      <c r="H164" s="19"/>
      <c r="I164" s="19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</row>
    <row r="165" spans="2:34" ht="41.25" customHeight="1">
      <c r="B165" s="21"/>
      <c r="C165" s="57" t="str">
        <f t="shared" si="4"/>
        <v/>
      </c>
      <c r="D165" s="18" t="e">
        <f>VLOOKUP(F165,LOOKUP!$C$2:$C$8,2,0)</f>
        <v>#N/A</v>
      </c>
      <c r="E165" s="18"/>
      <c r="F165" s="15"/>
      <c r="G165" s="19"/>
      <c r="H165" s="19"/>
      <c r="I165" s="19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</row>
    <row r="166" spans="2:34" ht="41.25" customHeight="1">
      <c r="B166" s="21"/>
      <c r="C166" s="57" t="str">
        <f t="shared" si="4"/>
        <v/>
      </c>
      <c r="D166" s="18" t="e">
        <f>VLOOKUP(F166,LOOKUP!$C$2:$C$8,2,0)</f>
        <v>#N/A</v>
      </c>
      <c r="E166" s="18"/>
      <c r="F166" s="15"/>
      <c r="G166" s="19"/>
      <c r="H166" s="19"/>
      <c r="I166" s="19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</row>
    <row r="167" spans="2:34" ht="41.25" customHeight="1">
      <c r="B167" s="21"/>
      <c r="C167" s="57" t="str">
        <f t="shared" si="4"/>
        <v/>
      </c>
      <c r="D167" s="18" t="e">
        <f>VLOOKUP(F167,LOOKUP!$C$2:$C$8,2,0)</f>
        <v>#N/A</v>
      </c>
      <c r="E167" s="18"/>
      <c r="F167" s="15"/>
      <c r="G167" s="19"/>
      <c r="H167" s="19"/>
      <c r="I167" s="19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</row>
    <row r="168" spans="2:34" ht="41.25" customHeight="1">
      <c r="B168" s="18"/>
      <c r="C168" s="57" t="str">
        <f t="shared" si="4"/>
        <v/>
      </c>
      <c r="D168" s="18" t="e">
        <f>VLOOKUP(F168,LOOKUP!$C$2:$C$8,2,0)</f>
        <v>#N/A</v>
      </c>
      <c r="E168" s="18"/>
      <c r="F168" s="18"/>
      <c r="G168" s="19"/>
      <c r="H168" s="19"/>
      <c r="I168" s="19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</row>
    <row r="169" spans="2:34" ht="41.25" customHeight="1">
      <c r="B169" s="18"/>
      <c r="C169" s="57" t="str">
        <f t="shared" si="4"/>
        <v/>
      </c>
      <c r="D169" s="18" t="e">
        <f>VLOOKUP(F169,LOOKUP!$C$2:$C$8,2,0)</f>
        <v>#N/A</v>
      </c>
      <c r="E169" s="18"/>
      <c r="F169" s="15"/>
      <c r="G169" s="19"/>
      <c r="H169" s="19"/>
      <c r="I169" s="19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</row>
    <row r="170" spans="2:34" ht="41.25" customHeight="1">
      <c r="B170" s="21"/>
      <c r="C170" s="57" t="str">
        <f t="shared" si="4"/>
        <v/>
      </c>
      <c r="D170" s="18" t="e">
        <f>VLOOKUP(F170,LOOKUP!$C$2:$C$8,2,0)</f>
        <v>#N/A</v>
      </c>
      <c r="E170" s="18"/>
      <c r="F170" s="15"/>
      <c r="G170" s="19"/>
      <c r="H170" s="19"/>
      <c r="I170" s="19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</row>
    <row r="171" spans="2:34" ht="41.25" customHeight="1">
      <c r="B171" s="21"/>
      <c r="C171" s="57" t="str">
        <f t="shared" si="4"/>
        <v/>
      </c>
      <c r="D171" s="18" t="e">
        <f>VLOOKUP(F171,LOOKUP!$C$2:$C$8,2,0)</f>
        <v>#N/A</v>
      </c>
      <c r="E171" s="18"/>
      <c r="F171" s="15"/>
      <c r="G171" s="19"/>
      <c r="H171" s="19"/>
      <c r="I171" s="19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</row>
    <row r="172" spans="2:34" ht="41.25" customHeight="1">
      <c r="B172" s="21"/>
      <c r="C172" s="57" t="str">
        <f t="shared" si="4"/>
        <v/>
      </c>
      <c r="D172" s="18" t="e">
        <f>VLOOKUP(F172,LOOKUP!$C$2:$C$8,2,0)</f>
        <v>#N/A</v>
      </c>
      <c r="E172" s="18"/>
      <c r="F172" s="15"/>
      <c r="G172" s="19"/>
      <c r="H172" s="19"/>
      <c r="I172" s="19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</row>
    <row r="173" spans="2:34" ht="41.25" customHeight="1">
      <c r="B173" s="21"/>
      <c r="C173" s="57" t="str">
        <f t="shared" si="4"/>
        <v/>
      </c>
      <c r="D173" s="18" t="e">
        <f>VLOOKUP(F173,LOOKUP!$C$2:$C$8,2,0)</f>
        <v>#N/A</v>
      </c>
      <c r="E173" s="18"/>
      <c r="F173" s="15"/>
      <c r="G173" s="19"/>
      <c r="H173" s="19"/>
      <c r="I173" s="19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</row>
    <row r="174" spans="2:34" ht="41.25" customHeight="1">
      <c r="B174" s="21"/>
      <c r="C174" s="57" t="str">
        <f t="shared" si="4"/>
        <v/>
      </c>
      <c r="D174" s="18" t="e">
        <f>VLOOKUP(F174,LOOKUP!$C$2:$C$8,2,0)</f>
        <v>#N/A</v>
      </c>
      <c r="E174" s="18"/>
      <c r="F174" s="15"/>
      <c r="G174" s="19"/>
      <c r="H174" s="19"/>
      <c r="I174" s="19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</row>
    <row r="175" spans="2:34" ht="41.25" customHeight="1">
      <c r="B175" s="21"/>
      <c r="C175" s="57" t="str">
        <f t="shared" si="4"/>
        <v/>
      </c>
      <c r="D175" s="18" t="e">
        <f>VLOOKUP(F175,LOOKUP!$C$2:$C$8,2,0)</f>
        <v>#N/A</v>
      </c>
      <c r="E175" s="18"/>
      <c r="F175" s="15"/>
      <c r="G175" s="19"/>
      <c r="H175" s="19"/>
      <c r="I175" s="19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</row>
    <row r="176" spans="2:34" ht="41.25" customHeight="1">
      <c r="B176" s="21"/>
      <c r="C176" s="57" t="str">
        <f t="shared" si="4"/>
        <v/>
      </c>
      <c r="D176" s="18" t="e">
        <f>VLOOKUP(F176,LOOKUP!$C$2:$C$8,2,0)</f>
        <v>#N/A</v>
      </c>
      <c r="E176" s="18"/>
      <c r="F176" s="15"/>
      <c r="G176" s="19"/>
      <c r="H176" s="19"/>
      <c r="I176" s="19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</row>
    <row r="177" spans="2:34" ht="41.25" customHeight="1">
      <c r="B177" s="21"/>
      <c r="C177" s="57" t="str">
        <f t="shared" si="4"/>
        <v/>
      </c>
      <c r="D177" s="18" t="e">
        <f>VLOOKUP(F177,LOOKUP!$C$2:$C$8,2,0)</f>
        <v>#N/A</v>
      </c>
      <c r="E177" s="18"/>
      <c r="F177" s="15"/>
      <c r="G177" s="19"/>
      <c r="H177" s="19"/>
      <c r="I177" s="19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</row>
    <row r="178" spans="2:34" ht="41.25" customHeight="1">
      <c r="B178" s="21"/>
      <c r="C178" s="57" t="str">
        <f t="shared" si="4"/>
        <v/>
      </c>
      <c r="D178" s="18" t="e">
        <f>VLOOKUP(F178,LOOKUP!$C$2:$C$8,2,0)</f>
        <v>#N/A</v>
      </c>
      <c r="E178" s="18"/>
      <c r="F178" s="15"/>
      <c r="G178" s="19"/>
      <c r="H178" s="19"/>
      <c r="I178" s="19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</row>
    <row r="179" spans="2:34" ht="41.25" customHeight="1">
      <c r="B179" s="18"/>
      <c r="C179" s="57" t="str">
        <f t="shared" si="4"/>
        <v/>
      </c>
      <c r="D179" s="18" t="e">
        <f>VLOOKUP(F179,LOOKUP!$C$2:$C$8,2,0)</f>
        <v>#N/A</v>
      </c>
      <c r="E179" s="18"/>
      <c r="F179" s="15"/>
      <c r="G179" s="19"/>
      <c r="H179" s="19"/>
      <c r="I179" s="19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</row>
    <row r="180" spans="2:34" ht="41.25" customHeight="1">
      <c r="B180" s="21"/>
      <c r="C180" s="57" t="str">
        <f t="shared" si="4"/>
        <v/>
      </c>
      <c r="D180" s="18" t="e">
        <f>VLOOKUP(F180,LOOKUP!$C$2:$C$8,2,0)</f>
        <v>#N/A</v>
      </c>
      <c r="E180" s="18"/>
      <c r="F180" s="15"/>
      <c r="G180" s="19"/>
      <c r="H180" s="19"/>
      <c r="I180" s="19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</row>
    <row r="181" spans="2:34" ht="41.25" customHeight="1">
      <c r="B181" s="21"/>
      <c r="C181" s="57" t="str">
        <f t="shared" si="4"/>
        <v/>
      </c>
      <c r="D181" s="18" t="e">
        <f>VLOOKUP(F181,LOOKUP!$C$2:$C$8,2,0)</f>
        <v>#N/A</v>
      </c>
      <c r="E181" s="18"/>
      <c r="F181" s="15"/>
      <c r="G181" s="19"/>
      <c r="H181" s="19"/>
      <c r="I181" s="19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</row>
    <row r="182" spans="2:34" ht="41.25" customHeight="1">
      <c r="B182" s="21"/>
      <c r="C182" s="57" t="str">
        <f t="shared" ref="C182:C245" si="5">IF(B182="","",MONTH(B182))</f>
        <v/>
      </c>
      <c r="D182" s="18" t="e">
        <f>VLOOKUP(F182,LOOKUP!$C$2:$C$8,2,0)</f>
        <v>#N/A</v>
      </c>
      <c r="E182" s="18"/>
      <c r="F182" s="15"/>
      <c r="G182" s="19"/>
      <c r="H182" s="19"/>
      <c r="I182" s="19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</row>
    <row r="183" spans="2:34" ht="41.25" customHeight="1">
      <c r="B183" s="21"/>
      <c r="C183" s="57" t="str">
        <f t="shared" si="5"/>
        <v/>
      </c>
      <c r="D183" s="18" t="e">
        <f>VLOOKUP(F183,LOOKUP!$C$2:$C$8,2,0)</f>
        <v>#N/A</v>
      </c>
      <c r="E183" s="18"/>
      <c r="F183" s="15"/>
      <c r="G183" s="19"/>
      <c r="H183" s="19"/>
      <c r="I183" s="19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</row>
    <row r="184" spans="2:34" ht="41.25" customHeight="1">
      <c r="B184" s="21"/>
      <c r="C184" s="57" t="str">
        <f t="shared" si="5"/>
        <v/>
      </c>
      <c r="D184" s="18"/>
      <c r="E184" s="18"/>
      <c r="F184" s="15"/>
      <c r="G184" s="19"/>
      <c r="H184" s="19"/>
      <c r="I184" s="19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</row>
    <row r="185" spans="2:34" ht="41.25" customHeight="1">
      <c r="B185" s="21"/>
      <c r="C185" s="57" t="str">
        <f t="shared" si="5"/>
        <v/>
      </c>
      <c r="D185" s="18"/>
      <c r="E185" s="18"/>
      <c r="F185" s="15"/>
      <c r="G185" s="19"/>
      <c r="H185" s="19"/>
      <c r="I185" s="19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</row>
    <row r="186" spans="2:34" ht="41.25" customHeight="1">
      <c r="B186" s="21"/>
      <c r="C186" s="57" t="str">
        <f t="shared" si="5"/>
        <v/>
      </c>
      <c r="D186" s="18"/>
      <c r="E186" s="18"/>
      <c r="F186" s="15"/>
      <c r="G186" s="19"/>
      <c r="H186" s="19"/>
      <c r="I186" s="19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</row>
    <row r="187" spans="2:34" ht="41.25" customHeight="1">
      <c r="B187" s="21"/>
      <c r="C187" s="57" t="str">
        <f t="shared" si="5"/>
        <v/>
      </c>
      <c r="D187" s="18"/>
      <c r="E187" s="18"/>
      <c r="F187" s="15"/>
      <c r="G187" s="19"/>
      <c r="H187" s="19"/>
      <c r="I187" s="19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</row>
    <row r="188" spans="2:34" ht="41.25" customHeight="1">
      <c r="B188" s="21"/>
      <c r="C188" s="57" t="str">
        <f t="shared" si="5"/>
        <v/>
      </c>
      <c r="D188" s="18"/>
      <c r="E188" s="18"/>
      <c r="F188" s="15"/>
      <c r="G188" s="19"/>
      <c r="H188" s="19"/>
      <c r="I188" s="19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</row>
    <row r="189" spans="2:34" ht="41.25" customHeight="1">
      <c r="B189" s="21"/>
      <c r="C189" s="57" t="str">
        <f t="shared" si="5"/>
        <v/>
      </c>
      <c r="D189" s="18"/>
      <c r="E189" s="18"/>
      <c r="F189" s="15"/>
      <c r="G189" s="19"/>
      <c r="H189" s="19"/>
      <c r="I189" s="19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</row>
    <row r="190" spans="2:34" ht="41.25" customHeight="1">
      <c r="B190" s="21"/>
      <c r="C190" s="57" t="str">
        <f t="shared" si="5"/>
        <v/>
      </c>
      <c r="D190" s="18"/>
      <c r="E190" s="18"/>
      <c r="F190" s="15"/>
      <c r="G190" s="19"/>
      <c r="H190" s="19"/>
      <c r="I190" s="19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</row>
    <row r="191" spans="2:34" ht="41.25" customHeight="1">
      <c r="B191" s="21"/>
      <c r="C191" s="57" t="str">
        <f t="shared" si="5"/>
        <v/>
      </c>
      <c r="D191" s="18"/>
      <c r="E191" s="18"/>
      <c r="F191" s="15"/>
      <c r="G191" s="19"/>
      <c r="H191" s="19"/>
      <c r="I191" s="19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</row>
    <row r="192" spans="2:34" ht="41.25" customHeight="1">
      <c r="B192" s="21"/>
      <c r="C192" s="57" t="str">
        <f t="shared" si="5"/>
        <v/>
      </c>
      <c r="D192" s="18"/>
      <c r="E192" s="18"/>
      <c r="F192" s="15"/>
      <c r="G192" s="19"/>
      <c r="H192" s="19"/>
      <c r="I192" s="19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</row>
    <row r="193" spans="2:34" ht="41.25" customHeight="1">
      <c r="B193" s="21"/>
      <c r="C193" s="57" t="str">
        <f t="shared" si="5"/>
        <v/>
      </c>
      <c r="D193" s="18"/>
      <c r="E193" s="18"/>
      <c r="F193" s="15"/>
      <c r="G193" s="19"/>
      <c r="H193" s="19"/>
      <c r="I193" s="19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</row>
    <row r="194" spans="2:34" ht="41.25" customHeight="1">
      <c r="B194" s="21"/>
      <c r="C194" s="57" t="str">
        <f t="shared" si="5"/>
        <v/>
      </c>
      <c r="D194" s="18"/>
      <c r="E194" s="18"/>
      <c r="F194" s="15"/>
      <c r="G194" s="19"/>
      <c r="H194" s="19"/>
      <c r="I194" s="19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</row>
    <row r="195" spans="2:34" ht="41.25" customHeight="1">
      <c r="B195" s="21"/>
      <c r="C195" s="57" t="str">
        <f t="shared" si="5"/>
        <v/>
      </c>
      <c r="D195" s="18"/>
      <c r="E195" s="18"/>
      <c r="F195" s="15"/>
      <c r="G195" s="19"/>
      <c r="H195" s="19"/>
      <c r="I195" s="19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</row>
    <row r="196" spans="2:34" ht="41.25" customHeight="1">
      <c r="B196" s="21"/>
      <c r="C196" s="57" t="str">
        <f t="shared" si="5"/>
        <v/>
      </c>
      <c r="D196" s="18"/>
      <c r="E196" s="18"/>
      <c r="F196" s="15"/>
      <c r="G196" s="19"/>
      <c r="H196" s="19"/>
      <c r="I196" s="19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</row>
    <row r="197" spans="2:34" ht="41.25" customHeight="1">
      <c r="B197" s="21"/>
      <c r="C197" s="57" t="str">
        <f t="shared" si="5"/>
        <v/>
      </c>
      <c r="D197" s="18"/>
      <c r="E197" s="18"/>
      <c r="F197" s="15"/>
      <c r="G197" s="19"/>
      <c r="H197" s="19"/>
      <c r="I197" s="19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</row>
    <row r="198" spans="2:34" ht="41.25" customHeight="1">
      <c r="B198" s="21"/>
      <c r="C198" s="57" t="str">
        <f t="shared" si="5"/>
        <v/>
      </c>
      <c r="D198" s="18"/>
      <c r="E198" s="18"/>
      <c r="F198" s="15"/>
      <c r="G198" s="19"/>
      <c r="H198" s="19"/>
      <c r="I198" s="19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</row>
    <row r="199" spans="2:34" ht="41.25" customHeight="1">
      <c r="B199" s="21"/>
      <c r="C199" s="57" t="str">
        <f t="shared" si="5"/>
        <v/>
      </c>
      <c r="D199" s="18"/>
      <c r="E199" s="18"/>
      <c r="F199" s="15"/>
      <c r="G199" s="19"/>
      <c r="H199" s="19"/>
      <c r="I199" s="19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</row>
    <row r="200" spans="2:34" ht="41.25" customHeight="1">
      <c r="B200" s="21"/>
      <c r="C200" s="57" t="str">
        <f t="shared" si="5"/>
        <v/>
      </c>
      <c r="D200" s="18"/>
      <c r="E200" s="18"/>
      <c r="F200" s="15"/>
      <c r="G200" s="19"/>
      <c r="H200" s="19"/>
      <c r="I200" s="19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</row>
    <row r="201" spans="2:34" ht="41.25" customHeight="1">
      <c r="B201" s="21"/>
      <c r="C201" s="57" t="str">
        <f t="shared" si="5"/>
        <v/>
      </c>
      <c r="D201" s="18"/>
      <c r="E201" s="18"/>
      <c r="F201" s="15"/>
      <c r="G201" s="19"/>
      <c r="H201" s="19"/>
      <c r="I201" s="19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</row>
    <row r="202" spans="2:34" ht="41.25" customHeight="1">
      <c r="B202" s="21"/>
      <c r="C202" s="57" t="str">
        <f t="shared" si="5"/>
        <v/>
      </c>
      <c r="D202" s="18"/>
      <c r="E202" s="18"/>
      <c r="F202" s="15"/>
      <c r="G202" s="19"/>
      <c r="H202" s="19"/>
      <c r="I202" s="19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</row>
    <row r="203" spans="2:34" ht="41.25" customHeight="1">
      <c r="B203" s="21"/>
      <c r="C203" s="57" t="str">
        <f t="shared" si="5"/>
        <v/>
      </c>
      <c r="D203" s="18"/>
      <c r="E203" s="18"/>
      <c r="F203" s="15"/>
      <c r="G203" s="19"/>
      <c r="H203" s="19"/>
      <c r="I203" s="19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</row>
    <row r="204" spans="2:34" ht="41.25" customHeight="1">
      <c r="B204" s="21"/>
      <c r="C204" s="57" t="str">
        <f t="shared" si="5"/>
        <v/>
      </c>
      <c r="D204" s="18"/>
      <c r="E204" s="18"/>
      <c r="F204" s="15"/>
      <c r="G204" s="19"/>
      <c r="H204" s="19"/>
      <c r="I204" s="19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</row>
    <row r="205" spans="2:34" ht="41.25" customHeight="1">
      <c r="B205" s="21"/>
      <c r="C205" s="57" t="str">
        <f t="shared" si="5"/>
        <v/>
      </c>
      <c r="D205" s="18"/>
      <c r="E205" s="18"/>
      <c r="F205" s="15"/>
      <c r="G205" s="19"/>
      <c r="H205" s="19"/>
      <c r="I205" s="19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</row>
    <row r="206" spans="2:34" ht="41.25" customHeight="1">
      <c r="B206" s="21"/>
      <c r="C206" s="57" t="str">
        <f t="shared" si="5"/>
        <v/>
      </c>
      <c r="D206" s="18"/>
      <c r="E206" s="18"/>
      <c r="F206" s="15"/>
      <c r="G206" s="19"/>
      <c r="H206" s="19"/>
      <c r="I206" s="19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</row>
    <row r="207" spans="2:34" ht="41.25" customHeight="1">
      <c r="B207" s="21"/>
      <c r="C207" s="57" t="str">
        <f t="shared" si="5"/>
        <v/>
      </c>
      <c r="D207" s="18"/>
      <c r="E207" s="18"/>
      <c r="F207" s="15"/>
      <c r="G207" s="19"/>
      <c r="H207" s="19"/>
      <c r="I207" s="19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</row>
    <row r="208" spans="2:34" ht="41.25" customHeight="1">
      <c r="B208" s="21"/>
      <c r="C208" s="57" t="str">
        <f t="shared" si="5"/>
        <v/>
      </c>
      <c r="D208" s="18"/>
      <c r="E208" s="18"/>
      <c r="F208" s="15"/>
      <c r="G208" s="19"/>
      <c r="H208" s="19"/>
      <c r="I208" s="19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</row>
    <row r="209" spans="2:34" ht="41.25" customHeight="1">
      <c r="B209" s="21"/>
      <c r="C209" s="57" t="str">
        <f t="shared" si="5"/>
        <v/>
      </c>
      <c r="D209" s="18"/>
      <c r="E209" s="18"/>
      <c r="F209" s="15"/>
      <c r="G209" s="19"/>
      <c r="H209" s="19"/>
      <c r="I209" s="19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</row>
    <row r="210" spans="2:34" ht="41.25" customHeight="1">
      <c r="B210" s="21"/>
      <c r="C210" s="57" t="str">
        <f t="shared" si="5"/>
        <v/>
      </c>
      <c r="D210" s="18"/>
      <c r="E210" s="18"/>
      <c r="F210" s="15"/>
      <c r="G210" s="19"/>
      <c r="H210" s="19"/>
      <c r="I210" s="19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</row>
    <row r="211" spans="2:34" ht="41.25" customHeight="1">
      <c r="B211" s="21"/>
      <c r="C211" s="57" t="str">
        <f t="shared" si="5"/>
        <v/>
      </c>
      <c r="D211" s="18"/>
      <c r="E211" s="18"/>
      <c r="F211" s="15"/>
      <c r="G211" s="19"/>
      <c r="H211" s="19"/>
      <c r="I211" s="19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</row>
    <row r="212" spans="2:34" ht="41.25" customHeight="1">
      <c r="B212" s="21"/>
      <c r="C212" s="57" t="str">
        <f t="shared" si="5"/>
        <v/>
      </c>
      <c r="D212" s="18"/>
      <c r="E212" s="18"/>
      <c r="F212" s="15"/>
      <c r="G212" s="19"/>
      <c r="H212" s="19"/>
      <c r="I212" s="19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</row>
    <row r="213" spans="2:34" ht="41.25" customHeight="1">
      <c r="B213" s="21"/>
      <c r="C213" s="57" t="str">
        <f t="shared" si="5"/>
        <v/>
      </c>
      <c r="D213" s="18"/>
      <c r="E213" s="18"/>
      <c r="F213" s="15"/>
      <c r="G213" s="19"/>
      <c r="H213" s="19"/>
      <c r="I213" s="19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</row>
    <row r="214" spans="2:34" ht="41.25" customHeight="1">
      <c r="B214" s="21"/>
      <c r="C214" s="57" t="str">
        <f t="shared" si="5"/>
        <v/>
      </c>
      <c r="D214" s="18"/>
      <c r="E214" s="18"/>
      <c r="F214" s="15"/>
      <c r="G214" s="19"/>
      <c r="H214" s="19"/>
      <c r="I214" s="19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</row>
    <row r="215" spans="2:34" ht="41.25" customHeight="1">
      <c r="B215" s="21"/>
      <c r="C215" s="57" t="str">
        <f t="shared" si="5"/>
        <v/>
      </c>
      <c r="D215" s="18"/>
      <c r="E215" s="18"/>
      <c r="F215" s="15"/>
      <c r="G215" s="19"/>
      <c r="H215" s="19"/>
      <c r="I215" s="19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</row>
    <row r="216" spans="2:34" ht="41.25" customHeight="1">
      <c r="B216" s="21"/>
      <c r="C216" s="57" t="str">
        <f t="shared" si="5"/>
        <v/>
      </c>
      <c r="D216" s="18"/>
      <c r="E216" s="18"/>
      <c r="F216" s="15"/>
      <c r="G216" s="19"/>
      <c r="H216" s="19"/>
      <c r="I216" s="19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</row>
    <row r="217" spans="2:34" ht="41.25" customHeight="1">
      <c r="B217" s="21"/>
      <c r="C217" s="57" t="str">
        <f t="shared" si="5"/>
        <v/>
      </c>
      <c r="D217" s="18"/>
      <c r="E217" s="18"/>
      <c r="F217" s="15"/>
      <c r="G217" s="19"/>
      <c r="H217" s="19"/>
      <c r="I217" s="19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</row>
    <row r="218" spans="2:34" ht="41.25" customHeight="1">
      <c r="B218" s="21"/>
      <c r="C218" s="57" t="str">
        <f t="shared" si="5"/>
        <v/>
      </c>
      <c r="D218" s="18"/>
      <c r="E218" s="18"/>
      <c r="F218" s="15"/>
      <c r="G218" s="19"/>
      <c r="H218" s="19"/>
      <c r="I218" s="19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</row>
    <row r="219" spans="2:34" ht="41.25" customHeight="1">
      <c r="B219" s="21"/>
      <c r="C219" s="57" t="str">
        <f t="shared" si="5"/>
        <v/>
      </c>
      <c r="D219" s="18"/>
      <c r="E219" s="18"/>
      <c r="F219" s="15"/>
      <c r="G219" s="19"/>
      <c r="H219" s="19"/>
      <c r="I219" s="19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</row>
    <row r="220" spans="2:34" ht="41.25" customHeight="1">
      <c r="B220" s="21"/>
      <c r="C220" s="57" t="str">
        <f t="shared" si="5"/>
        <v/>
      </c>
      <c r="D220" s="18"/>
      <c r="E220" s="18"/>
      <c r="F220" s="15"/>
      <c r="G220" s="19"/>
      <c r="H220" s="19"/>
      <c r="I220" s="19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</row>
    <row r="221" spans="2:34" ht="41.25" customHeight="1">
      <c r="B221" s="21"/>
      <c r="C221" s="57" t="str">
        <f t="shared" si="5"/>
        <v/>
      </c>
      <c r="D221" s="18"/>
      <c r="E221" s="18"/>
      <c r="F221" s="15"/>
      <c r="G221" s="19"/>
      <c r="H221" s="19"/>
      <c r="I221" s="19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</row>
    <row r="222" spans="2:34" ht="41.25" customHeight="1">
      <c r="B222" s="21"/>
      <c r="C222" s="57" t="str">
        <f t="shared" si="5"/>
        <v/>
      </c>
      <c r="D222" s="18"/>
      <c r="E222" s="18"/>
      <c r="F222" s="15"/>
      <c r="G222" s="19"/>
      <c r="H222" s="19"/>
      <c r="I222" s="19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</row>
    <row r="223" spans="2:34" ht="41.25" customHeight="1">
      <c r="B223" s="21"/>
      <c r="C223" s="57" t="str">
        <f t="shared" si="5"/>
        <v/>
      </c>
      <c r="D223" s="18"/>
      <c r="E223" s="18"/>
      <c r="F223" s="15"/>
      <c r="G223" s="19"/>
      <c r="H223" s="19"/>
      <c r="I223" s="19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</row>
    <row r="224" spans="2:34" ht="41.25" customHeight="1">
      <c r="B224" s="21"/>
      <c r="C224" s="57" t="str">
        <f t="shared" si="5"/>
        <v/>
      </c>
      <c r="D224" s="18"/>
      <c r="E224" s="18"/>
      <c r="F224" s="15"/>
      <c r="G224" s="19"/>
      <c r="H224" s="19"/>
      <c r="I224" s="19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</row>
    <row r="225" spans="1:34" ht="41.25" customHeight="1">
      <c r="B225" s="21"/>
      <c r="C225" s="57" t="str">
        <f t="shared" si="5"/>
        <v/>
      </c>
      <c r="D225" s="18"/>
      <c r="E225" s="18"/>
      <c r="F225" s="15"/>
      <c r="G225" s="19"/>
      <c r="H225" s="19"/>
      <c r="I225" s="19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</row>
    <row r="226" spans="1:34" ht="41.25" customHeight="1">
      <c r="B226" s="21"/>
      <c r="C226" s="57" t="str">
        <f t="shared" si="5"/>
        <v/>
      </c>
      <c r="D226" s="18"/>
      <c r="E226" s="18"/>
      <c r="F226" s="15"/>
      <c r="G226" s="19"/>
      <c r="H226" s="19"/>
      <c r="I226" s="19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</row>
    <row r="227" spans="1:34" ht="41.25" customHeight="1">
      <c r="B227" s="21"/>
      <c r="C227" s="57" t="str">
        <f t="shared" si="5"/>
        <v/>
      </c>
      <c r="D227" s="18"/>
      <c r="E227" s="18"/>
      <c r="F227" s="15"/>
      <c r="G227" s="19"/>
      <c r="H227" s="19"/>
      <c r="I227" s="19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</row>
    <row r="228" spans="1:34" ht="41.25" customHeight="1">
      <c r="B228" s="21"/>
      <c r="C228" s="57" t="str">
        <f t="shared" si="5"/>
        <v/>
      </c>
      <c r="D228" s="18"/>
      <c r="E228" s="18"/>
      <c r="F228" s="15"/>
      <c r="G228" s="19"/>
      <c r="H228" s="19"/>
      <c r="I228" s="19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</row>
    <row r="229" spans="1:34" s="9" customFormat="1" ht="41.25" customHeight="1">
      <c r="A229" s="13"/>
      <c r="B229" s="21"/>
      <c r="C229" s="57" t="str">
        <f t="shared" si="5"/>
        <v/>
      </c>
      <c r="D229" s="18"/>
      <c r="E229" s="18"/>
      <c r="F229" s="15"/>
      <c r="G229" s="19"/>
      <c r="H229" s="19"/>
      <c r="I229" s="19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</row>
    <row r="230" spans="1:34" ht="41.25" customHeight="1">
      <c r="B230" s="21"/>
      <c r="C230" s="57" t="str">
        <f t="shared" si="5"/>
        <v/>
      </c>
      <c r="D230" s="18"/>
      <c r="E230" s="18"/>
      <c r="F230" s="15"/>
      <c r="G230" s="19"/>
      <c r="H230" s="19"/>
      <c r="I230" s="19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</row>
    <row r="231" spans="1:34" ht="41.25" customHeight="1">
      <c r="B231" s="21"/>
      <c r="C231" s="57" t="str">
        <f t="shared" si="5"/>
        <v/>
      </c>
      <c r="D231" s="18"/>
      <c r="E231" s="18"/>
      <c r="F231" s="15"/>
      <c r="G231" s="19"/>
      <c r="H231" s="19"/>
      <c r="I231" s="19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</row>
    <row r="232" spans="1:34" ht="41.25" customHeight="1">
      <c r="B232" s="21"/>
      <c r="C232" s="57" t="str">
        <f t="shared" si="5"/>
        <v/>
      </c>
      <c r="D232" s="18"/>
      <c r="E232" s="18"/>
      <c r="F232" s="15"/>
      <c r="G232" s="19"/>
      <c r="H232" s="19"/>
      <c r="I232" s="19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</row>
    <row r="233" spans="1:34" ht="41.25" customHeight="1">
      <c r="B233" s="21"/>
      <c r="C233" s="57" t="str">
        <f t="shared" si="5"/>
        <v/>
      </c>
      <c r="D233" s="18"/>
      <c r="E233" s="18"/>
      <c r="F233" s="15"/>
      <c r="G233" s="19"/>
      <c r="H233" s="19"/>
      <c r="I233" s="19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</row>
    <row r="234" spans="1:34" ht="41.25" customHeight="1">
      <c r="B234" s="21"/>
      <c r="C234" s="57" t="str">
        <f t="shared" si="5"/>
        <v/>
      </c>
      <c r="D234" s="18"/>
      <c r="E234" s="18"/>
      <c r="F234" s="15"/>
      <c r="G234" s="19"/>
      <c r="H234" s="19"/>
      <c r="I234" s="19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</row>
    <row r="235" spans="1:34" ht="41.25" customHeight="1">
      <c r="B235" s="21"/>
      <c r="C235" s="57" t="str">
        <f t="shared" si="5"/>
        <v/>
      </c>
      <c r="D235" s="18"/>
      <c r="E235" s="18"/>
      <c r="F235" s="15"/>
      <c r="G235" s="19"/>
      <c r="H235" s="19"/>
      <c r="I235" s="19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</row>
    <row r="236" spans="1:34" ht="41.25" customHeight="1">
      <c r="B236" s="21"/>
      <c r="C236" s="57" t="str">
        <f t="shared" si="5"/>
        <v/>
      </c>
      <c r="D236" s="18"/>
      <c r="E236" s="18"/>
      <c r="F236" s="15"/>
      <c r="G236" s="19"/>
      <c r="H236" s="19"/>
      <c r="I236" s="19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</row>
    <row r="237" spans="1:34" ht="41.25" customHeight="1">
      <c r="B237" s="21"/>
      <c r="C237" s="57" t="str">
        <f t="shared" si="5"/>
        <v/>
      </c>
      <c r="D237" s="18"/>
      <c r="E237" s="18"/>
      <c r="F237" s="15"/>
      <c r="G237" s="19"/>
      <c r="H237" s="19"/>
      <c r="I237" s="19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</row>
    <row r="238" spans="1:34" ht="41.25" customHeight="1">
      <c r="B238" s="21"/>
      <c r="C238" s="57" t="str">
        <f t="shared" si="5"/>
        <v/>
      </c>
      <c r="D238" s="18"/>
      <c r="E238" s="18"/>
      <c r="F238" s="15"/>
      <c r="G238" s="19"/>
      <c r="H238" s="19"/>
      <c r="I238" s="19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</row>
    <row r="239" spans="1:34" ht="41.25" customHeight="1">
      <c r="B239" s="21"/>
      <c r="C239" s="57" t="str">
        <f t="shared" si="5"/>
        <v/>
      </c>
      <c r="D239" s="18"/>
      <c r="E239" s="18"/>
      <c r="F239" s="15"/>
      <c r="G239" s="19"/>
      <c r="H239" s="19"/>
      <c r="I239" s="19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</row>
    <row r="240" spans="1:34" ht="41.25" customHeight="1">
      <c r="B240" s="21"/>
      <c r="C240" s="57" t="str">
        <f t="shared" si="5"/>
        <v/>
      </c>
      <c r="D240" s="18"/>
      <c r="E240" s="18"/>
      <c r="F240" s="15"/>
      <c r="G240" s="19"/>
      <c r="H240" s="19"/>
      <c r="I240" s="19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</row>
    <row r="241" spans="2:34" ht="41.25" customHeight="1">
      <c r="B241" s="21"/>
      <c r="C241" s="57" t="str">
        <f t="shared" si="5"/>
        <v/>
      </c>
      <c r="D241" s="18"/>
      <c r="E241" s="18"/>
      <c r="F241" s="15"/>
      <c r="G241" s="19"/>
      <c r="H241" s="19"/>
      <c r="I241" s="19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</row>
    <row r="242" spans="2:34" ht="41.25" customHeight="1">
      <c r="B242" s="21"/>
      <c r="C242" s="57" t="str">
        <f t="shared" si="5"/>
        <v/>
      </c>
      <c r="D242" s="18"/>
      <c r="E242" s="18"/>
      <c r="F242" s="15"/>
      <c r="G242" s="19"/>
      <c r="H242" s="19"/>
      <c r="I242" s="19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</row>
    <row r="243" spans="2:34" ht="41.25" customHeight="1">
      <c r="B243" s="21"/>
      <c r="C243" s="57" t="str">
        <f t="shared" si="5"/>
        <v/>
      </c>
      <c r="D243" s="18"/>
      <c r="E243" s="18"/>
      <c r="F243" s="15"/>
      <c r="G243" s="19"/>
      <c r="H243" s="19"/>
      <c r="I243" s="19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</row>
    <row r="244" spans="2:34" ht="41.25" customHeight="1">
      <c r="B244" s="21"/>
      <c r="C244" s="57" t="str">
        <f t="shared" si="5"/>
        <v/>
      </c>
      <c r="D244" s="18"/>
      <c r="E244" s="18"/>
      <c r="F244" s="15"/>
      <c r="G244" s="19"/>
      <c r="H244" s="19"/>
      <c r="I244" s="19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</row>
    <row r="245" spans="2:34" ht="41.25" customHeight="1">
      <c r="B245" s="21"/>
      <c r="C245" s="57" t="str">
        <f t="shared" si="5"/>
        <v/>
      </c>
      <c r="D245" s="18"/>
      <c r="E245" s="18"/>
      <c r="F245" s="15"/>
      <c r="G245" s="19"/>
      <c r="H245" s="19"/>
      <c r="I245" s="19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</row>
    <row r="246" spans="2:34" ht="41.25" customHeight="1">
      <c r="B246" s="21"/>
      <c r="C246" s="57" t="str">
        <f t="shared" ref="C246:C309" si="6">IF(B246="","",MONTH(B246))</f>
        <v/>
      </c>
      <c r="D246" s="18"/>
      <c r="E246" s="18"/>
      <c r="F246" s="15"/>
      <c r="G246" s="19"/>
      <c r="H246" s="19"/>
      <c r="I246" s="19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</row>
    <row r="247" spans="2:34" ht="41.25" customHeight="1">
      <c r="B247" s="21"/>
      <c r="C247" s="57" t="str">
        <f t="shared" si="6"/>
        <v/>
      </c>
      <c r="D247" s="18"/>
      <c r="E247" s="18"/>
      <c r="F247" s="15"/>
      <c r="G247" s="19"/>
      <c r="H247" s="19"/>
      <c r="I247" s="19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</row>
    <row r="248" spans="2:34" ht="41.25" customHeight="1">
      <c r="B248" s="21"/>
      <c r="C248" s="57" t="str">
        <f t="shared" si="6"/>
        <v/>
      </c>
      <c r="D248" s="18"/>
      <c r="E248" s="18"/>
      <c r="F248" s="15"/>
      <c r="G248" s="19"/>
      <c r="H248" s="19"/>
      <c r="I248" s="19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</row>
    <row r="249" spans="2:34" ht="41.25" customHeight="1">
      <c r="B249" s="21"/>
      <c r="C249" s="57" t="str">
        <f t="shared" si="6"/>
        <v/>
      </c>
      <c r="D249" s="18"/>
      <c r="E249" s="18"/>
      <c r="F249" s="15"/>
      <c r="G249" s="19"/>
      <c r="H249" s="19"/>
      <c r="I249" s="19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</row>
    <row r="250" spans="2:34" ht="41.25" customHeight="1">
      <c r="B250" s="21"/>
      <c r="C250" s="57" t="str">
        <f t="shared" si="6"/>
        <v/>
      </c>
      <c r="D250" s="18"/>
      <c r="E250" s="18"/>
      <c r="F250" s="15"/>
      <c r="G250" s="19"/>
      <c r="H250" s="19"/>
      <c r="I250" s="19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</row>
    <row r="251" spans="2:34" ht="41.25" customHeight="1">
      <c r="B251" s="21"/>
      <c r="C251" s="57" t="str">
        <f t="shared" si="6"/>
        <v/>
      </c>
      <c r="D251" s="18"/>
      <c r="E251" s="18"/>
      <c r="F251" s="15"/>
      <c r="G251" s="19"/>
      <c r="H251" s="19"/>
      <c r="I251" s="19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</row>
    <row r="252" spans="2:34" ht="41.25" customHeight="1">
      <c r="B252" s="21"/>
      <c r="C252" s="57" t="str">
        <f t="shared" si="6"/>
        <v/>
      </c>
      <c r="D252" s="18"/>
      <c r="E252" s="18"/>
      <c r="F252" s="15"/>
      <c r="G252" s="19"/>
      <c r="H252" s="19"/>
      <c r="I252" s="19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</row>
    <row r="253" spans="2:34" ht="41.25" customHeight="1">
      <c r="B253" s="21"/>
      <c r="C253" s="57" t="str">
        <f t="shared" si="6"/>
        <v/>
      </c>
      <c r="D253" s="18"/>
      <c r="E253" s="18"/>
      <c r="F253" s="15"/>
      <c r="G253" s="19"/>
      <c r="H253" s="19"/>
      <c r="I253" s="19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</row>
    <row r="254" spans="2:34" ht="41.25" customHeight="1">
      <c r="B254" s="21"/>
      <c r="C254" s="57" t="str">
        <f t="shared" si="6"/>
        <v/>
      </c>
      <c r="D254" s="18"/>
      <c r="E254" s="18"/>
      <c r="F254" s="15"/>
      <c r="G254" s="19"/>
      <c r="H254" s="19"/>
      <c r="I254" s="19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</row>
    <row r="255" spans="2:34" ht="41.25" customHeight="1">
      <c r="B255" s="21"/>
      <c r="C255" s="57" t="str">
        <f t="shared" si="6"/>
        <v/>
      </c>
      <c r="D255" s="18"/>
      <c r="E255" s="18"/>
      <c r="F255" s="15"/>
      <c r="G255" s="19"/>
      <c r="H255" s="19"/>
      <c r="I255" s="19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</row>
    <row r="256" spans="2:34" ht="41.25" customHeight="1">
      <c r="B256" s="21"/>
      <c r="C256" s="57" t="str">
        <f t="shared" si="6"/>
        <v/>
      </c>
      <c r="D256" s="18"/>
      <c r="E256" s="18"/>
      <c r="F256" s="15"/>
      <c r="G256" s="19"/>
      <c r="H256" s="19"/>
      <c r="I256" s="19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</row>
    <row r="257" spans="2:34" ht="41.25" customHeight="1">
      <c r="B257" s="21"/>
      <c r="C257" s="57" t="str">
        <f t="shared" si="6"/>
        <v/>
      </c>
      <c r="D257" s="18"/>
      <c r="E257" s="18"/>
      <c r="F257" s="15"/>
      <c r="G257" s="19"/>
      <c r="H257" s="19"/>
      <c r="I257" s="19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</row>
    <row r="258" spans="2:34" ht="41.25" customHeight="1">
      <c r="B258" s="21"/>
      <c r="C258" s="57" t="str">
        <f t="shared" si="6"/>
        <v/>
      </c>
      <c r="D258" s="18"/>
      <c r="E258" s="18"/>
      <c r="F258" s="15"/>
      <c r="G258" s="19"/>
      <c r="H258" s="19"/>
      <c r="I258" s="19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</row>
    <row r="259" spans="2:34" ht="41.25" customHeight="1">
      <c r="B259" s="21"/>
      <c r="C259" s="57" t="str">
        <f t="shared" si="6"/>
        <v/>
      </c>
      <c r="D259" s="18"/>
      <c r="E259" s="18"/>
      <c r="F259" s="15"/>
      <c r="G259" s="19"/>
      <c r="H259" s="19"/>
      <c r="I259" s="19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</row>
    <row r="260" spans="2:34" ht="41.25" customHeight="1">
      <c r="B260" s="21"/>
      <c r="C260" s="57" t="str">
        <f t="shared" si="6"/>
        <v/>
      </c>
      <c r="D260" s="18"/>
      <c r="E260" s="18"/>
      <c r="F260" s="15"/>
      <c r="G260" s="19"/>
      <c r="H260" s="19"/>
      <c r="I260" s="19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</row>
    <row r="261" spans="2:34" ht="41.25" customHeight="1">
      <c r="B261" s="21"/>
      <c r="C261" s="57" t="str">
        <f t="shared" si="6"/>
        <v/>
      </c>
      <c r="D261" s="18"/>
      <c r="E261" s="18"/>
      <c r="F261" s="15"/>
      <c r="G261" s="19"/>
      <c r="H261" s="19"/>
      <c r="I261" s="19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</row>
    <row r="262" spans="2:34" ht="41.25" customHeight="1">
      <c r="B262" s="21"/>
      <c r="C262" s="57" t="str">
        <f t="shared" si="6"/>
        <v/>
      </c>
      <c r="D262" s="18"/>
      <c r="E262" s="18"/>
      <c r="F262" s="15"/>
      <c r="G262" s="19"/>
      <c r="H262" s="19"/>
      <c r="I262" s="19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</row>
    <row r="263" spans="2:34" ht="41.25" customHeight="1">
      <c r="B263" s="21"/>
      <c r="C263" s="57" t="str">
        <f t="shared" si="6"/>
        <v/>
      </c>
      <c r="D263" s="18"/>
      <c r="E263" s="18"/>
      <c r="F263" s="15"/>
      <c r="G263" s="19"/>
      <c r="H263" s="19"/>
      <c r="I263" s="19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</row>
    <row r="264" spans="2:34" ht="41.25" customHeight="1">
      <c r="B264" s="21"/>
      <c r="C264" s="57" t="str">
        <f t="shared" si="6"/>
        <v/>
      </c>
      <c r="D264" s="18"/>
      <c r="E264" s="18"/>
      <c r="F264" s="15"/>
      <c r="G264" s="19"/>
      <c r="H264" s="19"/>
      <c r="I264" s="19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</row>
    <row r="265" spans="2:34" ht="41.25" customHeight="1">
      <c r="B265" s="21"/>
      <c r="C265" s="57" t="str">
        <f t="shared" si="6"/>
        <v/>
      </c>
      <c r="D265" s="18"/>
      <c r="E265" s="18"/>
      <c r="F265" s="15"/>
      <c r="G265" s="19"/>
      <c r="H265" s="19"/>
      <c r="I265" s="19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</row>
    <row r="266" spans="2:34" ht="41.25" customHeight="1">
      <c r="B266" s="21"/>
      <c r="C266" s="57" t="str">
        <f t="shared" si="6"/>
        <v/>
      </c>
      <c r="D266" s="18"/>
      <c r="E266" s="18"/>
      <c r="F266" s="15"/>
      <c r="G266" s="19"/>
      <c r="H266" s="19"/>
      <c r="I266" s="19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</row>
    <row r="267" spans="2:34" ht="41.25" customHeight="1">
      <c r="B267" s="21"/>
      <c r="C267" s="57" t="str">
        <f t="shared" si="6"/>
        <v/>
      </c>
      <c r="D267" s="18"/>
      <c r="E267" s="18"/>
      <c r="F267" s="15"/>
      <c r="G267" s="19"/>
      <c r="H267" s="19"/>
      <c r="I267" s="19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</row>
    <row r="268" spans="2:34" ht="41.25" customHeight="1">
      <c r="B268" s="21"/>
      <c r="C268" s="57" t="str">
        <f t="shared" si="6"/>
        <v/>
      </c>
      <c r="D268" s="18"/>
      <c r="E268" s="18"/>
      <c r="F268" s="15"/>
      <c r="G268" s="19"/>
      <c r="H268" s="19"/>
      <c r="I268" s="19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</row>
    <row r="269" spans="2:34" ht="41.25" customHeight="1">
      <c r="B269" s="21"/>
      <c r="C269" s="57" t="str">
        <f t="shared" si="6"/>
        <v/>
      </c>
      <c r="D269" s="18"/>
      <c r="E269" s="18"/>
      <c r="F269" s="15"/>
      <c r="G269" s="19"/>
      <c r="H269" s="19"/>
      <c r="I269" s="19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</row>
    <row r="270" spans="2:34" ht="41.25" customHeight="1">
      <c r="B270" s="21"/>
      <c r="C270" s="57" t="str">
        <f t="shared" si="6"/>
        <v/>
      </c>
      <c r="D270" s="18"/>
      <c r="E270" s="18"/>
      <c r="F270" s="15"/>
      <c r="G270" s="19"/>
      <c r="H270" s="19"/>
      <c r="I270" s="19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</row>
    <row r="271" spans="2:34" ht="41.25" customHeight="1">
      <c r="B271" s="21"/>
      <c r="C271" s="57" t="str">
        <f t="shared" si="6"/>
        <v/>
      </c>
      <c r="D271" s="18"/>
      <c r="E271" s="18"/>
      <c r="F271" s="15"/>
      <c r="G271" s="19"/>
      <c r="H271" s="19"/>
      <c r="I271" s="19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</row>
    <row r="272" spans="2:34" ht="41.25" customHeight="1">
      <c r="B272" s="21"/>
      <c r="C272" s="57" t="str">
        <f t="shared" si="6"/>
        <v/>
      </c>
      <c r="D272" s="18"/>
      <c r="E272" s="18"/>
      <c r="F272" s="15"/>
      <c r="G272" s="19"/>
      <c r="H272" s="19"/>
      <c r="I272" s="19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</row>
    <row r="273" spans="2:34" ht="41.25" customHeight="1">
      <c r="B273" s="21"/>
      <c r="C273" s="57" t="str">
        <f t="shared" si="6"/>
        <v/>
      </c>
      <c r="D273" s="18"/>
      <c r="E273" s="18"/>
      <c r="F273" s="15"/>
      <c r="G273" s="19"/>
      <c r="H273" s="19"/>
      <c r="I273" s="19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</row>
    <row r="274" spans="2:34" ht="41.25" customHeight="1">
      <c r="B274" s="21"/>
      <c r="C274" s="57" t="str">
        <f t="shared" si="6"/>
        <v/>
      </c>
      <c r="D274" s="18"/>
      <c r="E274" s="18"/>
      <c r="F274" s="15"/>
      <c r="G274" s="19"/>
      <c r="H274" s="19"/>
      <c r="I274" s="19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</row>
    <row r="275" spans="2:34" ht="41.25" customHeight="1">
      <c r="B275" s="21"/>
      <c r="C275" s="57" t="str">
        <f t="shared" si="6"/>
        <v/>
      </c>
      <c r="D275" s="18"/>
      <c r="E275" s="18"/>
      <c r="F275" s="15"/>
      <c r="G275" s="19"/>
      <c r="H275" s="19"/>
      <c r="I275" s="19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</row>
    <row r="276" spans="2:34" ht="41.25" customHeight="1">
      <c r="B276" s="21"/>
      <c r="C276" s="57" t="str">
        <f t="shared" si="6"/>
        <v/>
      </c>
      <c r="D276" s="18"/>
      <c r="E276" s="18"/>
      <c r="F276" s="15"/>
      <c r="G276" s="19"/>
      <c r="H276" s="19"/>
      <c r="I276" s="19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</row>
    <row r="277" spans="2:34" ht="41.25" customHeight="1">
      <c r="B277" s="21"/>
      <c r="C277" s="57" t="str">
        <f t="shared" si="6"/>
        <v/>
      </c>
      <c r="D277" s="18"/>
      <c r="E277" s="18"/>
      <c r="F277" s="15"/>
      <c r="G277" s="19"/>
      <c r="H277" s="19"/>
      <c r="I277" s="19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</row>
    <row r="278" spans="2:34" ht="41.25" customHeight="1">
      <c r="B278" s="21"/>
      <c r="C278" s="57" t="str">
        <f t="shared" si="6"/>
        <v/>
      </c>
      <c r="D278" s="18"/>
      <c r="E278" s="18"/>
      <c r="F278" s="15"/>
      <c r="G278" s="19"/>
      <c r="H278" s="19"/>
      <c r="I278" s="19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</row>
    <row r="279" spans="2:34" ht="41.25" customHeight="1">
      <c r="B279" s="21"/>
      <c r="C279" s="57" t="str">
        <f t="shared" si="6"/>
        <v/>
      </c>
      <c r="D279" s="18"/>
      <c r="E279" s="18"/>
      <c r="F279" s="15"/>
      <c r="G279" s="19"/>
      <c r="H279" s="19"/>
      <c r="I279" s="19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</row>
    <row r="280" spans="2:34" ht="41.25" customHeight="1" outlineLevel="1">
      <c r="B280" s="21"/>
      <c r="C280" s="57" t="str">
        <f t="shared" si="6"/>
        <v/>
      </c>
      <c r="D280" s="18"/>
      <c r="E280" s="18"/>
      <c r="F280" s="15"/>
      <c r="G280" s="19"/>
      <c r="H280" s="19"/>
      <c r="I280" s="19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</row>
    <row r="281" spans="2:34" ht="41.25" customHeight="1" outlineLevel="1">
      <c r="B281" s="21"/>
      <c r="C281" s="57" t="str">
        <f t="shared" si="6"/>
        <v/>
      </c>
      <c r="D281" s="18"/>
      <c r="E281" s="18"/>
      <c r="F281" s="15"/>
      <c r="G281" s="19"/>
      <c r="H281" s="19"/>
      <c r="I281" s="19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</row>
    <row r="282" spans="2:34" ht="41.25" customHeight="1" outlineLevel="1">
      <c r="B282" s="21"/>
      <c r="C282" s="57" t="str">
        <f t="shared" si="6"/>
        <v/>
      </c>
      <c r="D282" s="18"/>
      <c r="E282" s="18"/>
      <c r="F282" s="15"/>
      <c r="G282" s="19"/>
      <c r="H282" s="19"/>
      <c r="I282" s="19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</row>
    <row r="283" spans="2:34" ht="41.25" customHeight="1" outlineLevel="1">
      <c r="B283" s="21"/>
      <c r="C283" s="57" t="str">
        <f t="shared" si="6"/>
        <v/>
      </c>
      <c r="D283" s="18"/>
      <c r="E283" s="18"/>
      <c r="F283" s="15"/>
      <c r="G283" s="19"/>
      <c r="H283" s="19"/>
      <c r="I283" s="19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</row>
    <row r="284" spans="2:34" ht="41.25" customHeight="1" outlineLevel="1">
      <c r="B284" s="21"/>
      <c r="C284" s="57" t="str">
        <f t="shared" si="6"/>
        <v/>
      </c>
      <c r="D284" s="18"/>
      <c r="E284" s="18"/>
      <c r="F284" s="15"/>
      <c r="G284" s="19"/>
      <c r="H284" s="19"/>
      <c r="I284" s="19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</row>
    <row r="285" spans="2:34" ht="41.25" customHeight="1" outlineLevel="1">
      <c r="B285" s="21"/>
      <c r="C285" s="57" t="str">
        <f t="shared" si="6"/>
        <v/>
      </c>
      <c r="D285" s="18"/>
      <c r="E285" s="18"/>
      <c r="F285" s="15"/>
      <c r="G285" s="19"/>
      <c r="H285" s="19"/>
      <c r="I285" s="19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</row>
    <row r="286" spans="2:34" ht="41.25" customHeight="1" outlineLevel="1">
      <c r="B286" s="21"/>
      <c r="C286" s="57" t="str">
        <f t="shared" si="6"/>
        <v/>
      </c>
      <c r="D286" s="18"/>
      <c r="E286" s="18"/>
      <c r="F286" s="15"/>
      <c r="G286" s="19"/>
      <c r="H286" s="19"/>
      <c r="I286" s="19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</row>
    <row r="287" spans="2:34" ht="41.25" customHeight="1" outlineLevel="1">
      <c r="B287" s="21"/>
      <c r="C287" s="57" t="str">
        <f t="shared" si="6"/>
        <v/>
      </c>
      <c r="D287" s="18"/>
      <c r="E287" s="18"/>
      <c r="F287" s="15"/>
      <c r="G287" s="19"/>
      <c r="H287" s="19"/>
      <c r="I287" s="19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</row>
    <row r="288" spans="2:34" ht="41.25" customHeight="1" outlineLevel="1">
      <c r="B288" s="21"/>
      <c r="C288" s="57" t="str">
        <f t="shared" si="6"/>
        <v/>
      </c>
      <c r="D288" s="18"/>
      <c r="E288" s="18"/>
      <c r="F288" s="15"/>
      <c r="G288" s="19"/>
      <c r="H288" s="19"/>
      <c r="I288" s="19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</row>
    <row r="289" spans="2:34" ht="41.25" customHeight="1" outlineLevel="1">
      <c r="B289" s="21"/>
      <c r="C289" s="57" t="str">
        <f t="shared" si="6"/>
        <v/>
      </c>
      <c r="D289" s="18"/>
      <c r="E289" s="18"/>
      <c r="F289" s="15"/>
      <c r="G289" s="19"/>
      <c r="H289" s="19"/>
      <c r="I289" s="19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</row>
    <row r="290" spans="2:34" ht="41.25" customHeight="1" outlineLevel="1">
      <c r="B290" s="21"/>
      <c r="C290" s="57" t="str">
        <f t="shared" si="6"/>
        <v/>
      </c>
      <c r="D290" s="18"/>
      <c r="E290" s="18"/>
      <c r="F290" s="15"/>
      <c r="G290" s="19"/>
      <c r="H290" s="19"/>
      <c r="I290" s="19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</row>
    <row r="291" spans="2:34" ht="41.25" customHeight="1" outlineLevel="1">
      <c r="B291" s="21"/>
      <c r="C291" s="57" t="str">
        <f t="shared" si="6"/>
        <v/>
      </c>
      <c r="D291" s="18"/>
      <c r="E291" s="18"/>
      <c r="F291" s="15"/>
      <c r="G291" s="19"/>
      <c r="H291" s="19"/>
      <c r="I291" s="19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</row>
    <row r="292" spans="2:34" ht="41.25" customHeight="1" outlineLevel="1">
      <c r="B292" s="21"/>
      <c r="C292" s="57" t="str">
        <f t="shared" si="6"/>
        <v/>
      </c>
      <c r="D292" s="18"/>
      <c r="E292" s="18"/>
      <c r="F292" s="15"/>
      <c r="G292" s="19"/>
      <c r="H292" s="19"/>
      <c r="I292" s="19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</row>
    <row r="293" spans="2:34" ht="41.25" customHeight="1" outlineLevel="1">
      <c r="B293" s="21"/>
      <c r="C293" s="57" t="str">
        <f t="shared" si="6"/>
        <v/>
      </c>
      <c r="D293" s="18"/>
      <c r="E293" s="18"/>
      <c r="F293" s="15"/>
      <c r="G293" s="19"/>
      <c r="H293" s="19"/>
      <c r="I293" s="19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</row>
    <row r="294" spans="2:34" ht="41.25" customHeight="1" outlineLevel="1">
      <c r="B294" s="21"/>
      <c r="C294" s="57" t="str">
        <f t="shared" si="6"/>
        <v/>
      </c>
      <c r="D294" s="18"/>
      <c r="E294" s="18"/>
      <c r="F294" s="15"/>
      <c r="G294" s="19"/>
      <c r="H294" s="19"/>
      <c r="I294" s="19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</row>
    <row r="295" spans="2:34" ht="41.25" customHeight="1" outlineLevel="1">
      <c r="B295" s="21"/>
      <c r="C295" s="57" t="str">
        <f t="shared" si="6"/>
        <v/>
      </c>
      <c r="D295" s="18"/>
      <c r="E295" s="18"/>
      <c r="F295" s="15"/>
      <c r="G295" s="19"/>
      <c r="H295" s="19"/>
      <c r="I295" s="19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</row>
    <row r="296" spans="2:34" ht="41.25" customHeight="1" outlineLevel="1">
      <c r="B296" s="21"/>
      <c r="C296" s="57" t="str">
        <f t="shared" si="6"/>
        <v/>
      </c>
      <c r="D296" s="18"/>
      <c r="E296" s="18"/>
      <c r="F296" s="15"/>
      <c r="G296" s="19"/>
      <c r="H296" s="19"/>
      <c r="I296" s="19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</row>
    <row r="297" spans="2:34" ht="41.25" customHeight="1" outlineLevel="1">
      <c r="B297" s="21"/>
      <c r="C297" s="57" t="str">
        <f t="shared" si="6"/>
        <v/>
      </c>
      <c r="D297" s="18"/>
      <c r="E297" s="18"/>
      <c r="F297" s="15"/>
      <c r="G297" s="19"/>
      <c r="H297" s="19"/>
      <c r="I297" s="19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</row>
    <row r="298" spans="2:34" ht="41.25" customHeight="1" outlineLevel="1">
      <c r="B298" s="21"/>
      <c r="C298" s="57" t="str">
        <f t="shared" si="6"/>
        <v/>
      </c>
      <c r="D298" s="18"/>
      <c r="E298" s="18"/>
      <c r="F298" s="15"/>
      <c r="G298" s="19"/>
      <c r="H298" s="19"/>
      <c r="I298" s="19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</row>
    <row r="299" spans="2:34" ht="41.25" customHeight="1" outlineLevel="1">
      <c r="B299" s="21"/>
      <c r="C299" s="57" t="str">
        <f t="shared" si="6"/>
        <v/>
      </c>
      <c r="D299" s="18"/>
      <c r="E299" s="18"/>
      <c r="F299" s="15"/>
      <c r="G299" s="19"/>
      <c r="H299" s="19"/>
      <c r="I299" s="19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</row>
    <row r="300" spans="2:34" ht="41.25" customHeight="1" outlineLevel="1">
      <c r="B300" s="21"/>
      <c r="C300" s="57" t="str">
        <f t="shared" si="6"/>
        <v/>
      </c>
      <c r="D300" s="18"/>
      <c r="E300" s="18"/>
      <c r="F300" s="15"/>
      <c r="G300" s="19"/>
      <c r="H300" s="19"/>
      <c r="I300" s="19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</row>
    <row r="301" spans="2:34" ht="41.25" customHeight="1" outlineLevel="1">
      <c r="B301" s="21"/>
      <c r="C301" s="57" t="str">
        <f t="shared" si="6"/>
        <v/>
      </c>
      <c r="D301" s="18"/>
      <c r="E301" s="18"/>
      <c r="F301" s="15"/>
      <c r="G301" s="19"/>
      <c r="H301" s="19"/>
      <c r="I301" s="19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</row>
    <row r="302" spans="2:34" ht="41.25" customHeight="1" outlineLevel="1">
      <c r="B302" s="21"/>
      <c r="C302" s="57" t="str">
        <f t="shared" si="6"/>
        <v/>
      </c>
      <c r="D302" s="18"/>
      <c r="E302" s="18"/>
      <c r="F302" s="15"/>
      <c r="G302" s="19"/>
      <c r="H302" s="19"/>
      <c r="I302" s="19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</row>
    <row r="303" spans="2:34" ht="41.25" customHeight="1" outlineLevel="1">
      <c r="B303" s="21"/>
      <c r="C303" s="57" t="str">
        <f t="shared" si="6"/>
        <v/>
      </c>
      <c r="D303" s="18"/>
      <c r="E303" s="18"/>
      <c r="F303" s="15"/>
      <c r="G303" s="19"/>
      <c r="H303" s="19"/>
      <c r="I303" s="19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</row>
    <row r="304" spans="2:34" ht="41.25" customHeight="1" outlineLevel="1">
      <c r="B304" s="21"/>
      <c r="C304" s="57" t="str">
        <f t="shared" si="6"/>
        <v/>
      </c>
      <c r="D304" s="18"/>
      <c r="E304" s="18"/>
      <c r="F304" s="15"/>
      <c r="G304" s="19"/>
      <c r="H304" s="19"/>
      <c r="I304" s="19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</row>
    <row r="305" spans="2:34" ht="41.25" customHeight="1" outlineLevel="1">
      <c r="B305" s="21"/>
      <c r="C305" s="57" t="str">
        <f t="shared" si="6"/>
        <v/>
      </c>
      <c r="D305" s="18"/>
      <c r="E305" s="18"/>
      <c r="F305" s="15"/>
      <c r="G305" s="19"/>
      <c r="H305" s="19"/>
      <c r="I305" s="19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</row>
    <row r="306" spans="2:34" ht="41.25" customHeight="1" outlineLevel="1">
      <c r="B306" s="21"/>
      <c r="C306" s="57" t="str">
        <f t="shared" si="6"/>
        <v/>
      </c>
      <c r="D306" s="18"/>
      <c r="E306" s="18"/>
      <c r="F306" s="15"/>
      <c r="G306" s="19"/>
      <c r="H306" s="19"/>
      <c r="I306" s="19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</row>
    <row r="307" spans="2:34" ht="41.25" customHeight="1" outlineLevel="1">
      <c r="B307" s="21"/>
      <c r="C307" s="57" t="str">
        <f t="shared" si="6"/>
        <v/>
      </c>
      <c r="D307" s="18"/>
      <c r="E307" s="18"/>
      <c r="F307" s="15"/>
      <c r="G307" s="19"/>
      <c r="H307" s="19"/>
      <c r="I307" s="19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</row>
    <row r="308" spans="2:34" ht="41.25" customHeight="1" outlineLevel="1">
      <c r="B308" s="21"/>
      <c r="C308" s="57" t="str">
        <f t="shared" si="6"/>
        <v/>
      </c>
      <c r="D308" s="18"/>
      <c r="E308" s="18"/>
      <c r="F308" s="15"/>
      <c r="G308" s="19"/>
      <c r="H308" s="19"/>
      <c r="I308" s="19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</row>
    <row r="309" spans="2:34" ht="41.25" customHeight="1" outlineLevel="1">
      <c r="B309" s="21"/>
      <c r="C309" s="57" t="str">
        <f t="shared" si="6"/>
        <v/>
      </c>
      <c r="D309" s="18"/>
      <c r="E309" s="18"/>
      <c r="F309" s="15"/>
      <c r="G309" s="19"/>
      <c r="H309" s="19"/>
      <c r="I309" s="19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</row>
    <row r="310" spans="2:34" ht="41.25" customHeight="1" outlineLevel="1">
      <c r="B310" s="21"/>
      <c r="C310" s="57" t="str">
        <f t="shared" ref="C310:C373" si="7">IF(B310="","",MONTH(B310))</f>
        <v/>
      </c>
      <c r="D310" s="18"/>
      <c r="E310" s="18"/>
      <c r="F310" s="15"/>
      <c r="G310" s="19"/>
      <c r="H310" s="19"/>
      <c r="I310" s="19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</row>
    <row r="311" spans="2:34" ht="41.25" customHeight="1" outlineLevel="1">
      <c r="B311" s="21"/>
      <c r="C311" s="57" t="str">
        <f t="shared" si="7"/>
        <v/>
      </c>
      <c r="D311" s="18"/>
      <c r="E311" s="18"/>
      <c r="F311" s="15"/>
      <c r="G311" s="19"/>
      <c r="H311" s="19"/>
      <c r="I311" s="19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</row>
    <row r="312" spans="2:34" ht="41.25" customHeight="1" outlineLevel="1">
      <c r="B312" s="21"/>
      <c r="C312" s="57" t="str">
        <f t="shared" si="7"/>
        <v/>
      </c>
      <c r="D312" s="18"/>
      <c r="E312" s="18"/>
      <c r="F312" s="15"/>
      <c r="G312" s="19"/>
      <c r="H312" s="19"/>
      <c r="I312" s="19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</row>
    <row r="313" spans="2:34" ht="41.25" customHeight="1" outlineLevel="1">
      <c r="B313" s="21"/>
      <c r="C313" s="57" t="str">
        <f t="shared" si="7"/>
        <v/>
      </c>
      <c r="D313" s="18"/>
      <c r="E313" s="18"/>
      <c r="F313" s="15"/>
      <c r="G313" s="19"/>
      <c r="H313" s="19"/>
      <c r="I313" s="19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</row>
    <row r="314" spans="2:34" ht="41.25" customHeight="1" outlineLevel="1">
      <c r="B314" s="21"/>
      <c r="C314" s="57" t="str">
        <f t="shared" si="7"/>
        <v/>
      </c>
      <c r="D314" s="18"/>
      <c r="E314" s="18"/>
      <c r="F314" s="15"/>
      <c r="G314" s="19"/>
      <c r="H314" s="19"/>
      <c r="I314" s="19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</row>
    <row r="315" spans="2:34" ht="41.25" customHeight="1" outlineLevel="1">
      <c r="B315" s="21"/>
      <c r="C315" s="57" t="str">
        <f t="shared" si="7"/>
        <v/>
      </c>
      <c r="D315" s="18"/>
      <c r="E315" s="18"/>
      <c r="F315" s="15"/>
      <c r="G315" s="19"/>
      <c r="H315" s="19"/>
      <c r="I315" s="19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</row>
    <row r="316" spans="2:34" ht="41.25" customHeight="1" outlineLevel="1">
      <c r="B316" s="21"/>
      <c r="C316" s="57" t="str">
        <f t="shared" si="7"/>
        <v/>
      </c>
      <c r="D316" s="18"/>
      <c r="E316" s="18"/>
      <c r="F316" s="15"/>
      <c r="G316" s="19"/>
      <c r="H316" s="19"/>
      <c r="I316" s="19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</row>
    <row r="317" spans="2:34" ht="41.25" customHeight="1" outlineLevel="1">
      <c r="B317" s="21"/>
      <c r="C317" s="57" t="str">
        <f t="shared" si="7"/>
        <v/>
      </c>
      <c r="D317" s="18"/>
      <c r="E317" s="18"/>
      <c r="F317" s="15"/>
      <c r="G317" s="19"/>
      <c r="H317" s="19"/>
      <c r="I317" s="19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</row>
    <row r="318" spans="2:34" ht="41.25" customHeight="1" outlineLevel="1">
      <c r="B318" s="21"/>
      <c r="C318" s="57" t="str">
        <f t="shared" si="7"/>
        <v/>
      </c>
      <c r="D318" s="18"/>
      <c r="E318" s="18"/>
      <c r="F318" s="15"/>
      <c r="G318" s="19"/>
      <c r="H318" s="19"/>
      <c r="I318" s="19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</row>
    <row r="319" spans="2:34" ht="41.25" customHeight="1" outlineLevel="1">
      <c r="B319" s="21"/>
      <c r="C319" s="57" t="str">
        <f t="shared" si="7"/>
        <v/>
      </c>
      <c r="D319" s="18"/>
      <c r="E319" s="18"/>
      <c r="F319" s="15"/>
      <c r="G319" s="19"/>
      <c r="H319" s="19"/>
      <c r="I319" s="19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</row>
    <row r="320" spans="2:34" ht="41.25" customHeight="1" outlineLevel="1">
      <c r="B320" s="21"/>
      <c r="C320" s="57" t="str">
        <f t="shared" si="7"/>
        <v/>
      </c>
      <c r="D320" s="18"/>
      <c r="E320" s="18"/>
      <c r="F320" s="15"/>
      <c r="G320" s="19"/>
      <c r="H320" s="19"/>
      <c r="I320" s="19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</row>
    <row r="321" spans="2:34" ht="41.25" customHeight="1" outlineLevel="1">
      <c r="B321" s="21"/>
      <c r="C321" s="57" t="str">
        <f t="shared" si="7"/>
        <v/>
      </c>
      <c r="D321" s="18"/>
      <c r="E321" s="18"/>
      <c r="F321" s="15"/>
      <c r="G321" s="19"/>
      <c r="H321" s="19"/>
      <c r="I321" s="19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</row>
    <row r="322" spans="2:34" ht="41.25" customHeight="1" outlineLevel="1">
      <c r="B322" s="21"/>
      <c r="C322" s="57" t="str">
        <f t="shared" si="7"/>
        <v/>
      </c>
      <c r="D322" s="18"/>
      <c r="E322" s="18"/>
      <c r="F322" s="15"/>
      <c r="G322" s="19"/>
      <c r="H322" s="19"/>
      <c r="I322" s="19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</row>
    <row r="323" spans="2:34" ht="41.25" customHeight="1" outlineLevel="1">
      <c r="B323" s="21"/>
      <c r="C323" s="57" t="str">
        <f t="shared" si="7"/>
        <v/>
      </c>
      <c r="D323" s="18"/>
      <c r="E323" s="18"/>
      <c r="F323" s="15"/>
      <c r="G323" s="19"/>
      <c r="H323" s="19"/>
      <c r="I323" s="19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</row>
    <row r="324" spans="2:34" ht="41.25" customHeight="1" outlineLevel="1">
      <c r="B324" s="21"/>
      <c r="C324" s="57" t="str">
        <f t="shared" si="7"/>
        <v/>
      </c>
      <c r="D324" s="18"/>
      <c r="E324" s="18"/>
      <c r="F324" s="15"/>
      <c r="G324" s="19"/>
      <c r="H324" s="19"/>
      <c r="I324" s="19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</row>
    <row r="325" spans="2:34" ht="41.25" customHeight="1" outlineLevel="1">
      <c r="B325" s="21"/>
      <c r="C325" s="57" t="str">
        <f t="shared" si="7"/>
        <v/>
      </c>
      <c r="D325" s="18"/>
      <c r="E325" s="18"/>
      <c r="F325" s="15"/>
      <c r="G325" s="19"/>
      <c r="H325" s="19"/>
      <c r="I325" s="19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</row>
    <row r="326" spans="2:34" ht="41.25" customHeight="1" outlineLevel="1">
      <c r="B326" s="21"/>
      <c r="C326" s="57" t="str">
        <f t="shared" si="7"/>
        <v/>
      </c>
      <c r="D326" s="18"/>
      <c r="E326" s="18"/>
      <c r="F326" s="15"/>
      <c r="G326" s="19"/>
      <c r="H326" s="19"/>
      <c r="I326" s="19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</row>
    <row r="327" spans="2:34" ht="41.25" customHeight="1" outlineLevel="1">
      <c r="B327" s="21"/>
      <c r="C327" s="57" t="str">
        <f t="shared" si="7"/>
        <v/>
      </c>
      <c r="D327" s="18"/>
      <c r="E327" s="18"/>
      <c r="F327" s="15"/>
      <c r="G327" s="19"/>
      <c r="H327" s="19"/>
      <c r="I327" s="19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</row>
    <row r="328" spans="2:34" ht="41.25" customHeight="1" outlineLevel="1">
      <c r="B328" s="21"/>
      <c r="C328" s="57" t="str">
        <f t="shared" si="7"/>
        <v/>
      </c>
      <c r="D328" s="18"/>
      <c r="E328" s="18"/>
      <c r="F328" s="15"/>
      <c r="G328" s="19"/>
      <c r="H328" s="19"/>
      <c r="I328" s="19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</row>
    <row r="329" spans="2:34" ht="41.25" customHeight="1" outlineLevel="1">
      <c r="B329" s="21"/>
      <c r="C329" s="57" t="str">
        <f t="shared" si="7"/>
        <v/>
      </c>
      <c r="D329" s="18"/>
      <c r="E329" s="18"/>
      <c r="F329" s="15"/>
      <c r="G329" s="19"/>
      <c r="H329" s="19"/>
      <c r="I329" s="19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</row>
    <row r="330" spans="2:34" ht="41.25" customHeight="1" outlineLevel="1">
      <c r="B330" s="21"/>
      <c r="C330" s="57" t="str">
        <f t="shared" si="7"/>
        <v/>
      </c>
      <c r="D330" s="18"/>
      <c r="E330" s="18"/>
      <c r="F330" s="15"/>
      <c r="G330" s="19"/>
      <c r="H330" s="19"/>
      <c r="I330" s="19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</row>
    <row r="331" spans="2:34" ht="41.25" customHeight="1" outlineLevel="1">
      <c r="B331" s="21"/>
      <c r="C331" s="57" t="str">
        <f t="shared" si="7"/>
        <v/>
      </c>
      <c r="D331" s="18"/>
      <c r="E331" s="18"/>
      <c r="F331" s="15"/>
      <c r="G331" s="19"/>
      <c r="H331" s="19"/>
      <c r="I331" s="19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</row>
    <row r="332" spans="2:34" ht="41.25" customHeight="1" outlineLevel="1">
      <c r="B332" s="21"/>
      <c r="C332" s="57" t="str">
        <f t="shared" si="7"/>
        <v/>
      </c>
      <c r="D332" s="18"/>
      <c r="E332" s="18"/>
      <c r="F332" s="15"/>
      <c r="G332" s="19"/>
      <c r="H332" s="19"/>
      <c r="I332" s="19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</row>
    <row r="333" spans="2:34" ht="41.25" customHeight="1" outlineLevel="1">
      <c r="B333" s="21"/>
      <c r="C333" s="57" t="str">
        <f t="shared" si="7"/>
        <v/>
      </c>
      <c r="D333" s="18"/>
      <c r="E333" s="18"/>
      <c r="F333" s="15"/>
      <c r="G333" s="19"/>
      <c r="H333" s="19"/>
      <c r="I333" s="19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</row>
    <row r="334" spans="2:34" ht="41.25" customHeight="1" outlineLevel="1">
      <c r="B334" s="21"/>
      <c r="C334" s="57" t="str">
        <f t="shared" si="7"/>
        <v/>
      </c>
      <c r="D334" s="18"/>
      <c r="E334" s="18"/>
      <c r="F334" s="15"/>
      <c r="G334" s="19"/>
      <c r="H334" s="19"/>
      <c r="I334" s="19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</row>
    <row r="335" spans="2:34" ht="41.25" customHeight="1" outlineLevel="1">
      <c r="B335" s="21"/>
      <c r="C335" s="57" t="str">
        <f t="shared" si="7"/>
        <v/>
      </c>
      <c r="D335" s="18"/>
      <c r="E335" s="18"/>
      <c r="F335" s="15"/>
      <c r="G335" s="19"/>
      <c r="H335" s="19"/>
      <c r="I335" s="19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</row>
    <row r="336" spans="2:34" ht="41.25" customHeight="1" outlineLevel="1">
      <c r="B336" s="21"/>
      <c r="C336" s="57" t="str">
        <f t="shared" si="7"/>
        <v/>
      </c>
      <c r="D336" s="18"/>
      <c r="E336" s="18"/>
      <c r="F336" s="15"/>
      <c r="G336" s="19"/>
      <c r="H336" s="19"/>
      <c r="I336" s="19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</row>
    <row r="337" spans="2:34" ht="41.25" customHeight="1" outlineLevel="1">
      <c r="B337" s="21"/>
      <c r="C337" s="57" t="str">
        <f t="shared" si="7"/>
        <v/>
      </c>
      <c r="D337" s="18"/>
      <c r="E337" s="18"/>
      <c r="F337" s="15"/>
      <c r="G337" s="19"/>
      <c r="H337" s="19"/>
      <c r="I337" s="19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</row>
    <row r="338" spans="2:34" ht="41.25" customHeight="1" outlineLevel="1">
      <c r="B338" s="21"/>
      <c r="C338" s="57" t="str">
        <f t="shared" si="7"/>
        <v/>
      </c>
      <c r="D338" s="18"/>
      <c r="E338" s="18"/>
      <c r="F338" s="15"/>
      <c r="G338" s="19"/>
      <c r="H338" s="19"/>
      <c r="I338" s="19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</row>
    <row r="339" spans="2:34" ht="41.25" customHeight="1" outlineLevel="1">
      <c r="B339" s="21"/>
      <c r="C339" s="57" t="str">
        <f t="shared" si="7"/>
        <v/>
      </c>
      <c r="D339" s="18"/>
      <c r="E339" s="18"/>
      <c r="F339" s="15"/>
      <c r="G339" s="19"/>
      <c r="H339" s="19"/>
      <c r="I339" s="19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</row>
    <row r="340" spans="2:34" ht="41.25" customHeight="1" outlineLevel="1">
      <c r="B340" s="21"/>
      <c r="C340" s="57" t="str">
        <f t="shared" si="7"/>
        <v/>
      </c>
      <c r="D340" s="18"/>
      <c r="E340" s="18"/>
      <c r="F340" s="15"/>
      <c r="G340" s="19"/>
      <c r="H340" s="19"/>
      <c r="I340" s="19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</row>
    <row r="341" spans="2:34" ht="41.25" customHeight="1" outlineLevel="1">
      <c r="B341" s="21"/>
      <c r="C341" s="57" t="str">
        <f t="shared" si="7"/>
        <v/>
      </c>
      <c r="D341" s="18"/>
      <c r="E341" s="18"/>
      <c r="F341" s="15"/>
      <c r="G341" s="19"/>
      <c r="H341" s="19"/>
      <c r="I341" s="19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</row>
    <row r="342" spans="2:34" ht="41.25" customHeight="1" outlineLevel="1">
      <c r="B342" s="21"/>
      <c r="C342" s="57" t="str">
        <f t="shared" si="7"/>
        <v/>
      </c>
      <c r="D342" s="18"/>
      <c r="E342" s="18"/>
      <c r="F342" s="15"/>
      <c r="G342" s="19"/>
      <c r="H342" s="19"/>
      <c r="I342" s="19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</row>
    <row r="343" spans="2:34" ht="41.25" customHeight="1" outlineLevel="1">
      <c r="B343" s="21"/>
      <c r="C343" s="57" t="str">
        <f t="shared" si="7"/>
        <v/>
      </c>
      <c r="D343" s="18"/>
      <c r="E343" s="18"/>
      <c r="F343" s="15"/>
      <c r="G343" s="19"/>
      <c r="H343" s="19"/>
      <c r="I343" s="19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</row>
    <row r="344" spans="2:34" ht="41.25" customHeight="1" outlineLevel="1">
      <c r="B344" s="21"/>
      <c r="C344" s="57" t="str">
        <f t="shared" si="7"/>
        <v/>
      </c>
      <c r="D344" s="18"/>
      <c r="E344" s="18"/>
      <c r="F344" s="15"/>
      <c r="G344" s="19"/>
      <c r="H344" s="19"/>
      <c r="I344" s="19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</row>
    <row r="345" spans="2:34" ht="41.25" customHeight="1" outlineLevel="1">
      <c r="B345" s="21"/>
      <c r="C345" s="57" t="str">
        <f t="shared" si="7"/>
        <v/>
      </c>
      <c r="D345" s="18"/>
      <c r="E345" s="18"/>
      <c r="F345" s="15"/>
      <c r="G345" s="19"/>
      <c r="H345" s="19"/>
      <c r="I345" s="19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</row>
    <row r="346" spans="2:34" ht="41.25" customHeight="1" outlineLevel="1">
      <c r="B346" s="21"/>
      <c r="C346" s="57" t="str">
        <f t="shared" si="7"/>
        <v/>
      </c>
      <c r="D346" s="18"/>
      <c r="E346" s="18"/>
      <c r="F346" s="15"/>
      <c r="G346" s="19"/>
      <c r="H346" s="19"/>
      <c r="I346" s="19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</row>
    <row r="347" spans="2:34" ht="41.25" customHeight="1" outlineLevel="1">
      <c r="B347" s="21"/>
      <c r="C347" s="57" t="str">
        <f t="shared" si="7"/>
        <v/>
      </c>
      <c r="D347" s="18"/>
      <c r="E347" s="18"/>
      <c r="F347" s="15"/>
      <c r="G347" s="19"/>
      <c r="H347" s="19"/>
      <c r="I347" s="19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</row>
    <row r="348" spans="2:34" ht="41.25" customHeight="1" outlineLevel="1">
      <c r="B348" s="21"/>
      <c r="C348" s="57" t="str">
        <f t="shared" si="7"/>
        <v/>
      </c>
      <c r="D348" s="18"/>
      <c r="E348" s="18"/>
      <c r="F348" s="15"/>
      <c r="G348" s="19"/>
      <c r="H348" s="19"/>
      <c r="I348" s="19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</row>
    <row r="349" spans="2:34" s="10" customFormat="1" ht="41.25" customHeight="1" outlineLevel="1">
      <c r="B349" s="21"/>
      <c r="C349" s="57" t="str">
        <f t="shared" si="7"/>
        <v/>
      </c>
      <c r="D349" s="18"/>
      <c r="E349" s="18"/>
      <c r="F349" s="15"/>
      <c r="G349" s="19"/>
      <c r="H349" s="19"/>
      <c r="I349" s="19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</row>
    <row r="350" spans="2:34" ht="41.25" customHeight="1" outlineLevel="1">
      <c r="B350" s="21"/>
      <c r="C350" s="57" t="str">
        <f t="shared" si="7"/>
        <v/>
      </c>
      <c r="D350" s="18"/>
      <c r="E350" s="18"/>
      <c r="F350" s="15"/>
      <c r="G350" s="19"/>
      <c r="H350" s="19"/>
      <c r="I350" s="19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</row>
    <row r="351" spans="2:34" ht="41.25" customHeight="1" outlineLevel="1">
      <c r="B351" s="21"/>
      <c r="C351" s="57" t="str">
        <f t="shared" si="7"/>
        <v/>
      </c>
      <c r="D351" s="18"/>
      <c r="E351" s="18"/>
      <c r="F351" s="15"/>
      <c r="G351" s="19"/>
      <c r="H351" s="19"/>
      <c r="I351" s="19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</row>
    <row r="352" spans="2:34" ht="41.25" customHeight="1" outlineLevel="1">
      <c r="B352" s="21"/>
      <c r="C352" s="57" t="str">
        <f t="shared" si="7"/>
        <v/>
      </c>
      <c r="D352" s="18"/>
      <c r="E352" s="18"/>
      <c r="F352" s="15"/>
      <c r="G352" s="19"/>
      <c r="H352" s="19"/>
      <c r="I352" s="19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</row>
    <row r="353" spans="2:34" ht="41.25" customHeight="1" outlineLevel="1">
      <c r="B353" s="21"/>
      <c r="C353" s="57" t="str">
        <f t="shared" si="7"/>
        <v/>
      </c>
      <c r="D353" s="18"/>
      <c r="E353" s="18"/>
      <c r="F353" s="15"/>
      <c r="G353" s="19"/>
      <c r="H353" s="19"/>
      <c r="I353" s="19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</row>
    <row r="354" spans="2:34" ht="41.25" customHeight="1" outlineLevel="1">
      <c r="B354" s="21"/>
      <c r="C354" s="57" t="str">
        <f t="shared" si="7"/>
        <v/>
      </c>
      <c r="D354" s="18"/>
      <c r="E354" s="18"/>
      <c r="F354" s="15"/>
      <c r="G354" s="19"/>
      <c r="H354" s="19"/>
      <c r="I354" s="19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</row>
    <row r="355" spans="2:34" ht="41.25" customHeight="1" outlineLevel="1">
      <c r="B355" s="18"/>
      <c r="C355" s="57" t="str">
        <f t="shared" si="7"/>
        <v/>
      </c>
      <c r="D355" s="18"/>
      <c r="E355" s="18"/>
      <c r="F355" s="15"/>
      <c r="G355" s="19"/>
      <c r="H355" s="19"/>
      <c r="I355" s="19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</row>
    <row r="356" spans="2:34" ht="41.25" customHeight="1" outlineLevel="1">
      <c r="B356" s="18"/>
      <c r="C356" s="57" t="str">
        <f t="shared" si="7"/>
        <v/>
      </c>
      <c r="D356" s="18"/>
      <c r="E356" s="18"/>
      <c r="F356" s="15"/>
      <c r="G356" s="19"/>
      <c r="H356" s="19"/>
      <c r="I356" s="19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</row>
    <row r="357" spans="2:34" s="11" customFormat="1" ht="41.25" customHeight="1" outlineLevel="1">
      <c r="B357" s="24"/>
      <c r="C357" s="57" t="str">
        <f t="shared" si="7"/>
        <v/>
      </c>
      <c r="D357" s="24"/>
      <c r="E357" s="24"/>
      <c r="F357" s="25"/>
      <c r="G357" s="26"/>
      <c r="H357" s="26"/>
      <c r="I357" s="26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</row>
    <row r="358" spans="2:34" ht="41.25" customHeight="1" outlineLevel="1">
      <c r="B358" s="18"/>
      <c r="C358" s="57" t="str">
        <f t="shared" si="7"/>
        <v/>
      </c>
      <c r="D358" s="18"/>
      <c r="E358" s="18"/>
      <c r="F358" s="15"/>
      <c r="G358" s="19"/>
      <c r="H358" s="19"/>
      <c r="I358" s="19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</row>
    <row r="359" spans="2:34" ht="41.25" customHeight="1" outlineLevel="1">
      <c r="B359" s="18"/>
      <c r="C359" s="57" t="str">
        <f t="shared" si="7"/>
        <v/>
      </c>
      <c r="D359" s="18"/>
      <c r="E359" s="18"/>
      <c r="F359" s="15"/>
      <c r="G359" s="19"/>
      <c r="H359" s="19"/>
      <c r="I359" s="19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</row>
    <row r="360" spans="2:34" ht="41.25" customHeight="1" outlineLevel="1">
      <c r="B360" s="18"/>
      <c r="C360" s="57" t="str">
        <f t="shared" si="7"/>
        <v/>
      </c>
      <c r="D360" s="18"/>
      <c r="E360" s="18"/>
      <c r="F360" s="15"/>
      <c r="G360" s="19"/>
      <c r="H360" s="19"/>
      <c r="I360" s="19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</row>
    <row r="361" spans="2:34" ht="41.25" customHeight="1" outlineLevel="1">
      <c r="B361" s="18"/>
      <c r="C361" s="57" t="str">
        <f t="shared" si="7"/>
        <v/>
      </c>
      <c r="D361" s="18"/>
      <c r="E361" s="18"/>
      <c r="F361" s="15"/>
      <c r="G361" s="19"/>
      <c r="H361" s="19"/>
      <c r="I361" s="19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</row>
    <row r="362" spans="2:34" ht="41.25" customHeight="1" outlineLevel="1">
      <c r="B362" s="18"/>
      <c r="C362" s="57" t="str">
        <f t="shared" si="7"/>
        <v/>
      </c>
      <c r="D362" s="18"/>
      <c r="E362" s="18"/>
      <c r="F362" s="15"/>
      <c r="G362" s="19"/>
      <c r="H362" s="19"/>
      <c r="I362" s="19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</row>
    <row r="363" spans="2:34" ht="41.25" customHeight="1" outlineLevel="1">
      <c r="B363" s="18"/>
      <c r="C363" s="57" t="str">
        <f t="shared" si="7"/>
        <v/>
      </c>
      <c r="D363" s="18"/>
      <c r="E363" s="18"/>
      <c r="F363" s="15"/>
      <c r="G363" s="19"/>
      <c r="H363" s="19"/>
      <c r="I363" s="19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</row>
    <row r="364" spans="2:34" ht="41.25" customHeight="1" outlineLevel="1">
      <c r="B364" s="18"/>
      <c r="C364" s="57" t="str">
        <f t="shared" si="7"/>
        <v/>
      </c>
      <c r="D364" s="18"/>
      <c r="E364" s="18"/>
      <c r="F364" s="15"/>
      <c r="G364" s="19"/>
      <c r="H364" s="19"/>
      <c r="I364" s="19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</row>
    <row r="365" spans="2:34" ht="41.25" customHeight="1" outlineLevel="1">
      <c r="B365" s="18"/>
      <c r="C365" s="57" t="str">
        <f t="shared" si="7"/>
        <v/>
      </c>
      <c r="D365" s="18"/>
      <c r="E365" s="18"/>
      <c r="F365" s="15"/>
      <c r="G365" s="19"/>
      <c r="H365" s="19"/>
      <c r="I365" s="19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</row>
    <row r="366" spans="2:34" ht="41.25" customHeight="1" outlineLevel="1">
      <c r="B366" s="18"/>
      <c r="C366" s="57" t="str">
        <f t="shared" si="7"/>
        <v/>
      </c>
      <c r="D366" s="18"/>
      <c r="E366" s="18"/>
      <c r="F366" s="15"/>
      <c r="G366" s="19"/>
      <c r="H366" s="19"/>
      <c r="I366" s="19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</row>
    <row r="367" spans="2:34" ht="41.25" customHeight="1" outlineLevel="1">
      <c r="B367" s="18"/>
      <c r="C367" s="57" t="str">
        <f t="shared" si="7"/>
        <v/>
      </c>
      <c r="D367" s="18"/>
      <c r="E367" s="18"/>
      <c r="F367" s="15"/>
      <c r="G367" s="19"/>
      <c r="H367" s="19"/>
      <c r="I367" s="19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</row>
    <row r="368" spans="2:34" ht="41.25" customHeight="1" outlineLevel="1">
      <c r="B368" s="18"/>
      <c r="C368" s="57" t="str">
        <f t="shared" si="7"/>
        <v/>
      </c>
      <c r="D368" s="18"/>
      <c r="E368" s="18"/>
      <c r="F368" s="15"/>
      <c r="G368" s="19"/>
      <c r="H368" s="19"/>
      <c r="I368" s="19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</row>
    <row r="369" spans="2:34" ht="41.25" customHeight="1" outlineLevel="1">
      <c r="B369" s="18"/>
      <c r="C369" s="57" t="str">
        <f t="shared" si="7"/>
        <v/>
      </c>
      <c r="D369" s="18"/>
      <c r="E369" s="18"/>
      <c r="F369" s="15"/>
      <c r="G369" s="19"/>
      <c r="H369" s="19"/>
      <c r="I369" s="19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</row>
    <row r="370" spans="2:34" ht="41.25" customHeight="1" outlineLevel="1">
      <c r="B370" s="18"/>
      <c r="C370" s="57" t="str">
        <f t="shared" si="7"/>
        <v/>
      </c>
      <c r="D370" s="18"/>
      <c r="E370" s="18"/>
      <c r="F370" s="15"/>
      <c r="G370" s="19"/>
      <c r="H370" s="19"/>
      <c r="I370" s="19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</row>
    <row r="371" spans="2:34" ht="41.25" customHeight="1" outlineLevel="1">
      <c r="B371" s="18"/>
      <c r="C371" s="57" t="str">
        <f t="shared" si="7"/>
        <v/>
      </c>
      <c r="D371" s="18"/>
      <c r="E371" s="18"/>
      <c r="F371" s="15"/>
      <c r="G371" s="19"/>
      <c r="H371" s="19"/>
      <c r="I371" s="19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</row>
    <row r="372" spans="2:34" ht="41.25" customHeight="1" outlineLevel="1">
      <c r="B372" s="18"/>
      <c r="C372" s="57" t="str">
        <f t="shared" si="7"/>
        <v/>
      </c>
      <c r="D372" s="18"/>
      <c r="E372" s="18"/>
      <c r="F372" s="15"/>
      <c r="G372" s="19"/>
      <c r="H372" s="19"/>
      <c r="I372" s="19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</row>
    <row r="373" spans="2:34" ht="41.25" customHeight="1" outlineLevel="1">
      <c r="B373" s="18"/>
      <c r="C373" s="57" t="str">
        <f t="shared" si="7"/>
        <v/>
      </c>
      <c r="D373" s="18"/>
      <c r="E373" s="18"/>
      <c r="F373" s="15"/>
      <c r="G373" s="19"/>
      <c r="H373" s="19"/>
      <c r="I373" s="19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</row>
    <row r="374" spans="2:34" ht="41.25" customHeight="1" outlineLevel="1">
      <c r="B374" s="18"/>
      <c r="C374" s="57" t="str">
        <f t="shared" ref="C374:C420" si="8">IF(B374="","",MONTH(B374))</f>
        <v/>
      </c>
      <c r="D374" s="18"/>
      <c r="E374" s="18"/>
      <c r="F374" s="15"/>
      <c r="G374" s="19"/>
      <c r="H374" s="19"/>
      <c r="I374" s="19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</row>
    <row r="375" spans="2:34" ht="41.25" customHeight="1" outlineLevel="1">
      <c r="B375" s="18"/>
      <c r="C375" s="57" t="str">
        <f t="shared" si="8"/>
        <v/>
      </c>
      <c r="D375" s="18"/>
      <c r="E375" s="18"/>
      <c r="F375" s="15"/>
      <c r="G375" s="19"/>
      <c r="H375" s="19"/>
      <c r="I375" s="19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</row>
    <row r="376" spans="2:34" ht="41.25" customHeight="1" outlineLevel="1">
      <c r="B376" s="18"/>
      <c r="C376" s="57" t="str">
        <f t="shared" si="8"/>
        <v/>
      </c>
      <c r="D376" s="18"/>
      <c r="E376" s="18"/>
      <c r="F376" s="15"/>
      <c r="G376" s="19"/>
      <c r="H376" s="19"/>
      <c r="I376" s="19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</row>
    <row r="377" spans="2:34" ht="41.25" customHeight="1" outlineLevel="1">
      <c r="B377" s="18"/>
      <c r="C377" s="57" t="str">
        <f t="shared" si="8"/>
        <v/>
      </c>
      <c r="D377" s="18"/>
      <c r="E377" s="18"/>
      <c r="F377" s="15"/>
      <c r="G377" s="19"/>
      <c r="H377" s="19"/>
      <c r="I377" s="19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</row>
    <row r="378" spans="2:34" ht="41.25" customHeight="1" outlineLevel="1">
      <c r="B378" s="18"/>
      <c r="C378" s="57" t="str">
        <f t="shared" si="8"/>
        <v/>
      </c>
      <c r="D378" s="18"/>
      <c r="E378" s="18"/>
      <c r="F378" s="15"/>
      <c r="G378" s="19"/>
      <c r="H378" s="19"/>
      <c r="I378" s="19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</row>
    <row r="379" spans="2:34" ht="41.25" customHeight="1" outlineLevel="1">
      <c r="B379" s="18"/>
      <c r="C379" s="57" t="str">
        <f t="shared" si="8"/>
        <v/>
      </c>
      <c r="D379" s="18"/>
      <c r="E379" s="18"/>
      <c r="F379" s="15"/>
      <c r="G379" s="19"/>
      <c r="H379" s="19"/>
      <c r="I379" s="19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</row>
    <row r="380" spans="2:34" ht="41.25" customHeight="1" outlineLevel="1">
      <c r="B380" s="18"/>
      <c r="C380" s="57" t="str">
        <f t="shared" si="8"/>
        <v/>
      </c>
      <c r="D380" s="18"/>
      <c r="E380" s="18"/>
      <c r="F380" s="15"/>
      <c r="G380" s="19"/>
      <c r="H380" s="19"/>
      <c r="I380" s="19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</row>
    <row r="381" spans="2:34" ht="41.25" customHeight="1" outlineLevel="1">
      <c r="B381" s="18"/>
      <c r="C381" s="57" t="str">
        <f t="shared" si="8"/>
        <v/>
      </c>
      <c r="D381" s="18"/>
      <c r="E381" s="18"/>
      <c r="F381" s="15"/>
      <c r="G381" s="19"/>
      <c r="H381" s="19"/>
      <c r="I381" s="19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</row>
    <row r="382" spans="2:34" ht="41.25" customHeight="1" outlineLevel="1">
      <c r="B382" s="18"/>
      <c r="C382" s="57" t="str">
        <f t="shared" si="8"/>
        <v/>
      </c>
      <c r="D382" s="18"/>
      <c r="E382" s="18"/>
      <c r="F382" s="15"/>
      <c r="G382" s="19"/>
      <c r="H382" s="19"/>
      <c r="I382" s="19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</row>
    <row r="383" spans="2:34" ht="41.25" customHeight="1" outlineLevel="1">
      <c r="B383" s="18"/>
      <c r="C383" s="57" t="str">
        <f t="shared" si="8"/>
        <v/>
      </c>
      <c r="D383" s="18"/>
      <c r="E383" s="18"/>
      <c r="F383" s="15"/>
      <c r="G383" s="19"/>
      <c r="H383" s="19"/>
      <c r="I383" s="19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</row>
    <row r="384" spans="2:34" ht="41.25" customHeight="1" outlineLevel="1">
      <c r="B384" s="18"/>
      <c r="C384" s="57" t="str">
        <f t="shared" si="8"/>
        <v/>
      </c>
      <c r="D384" s="18"/>
      <c r="E384" s="18"/>
      <c r="F384" s="15"/>
      <c r="G384" s="19"/>
      <c r="H384" s="19"/>
      <c r="I384" s="19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</row>
    <row r="385" spans="2:34" s="12" customFormat="1" ht="41.25" customHeight="1" outlineLevel="1">
      <c r="B385" s="28"/>
      <c r="C385" s="57" t="str">
        <f t="shared" si="8"/>
        <v/>
      </c>
      <c r="D385" s="28"/>
      <c r="E385" s="28"/>
      <c r="F385" s="29"/>
      <c r="G385" s="19"/>
      <c r="H385" s="19"/>
      <c r="I385" s="19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</row>
    <row r="386" spans="2:34" ht="41.25" customHeight="1" outlineLevel="1">
      <c r="B386" s="18"/>
      <c r="C386" s="57" t="str">
        <f t="shared" si="8"/>
        <v/>
      </c>
      <c r="D386" s="18"/>
      <c r="E386" s="18"/>
      <c r="F386" s="15"/>
      <c r="G386" s="19"/>
      <c r="H386" s="19"/>
      <c r="I386" s="19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</row>
    <row r="387" spans="2:34" ht="41.25" customHeight="1" outlineLevel="1">
      <c r="B387" s="18"/>
      <c r="C387" s="57" t="str">
        <f t="shared" si="8"/>
        <v/>
      </c>
      <c r="D387" s="18"/>
      <c r="E387" s="18"/>
      <c r="F387" s="15"/>
      <c r="G387" s="19"/>
      <c r="H387" s="19"/>
      <c r="I387" s="19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</row>
    <row r="388" spans="2:34" ht="41.25" customHeight="1" outlineLevel="1">
      <c r="B388" s="18"/>
      <c r="C388" s="57" t="str">
        <f t="shared" si="8"/>
        <v/>
      </c>
      <c r="D388" s="18"/>
      <c r="E388" s="18"/>
      <c r="F388" s="15"/>
      <c r="G388" s="19"/>
      <c r="H388" s="19"/>
      <c r="I388" s="19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</row>
    <row r="389" spans="2:34" ht="41.25" customHeight="1" outlineLevel="1">
      <c r="B389" s="18"/>
      <c r="C389" s="57" t="str">
        <f t="shared" si="8"/>
        <v/>
      </c>
      <c r="D389" s="18"/>
      <c r="E389" s="18"/>
      <c r="F389" s="15"/>
      <c r="G389" s="19"/>
      <c r="H389" s="19"/>
      <c r="I389" s="19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</row>
    <row r="390" spans="2:34" ht="41.25" customHeight="1" outlineLevel="1">
      <c r="B390" s="18"/>
      <c r="C390" s="57" t="str">
        <f t="shared" si="8"/>
        <v/>
      </c>
      <c r="D390" s="18"/>
      <c r="E390" s="18"/>
      <c r="F390" s="15"/>
      <c r="G390" s="19"/>
      <c r="H390" s="19"/>
      <c r="I390" s="19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</row>
    <row r="391" spans="2:34" ht="41.25" customHeight="1" outlineLevel="1">
      <c r="B391" s="18"/>
      <c r="C391" s="57" t="str">
        <f t="shared" si="8"/>
        <v/>
      </c>
      <c r="D391" s="18"/>
      <c r="E391" s="18"/>
      <c r="F391" s="15"/>
      <c r="G391" s="19"/>
      <c r="H391" s="19"/>
      <c r="I391" s="19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</row>
    <row r="392" spans="2:34" ht="41.25" customHeight="1" outlineLevel="1">
      <c r="B392" s="18"/>
      <c r="C392" s="57" t="str">
        <f t="shared" si="8"/>
        <v/>
      </c>
      <c r="D392" s="18"/>
      <c r="E392" s="18"/>
      <c r="F392" s="15"/>
      <c r="G392" s="19"/>
      <c r="H392" s="19"/>
      <c r="I392" s="19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</row>
    <row r="393" spans="2:34" ht="41.25" customHeight="1" outlineLevel="1">
      <c r="B393" s="18"/>
      <c r="C393" s="57" t="str">
        <f t="shared" si="8"/>
        <v/>
      </c>
      <c r="D393" s="18"/>
      <c r="E393" s="18"/>
      <c r="F393" s="15"/>
      <c r="G393" s="19"/>
      <c r="H393" s="19"/>
      <c r="I393" s="19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</row>
    <row r="394" spans="2:34" ht="41.25" customHeight="1" outlineLevel="1">
      <c r="B394" s="18"/>
      <c r="C394" s="57" t="str">
        <f t="shared" si="8"/>
        <v/>
      </c>
      <c r="D394" s="18"/>
      <c r="E394" s="18"/>
      <c r="F394" s="15"/>
      <c r="G394" s="19"/>
      <c r="H394" s="19"/>
      <c r="I394" s="19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</row>
    <row r="395" spans="2:34" ht="41.25" customHeight="1" outlineLevel="1">
      <c r="B395" s="18"/>
      <c r="C395" s="57" t="str">
        <f t="shared" si="8"/>
        <v/>
      </c>
      <c r="D395" s="18"/>
      <c r="E395" s="18"/>
      <c r="F395" s="15"/>
      <c r="G395" s="19"/>
      <c r="H395" s="19"/>
      <c r="I395" s="19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</row>
    <row r="396" spans="2:34" ht="41.25" customHeight="1" outlineLevel="1">
      <c r="B396" s="18"/>
      <c r="C396" s="57" t="str">
        <f t="shared" si="8"/>
        <v/>
      </c>
      <c r="D396" s="18"/>
      <c r="E396" s="18"/>
      <c r="F396" s="15"/>
      <c r="G396" s="19"/>
      <c r="H396" s="19"/>
      <c r="I396" s="19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</row>
    <row r="397" spans="2:34" ht="41.25" customHeight="1" outlineLevel="1">
      <c r="B397" s="18"/>
      <c r="C397" s="57" t="str">
        <f t="shared" si="8"/>
        <v/>
      </c>
      <c r="D397" s="18"/>
      <c r="E397" s="18"/>
      <c r="F397" s="15"/>
      <c r="G397" s="19"/>
      <c r="H397" s="19"/>
      <c r="I397" s="19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</row>
    <row r="398" spans="2:34" ht="41.25" customHeight="1" outlineLevel="1">
      <c r="B398" s="18"/>
      <c r="C398" s="57" t="str">
        <f t="shared" si="8"/>
        <v/>
      </c>
      <c r="D398" s="18"/>
      <c r="E398" s="18"/>
      <c r="F398" s="15"/>
      <c r="G398" s="19"/>
      <c r="H398" s="19"/>
      <c r="I398" s="19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</row>
    <row r="399" spans="2:34" ht="41.25" customHeight="1" outlineLevel="1">
      <c r="B399" s="18"/>
      <c r="C399" s="57" t="str">
        <f t="shared" si="8"/>
        <v/>
      </c>
      <c r="D399" s="18"/>
      <c r="E399" s="18"/>
      <c r="F399" s="15"/>
      <c r="G399" s="19"/>
      <c r="H399" s="19"/>
      <c r="I399" s="19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</row>
    <row r="400" spans="2:34" ht="41.25" customHeight="1" outlineLevel="1">
      <c r="B400" s="18"/>
      <c r="C400" s="57" t="str">
        <f t="shared" si="8"/>
        <v/>
      </c>
      <c r="D400" s="18"/>
      <c r="E400" s="18"/>
      <c r="F400" s="15"/>
      <c r="G400" s="19"/>
      <c r="H400" s="19"/>
      <c r="I400" s="19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</row>
    <row r="401" spans="2:34" ht="41.25" customHeight="1" outlineLevel="1">
      <c r="B401" s="18"/>
      <c r="C401" s="57" t="str">
        <f t="shared" si="8"/>
        <v/>
      </c>
      <c r="D401" s="18"/>
      <c r="E401" s="18"/>
      <c r="F401" s="15"/>
      <c r="G401" s="19"/>
      <c r="H401" s="19"/>
      <c r="I401" s="19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</row>
    <row r="402" spans="2:34" ht="41.25" customHeight="1" outlineLevel="1">
      <c r="B402" s="18"/>
      <c r="C402" s="57" t="str">
        <f t="shared" si="8"/>
        <v/>
      </c>
      <c r="D402" s="18"/>
      <c r="E402" s="18"/>
      <c r="F402" s="15"/>
      <c r="G402" s="19"/>
      <c r="H402" s="19"/>
      <c r="I402" s="19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</row>
    <row r="403" spans="2:34" ht="41.25" customHeight="1" outlineLevel="1">
      <c r="B403" s="18"/>
      <c r="C403" s="57" t="str">
        <f t="shared" si="8"/>
        <v/>
      </c>
      <c r="D403" s="18"/>
      <c r="E403" s="18"/>
      <c r="F403" s="15"/>
      <c r="G403" s="19"/>
      <c r="H403" s="19"/>
      <c r="I403" s="19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</row>
    <row r="404" spans="2:34" ht="41.25" customHeight="1" outlineLevel="1">
      <c r="B404" s="18"/>
      <c r="C404" s="57" t="str">
        <f t="shared" si="8"/>
        <v/>
      </c>
      <c r="D404" s="18"/>
      <c r="E404" s="18"/>
      <c r="F404" s="15"/>
      <c r="G404" s="19"/>
      <c r="H404" s="19"/>
      <c r="I404" s="19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</row>
    <row r="405" spans="2:34" ht="41.25" customHeight="1" outlineLevel="1">
      <c r="B405" s="18"/>
      <c r="C405" s="57" t="str">
        <f t="shared" si="8"/>
        <v/>
      </c>
      <c r="D405" s="18"/>
      <c r="E405" s="18"/>
      <c r="F405" s="15"/>
      <c r="G405" s="19"/>
      <c r="H405" s="19"/>
      <c r="I405" s="19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</row>
    <row r="406" spans="2:34" ht="41.25" customHeight="1" outlineLevel="1">
      <c r="B406" s="18"/>
      <c r="C406" s="57" t="str">
        <f t="shared" si="8"/>
        <v/>
      </c>
      <c r="D406" s="18"/>
      <c r="E406" s="18"/>
      <c r="F406" s="15"/>
      <c r="G406" s="19"/>
      <c r="H406" s="19"/>
      <c r="I406" s="19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</row>
    <row r="407" spans="2:34" ht="41.25" customHeight="1" outlineLevel="1">
      <c r="B407" s="18"/>
      <c r="C407" s="57" t="str">
        <f t="shared" si="8"/>
        <v/>
      </c>
      <c r="D407" s="18"/>
      <c r="E407" s="18"/>
      <c r="F407" s="15"/>
      <c r="G407" s="19"/>
      <c r="H407" s="19"/>
      <c r="I407" s="19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</row>
    <row r="408" spans="2:34" ht="41.25" customHeight="1" outlineLevel="1">
      <c r="B408" s="18"/>
      <c r="C408" s="57" t="str">
        <f t="shared" si="8"/>
        <v/>
      </c>
      <c r="D408" s="18"/>
      <c r="E408" s="18"/>
      <c r="F408" s="15"/>
      <c r="G408" s="19"/>
      <c r="H408" s="19"/>
      <c r="I408" s="19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</row>
    <row r="409" spans="2:34" ht="41.25" customHeight="1" outlineLevel="1">
      <c r="B409" s="18"/>
      <c r="C409" s="57" t="str">
        <f t="shared" si="8"/>
        <v/>
      </c>
      <c r="D409" s="18"/>
      <c r="E409" s="18"/>
      <c r="F409" s="15"/>
      <c r="G409" s="19"/>
      <c r="H409" s="19"/>
      <c r="I409" s="19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</row>
    <row r="410" spans="2:34" ht="41.25" customHeight="1" outlineLevel="1">
      <c r="B410" s="18"/>
      <c r="C410" s="57" t="str">
        <f t="shared" si="8"/>
        <v/>
      </c>
      <c r="D410" s="18"/>
      <c r="E410" s="18"/>
      <c r="F410" s="15"/>
      <c r="G410" s="19"/>
      <c r="H410" s="19"/>
      <c r="I410" s="19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</row>
    <row r="411" spans="2:34" ht="41.25" customHeight="1" outlineLevel="1">
      <c r="B411" s="18"/>
      <c r="C411" s="57" t="str">
        <f t="shared" si="8"/>
        <v/>
      </c>
      <c r="D411" s="18"/>
      <c r="E411" s="18"/>
      <c r="F411" s="15"/>
      <c r="G411" s="19"/>
      <c r="H411" s="19"/>
      <c r="I411" s="19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</row>
    <row r="412" spans="2:34" ht="41.25" customHeight="1" outlineLevel="1">
      <c r="B412" s="18"/>
      <c r="C412" s="57" t="str">
        <f t="shared" si="8"/>
        <v/>
      </c>
      <c r="D412" s="18"/>
      <c r="E412" s="18"/>
      <c r="F412" s="15"/>
      <c r="G412" s="19"/>
      <c r="H412" s="19"/>
      <c r="I412" s="19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</row>
    <row r="413" spans="2:34" ht="41.25" customHeight="1" outlineLevel="1">
      <c r="B413" s="18"/>
      <c r="C413" s="57" t="str">
        <f t="shared" si="8"/>
        <v/>
      </c>
      <c r="D413" s="18"/>
      <c r="E413" s="18"/>
      <c r="F413" s="15"/>
      <c r="G413" s="19"/>
      <c r="H413" s="19"/>
      <c r="I413" s="19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</row>
    <row r="414" spans="2:34" ht="41.25" customHeight="1" outlineLevel="1">
      <c r="B414" s="18"/>
      <c r="C414" s="57" t="str">
        <f t="shared" si="8"/>
        <v/>
      </c>
      <c r="D414" s="18"/>
      <c r="E414" s="18"/>
      <c r="F414" s="15"/>
      <c r="G414" s="19"/>
      <c r="H414" s="19"/>
      <c r="I414" s="19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</row>
    <row r="415" spans="2:34" ht="41.25" customHeight="1" outlineLevel="1">
      <c r="B415" s="18"/>
      <c r="C415" s="57" t="str">
        <f t="shared" si="8"/>
        <v/>
      </c>
      <c r="D415" s="18"/>
      <c r="E415" s="18"/>
      <c r="F415" s="15"/>
      <c r="G415" s="19"/>
      <c r="H415" s="19"/>
      <c r="I415" s="19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</row>
    <row r="416" spans="2:34" ht="41.25" customHeight="1" outlineLevel="1">
      <c r="B416" s="18"/>
      <c r="C416" s="57" t="str">
        <f t="shared" si="8"/>
        <v/>
      </c>
      <c r="D416" s="18"/>
      <c r="E416" s="18"/>
      <c r="F416" s="15"/>
      <c r="G416" s="19"/>
      <c r="H416" s="19"/>
      <c r="I416" s="19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</row>
    <row r="417" spans="2:34" ht="41.25" customHeight="1" outlineLevel="1">
      <c r="B417" s="18"/>
      <c r="C417" s="57" t="str">
        <f t="shared" si="8"/>
        <v/>
      </c>
      <c r="D417" s="18"/>
      <c r="E417" s="18"/>
      <c r="F417" s="15"/>
      <c r="G417" s="19"/>
      <c r="H417" s="19"/>
      <c r="I417" s="19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</row>
    <row r="418" spans="2:34" ht="41.25" customHeight="1" outlineLevel="1">
      <c r="B418" s="18"/>
      <c r="C418" s="57" t="str">
        <f t="shared" si="8"/>
        <v/>
      </c>
      <c r="D418" s="18"/>
      <c r="E418" s="18"/>
      <c r="F418" s="15"/>
      <c r="G418" s="19"/>
      <c r="H418" s="19"/>
      <c r="I418" s="19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</row>
    <row r="419" spans="2:34" ht="41.25" customHeight="1" outlineLevel="1">
      <c r="B419" s="18"/>
      <c r="C419" s="57" t="str">
        <f t="shared" si="8"/>
        <v/>
      </c>
      <c r="D419" s="18"/>
      <c r="E419" s="18"/>
      <c r="F419" s="15"/>
      <c r="G419" s="19"/>
      <c r="H419" s="19"/>
      <c r="I419" s="19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</row>
    <row r="420" spans="2:34" ht="41.25" customHeight="1" outlineLevel="1">
      <c r="B420" s="18"/>
      <c r="C420" s="57" t="str">
        <f t="shared" si="8"/>
        <v/>
      </c>
      <c r="D420" s="18"/>
      <c r="E420" s="18"/>
      <c r="F420" s="15"/>
      <c r="G420" s="19"/>
      <c r="H420" s="19"/>
      <c r="I420" s="19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</row>
    <row r="421" spans="2:34" ht="29.4" customHeight="1">
      <c r="B421" s="30"/>
      <c r="C421" s="30"/>
      <c r="D421" s="30"/>
      <c r="E421" s="30"/>
      <c r="F421" s="30"/>
      <c r="G421" s="31"/>
      <c r="H421" s="31"/>
      <c r="I421" s="31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</row>
    <row r="422" spans="2:34">
      <c r="B422"/>
      <c r="C422"/>
    </row>
    <row r="423" spans="2:34">
      <c r="B423"/>
      <c r="C423"/>
    </row>
    <row r="424" spans="2:34" ht="27" customHeight="1"/>
    <row r="425" spans="2:34">
      <c r="B425" t="s">
        <v>11</v>
      </c>
      <c r="C425" t="s">
        <v>12</v>
      </c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</row>
    <row r="426" spans="2:34">
      <c r="B426" s="7" t="s">
        <v>13</v>
      </c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</row>
    <row r="427" spans="2:34">
      <c r="B427" s="7" t="s">
        <v>6</v>
      </c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</row>
    <row r="428" spans="2:34">
      <c r="B428" s="7" t="s">
        <v>14</v>
      </c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</row>
    <row r="429" spans="2:34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</row>
    <row r="430" spans="2:34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</row>
    <row r="431" spans="2:34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</row>
    <row r="432" spans="2:34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</row>
    <row r="433" spans="2:18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</row>
    <row r="434" spans="2:18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</row>
    <row r="435" spans="2:18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</row>
    <row r="436" spans="2:18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</row>
    <row r="437" spans="2:18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</row>
    <row r="438" spans="2:18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</row>
    <row r="439" spans="2:18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</row>
    <row r="440" spans="2:18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</row>
    <row r="441" spans="2:18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</row>
    <row r="442" spans="2:18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</row>
    <row r="443" spans="2:18">
      <c r="B443"/>
      <c r="C443"/>
      <c r="D443"/>
      <c r="E443"/>
      <c r="F443" s="32"/>
      <c r="G443"/>
      <c r="H443"/>
      <c r="I443"/>
      <c r="J443"/>
      <c r="K443"/>
      <c r="L443"/>
      <c r="M443"/>
      <c r="N443"/>
      <c r="O443"/>
      <c r="P443"/>
      <c r="Q443"/>
      <c r="R443"/>
    </row>
    <row r="444" spans="2:18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</row>
    <row r="445" spans="2:18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</row>
    <row r="446" spans="2:18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</row>
    <row r="447" spans="2:18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</row>
    <row r="448" spans="2:18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</row>
    <row r="449" spans="2:18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</row>
    <row r="450" spans="2:18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</row>
    <row r="451" spans="2:18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</row>
    <row r="452" spans="2:18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</row>
    <row r="453" spans="2:18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</row>
    <row r="454" spans="2:18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</row>
    <row r="455" spans="2:18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</row>
    <row r="456" spans="2:18">
      <c r="B456"/>
      <c r="C456"/>
      <c r="D456"/>
      <c r="E456"/>
      <c r="F456"/>
    </row>
  </sheetData>
  <autoFilter ref="B5:AH420" xr:uid="{00000000-0009-0000-0000-000026000000}"/>
  <mergeCells count="9">
    <mergeCell ref="AA4:AC4"/>
    <mergeCell ref="AD4:AE4"/>
    <mergeCell ref="AG4:AH4"/>
    <mergeCell ref="E1:G1"/>
    <mergeCell ref="E2:G2"/>
    <mergeCell ref="K4:O4"/>
    <mergeCell ref="P4:R4"/>
    <mergeCell ref="S4:V4"/>
    <mergeCell ref="X4:Y4"/>
  </mergeCells>
  <conditionalFormatting sqref="C6:C420">
    <cfRule type="cellIs" dxfId="20" priority="1" operator="between">
      <formula>"B1"</formula>
      <formula>"B100"</formula>
    </cfRule>
    <cfRule type="cellIs" dxfId="19" priority="2" operator="equal">
      <formula>"HA"</formula>
    </cfRule>
    <cfRule type="cellIs" dxfId="18" priority="3" operator="equal">
      <formula>"LD"</formula>
    </cfRule>
  </conditionalFormatting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B39A0-13CE-4972-8BB2-B9A01E39E014}">
  <dimension ref="A1:CP439"/>
  <sheetViews>
    <sheetView topLeftCell="G19" zoomScale="60" zoomScaleNormal="60" workbookViewId="0">
      <selection activeCell="R37" sqref="R37"/>
    </sheetView>
  </sheetViews>
  <sheetFormatPr defaultColWidth="8.88671875" defaultRowHeight="18" outlineLevelRow="1"/>
  <cols>
    <col min="1" max="1" width="8.88671875" style="13"/>
    <col min="2" max="2" width="17.88671875" style="14" customWidth="1"/>
    <col min="3" max="3" width="31.5546875" style="14" customWidth="1"/>
    <col min="4" max="4" width="29.109375" style="14" customWidth="1"/>
    <col min="5" max="6" width="16.6640625" style="14" customWidth="1"/>
    <col min="7" max="7" width="32.5546875" style="14" customWidth="1"/>
    <col min="8" max="8" width="31.109375" style="14" customWidth="1"/>
    <col min="9" max="9" width="27.88671875" style="14" customWidth="1"/>
    <col min="10" max="10" width="30.109375" style="13" customWidth="1"/>
    <col min="11" max="22" width="25.33203125" style="13" customWidth="1"/>
    <col min="23" max="25" width="32.6640625" style="13" customWidth="1"/>
    <col min="26" max="27" width="34.109375" style="13" customWidth="1"/>
    <col min="28" max="31" width="25.33203125" style="13" customWidth="1"/>
    <col min="32" max="32" width="34.109375" style="13" bestFit="1" customWidth="1"/>
    <col min="33" max="34" width="25.33203125" style="13" customWidth="1"/>
    <col min="35" max="16384" width="8.88671875" style="13"/>
  </cols>
  <sheetData>
    <row r="1" spans="2:34" ht="27" customHeight="1">
      <c r="E1" s="108" t="s">
        <v>60</v>
      </c>
      <c r="F1" s="108"/>
      <c r="G1" s="108"/>
      <c r="H1" s="16"/>
      <c r="I1" s="50"/>
      <c r="J1" s="58">
        <v>308.10000000000002</v>
      </c>
      <c r="K1" s="59">
        <v>45.12</v>
      </c>
      <c r="L1" s="59">
        <v>68</v>
      </c>
      <c r="M1" s="59">
        <v>61.09</v>
      </c>
      <c r="N1" s="59">
        <v>61.09</v>
      </c>
      <c r="O1" s="59">
        <v>61.09</v>
      </c>
      <c r="P1" s="59">
        <v>498.85</v>
      </c>
      <c r="Q1" s="59">
        <v>513.01</v>
      </c>
      <c r="R1" s="59">
        <v>639</v>
      </c>
      <c r="S1" s="59">
        <v>443.78</v>
      </c>
      <c r="T1" s="59">
        <v>317.43</v>
      </c>
      <c r="U1" s="59">
        <v>184.75</v>
      </c>
      <c r="V1" s="59">
        <v>276.63</v>
      </c>
      <c r="W1" s="59">
        <v>439.59</v>
      </c>
      <c r="X1" s="59">
        <v>794.42</v>
      </c>
      <c r="Y1" s="59">
        <v>726.72</v>
      </c>
      <c r="Z1" s="59">
        <v>66.52</v>
      </c>
      <c r="AA1" s="59">
        <v>78.930000000000007</v>
      </c>
      <c r="AB1" s="59">
        <v>108.19</v>
      </c>
      <c r="AC1" s="59">
        <v>94.13</v>
      </c>
      <c r="AD1" s="59">
        <v>343.33</v>
      </c>
      <c r="AE1" s="59">
        <v>136.44</v>
      </c>
      <c r="AF1" s="59">
        <v>69.959999999999994</v>
      </c>
      <c r="AG1" s="59">
        <v>96.3</v>
      </c>
      <c r="AH1" s="60">
        <v>96.3</v>
      </c>
    </row>
    <row r="2" spans="2:34" ht="27" customHeight="1">
      <c r="E2" s="108" t="s">
        <v>59</v>
      </c>
      <c r="F2" s="108"/>
      <c r="G2" s="108"/>
      <c r="H2" s="51">
        <f>SUM(J2:AH2)</f>
        <v>34267.760000000002</v>
      </c>
      <c r="I2" s="50"/>
      <c r="J2" s="61">
        <f>J1*J3</f>
        <v>4005.3</v>
      </c>
      <c r="K2" s="62">
        <f t="shared" ref="K2:AH2" si="0">K1*K3</f>
        <v>0</v>
      </c>
      <c r="L2" s="62">
        <f t="shared" si="0"/>
        <v>408</v>
      </c>
      <c r="M2" s="62">
        <f t="shared" si="0"/>
        <v>427.63</v>
      </c>
      <c r="N2" s="62">
        <f t="shared" si="0"/>
        <v>427.63</v>
      </c>
      <c r="O2" s="62">
        <f t="shared" si="0"/>
        <v>0</v>
      </c>
      <c r="P2" s="62">
        <f t="shared" si="0"/>
        <v>2494.25</v>
      </c>
      <c r="Q2" s="62">
        <f t="shared" si="0"/>
        <v>0</v>
      </c>
      <c r="R2" s="62">
        <f t="shared" si="0"/>
        <v>0</v>
      </c>
      <c r="S2" s="62">
        <f t="shared" si="0"/>
        <v>2218.8999999999996</v>
      </c>
      <c r="T2" s="62">
        <f t="shared" si="0"/>
        <v>317.43</v>
      </c>
      <c r="U2" s="62">
        <f t="shared" si="0"/>
        <v>184.75</v>
      </c>
      <c r="V2" s="62">
        <f t="shared" si="0"/>
        <v>0</v>
      </c>
      <c r="W2" s="62">
        <f t="shared" si="0"/>
        <v>1318.77</v>
      </c>
      <c r="X2" s="62">
        <f t="shared" si="0"/>
        <v>3972.1</v>
      </c>
      <c r="Y2" s="62">
        <f t="shared" si="0"/>
        <v>0</v>
      </c>
      <c r="Z2" s="62">
        <f t="shared" si="0"/>
        <v>5521.16</v>
      </c>
      <c r="AA2" s="62">
        <f t="shared" si="0"/>
        <v>4025.4300000000003</v>
      </c>
      <c r="AB2" s="62">
        <f t="shared" si="0"/>
        <v>3245.7</v>
      </c>
      <c r="AC2" s="62">
        <f t="shared" si="0"/>
        <v>0</v>
      </c>
      <c r="AD2" s="62">
        <f t="shared" si="0"/>
        <v>3776.6299999999997</v>
      </c>
      <c r="AE2" s="62">
        <f t="shared" si="0"/>
        <v>1364.4</v>
      </c>
      <c r="AF2" s="62">
        <f t="shared" si="0"/>
        <v>559.67999999999995</v>
      </c>
      <c r="AG2" s="63">
        <f t="shared" si="0"/>
        <v>0</v>
      </c>
      <c r="AH2" s="64">
        <f t="shared" si="0"/>
        <v>0</v>
      </c>
    </row>
    <row r="3" spans="2:34" s="8" customFormat="1" ht="36.6" customHeight="1">
      <c r="B3" s="16"/>
      <c r="C3" s="16"/>
      <c r="D3" s="16"/>
      <c r="E3" s="16"/>
      <c r="F3" s="16"/>
      <c r="G3" s="16"/>
      <c r="H3" s="16"/>
      <c r="I3" s="16"/>
      <c r="J3" s="52">
        <f t="shared" ref="J3:AH3" si="1">SUM(J6:J403)</f>
        <v>13</v>
      </c>
      <c r="K3" s="53">
        <f t="shared" si="1"/>
        <v>0</v>
      </c>
      <c r="L3" s="54">
        <f t="shared" si="1"/>
        <v>6</v>
      </c>
      <c r="M3" s="54">
        <f t="shared" si="1"/>
        <v>7</v>
      </c>
      <c r="N3" s="54">
        <f t="shared" si="1"/>
        <v>7</v>
      </c>
      <c r="O3" s="55">
        <f t="shared" si="1"/>
        <v>0</v>
      </c>
      <c r="P3" s="53">
        <f t="shared" si="1"/>
        <v>5</v>
      </c>
      <c r="Q3" s="54">
        <f t="shared" si="1"/>
        <v>0</v>
      </c>
      <c r="R3" s="55">
        <f t="shared" si="1"/>
        <v>0</v>
      </c>
      <c r="S3" s="53">
        <f t="shared" si="1"/>
        <v>5</v>
      </c>
      <c r="T3" s="54">
        <f t="shared" si="1"/>
        <v>1</v>
      </c>
      <c r="U3" s="54">
        <f t="shared" si="1"/>
        <v>1</v>
      </c>
      <c r="V3" s="55">
        <f t="shared" si="1"/>
        <v>0</v>
      </c>
      <c r="W3" s="56">
        <f t="shared" si="1"/>
        <v>3</v>
      </c>
      <c r="X3" s="53">
        <f t="shared" si="1"/>
        <v>5</v>
      </c>
      <c r="Y3" s="55">
        <f t="shared" si="1"/>
        <v>0</v>
      </c>
      <c r="Z3" s="52">
        <f t="shared" si="1"/>
        <v>83</v>
      </c>
      <c r="AA3" s="53">
        <f t="shared" si="1"/>
        <v>51</v>
      </c>
      <c r="AB3" s="54">
        <f t="shared" si="1"/>
        <v>30</v>
      </c>
      <c r="AC3" s="55">
        <f t="shared" si="1"/>
        <v>0</v>
      </c>
      <c r="AD3" s="53">
        <f t="shared" si="1"/>
        <v>11</v>
      </c>
      <c r="AE3" s="55">
        <f t="shared" si="1"/>
        <v>10</v>
      </c>
      <c r="AF3" s="56">
        <f t="shared" si="1"/>
        <v>8</v>
      </c>
      <c r="AG3" s="53">
        <f t="shared" si="1"/>
        <v>0</v>
      </c>
      <c r="AH3" s="55">
        <f t="shared" si="1"/>
        <v>0</v>
      </c>
    </row>
    <row r="4" spans="2:34" s="40" customFormat="1" ht="21">
      <c r="B4" s="38"/>
      <c r="C4" s="38"/>
      <c r="D4" s="38"/>
      <c r="E4" s="38"/>
      <c r="F4" s="38"/>
      <c r="G4" s="38"/>
      <c r="H4" s="38"/>
      <c r="I4" s="38"/>
      <c r="J4" s="48" t="s">
        <v>2</v>
      </c>
      <c r="K4" s="105" t="s">
        <v>48</v>
      </c>
      <c r="L4" s="106"/>
      <c r="M4" s="106"/>
      <c r="N4" s="106"/>
      <c r="O4" s="107"/>
      <c r="P4" s="109" t="s">
        <v>49</v>
      </c>
      <c r="Q4" s="111"/>
      <c r="R4" s="110"/>
      <c r="S4" s="105" t="s">
        <v>51</v>
      </c>
      <c r="T4" s="106"/>
      <c r="U4" s="106"/>
      <c r="V4" s="107"/>
      <c r="W4" s="41" t="s">
        <v>50</v>
      </c>
      <c r="X4" s="105" t="s">
        <v>52</v>
      </c>
      <c r="Y4" s="107"/>
      <c r="Z4" s="49" t="s">
        <v>53</v>
      </c>
      <c r="AA4" s="105" t="s">
        <v>54</v>
      </c>
      <c r="AB4" s="106"/>
      <c r="AC4" s="107"/>
      <c r="AD4" s="109" t="s">
        <v>55</v>
      </c>
      <c r="AE4" s="110"/>
      <c r="AF4" s="39" t="s">
        <v>3</v>
      </c>
      <c r="AG4" s="109" t="s">
        <v>4</v>
      </c>
      <c r="AH4" s="110"/>
    </row>
    <row r="5" spans="2:34" ht="94.95" customHeight="1">
      <c r="B5" s="17" t="s">
        <v>0</v>
      </c>
      <c r="C5" s="17" t="s">
        <v>9</v>
      </c>
      <c r="D5" s="17" t="s">
        <v>10</v>
      </c>
      <c r="E5" s="17" t="s">
        <v>5</v>
      </c>
      <c r="F5" s="17" t="s">
        <v>1</v>
      </c>
      <c r="G5" s="17" t="s">
        <v>56</v>
      </c>
      <c r="H5" s="17" t="s">
        <v>57</v>
      </c>
      <c r="I5" s="36" t="s">
        <v>58</v>
      </c>
      <c r="J5" s="42" t="s">
        <v>20</v>
      </c>
      <c r="K5" s="17" t="s">
        <v>42</v>
      </c>
      <c r="L5" s="17" t="s">
        <v>43</v>
      </c>
      <c r="M5" s="17" t="s">
        <v>44</v>
      </c>
      <c r="N5" s="17" t="s">
        <v>45</v>
      </c>
      <c r="O5" s="17" t="s">
        <v>46</v>
      </c>
      <c r="P5" s="42" t="s">
        <v>29</v>
      </c>
      <c r="Q5" s="42" t="s">
        <v>30</v>
      </c>
      <c r="R5" s="42" t="s">
        <v>31</v>
      </c>
      <c r="S5" s="17" t="s">
        <v>28</v>
      </c>
      <c r="T5" s="37" t="s">
        <v>68</v>
      </c>
      <c r="U5" s="37" t="s">
        <v>34</v>
      </c>
      <c r="V5" s="37" t="s">
        <v>35</v>
      </c>
      <c r="W5" s="42" t="s">
        <v>33</v>
      </c>
      <c r="X5" s="17" t="s">
        <v>39</v>
      </c>
      <c r="Y5" s="17" t="s">
        <v>40</v>
      </c>
      <c r="Z5" s="45" t="s">
        <v>22</v>
      </c>
      <c r="AA5" s="37" t="s">
        <v>23</v>
      </c>
      <c r="AB5" s="37" t="s">
        <v>24</v>
      </c>
      <c r="AC5" s="37" t="s">
        <v>25</v>
      </c>
      <c r="AD5" s="45" t="s">
        <v>26</v>
      </c>
      <c r="AE5" s="45" t="s">
        <v>27</v>
      </c>
      <c r="AF5" s="17" t="s">
        <v>21</v>
      </c>
      <c r="AG5" s="42" t="s">
        <v>36</v>
      </c>
      <c r="AH5" s="42" t="s">
        <v>37</v>
      </c>
    </row>
    <row r="6" spans="2:34" s="14" customFormat="1" ht="41.25" customHeight="1">
      <c r="B6" s="18" t="s">
        <v>95</v>
      </c>
      <c r="C6" s="57" t="s">
        <v>96</v>
      </c>
      <c r="D6" s="18" t="s">
        <v>7</v>
      </c>
      <c r="E6" s="18" t="s">
        <v>78</v>
      </c>
      <c r="F6" s="15" t="s">
        <v>18</v>
      </c>
      <c r="G6" s="19" t="s">
        <v>91</v>
      </c>
      <c r="H6" s="19" t="s">
        <v>66</v>
      </c>
      <c r="I6" s="19" t="s">
        <v>67</v>
      </c>
      <c r="J6" s="43">
        <v>1</v>
      </c>
      <c r="K6" s="15"/>
      <c r="L6" s="15"/>
      <c r="M6" s="15">
        <v>2</v>
      </c>
      <c r="N6" s="15"/>
      <c r="O6" s="15"/>
      <c r="P6" s="43"/>
      <c r="Q6" s="43"/>
      <c r="R6" s="43"/>
      <c r="S6" s="15"/>
      <c r="T6" s="15"/>
      <c r="U6" s="15"/>
      <c r="V6" s="15"/>
      <c r="W6" s="43"/>
      <c r="X6" s="15"/>
      <c r="Y6" s="15"/>
      <c r="Z6" s="43">
        <v>10</v>
      </c>
      <c r="AA6" s="15">
        <v>10</v>
      </c>
      <c r="AB6" s="15"/>
      <c r="AC6" s="15"/>
      <c r="AD6" s="43"/>
      <c r="AE6" s="43"/>
      <c r="AF6" s="15"/>
      <c r="AG6" s="43"/>
      <c r="AH6" s="43"/>
    </row>
    <row r="7" spans="2:34" s="14" customFormat="1" ht="41.25" customHeight="1">
      <c r="B7" s="18" t="s">
        <v>95</v>
      </c>
      <c r="C7" s="57" t="s">
        <v>96</v>
      </c>
      <c r="D7" s="18" t="s">
        <v>7</v>
      </c>
      <c r="E7" s="18" t="s">
        <v>78</v>
      </c>
      <c r="F7" s="15" t="s">
        <v>88</v>
      </c>
      <c r="G7" s="19" t="s">
        <v>79</v>
      </c>
      <c r="H7" s="19" t="s">
        <v>66</v>
      </c>
      <c r="I7" s="19" t="s">
        <v>67</v>
      </c>
      <c r="J7" s="43"/>
      <c r="K7" s="15"/>
      <c r="L7" s="15"/>
      <c r="M7" s="15"/>
      <c r="N7" s="15">
        <v>4</v>
      </c>
      <c r="O7" s="15"/>
      <c r="P7" s="43"/>
      <c r="Q7" s="43"/>
      <c r="R7" s="43"/>
      <c r="S7" s="15"/>
      <c r="T7" s="15"/>
      <c r="U7" s="15"/>
      <c r="V7" s="15"/>
      <c r="W7" s="43"/>
      <c r="X7" s="15"/>
      <c r="Y7" s="15"/>
      <c r="Z7" s="43"/>
      <c r="AA7" s="15"/>
      <c r="AB7" s="15"/>
      <c r="AC7" s="15"/>
      <c r="AD7" s="43"/>
      <c r="AE7" s="43"/>
      <c r="AF7" s="15"/>
      <c r="AG7" s="43"/>
      <c r="AH7" s="43"/>
    </row>
    <row r="8" spans="2:34" s="14" customFormat="1" ht="41.25" customHeight="1">
      <c r="B8" s="18" t="s">
        <v>97</v>
      </c>
      <c r="C8" s="57" t="s">
        <v>96</v>
      </c>
      <c r="D8" s="18" t="s">
        <v>7</v>
      </c>
      <c r="E8" s="18" t="s">
        <v>78</v>
      </c>
      <c r="F8" s="15" t="s">
        <v>88</v>
      </c>
      <c r="G8" s="19" t="s">
        <v>91</v>
      </c>
      <c r="H8" s="19" t="s">
        <v>66</v>
      </c>
      <c r="I8" s="19" t="s">
        <v>67</v>
      </c>
      <c r="J8" s="43"/>
      <c r="K8" s="15"/>
      <c r="L8" s="15"/>
      <c r="M8" s="15"/>
      <c r="N8" s="15"/>
      <c r="O8" s="15"/>
      <c r="P8" s="43"/>
      <c r="Q8" s="43"/>
      <c r="R8" s="43"/>
      <c r="S8" s="15"/>
      <c r="T8" s="15"/>
      <c r="U8" s="15"/>
      <c r="V8" s="15"/>
      <c r="W8" s="43"/>
      <c r="X8" s="15"/>
      <c r="Y8" s="15"/>
      <c r="Z8" s="43">
        <v>10</v>
      </c>
      <c r="AA8" s="15">
        <v>10</v>
      </c>
      <c r="AB8" s="15"/>
      <c r="AC8" s="15"/>
      <c r="AD8" s="43"/>
      <c r="AE8" s="43"/>
      <c r="AF8" s="15"/>
      <c r="AG8" s="43"/>
      <c r="AH8" s="43"/>
    </row>
    <row r="9" spans="2:34" s="14" customFormat="1" ht="41.25" customHeight="1">
      <c r="B9" s="18" t="s">
        <v>98</v>
      </c>
      <c r="C9" s="57" t="s">
        <v>96</v>
      </c>
      <c r="D9" s="18" t="s">
        <v>7</v>
      </c>
      <c r="E9" s="18" t="s">
        <v>78</v>
      </c>
      <c r="F9" s="15" t="s">
        <v>88</v>
      </c>
      <c r="G9" s="19" t="s">
        <v>79</v>
      </c>
      <c r="H9" s="19" t="s">
        <v>66</v>
      </c>
      <c r="I9" s="19" t="s">
        <v>67</v>
      </c>
      <c r="J9" s="43"/>
      <c r="K9" s="15"/>
      <c r="L9" s="15"/>
      <c r="M9" s="15"/>
      <c r="N9" s="15"/>
      <c r="O9" s="15"/>
      <c r="P9" s="43"/>
      <c r="Q9" s="43"/>
      <c r="R9" s="43"/>
      <c r="S9" s="15"/>
      <c r="T9" s="15"/>
      <c r="U9" s="15"/>
      <c r="V9" s="15"/>
      <c r="W9" s="43"/>
      <c r="X9" s="15"/>
      <c r="Y9" s="15"/>
      <c r="Z9" s="43"/>
      <c r="AA9" s="15"/>
      <c r="AB9" s="15">
        <v>10</v>
      </c>
      <c r="AC9" s="15"/>
      <c r="AD9" s="43"/>
      <c r="AE9" s="43"/>
      <c r="AF9" s="15"/>
      <c r="AG9" s="43"/>
      <c r="AH9" s="43"/>
    </row>
    <row r="10" spans="2:34" s="14" customFormat="1" ht="41.25" customHeight="1">
      <c r="B10" s="18" t="s">
        <v>98</v>
      </c>
      <c r="C10" s="57" t="s">
        <v>96</v>
      </c>
      <c r="D10" s="18" t="s">
        <v>7</v>
      </c>
      <c r="E10" s="18" t="s">
        <v>78</v>
      </c>
      <c r="F10" s="15" t="s">
        <v>18</v>
      </c>
      <c r="G10" s="19" t="s">
        <v>89</v>
      </c>
      <c r="H10" s="19" t="s">
        <v>66</v>
      </c>
      <c r="I10" s="19" t="s">
        <v>67</v>
      </c>
      <c r="J10" s="43"/>
      <c r="K10" s="15"/>
      <c r="L10" s="15"/>
      <c r="M10" s="15"/>
      <c r="N10" s="15"/>
      <c r="O10" s="15"/>
      <c r="P10" s="43"/>
      <c r="Q10" s="43"/>
      <c r="R10" s="43"/>
      <c r="S10" s="15"/>
      <c r="T10" s="15"/>
      <c r="U10" s="15"/>
      <c r="V10" s="15"/>
      <c r="W10" s="43"/>
      <c r="X10" s="15"/>
      <c r="Y10" s="15"/>
      <c r="Z10" s="43"/>
      <c r="AA10" s="15"/>
      <c r="AB10" s="15"/>
      <c r="AC10" s="15"/>
      <c r="AD10" s="43">
        <v>3</v>
      </c>
      <c r="AE10" s="43"/>
      <c r="AF10" s="15"/>
      <c r="AG10" s="43"/>
      <c r="AH10" s="43"/>
    </row>
    <row r="11" spans="2:34" s="14" customFormat="1" ht="41.25" customHeight="1">
      <c r="B11" s="18" t="s">
        <v>98</v>
      </c>
      <c r="C11" s="57" t="s">
        <v>96</v>
      </c>
      <c r="D11" s="18" t="s">
        <v>7</v>
      </c>
      <c r="E11" s="18" t="s">
        <v>78</v>
      </c>
      <c r="F11" s="18" t="s">
        <v>88</v>
      </c>
      <c r="G11" s="19" t="s">
        <v>79</v>
      </c>
      <c r="H11" s="19" t="s">
        <v>66</v>
      </c>
      <c r="I11" s="19" t="s">
        <v>67</v>
      </c>
      <c r="J11" s="43"/>
      <c r="K11" s="15"/>
      <c r="L11" s="15"/>
      <c r="M11" s="15"/>
      <c r="N11" s="15"/>
      <c r="O11" s="15"/>
      <c r="P11" s="43"/>
      <c r="Q11" s="43"/>
      <c r="R11" s="43"/>
      <c r="S11" s="15">
        <v>1</v>
      </c>
      <c r="T11" s="15"/>
      <c r="U11" s="15"/>
      <c r="V11" s="15"/>
      <c r="W11" s="43"/>
      <c r="X11" s="15"/>
      <c r="Y11" s="15"/>
      <c r="Z11" s="43"/>
      <c r="AA11" s="15"/>
      <c r="AB11" s="15"/>
      <c r="AC11" s="15"/>
      <c r="AD11" s="43"/>
      <c r="AE11" s="43"/>
      <c r="AF11" s="15"/>
      <c r="AG11" s="43"/>
      <c r="AH11" s="43"/>
    </row>
    <row r="12" spans="2:34" s="14" customFormat="1" ht="41.25" customHeight="1">
      <c r="B12" s="18" t="s">
        <v>99</v>
      </c>
      <c r="C12" s="57" t="s">
        <v>96</v>
      </c>
      <c r="D12" s="18" t="s">
        <v>7</v>
      </c>
      <c r="E12" s="18" t="s">
        <v>78</v>
      </c>
      <c r="F12" s="19" t="s">
        <v>18</v>
      </c>
      <c r="G12" s="19" t="s">
        <v>89</v>
      </c>
      <c r="H12" s="19" t="s">
        <v>66</v>
      </c>
      <c r="I12" s="19" t="s">
        <v>67</v>
      </c>
      <c r="J12" s="44"/>
      <c r="K12" s="19"/>
      <c r="L12" s="19"/>
      <c r="M12" s="19"/>
      <c r="N12" s="19"/>
      <c r="O12" s="19"/>
      <c r="P12" s="44"/>
      <c r="Q12" s="44"/>
      <c r="R12" s="44"/>
      <c r="S12" s="19"/>
      <c r="T12" s="19"/>
      <c r="U12" s="19">
        <v>1</v>
      </c>
      <c r="V12" s="19"/>
      <c r="W12" s="44"/>
      <c r="X12" s="19"/>
      <c r="Y12" s="19"/>
      <c r="Z12" s="44"/>
      <c r="AA12" s="19"/>
      <c r="AB12" s="19"/>
      <c r="AC12" s="19"/>
      <c r="AD12" s="44"/>
      <c r="AE12" s="44"/>
      <c r="AF12" s="19"/>
      <c r="AG12" s="44"/>
      <c r="AH12" s="44"/>
    </row>
    <row r="13" spans="2:34" s="14" customFormat="1" ht="41.25" customHeight="1">
      <c r="B13" s="18" t="s">
        <v>100</v>
      </c>
      <c r="C13" s="57" t="s">
        <v>96</v>
      </c>
      <c r="D13" s="18" t="s">
        <v>7</v>
      </c>
      <c r="E13" s="18" t="s">
        <v>78</v>
      </c>
      <c r="F13" s="15" t="s">
        <v>88</v>
      </c>
      <c r="G13" s="19" t="s">
        <v>89</v>
      </c>
      <c r="H13" s="19" t="s">
        <v>66</v>
      </c>
      <c r="I13" s="19" t="s">
        <v>67</v>
      </c>
      <c r="J13" s="43">
        <v>2</v>
      </c>
      <c r="K13" s="15"/>
      <c r="L13" s="15">
        <v>1</v>
      </c>
      <c r="M13" s="15"/>
      <c r="N13" s="15"/>
      <c r="O13" s="15"/>
      <c r="P13" s="43"/>
      <c r="Q13" s="43"/>
      <c r="R13" s="43"/>
      <c r="S13" s="15"/>
      <c r="T13" s="15"/>
      <c r="U13" s="15"/>
      <c r="V13" s="15"/>
      <c r="W13" s="43"/>
      <c r="X13" s="15"/>
      <c r="Y13" s="15"/>
      <c r="Z13" s="43">
        <v>10</v>
      </c>
      <c r="AA13" s="15">
        <v>10</v>
      </c>
      <c r="AB13" s="15"/>
      <c r="AC13" s="15"/>
      <c r="AD13" s="43"/>
      <c r="AE13" s="43"/>
      <c r="AF13" s="15"/>
      <c r="AG13" s="43"/>
      <c r="AH13" s="43"/>
    </row>
    <row r="14" spans="2:34" s="14" customFormat="1" ht="41.25" customHeight="1">
      <c r="B14" s="18" t="s">
        <v>101</v>
      </c>
      <c r="C14" s="57" t="s">
        <v>96</v>
      </c>
      <c r="D14" s="18" t="s">
        <v>7</v>
      </c>
      <c r="E14" s="18" t="s">
        <v>78</v>
      </c>
      <c r="F14" s="15" t="s">
        <v>18</v>
      </c>
      <c r="G14" s="19" t="s">
        <v>91</v>
      </c>
      <c r="H14" s="19" t="s">
        <v>66</v>
      </c>
      <c r="I14" s="19" t="s">
        <v>67</v>
      </c>
      <c r="J14" s="43"/>
      <c r="K14" s="15"/>
      <c r="L14" s="15"/>
      <c r="M14" s="15"/>
      <c r="N14" s="15"/>
      <c r="O14" s="15"/>
      <c r="P14" s="43">
        <v>2</v>
      </c>
      <c r="Q14" s="43"/>
      <c r="R14" s="43"/>
      <c r="S14" s="15">
        <v>2</v>
      </c>
      <c r="T14" s="15"/>
      <c r="U14" s="15"/>
      <c r="V14" s="15"/>
      <c r="W14" s="43">
        <v>1</v>
      </c>
      <c r="X14" s="15"/>
      <c r="Y14" s="15"/>
      <c r="Z14" s="43"/>
      <c r="AA14" s="15"/>
      <c r="AB14" s="15"/>
      <c r="AC14" s="15"/>
      <c r="AD14" s="43"/>
      <c r="AE14" s="43"/>
      <c r="AF14" s="15"/>
      <c r="AG14" s="43"/>
      <c r="AH14" s="43"/>
    </row>
    <row r="15" spans="2:34" s="14" customFormat="1" ht="41.25" customHeight="1">
      <c r="B15" s="18" t="s">
        <v>102</v>
      </c>
      <c r="C15" s="57" t="s">
        <v>96</v>
      </c>
      <c r="D15" s="18" t="s">
        <v>7</v>
      </c>
      <c r="E15" s="18" t="s">
        <v>78</v>
      </c>
      <c r="F15" s="18" t="s">
        <v>18</v>
      </c>
      <c r="G15" s="19" t="s">
        <v>87</v>
      </c>
      <c r="H15" s="19" t="s">
        <v>103</v>
      </c>
      <c r="I15" s="19" t="s">
        <v>67</v>
      </c>
      <c r="J15" s="43">
        <v>2</v>
      </c>
      <c r="K15" s="15"/>
      <c r="L15" s="15"/>
      <c r="M15" s="15"/>
      <c r="N15" s="15"/>
      <c r="O15" s="15"/>
      <c r="P15" s="43"/>
      <c r="Q15" s="43"/>
      <c r="R15" s="43"/>
      <c r="S15" s="15"/>
      <c r="T15" s="15"/>
      <c r="U15" s="15"/>
      <c r="V15" s="15"/>
      <c r="W15" s="43"/>
      <c r="X15" s="15"/>
      <c r="Y15" s="15"/>
      <c r="Z15" s="43"/>
      <c r="AA15" s="15"/>
      <c r="AB15" s="15"/>
      <c r="AC15" s="15"/>
      <c r="AD15" s="43"/>
      <c r="AE15" s="43"/>
      <c r="AF15" s="15">
        <v>2</v>
      </c>
      <c r="AG15" s="43"/>
      <c r="AH15" s="43"/>
    </row>
    <row r="16" spans="2:34" s="14" customFormat="1" ht="41.25" customHeight="1">
      <c r="B16" s="18" t="s">
        <v>104</v>
      </c>
      <c r="C16" s="57" t="s">
        <v>96</v>
      </c>
      <c r="D16" s="18" t="s">
        <v>7</v>
      </c>
      <c r="E16" s="18" t="s">
        <v>78</v>
      </c>
      <c r="F16" s="15" t="s">
        <v>88</v>
      </c>
      <c r="G16" s="19" t="s">
        <v>105</v>
      </c>
      <c r="H16" s="19" t="s">
        <v>103</v>
      </c>
      <c r="I16" s="19" t="s">
        <v>67</v>
      </c>
      <c r="J16" s="43">
        <v>1</v>
      </c>
      <c r="K16" s="15"/>
      <c r="L16" s="15"/>
      <c r="M16" s="15"/>
      <c r="N16" s="15"/>
      <c r="O16" s="15"/>
      <c r="P16" s="43"/>
      <c r="Q16" s="43"/>
      <c r="R16" s="43"/>
      <c r="S16" s="15">
        <v>1</v>
      </c>
      <c r="T16" s="15">
        <v>1</v>
      </c>
      <c r="U16" s="15"/>
      <c r="V16" s="15"/>
      <c r="W16" s="43">
        <v>2</v>
      </c>
      <c r="X16" s="15"/>
      <c r="Y16" s="15"/>
      <c r="Z16" s="43"/>
      <c r="AA16" s="15"/>
      <c r="AB16" s="15"/>
      <c r="AC16" s="15"/>
      <c r="AD16" s="43"/>
      <c r="AE16" s="43"/>
      <c r="AF16" s="15">
        <v>1</v>
      </c>
      <c r="AG16" s="43"/>
      <c r="AH16" s="43"/>
    </row>
    <row r="17" spans="2:34" s="14" customFormat="1" ht="41.25" customHeight="1">
      <c r="B17" s="18" t="s">
        <v>106</v>
      </c>
      <c r="C17" s="57" t="s">
        <v>96</v>
      </c>
      <c r="D17" s="18" t="s">
        <v>7</v>
      </c>
      <c r="E17" s="18" t="s">
        <v>78</v>
      </c>
      <c r="F17" s="15" t="s">
        <v>88</v>
      </c>
      <c r="G17" s="19" t="s">
        <v>105</v>
      </c>
      <c r="H17" s="19" t="s">
        <v>103</v>
      </c>
      <c r="I17" s="19" t="s">
        <v>67</v>
      </c>
      <c r="J17" s="43">
        <v>1</v>
      </c>
      <c r="K17" s="15"/>
      <c r="L17" s="15"/>
      <c r="M17" s="15"/>
      <c r="N17" s="15"/>
      <c r="O17" s="15"/>
      <c r="P17" s="43"/>
      <c r="Q17" s="43"/>
      <c r="R17" s="43"/>
      <c r="S17" s="15"/>
      <c r="T17" s="15"/>
      <c r="U17" s="15"/>
      <c r="V17" s="15"/>
      <c r="W17" s="43"/>
      <c r="X17" s="15"/>
      <c r="Y17" s="15"/>
      <c r="Z17" s="43"/>
      <c r="AA17" s="15"/>
      <c r="AB17" s="15"/>
      <c r="AC17" s="15"/>
      <c r="AD17" s="43"/>
      <c r="AE17" s="43"/>
      <c r="AF17" s="15"/>
      <c r="AG17" s="43"/>
      <c r="AH17" s="43"/>
    </row>
    <row r="18" spans="2:34" s="14" customFormat="1" ht="41.25" customHeight="1">
      <c r="B18" s="18" t="s">
        <v>107</v>
      </c>
      <c r="C18" s="57" t="s">
        <v>96</v>
      </c>
      <c r="D18" s="18" t="s">
        <v>7</v>
      </c>
      <c r="E18" s="18" t="s">
        <v>78</v>
      </c>
      <c r="F18" s="15" t="s">
        <v>88</v>
      </c>
      <c r="G18" s="19" t="s">
        <v>108</v>
      </c>
      <c r="H18" s="19" t="s">
        <v>103</v>
      </c>
      <c r="I18" s="19" t="s">
        <v>67</v>
      </c>
      <c r="J18" s="43"/>
      <c r="K18" s="15"/>
      <c r="L18" s="15"/>
      <c r="M18" s="15"/>
      <c r="N18" s="15"/>
      <c r="O18" s="15"/>
      <c r="P18" s="43"/>
      <c r="Q18" s="43"/>
      <c r="R18" s="43"/>
      <c r="S18" s="15"/>
      <c r="T18" s="15"/>
      <c r="U18" s="15"/>
      <c r="V18" s="15"/>
      <c r="W18" s="43"/>
      <c r="X18" s="15"/>
      <c r="Y18" s="15"/>
      <c r="Z18" s="43"/>
      <c r="AA18" s="15"/>
      <c r="AB18" s="15"/>
      <c r="AC18" s="15"/>
      <c r="AD18" s="43"/>
      <c r="AE18" s="43">
        <v>5</v>
      </c>
      <c r="AF18" s="15"/>
      <c r="AG18" s="43"/>
      <c r="AH18" s="43"/>
    </row>
    <row r="19" spans="2:34" s="14" customFormat="1" ht="41.25" customHeight="1">
      <c r="B19" s="18" t="s">
        <v>109</v>
      </c>
      <c r="C19" s="57" t="s">
        <v>96</v>
      </c>
      <c r="D19" s="18" t="s">
        <v>7</v>
      </c>
      <c r="E19" s="18" t="s">
        <v>78</v>
      </c>
      <c r="F19" s="15" t="s">
        <v>88</v>
      </c>
      <c r="G19" s="19" t="s">
        <v>110</v>
      </c>
      <c r="H19" s="19" t="s">
        <v>103</v>
      </c>
      <c r="I19" s="19" t="s">
        <v>67</v>
      </c>
      <c r="J19" s="43"/>
      <c r="K19" s="15"/>
      <c r="L19" s="15"/>
      <c r="M19" s="15"/>
      <c r="N19" s="15"/>
      <c r="O19" s="15"/>
      <c r="P19" s="43"/>
      <c r="Q19" s="43"/>
      <c r="R19" s="43"/>
      <c r="S19" s="15"/>
      <c r="T19" s="15"/>
      <c r="U19" s="15"/>
      <c r="V19" s="15"/>
      <c r="W19" s="43"/>
      <c r="X19" s="15"/>
      <c r="Y19" s="15"/>
      <c r="Z19" s="43">
        <v>10</v>
      </c>
      <c r="AA19" s="15"/>
      <c r="AB19" s="15"/>
      <c r="AC19" s="15"/>
      <c r="AD19" s="43"/>
      <c r="AE19" s="43"/>
      <c r="AF19" s="15">
        <v>1</v>
      </c>
      <c r="AG19" s="43"/>
      <c r="AH19" s="43"/>
    </row>
    <row r="20" spans="2:34" s="14" customFormat="1" ht="41.25" customHeight="1">
      <c r="B20" s="18" t="s">
        <v>111</v>
      </c>
      <c r="C20" s="57" t="s">
        <v>96</v>
      </c>
      <c r="D20" s="18" t="s">
        <v>7</v>
      </c>
      <c r="E20" s="18" t="s">
        <v>78</v>
      </c>
      <c r="F20" s="15" t="s">
        <v>88</v>
      </c>
      <c r="G20" s="19" t="s">
        <v>79</v>
      </c>
      <c r="H20" s="19" t="s">
        <v>103</v>
      </c>
      <c r="I20" s="19" t="s">
        <v>67</v>
      </c>
      <c r="J20" s="43">
        <v>1</v>
      </c>
      <c r="K20" s="15"/>
      <c r="L20" s="15"/>
      <c r="M20" s="15"/>
      <c r="N20" s="15"/>
      <c r="O20" s="15"/>
      <c r="P20" s="43"/>
      <c r="Q20" s="43"/>
      <c r="R20" s="43"/>
      <c r="S20" s="15"/>
      <c r="T20" s="15"/>
      <c r="U20" s="15"/>
      <c r="V20" s="15"/>
      <c r="W20" s="43"/>
      <c r="X20" s="15"/>
      <c r="Y20" s="15"/>
      <c r="Z20" s="43"/>
      <c r="AA20" s="15"/>
      <c r="AB20" s="15"/>
      <c r="AC20" s="15"/>
      <c r="AD20" s="43"/>
      <c r="AE20" s="43"/>
      <c r="AF20" s="15"/>
      <c r="AG20" s="43"/>
      <c r="AH20" s="43"/>
    </row>
    <row r="21" spans="2:34" s="14" customFormat="1" ht="41.25" customHeight="1">
      <c r="B21" s="18" t="s">
        <v>112</v>
      </c>
      <c r="C21" s="57" t="s">
        <v>96</v>
      </c>
      <c r="D21" s="18" t="s">
        <v>7</v>
      </c>
      <c r="E21" s="18" t="s">
        <v>78</v>
      </c>
      <c r="F21" s="15" t="s">
        <v>88</v>
      </c>
      <c r="G21" s="19" t="s">
        <v>110</v>
      </c>
      <c r="H21" s="19" t="s">
        <v>103</v>
      </c>
      <c r="I21" s="19" t="s">
        <v>67</v>
      </c>
      <c r="J21" s="43">
        <v>1</v>
      </c>
      <c r="K21" s="15"/>
      <c r="L21" s="15"/>
      <c r="M21" s="15"/>
      <c r="N21" s="15"/>
      <c r="O21" s="15"/>
      <c r="P21" s="43"/>
      <c r="Q21" s="43"/>
      <c r="R21" s="43"/>
      <c r="S21" s="15"/>
      <c r="T21" s="15"/>
      <c r="U21" s="15"/>
      <c r="V21" s="15"/>
      <c r="W21" s="43"/>
      <c r="X21" s="15"/>
      <c r="Y21" s="15"/>
      <c r="Z21" s="43"/>
      <c r="AA21" s="15"/>
      <c r="AB21" s="15"/>
      <c r="AC21" s="15"/>
      <c r="AD21" s="43"/>
      <c r="AE21" s="43"/>
      <c r="AF21" s="15"/>
      <c r="AG21" s="43"/>
      <c r="AH21" s="43"/>
    </row>
    <row r="22" spans="2:34" s="14" customFormat="1" ht="41.25" customHeight="1">
      <c r="B22" s="18" t="s">
        <v>113</v>
      </c>
      <c r="C22" s="57" t="s">
        <v>96</v>
      </c>
      <c r="D22" s="18" t="s">
        <v>7</v>
      </c>
      <c r="E22" s="18" t="s">
        <v>64</v>
      </c>
      <c r="F22" s="15" t="s">
        <v>88</v>
      </c>
      <c r="G22" s="19" t="s">
        <v>108</v>
      </c>
      <c r="H22" s="19" t="s">
        <v>103</v>
      </c>
      <c r="I22" s="19" t="s">
        <v>67</v>
      </c>
      <c r="J22" s="43"/>
      <c r="K22" s="15"/>
      <c r="L22" s="15"/>
      <c r="M22" s="15"/>
      <c r="N22" s="15"/>
      <c r="O22" s="15"/>
      <c r="P22" s="43"/>
      <c r="Q22" s="43"/>
      <c r="R22" s="43"/>
      <c r="S22" s="15"/>
      <c r="T22" s="15"/>
      <c r="U22" s="15"/>
      <c r="V22" s="15"/>
      <c r="W22" s="43"/>
      <c r="X22" s="15"/>
      <c r="Y22" s="15"/>
      <c r="Z22" s="43">
        <v>1</v>
      </c>
      <c r="AA22" s="15"/>
      <c r="AB22" s="15"/>
      <c r="AC22" s="15"/>
      <c r="AD22" s="43"/>
      <c r="AE22" s="43"/>
      <c r="AF22" s="15"/>
      <c r="AG22" s="43"/>
      <c r="AH22" s="43"/>
    </row>
    <row r="23" spans="2:34" s="14" customFormat="1" ht="41.25" customHeight="1">
      <c r="B23" s="18" t="s">
        <v>114</v>
      </c>
      <c r="C23" s="57" t="s">
        <v>96</v>
      </c>
      <c r="D23" s="18" t="s">
        <v>7</v>
      </c>
      <c r="E23" s="18" t="s">
        <v>64</v>
      </c>
      <c r="F23" s="15" t="s">
        <v>88</v>
      </c>
      <c r="G23" s="19" t="s">
        <v>116</v>
      </c>
      <c r="H23" s="19" t="s">
        <v>103</v>
      </c>
      <c r="I23" s="19" t="s">
        <v>67</v>
      </c>
      <c r="J23" s="43"/>
      <c r="K23" s="15"/>
      <c r="L23" s="15"/>
      <c r="M23" s="15"/>
      <c r="N23" s="15"/>
      <c r="O23" s="15"/>
      <c r="P23" s="43"/>
      <c r="Q23" s="43"/>
      <c r="R23" s="43"/>
      <c r="S23" s="15"/>
      <c r="T23" s="15"/>
      <c r="U23" s="15"/>
      <c r="V23" s="15"/>
      <c r="W23" s="43"/>
      <c r="X23" s="15">
        <v>2</v>
      </c>
      <c r="Y23" s="15"/>
      <c r="Z23" s="43"/>
      <c r="AA23" s="15"/>
      <c r="AB23" s="15"/>
      <c r="AC23" s="15"/>
      <c r="AD23" s="43"/>
      <c r="AE23" s="43"/>
      <c r="AF23" s="15"/>
      <c r="AG23" s="43"/>
      <c r="AH23" s="43"/>
    </row>
    <row r="24" spans="2:34" s="14" customFormat="1" ht="41.25" customHeight="1">
      <c r="B24" s="18" t="s">
        <v>117</v>
      </c>
      <c r="C24" s="57" t="s">
        <v>96</v>
      </c>
      <c r="D24" s="18" t="s">
        <v>7</v>
      </c>
      <c r="E24" s="18" t="s">
        <v>64</v>
      </c>
      <c r="F24" s="15" t="s">
        <v>88</v>
      </c>
      <c r="G24" s="19" t="s">
        <v>115</v>
      </c>
      <c r="H24" s="19" t="s">
        <v>103</v>
      </c>
      <c r="I24" s="19" t="s">
        <v>67</v>
      </c>
      <c r="J24" s="43"/>
      <c r="K24" s="15"/>
      <c r="L24" s="15"/>
      <c r="M24" s="15"/>
      <c r="N24" s="15"/>
      <c r="O24" s="15"/>
      <c r="P24" s="43"/>
      <c r="Q24" s="43"/>
      <c r="R24" s="43"/>
      <c r="S24" s="15"/>
      <c r="T24" s="15"/>
      <c r="U24" s="15"/>
      <c r="V24" s="15"/>
      <c r="W24" s="43"/>
      <c r="X24" s="15">
        <v>1</v>
      </c>
      <c r="Y24" s="15"/>
      <c r="Z24" s="43"/>
      <c r="AA24" s="15"/>
      <c r="AB24" s="15"/>
      <c r="AC24" s="15"/>
      <c r="AD24" s="43"/>
      <c r="AE24" s="43"/>
      <c r="AF24" s="15"/>
      <c r="AG24" s="43"/>
      <c r="AH24" s="43"/>
    </row>
    <row r="25" spans="2:34" s="14" customFormat="1" ht="41.25" customHeight="1">
      <c r="B25" s="18" t="s">
        <v>117</v>
      </c>
      <c r="C25" s="57" t="s">
        <v>96</v>
      </c>
      <c r="D25" s="18" t="s">
        <v>7</v>
      </c>
      <c r="E25" s="18" t="s">
        <v>64</v>
      </c>
      <c r="F25" s="15" t="s">
        <v>88</v>
      </c>
      <c r="G25" s="19" t="s">
        <v>115</v>
      </c>
      <c r="H25" s="19" t="s">
        <v>103</v>
      </c>
      <c r="I25" s="19" t="s">
        <v>67</v>
      </c>
      <c r="J25" s="43"/>
      <c r="K25" s="15"/>
      <c r="L25" s="15"/>
      <c r="M25" s="15">
        <v>1</v>
      </c>
      <c r="N25" s="15"/>
      <c r="O25" s="15"/>
      <c r="P25" s="43"/>
      <c r="Q25" s="43"/>
      <c r="R25" s="43"/>
      <c r="S25" s="15"/>
      <c r="T25" s="15"/>
      <c r="U25" s="15"/>
      <c r="V25" s="15"/>
      <c r="W25" s="43"/>
      <c r="X25" s="15"/>
      <c r="Y25" s="15"/>
      <c r="Z25" s="43"/>
      <c r="AA25" s="15"/>
      <c r="AB25" s="15"/>
      <c r="AC25" s="15"/>
      <c r="AD25" s="43"/>
      <c r="AE25" s="43"/>
      <c r="AF25" s="15"/>
      <c r="AG25" s="43"/>
      <c r="AH25" s="43"/>
    </row>
    <row r="26" spans="2:34" s="14" customFormat="1" ht="41.25" customHeight="1">
      <c r="B26" s="18" t="s">
        <v>118</v>
      </c>
      <c r="C26" s="57" t="s">
        <v>96</v>
      </c>
      <c r="D26" s="18" t="s">
        <v>7</v>
      </c>
      <c r="E26" s="18" t="s">
        <v>64</v>
      </c>
      <c r="F26" s="15" t="s">
        <v>18</v>
      </c>
      <c r="G26" s="19" t="s">
        <v>119</v>
      </c>
      <c r="H26" s="19" t="s">
        <v>103</v>
      </c>
      <c r="I26" s="19" t="s">
        <v>67</v>
      </c>
      <c r="J26" s="43">
        <v>1</v>
      </c>
      <c r="K26" s="15"/>
      <c r="L26" s="15"/>
      <c r="M26" s="15"/>
      <c r="N26" s="15"/>
      <c r="O26" s="15"/>
      <c r="P26" s="43"/>
      <c r="Q26" s="43"/>
      <c r="R26" s="43"/>
      <c r="S26" s="15"/>
      <c r="T26" s="15"/>
      <c r="U26" s="15"/>
      <c r="V26" s="15"/>
      <c r="W26" s="43"/>
      <c r="X26" s="15"/>
      <c r="Y26" s="15"/>
      <c r="Z26" s="43"/>
      <c r="AA26" s="15"/>
      <c r="AB26" s="15"/>
      <c r="AC26" s="15"/>
      <c r="AD26" s="43"/>
      <c r="AE26" s="43"/>
      <c r="AF26" s="15"/>
      <c r="AG26" s="43"/>
      <c r="AH26" s="43"/>
    </row>
    <row r="27" spans="2:34" s="14" customFormat="1" ht="41.25" customHeight="1">
      <c r="B27" s="18" t="s">
        <v>120</v>
      </c>
      <c r="C27" s="57" t="s">
        <v>96</v>
      </c>
      <c r="D27" s="18" t="s">
        <v>7</v>
      </c>
      <c r="E27" s="18" t="s">
        <v>64</v>
      </c>
      <c r="F27" s="18" t="s">
        <v>18</v>
      </c>
      <c r="G27" s="19" t="s">
        <v>87</v>
      </c>
      <c r="H27" s="19" t="s">
        <v>103</v>
      </c>
      <c r="I27" s="19" t="s">
        <v>67</v>
      </c>
      <c r="J27" s="43">
        <v>1</v>
      </c>
      <c r="K27" s="15"/>
      <c r="L27" s="15"/>
      <c r="M27" s="15"/>
      <c r="N27" s="15"/>
      <c r="O27" s="15"/>
      <c r="P27" s="43"/>
      <c r="Q27" s="43"/>
      <c r="R27" s="43"/>
      <c r="S27" s="15"/>
      <c r="T27" s="15"/>
      <c r="U27" s="15"/>
      <c r="V27" s="15"/>
      <c r="W27" s="43"/>
      <c r="X27" s="15"/>
      <c r="Y27" s="15"/>
      <c r="Z27" s="43"/>
      <c r="AA27" s="15"/>
      <c r="AB27" s="15"/>
      <c r="AC27" s="15"/>
      <c r="AD27" s="43"/>
      <c r="AE27" s="43"/>
      <c r="AF27" s="15"/>
      <c r="AG27" s="43"/>
      <c r="AH27" s="43"/>
    </row>
    <row r="28" spans="2:34" s="14" customFormat="1" ht="41.25" customHeight="1">
      <c r="B28" s="18" t="s">
        <v>121</v>
      </c>
      <c r="C28" s="57" t="s">
        <v>96</v>
      </c>
      <c r="D28" s="18" t="s">
        <v>7</v>
      </c>
      <c r="E28" s="18" t="s">
        <v>64</v>
      </c>
      <c r="F28" s="18" t="s">
        <v>88</v>
      </c>
      <c r="G28" s="19" t="s">
        <v>79</v>
      </c>
      <c r="H28" s="19" t="s">
        <v>103</v>
      </c>
      <c r="I28" s="19" t="s">
        <v>67</v>
      </c>
      <c r="J28" s="43"/>
      <c r="K28" s="15"/>
      <c r="L28" s="15"/>
      <c r="M28" s="15"/>
      <c r="N28" s="15"/>
      <c r="O28" s="15"/>
      <c r="P28" s="43"/>
      <c r="Q28" s="43"/>
      <c r="R28" s="43"/>
      <c r="S28" s="15"/>
      <c r="T28" s="15"/>
      <c r="U28" s="15"/>
      <c r="V28" s="15"/>
      <c r="W28" s="43"/>
      <c r="X28" s="15"/>
      <c r="Y28" s="15"/>
      <c r="Z28" s="43"/>
      <c r="AA28" s="15"/>
      <c r="AB28" s="15"/>
      <c r="AC28" s="15"/>
      <c r="AD28" s="43"/>
      <c r="AE28" s="43"/>
      <c r="AF28" s="15">
        <v>2</v>
      </c>
      <c r="AG28" s="43"/>
      <c r="AH28" s="43"/>
    </row>
    <row r="29" spans="2:34" s="14" customFormat="1" ht="41.25" customHeight="1">
      <c r="B29" s="18" t="s">
        <v>122</v>
      </c>
      <c r="C29" s="57" t="s">
        <v>96</v>
      </c>
      <c r="D29" s="18" t="s">
        <v>7</v>
      </c>
      <c r="E29" s="18" t="s">
        <v>64</v>
      </c>
      <c r="F29" s="18" t="s">
        <v>88</v>
      </c>
      <c r="G29" s="19" t="s">
        <v>123</v>
      </c>
      <c r="H29" s="19" t="s">
        <v>103</v>
      </c>
      <c r="I29" s="19" t="s">
        <v>67</v>
      </c>
      <c r="J29" s="43"/>
      <c r="K29" s="15"/>
      <c r="L29" s="15"/>
      <c r="M29" s="15"/>
      <c r="N29" s="15">
        <v>3</v>
      </c>
      <c r="O29" s="15"/>
      <c r="P29" s="43"/>
      <c r="Q29" s="43"/>
      <c r="R29" s="43"/>
      <c r="S29" s="15"/>
      <c r="T29" s="15"/>
      <c r="U29" s="15"/>
      <c r="V29" s="15"/>
      <c r="W29" s="43"/>
      <c r="X29" s="15"/>
      <c r="Y29" s="15"/>
      <c r="Z29" s="43">
        <v>10</v>
      </c>
      <c r="AA29" s="15">
        <v>10</v>
      </c>
      <c r="AB29" s="15"/>
      <c r="AC29" s="15"/>
      <c r="AD29" s="43">
        <v>4</v>
      </c>
      <c r="AE29" s="43"/>
      <c r="AF29" s="15"/>
      <c r="AG29" s="43"/>
      <c r="AH29" s="43"/>
    </row>
    <row r="30" spans="2:34" s="14" customFormat="1" ht="41.25" customHeight="1">
      <c r="B30" s="18" t="s">
        <v>124</v>
      </c>
      <c r="C30" s="57" t="s">
        <v>96</v>
      </c>
      <c r="D30" s="18" t="s">
        <v>7</v>
      </c>
      <c r="E30" s="18" t="s">
        <v>64</v>
      </c>
      <c r="F30" s="18" t="s">
        <v>18</v>
      </c>
      <c r="G30" s="19" t="s">
        <v>79</v>
      </c>
      <c r="H30" s="19" t="s">
        <v>103</v>
      </c>
      <c r="I30" s="19" t="s">
        <v>67</v>
      </c>
      <c r="J30" s="43"/>
      <c r="K30" s="15"/>
      <c r="L30" s="15"/>
      <c r="M30" s="15"/>
      <c r="N30" s="15"/>
      <c r="O30" s="15"/>
      <c r="P30" s="43"/>
      <c r="Q30" s="43"/>
      <c r="R30" s="43"/>
      <c r="S30" s="15"/>
      <c r="T30" s="15"/>
      <c r="U30" s="15"/>
      <c r="V30" s="15"/>
      <c r="W30" s="43"/>
      <c r="X30" s="15"/>
      <c r="Y30" s="15"/>
      <c r="Z30" s="43"/>
      <c r="AA30" s="15"/>
      <c r="AB30" s="15"/>
      <c r="AC30" s="15"/>
      <c r="AD30" s="43"/>
      <c r="AE30" s="43"/>
      <c r="AF30" s="15">
        <v>2</v>
      </c>
      <c r="AG30" s="43"/>
      <c r="AH30" s="43"/>
    </row>
    <row r="31" spans="2:34" s="14" customFormat="1" ht="41.25" customHeight="1">
      <c r="B31" s="18" t="s">
        <v>125</v>
      </c>
      <c r="C31" s="57" t="s">
        <v>96</v>
      </c>
      <c r="D31" s="18" t="s">
        <v>7</v>
      </c>
      <c r="E31" s="18" t="s">
        <v>64</v>
      </c>
      <c r="F31" s="18" t="s">
        <v>88</v>
      </c>
      <c r="G31" s="19" t="s">
        <v>115</v>
      </c>
      <c r="H31" s="19" t="s">
        <v>103</v>
      </c>
      <c r="I31" s="19" t="s">
        <v>67</v>
      </c>
      <c r="J31" s="43"/>
      <c r="K31" s="15"/>
      <c r="L31" s="15"/>
      <c r="M31" s="15"/>
      <c r="N31" s="15"/>
      <c r="O31" s="15"/>
      <c r="P31" s="43"/>
      <c r="Q31" s="43"/>
      <c r="R31" s="43"/>
      <c r="S31" s="15"/>
      <c r="T31" s="15"/>
      <c r="U31" s="15"/>
      <c r="V31" s="15"/>
      <c r="W31" s="43"/>
      <c r="X31" s="15"/>
      <c r="Y31" s="15"/>
      <c r="Z31" s="43">
        <v>10</v>
      </c>
      <c r="AA31" s="15">
        <v>10</v>
      </c>
      <c r="AB31" s="15"/>
      <c r="AC31" s="15"/>
      <c r="AD31" s="43"/>
      <c r="AE31" s="43"/>
      <c r="AF31" s="15"/>
      <c r="AG31" s="43"/>
      <c r="AH31" s="43"/>
    </row>
    <row r="32" spans="2:34" s="14" customFormat="1" ht="41.25" customHeight="1">
      <c r="B32" s="18" t="s">
        <v>126</v>
      </c>
      <c r="C32" s="57" t="s">
        <v>96</v>
      </c>
      <c r="D32" s="18" t="s">
        <v>7</v>
      </c>
      <c r="E32" s="18" t="s">
        <v>78</v>
      </c>
      <c r="F32" s="15" t="s">
        <v>88</v>
      </c>
      <c r="G32" s="19" t="s">
        <v>116</v>
      </c>
      <c r="H32" s="19" t="s">
        <v>103</v>
      </c>
      <c r="I32" s="19" t="s">
        <v>67</v>
      </c>
      <c r="J32" s="43"/>
      <c r="K32" s="15"/>
      <c r="L32" s="15">
        <v>5</v>
      </c>
      <c r="M32" s="15"/>
      <c r="N32" s="15"/>
      <c r="O32" s="15"/>
      <c r="P32" s="43"/>
      <c r="Q32" s="43"/>
      <c r="R32" s="43"/>
      <c r="S32" s="15"/>
      <c r="T32" s="15"/>
      <c r="U32" s="15"/>
      <c r="V32" s="15"/>
      <c r="W32" s="43"/>
      <c r="X32" s="15"/>
      <c r="Y32" s="15"/>
      <c r="Z32" s="43"/>
      <c r="AA32" s="15"/>
      <c r="AB32" s="15"/>
      <c r="AC32" s="15"/>
      <c r="AD32" s="43"/>
      <c r="AE32" s="43"/>
      <c r="AF32" s="15"/>
      <c r="AG32" s="43"/>
      <c r="AH32" s="43"/>
    </row>
    <row r="33" spans="1:34" s="14" customFormat="1" ht="41.25" customHeight="1">
      <c r="B33" s="18" t="s">
        <v>127</v>
      </c>
      <c r="C33" s="57" t="s">
        <v>96</v>
      </c>
      <c r="D33" s="18" t="s">
        <v>7</v>
      </c>
      <c r="E33" s="18" t="s">
        <v>78</v>
      </c>
      <c r="F33" s="15" t="s">
        <v>88</v>
      </c>
      <c r="G33" s="19" t="s">
        <v>91</v>
      </c>
      <c r="H33" s="19" t="s">
        <v>103</v>
      </c>
      <c r="I33" s="19" t="s">
        <v>67</v>
      </c>
      <c r="J33" s="43"/>
      <c r="K33" s="15"/>
      <c r="L33" s="15"/>
      <c r="M33" s="15">
        <v>4</v>
      </c>
      <c r="N33" s="15"/>
      <c r="O33" s="15"/>
      <c r="P33" s="43"/>
      <c r="Q33" s="43"/>
      <c r="R33" s="43"/>
      <c r="S33" s="15"/>
      <c r="T33" s="15"/>
      <c r="U33" s="15"/>
      <c r="V33" s="15"/>
      <c r="W33" s="43"/>
      <c r="X33" s="15"/>
      <c r="Y33" s="15"/>
      <c r="Z33" s="43"/>
      <c r="AA33" s="15"/>
      <c r="AB33" s="15"/>
      <c r="AC33" s="15"/>
      <c r="AD33" s="43"/>
      <c r="AE33" s="43"/>
      <c r="AF33" s="15"/>
      <c r="AG33" s="43"/>
      <c r="AH33" s="43"/>
    </row>
    <row r="34" spans="1:34" s="14" customFormat="1" ht="41.25" customHeight="1">
      <c r="B34" s="18" t="s">
        <v>128</v>
      </c>
      <c r="C34" s="57" t="s">
        <v>96</v>
      </c>
      <c r="D34" s="18" t="s">
        <v>7</v>
      </c>
      <c r="E34" s="18" t="s">
        <v>78</v>
      </c>
      <c r="F34" s="15" t="s">
        <v>88</v>
      </c>
      <c r="G34" s="19" t="s">
        <v>129</v>
      </c>
      <c r="H34" s="19" t="s">
        <v>103</v>
      </c>
      <c r="I34" s="19" t="s">
        <v>67</v>
      </c>
      <c r="J34" s="43">
        <v>2</v>
      </c>
      <c r="K34" s="15"/>
      <c r="L34" s="15"/>
      <c r="M34" s="15"/>
      <c r="N34" s="15"/>
      <c r="O34" s="15"/>
      <c r="P34" s="43"/>
      <c r="Q34" s="43"/>
      <c r="R34" s="43"/>
      <c r="S34" s="15"/>
      <c r="T34" s="15"/>
      <c r="U34" s="15"/>
      <c r="V34" s="15"/>
      <c r="W34" s="43"/>
      <c r="X34" s="15"/>
      <c r="Y34" s="15"/>
      <c r="Z34" s="43"/>
      <c r="AA34" s="15"/>
      <c r="AB34" s="15"/>
      <c r="AC34" s="15"/>
      <c r="AD34" s="43"/>
      <c r="AE34" s="43"/>
      <c r="AF34" s="15"/>
      <c r="AG34" s="43"/>
      <c r="AH34" s="43"/>
    </row>
    <row r="35" spans="1:34" s="14" customFormat="1" ht="41.25" customHeight="1">
      <c r="B35" s="18" t="s">
        <v>128</v>
      </c>
      <c r="C35" s="57" t="s">
        <v>96</v>
      </c>
      <c r="D35" s="18" t="s">
        <v>7</v>
      </c>
      <c r="E35" s="18" t="s">
        <v>78</v>
      </c>
      <c r="F35" s="18" t="s">
        <v>18</v>
      </c>
      <c r="G35" s="19" t="s">
        <v>115</v>
      </c>
      <c r="H35" s="19" t="s">
        <v>103</v>
      </c>
      <c r="I35" s="19" t="s">
        <v>67</v>
      </c>
      <c r="J35" s="43"/>
      <c r="K35" s="15"/>
      <c r="L35" s="15"/>
      <c r="M35" s="15"/>
      <c r="N35" s="15"/>
      <c r="O35" s="15"/>
      <c r="P35" s="43">
        <v>3</v>
      </c>
      <c r="Q35" s="43"/>
      <c r="R35" s="43"/>
      <c r="S35" s="15"/>
      <c r="T35" s="15"/>
      <c r="U35" s="15"/>
      <c r="V35" s="15"/>
      <c r="W35" s="43"/>
      <c r="X35" s="15"/>
      <c r="Y35" s="15"/>
      <c r="Z35" s="43">
        <v>1</v>
      </c>
      <c r="AA35" s="15"/>
      <c r="AB35" s="15"/>
      <c r="AC35" s="15"/>
      <c r="AD35" s="43"/>
      <c r="AE35" s="43"/>
      <c r="AF35" s="15"/>
      <c r="AG35" s="43"/>
      <c r="AH35" s="43"/>
    </row>
    <row r="36" spans="1:34" s="14" customFormat="1" ht="41.25" customHeight="1">
      <c r="B36" s="18" t="s">
        <v>128</v>
      </c>
      <c r="C36" s="57" t="s">
        <v>96</v>
      </c>
      <c r="D36" s="18" t="s">
        <v>7</v>
      </c>
      <c r="E36" s="18" t="s">
        <v>78</v>
      </c>
      <c r="F36" s="15" t="s">
        <v>88</v>
      </c>
      <c r="G36" s="19" t="s">
        <v>115</v>
      </c>
      <c r="H36" s="19" t="s">
        <v>103</v>
      </c>
      <c r="I36" s="19" t="s">
        <v>67</v>
      </c>
      <c r="J36" s="43"/>
      <c r="K36" s="15"/>
      <c r="L36" s="15"/>
      <c r="M36" s="15"/>
      <c r="N36" s="15"/>
      <c r="O36" s="15"/>
      <c r="P36" s="43"/>
      <c r="Q36" s="43"/>
      <c r="R36" s="43"/>
      <c r="S36" s="15">
        <v>1</v>
      </c>
      <c r="T36" s="15"/>
      <c r="U36" s="15"/>
      <c r="V36" s="15"/>
      <c r="W36" s="43"/>
      <c r="X36" s="15"/>
      <c r="Y36" s="15"/>
      <c r="Z36" s="43">
        <v>1</v>
      </c>
      <c r="AA36" s="15">
        <v>1</v>
      </c>
      <c r="AB36" s="15"/>
      <c r="AC36" s="15"/>
      <c r="AD36" s="43"/>
      <c r="AE36" s="43"/>
      <c r="AF36" s="15"/>
      <c r="AG36" s="43"/>
      <c r="AH36" s="43"/>
    </row>
    <row r="37" spans="1:34" s="14" customFormat="1" ht="41.25" customHeight="1">
      <c r="B37" s="18" t="s">
        <v>130</v>
      </c>
      <c r="C37" s="57" t="s">
        <v>96</v>
      </c>
      <c r="D37" s="18" t="s">
        <v>7</v>
      </c>
      <c r="E37" s="18" t="s">
        <v>78</v>
      </c>
      <c r="F37" s="18" t="s">
        <v>88</v>
      </c>
      <c r="G37" s="19" t="s">
        <v>131</v>
      </c>
      <c r="H37" s="19" t="s">
        <v>103</v>
      </c>
      <c r="I37" s="19" t="s">
        <v>67</v>
      </c>
      <c r="J37" s="43"/>
      <c r="K37" s="15"/>
      <c r="L37" s="15"/>
      <c r="M37" s="15"/>
      <c r="N37" s="15"/>
      <c r="O37" s="15"/>
      <c r="P37" s="43"/>
      <c r="Q37" s="43"/>
      <c r="R37" s="43"/>
      <c r="S37" s="15"/>
      <c r="T37" s="15"/>
      <c r="U37" s="15"/>
      <c r="V37" s="15"/>
      <c r="W37" s="43"/>
      <c r="X37" s="15">
        <v>1</v>
      </c>
      <c r="Y37" s="15"/>
      <c r="Z37" s="43"/>
      <c r="AA37" s="15"/>
      <c r="AB37" s="15"/>
      <c r="AC37" s="15"/>
      <c r="AD37" s="43"/>
      <c r="AE37" s="43"/>
      <c r="AF37" s="15"/>
      <c r="AG37" s="43"/>
      <c r="AH37" s="43"/>
    </row>
    <row r="38" spans="1:34" s="14" customFormat="1" ht="41.25" customHeight="1">
      <c r="B38" s="18" t="s">
        <v>132</v>
      </c>
      <c r="C38" s="57" t="s">
        <v>96</v>
      </c>
      <c r="D38" s="18" t="s">
        <v>7</v>
      </c>
      <c r="E38" s="18" t="s">
        <v>78</v>
      </c>
      <c r="F38" s="18" t="s">
        <v>88</v>
      </c>
      <c r="G38" s="19" t="s">
        <v>91</v>
      </c>
      <c r="H38" s="19" t="s">
        <v>103</v>
      </c>
      <c r="I38" s="19" t="s">
        <v>67</v>
      </c>
      <c r="J38" s="43"/>
      <c r="K38" s="15"/>
      <c r="L38" s="15"/>
      <c r="M38" s="15"/>
      <c r="N38" s="15"/>
      <c r="O38" s="15"/>
      <c r="P38" s="43"/>
      <c r="Q38" s="43"/>
      <c r="R38" s="43"/>
      <c r="S38" s="15"/>
      <c r="T38" s="15"/>
      <c r="U38" s="15"/>
      <c r="V38" s="15"/>
      <c r="W38" s="43"/>
      <c r="X38" s="15"/>
      <c r="Y38" s="15"/>
      <c r="Z38" s="43"/>
      <c r="AA38" s="15"/>
      <c r="AB38" s="15">
        <v>10</v>
      </c>
      <c r="AC38" s="15"/>
      <c r="AD38" s="43"/>
      <c r="AE38" s="43"/>
      <c r="AF38" s="15"/>
      <c r="AG38" s="43"/>
      <c r="AH38" s="43"/>
    </row>
    <row r="39" spans="1:34" s="14" customFormat="1" ht="41.25" customHeight="1">
      <c r="B39" s="18" t="s">
        <v>133</v>
      </c>
      <c r="C39" s="57" t="s">
        <v>96</v>
      </c>
      <c r="D39" s="18" t="s">
        <v>7</v>
      </c>
      <c r="E39" s="18" t="s">
        <v>78</v>
      </c>
      <c r="F39" s="19" t="s">
        <v>88</v>
      </c>
      <c r="G39" s="19" t="s">
        <v>105</v>
      </c>
      <c r="H39" s="19" t="s">
        <v>103</v>
      </c>
      <c r="I39" s="19" t="s">
        <v>67</v>
      </c>
      <c r="J39" s="44"/>
      <c r="K39" s="19"/>
      <c r="L39" s="19"/>
      <c r="M39" s="19"/>
      <c r="N39" s="19"/>
      <c r="O39" s="19"/>
      <c r="P39" s="44"/>
      <c r="Q39" s="44"/>
      <c r="R39" s="44"/>
      <c r="S39" s="19"/>
      <c r="T39" s="19"/>
      <c r="U39" s="19"/>
      <c r="V39" s="19"/>
      <c r="W39" s="44"/>
      <c r="X39" s="19"/>
      <c r="Y39" s="19"/>
      <c r="Z39" s="44"/>
      <c r="AA39" s="19"/>
      <c r="AB39" s="19">
        <v>10</v>
      </c>
      <c r="AC39" s="19"/>
      <c r="AD39" s="44">
        <v>4</v>
      </c>
      <c r="AE39" s="44"/>
      <c r="AF39" s="19"/>
      <c r="AG39" s="44"/>
      <c r="AH39" s="44"/>
    </row>
    <row r="40" spans="1:34" s="14" customFormat="1" ht="41.25" customHeight="1">
      <c r="A40" s="35"/>
      <c r="B40" s="18" t="s">
        <v>135</v>
      </c>
      <c r="C40" s="57" t="s">
        <v>134</v>
      </c>
      <c r="D40" s="18" t="s">
        <v>7</v>
      </c>
      <c r="E40" s="18" t="s">
        <v>78</v>
      </c>
      <c r="F40" s="19" t="s">
        <v>88</v>
      </c>
      <c r="G40" s="19" t="s">
        <v>105</v>
      </c>
      <c r="H40" s="19" t="s">
        <v>103</v>
      </c>
      <c r="I40" s="19" t="s">
        <v>67</v>
      </c>
      <c r="J40" s="43"/>
      <c r="K40" s="15"/>
      <c r="L40" s="15"/>
      <c r="M40" s="15"/>
      <c r="N40" s="15"/>
      <c r="O40" s="15"/>
      <c r="P40" s="43"/>
      <c r="Q40" s="43"/>
      <c r="R40" s="43"/>
      <c r="S40" s="15"/>
      <c r="T40" s="15"/>
      <c r="U40" s="15"/>
      <c r="V40" s="15"/>
      <c r="W40" s="43"/>
      <c r="X40" s="15">
        <v>1</v>
      </c>
      <c r="Y40" s="15"/>
      <c r="Z40" s="43">
        <v>20</v>
      </c>
      <c r="AA40" s="15"/>
      <c r="AB40" s="15"/>
      <c r="AC40" s="15"/>
      <c r="AD40" s="43"/>
      <c r="AE40" s="43"/>
      <c r="AF40" s="15"/>
      <c r="AG40" s="43"/>
      <c r="AH40" s="43"/>
    </row>
    <row r="41" spans="1:34" s="14" customFormat="1" ht="41.25" customHeight="1">
      <c r="B41" s="18" t="s">
        <v>136</v>
      </c>
      <c r="C41" s="57" t="s">
        <v>96</v>
      </c>
      <c r="D41" s="18" t="s">
        <v>7</v>
      </c>
      <c r="E41" s="18" t="s">
        <v>78</v>
      </c>
      <c r="F41" s="18" t="s">
        <v>88</v>
      </c>
      <c r="G41" s="19" t="s">
        <v>131</v>
      </c>
      <c r="H41" s="19" t="s">
        <v>103</v>
      </c>
      <c r="I41" s="19" t="s">
        <v>67</v>
      </c>
      <c r="J41" s="43"/>
      <c r="K41" s="15"/>
      <c r="L41" s="15"/>
      <c r="M41" s="15"/>
      <c r="N41" s="15"/>
      <c r="O41" s="15"/>
      <c r="P41" s="43"/>
      <c r="Q41" s="43"/>
      <c r="R41" s="43"/>
      <c r="S41" s="15"/>
      <c r="T41" s="15"/>
      <c r="U41" s="15"/>
      <c r="V41" s="15"/>
      <c r="W41" s="43"/>
      <c r="X41" s="15"/>
      <c r="Y41" s="15"/>
      <c r="Z41" s="43"/>
      <c r="AA41" s="15"/>
      <c r="AB41" s="15"/>
      <c r="AC41" s="15"/>
      <c r="AD41" s="43"/>
      <c r="AE41" s="43">
        <v>5</v>
      </c>
      <c r="AF41" s="15"/>
      <c r="AG41" s="43"/>
      <c r="AH41" s="43"/>
    </row>
    <row r="42" spans="1:34" s="14" customFormat="1" ht="41.25" customHeight="1">
      <c r="B42" s="21"/>
      <c r="C42" s="57"/>
      <c r="D42" s="18" t="s">
        <v>7</v>
      </c>
      <c r="E42" s="18"/>
      <c r="F42" s="18"/>
      <c r="G42" s="18"/>
      <c r="H42" s="18"/>
      <c r="I42" s="15"/>
      <c r="J42" s="43"/>
      <c r="K42" s="15"/>
      <c r="L42" s="15"/>
      <c r="M42" s="15"/>
      <c r="N42" s="15"/>
      <c r="O42" s="15"/>
      <c r="P42" s="43"/>
      <c r="Q42" s="43"/>
      <c r="R42" s="43"/>
      <c r="S42" s="15"/>
      <c r="T42" s="15"/>
      <c r="U42" s="15"/>
      <c r="V42" s="15"/>
      <c r="W42" s="43"/>
      <c r="X42" s="15"/>
      <c r="Y42" s="15"/>
      <c r="Z42" s="43"/>
      <c r="AA42" s="15"/>
      <c r="AB42" s="15"/>
      <c r="AC42" s="15"/>
      <c r="AD42" s="43"/>
      <c r="AE42" s="43"/>
      <c r="AF42" s="15"/>
      <c r="AG42" s="43"/>
      <c r="AH42" s="43"/>
    </row>
    <row r="43" spans="1:34" s="14" customFormat="1" ht="41.25" customHeight="1">
      <c r="B43" s="18"/>
      <c r="C43" s="57" t="str">
        <f t="shared" ref="C43:C100" si="2">IF(B43="","",MONTH(B43))</f>
        <v/>
      </c>
      <c r="D43" s="18" t="e">
        <f>VLOOKUP(F43,LOOKUP!$C$2:$C$8,2,0)</f>
        <v>#N/A</v>
      </c>
      <c r="E43" s="18"/>
      <c r="F43" s="19"/>
      <c r="G43" s="19"/>
      <c r="H43" s="19"/>
      <c r="I43" s="15"/>
      <c r="J43" s="44"/>
      <c r="K43" s="19"/>
      <c r="L43" s="19"/>
      <c r="M43" s="19"/>
      <c r="N43" s="19"/>
      <c r="O43" s="19"/>
      <c r="P43" s="44"/>
      <c r="Q43" s="44"/>
      <c r="R43" s="44"/>
      <c r="S43" s="19"/>
      <c r="T43" s="19"/>
      <c r="U43" s="19"/>
      <c r="V43" s="19"/>
      <c r="W43" s="44"/>
      <c r="X43" s="19"/>
      <c r="Y43" s="19"/>
      <c r="Z43" s="44"/>
      <c r="AA43" s="15"/>
      <c r="AB43" s="15"/>
      <c r="AC43" s="15"/>
      <c r="AD43" s="44"/>
      <c r="AE43" s="44"/>
      <c r="AF43" s="19"/>
      <c r="AG43" s="44"/>
      <c r="AH43" s="44"/>
    </row>
    <row r="44" spans="1:34" s="14" customFormat="1" ht="41.25" customHeight="1">
      <c r="B44" s="18"/>
      <c r="C44" s="57" t="str">
        <f t="shared" si="2"/>
        <v/>
      </c>
      <c r="D44" s="18" t="e">
        <f>VLOOKUP(F44,LOOKUP!$C$2:$C$8,2,0)</f>
        <v>#N/A</v>
      </c>
      <c r="E44" s="18"/>
      <c r="F44" s="19"/>
      <c r="G44" s="19"/>
      <c r="H44" s="19"/>
      <c r="I44" s="19"/>
      <c r="J44" s="43"/>
      <c r="K44" s="15"/>
      <c r="L44" s="15"/>
      <c r="M44" s="15"/>
      <c r="N44" s="15"/>
      <c r="O44" s="15"/>
      <c r="P44" s="43"/>
      <c r="Q44" s="43"/>
      <c r="R44" s="43"/>
      <c r="S44" s="15"/>
      <c r="T44" s="15"/>
      <c r="U44" s="15"/>
      <c r="V44" s="15"/>
      <c r="W44" s="43"/>
      <c r="X44" s="15"/>
      <c r="Y44" s="15"/>
      <c r="Z44" s="43"/>
      <c r="AA44" s="15"/>
      <c r="AB44" s="15"/>
      <c r="AC44" s="15"/>
      <c r="AD44" s="43"/>
      <c r="AE44" s="43"/>
      <c r="AF44" s="15"/>
      <c r="AG44" s="43"/>
      <c r="AH44" s="43"/>
    </row>
    <row r="45" spans="1:34" s="14" customFormat="1" ht="41.25" customHeight="1">
      <c r="B45" s="18"/>
      <c r="C45" s="57" t="str">
        <f t="shared" si="2"/>
        <v/>
      </c>
      <c r="D45" s="18" t="e">
        <f>VLOOKUP(F45,LOOKUP!$C$2:$C$8,2,0)</f>
        <v>#N/A</v>
      </c>
      <c r="E45" s="18"/>
      <c r="F45" s="18"/>
      <c r="G45" s="19"/>
      <c r="H45" s="19"/>
      <c r="I45" s="15"/>
      <c r="J45" s="43"/>
      <c r="K45" s="15"/>
      <c r="L45" s="15"/>
      <c r="M45" s="15"/>
      <c r="N45" s="15"/>
      <c r="O45" s="15"/>
      <c r="P45" s="43"/>
      <c r="Q45" s="43"/>
      <c r="R45" s="43"/>
      <c r="S45" s="15"/>
      <c r="T45" s="15"/>
      <c r="U45" s="15"/>
      <c r="V45" s="15"/>
      <c r="W45" s="43"/>
      <c r="X45" s="15"/>
      <c r="Y45" s="15"/>
      <c r="Z45" s="43"/>
      <c r="AA45" s="15"/>
      <c r="AB45" s="15"/>
      <c r="AC45" s="15"/>
      <c r="AD45" s="43"/>
      <c r="AE45" s="43"/>
      <c r="AF45" s="15"/>
      <c r="AG45" s="43"/>
      <c r="AH45" s="43"/>
    </row>
    <row r="46" spans="1:34" s="14" customFormat="1" ht="41.25" customHeight="1">
      <c r="B46" s="18"/>
      <c r="C46" s="57" t="str">
        <f t="shared" si="2"/>
        <v/>
      </c>
      <c r="D46" s="18" t="e">
        <f>VLOOKUP(F46,LOOKUP!$C$2:$C$8,2,0)</f>
        <v>#N/A</v>
      </c>
      <c r="E46" s="18"/>
      <c r="F46" s="18"/>
      <c r="G46" s="19"/>
      <c r="H46" s="19"/>
      <c r="I46" s="19"/>
      <c r="J46" s="43"/>
      <c r="K46" s="15"/>
      <c r="L46" s="15"/>
      <c r="M46" s="15"/>
      <c r="N46" s="15"/>
      <c r="O46" s="15"/>
      <c r="P46" s="43"/>
      <c r="Q46" s="43"/>
      <c r="R46" s="43"/>
      <c r="S46" s="15"/>
      <c r="T46" s="15"/>
      <c r="U46" s="15"/>
      <c r="V46" s="15"/>
      <c r="W46" s="43"/>
      <c r="X46" s="15"/>
      <c r="Y46" s="15"/>
      <c r="Z46" s="43"/>
      <c r="AA46" s="15"/>
      <c r="AB46" s="15"/>
      <c r="AC46" s="15"/>
      <c r="AD46" s="43"/>
      <c r="AE46" s="43"/>
      <c r="AF46" s="15"/>
      <c r="AG46" s="43"/>
      <c r="AH46" s="43"/>
    </row>
    <row r="47" spans="1:34" s="14" customFormat="1" ht="41.25" customHeight="1">
      <c r="B47" s="18"/>
      <c r="C47" s="57" t="str">
        <f t="shared" si="2"/>
        <v/>
      </c>
      <c r="D47" s="18" t="e">
        <f>VLOOKUP(F47,LOOKUP!$C$2:$C$8,2,0)</f>
        <v>#N/A</v>
      </c>
      <c r="E47" s="18"/>
      <c r="F47" s="19"/>
      <c r="G47" s="19"/>
      <c r="H47" s="19"/>
      <c r="I47" s="19"/>
      <c r="J47" s="44"/>
      <c r="K47" s="19"/>
      <c r="L47" s="19"/>
      <c r="M47" s="19"/>
      <c r="N47" s="19"/>
      <c r="O47" s="19"/>
      <c r="P47" s="44"/>
      <c r="Q47" s="44"/>
      <c r="R47" s="44"/>
      <c r="S47" s="19"/>
      <c r="T47" s="19"/>
      <c r="U47" s="19"/>
      <c r="V47" s="19"/>
      <c r="W47" s="44"/>
      <c r="X47" s="19"/>
      <c r="Y47" s="19"/>
      <c r="Z47" s="44"/>
      <c r="AA47" s="19"/>
      <c r="AB47" s="19"/>
      <c r="AC47" s="19"/>
      <c r="AD47" s="44"/>
      <c r="AE47" s="44"/>
      <c r="AF47" s="19"/>
      <c r="AG47" s="44"/>
      <c r="AH47" s="44"/>
    </row>
    <row r="48" spans="1:34" s="14" customFormat="1" ht="41.25" customHeight="1">
      <c r="B48" s="18"/>
      <c r="C48" s="57" t="str">
        <f t="shared" si="2"/>
        <v/>
      </c>
      <c r="D48" s="18" t="e">
        <f>VLOOKUP(F48,LOOKUP!$C$2:$C$8,2,0)</f>
        <v>#N/A</v>
      </c>
      <c r="E48" s="18"/>
      <c r="F48" s="18"/>
      <c r="G48" s="19"/>
      <c r="H48" s="19"/>
      <c r="I48" s="19"/>
      <c r="J48" s="43"/>
      <c r="K48" s="15"/>
      <c r="L48" s="15"/>
      <c r="M48" s="15"/>
      <c r="N48" s="15"/>
      <c r="O48" s="15"/>
      <c r="P48" s="43"/>
      <c r="Q48" s="43"/>
      <c r="R48" s="43"/>
      <c r="S48" s="15"/>
      <c r="T48" s="15"/>
      <c r="U48" s="15"/>
      <c r="V48" s="15"/>
      <c r="W48" s="43"/>
      <c r="X48" s="15"/>
      <c r="Y48" s="15"/>
      <c r="Z48" s="43"/>
      <c r="AA48" s="15"/>
      <c r="AB48" s="15"/>
      <c r="AC48" s="15"/>
      <c r="AD48" s="43"/>
      <c r="AE48" s="43"/>
      <c r="AF48" s="15"/>
      <c r="AG48" s="43"/>
      <c r="AH48" s="43"/>
    </row>
    <row r="49" spans="2:34" s="14" customFormat="1" ht="41.25" customHeight="1">
      <c r="B49" s="18"/>
      <c r="C49" s="57" t="str">
        <f t="shared" si="2"/>
        <v/>
      </c>
      <c r="D49" s="18" t="e">
        <f>VLOOKUP(F49,LOOKUP!$C$2:$C$8,2,0)</f>
        <v>#N/A</v>
      </c>
      <c r="E49" s="18"/>
      <c r="F49" s="18"/>
      <c r="G49" s="19"/>
      <c r="H49" s="19"/>
      <c r="I49" s="15"/>
      <c r="J49" s="43"/>
      <c r="K49" s="15"/>
      <c r="L49" s="15"/>
      <c r="M49" s="15"/>
      <c r="N49" s="15"/>
      <c r="O49" s="15"/>
      <c r="P49" s="43"/>
      <c r="Q49" s="43"/>
      <c r="R49" s="43"/>
      <c r="S49" s="15"/>
      <c r="T49" s="15"/>
      <c r="U49" s="15"/>
      <c r="V49" s="15"/>
      <c r="W49" s="43"/>
      <c r="X49" s="15"/>
      <c r="Y49" s="15"/>
      <c r="Z49" s="43"/>
      <c r="AA49" s="15"/>
      <c r="AB49" s="15"/>
      <c r="AC49" s="15"/>
      <c r="AD49" s="43"/>
      <c r="AE49" s="43"/>
      <c r="AF49" s="15"/>
      <c r="AG49" s="43"/>
      <c r="AH49" s="46"/>
    </row>
    <row r="50" spans="2:34" s="14" customFormat="1" ht="41.25" customHeight="1">
      <c r="B50" s="18"/>
      <c r="C50" s="57" t="str">
        <f t="shared" si="2"/>
        <v/>
      </c>
      <c r="D50" s="18" t="e">
        <f>VLOOKUP(F50,LOOKUP!$C$2:$C$8,2,0)</f>
        <v>#N/A</v>
      </c>
      <c r="E50" s="18"/>
      <c r="F50" s="19"/>
      <c r="G50" s="19"/>
      <c r="H50" s="19"/>
      <c r="I50" s="15"/>
      <c r="J50" s="44"/>
      <c r="K50" s="19"/>
      <c r="L50" s="19"/>
      <c r="M50" s="19"/>
      <c r="N50" s="19"/>
      <c r="O50" s="19"/>
      <c r="P50" s="44"/>
      <c r="Q50" s="44"/>
      <c r="R50" s="44"/>
      <c r="S50" s="19"/>
      <c r="T50" s="19"/>
      <c r="U50" s="19"/>
      <c r="V50" s="19"/>
      <c r="W50" s="44"/>
      <c r="X50" s="19"/>
      <c r="Y50" s="19"/>
      <c r="Z50" s="44"/>
      <c r="AA50" s="19"/>
      <c r="AB50" s="19"/>
      <c r="AC50" s="19"/>
      <c r="AD50" s="44"/>
      <c r="AE50" s="44"/>
      <c r="AF50" s="19"/>
      <c r="AG50" s="44"/>
      <c r="AH50" s="44"/>
    </row>
    <row r="51" spans="2:34" s="14" customFormat="1" ht="41.25" customHeight="1">
      <c r="B51" s="18"/>
      <c r="C51" s="57" t="str">
        <f t="shared" si="2"/>
        <v/>
      </c>
      <c r="D51" s="18" t="e">
        <f>VLOOKUP(F51,LOOKUP!$C$2:$C$8,2,0)</f>
        <v>#N/A</v>
      </c>
      <c r="E51" s="18"/>
      <c r="F51" s="19"/>
      <c r="G51" s="19"/>
      <c r="H51" s="19"/>
      <c r="I51" s="15"/>
      <c r="J51" s="44"/>
      <c r="K51" s="19"/>
      <c r="L51" s="19"/>
      <c r="M51" s="19"/>
      <c r="N51" s="19"/>
      <c r="O51" s="19"/>
      <c r="P51" s="44"/>
      <c r="Q51" s="44"/>
      <c r="R51" s="44"/>
      <c r="S51" s="19"/>
      <c r="T51" s="19"/>
      <c r="U51" s="19"/>
      <c r="V51" s="19"/>
      <c r="W51" s="44"/>
      <c r="X51" s="19"/>
      <c r="Y51" s="19"/>
      <c r="Z51" s="44"/>
      <c r="AA51" s="19"/>
      <c r="AB51" s="19"/>
      <c r="AC51" s="19"/>
      <c r="AD51" s="44"/>
      <c r="AE51" s="44"/>
      <c r="AF51" s="19"/>
      <c r="AG51" s="44"/>
      <c r="AH51" s="44"/>
    </row>
    <row r="52" spans="2:34" s="14" customFormat="1" ht="41.25" customHeight="1">
      <c r="B52" s="18"/>
      <c r="C52" s="57" t="str">
        <f t="shared" si="2"/>
        <v/>
      </c>
      <c r="D52" s="18" t="e">
        <f>VLOOKUP(F52,LOOKUP!$C$2:$C$8,2,0)</f>
        <v>#N/A</v>
      </c>
      <c r="E52" s="18"/>
      <c r="F52" s="18"/>
      <c r="G52" s="18"/>
      <c r="H52" s="19"/>
      <c r="I52" s="15"/>
      <c r="J52" s="43"/>
      <c r="K52" s="15"/>
      <c r="L52" s="15"/>
      <c r="M52" s="15"/>
      <c r="N52" s="15"/>
      <c r="O52" s="15"/>
      <c r="P52" s="43"/>
      <c r="Q52" s="43"/>
      <c r="R52" s="43"/>
      <c r="S52" s="15"/>
      <c r="T52" s="15"/>
      <c r="U52" s="15"/>
      <c r="V52" s="15"/>
      <c r="W52" s="43"/>
      <c r="X52" s="15"/>
      <c r="Y52" s="15"/>
      <c r="Z52" s="43"/>
      <c r="AA52" s="15"/>
      <c r="AB52" s="15"/>
      <c r="AC52" s="15"/>
      <c r="AD52" s="43"/>
      <c r="AE52" s="43"/>
      <c r="AF52" s="15"/>
      <c r="AG52" s="43"/>
      <c r="AH52" s="43"/>
    </row>
    <row r="53" spans="2:34" s="14" customFormat="1" ht="41.25" customHeight="1">
      <c r="B53" s="18"/>
      <c r="C53" s="57" t="str">
        <f t="shared" si="2"/>
        <v/>
      </c>
      <c r="D53" s="18" t="e">
        <f>VLOOKUP(F53,LOOKUP!$C$2:$C$8,2,0)</f>
        <v>#N/A</v>
      </c>
      <c r="E53" s="18"/>
      <c r="F53" s="18"/>
      <c r="G53" s="18"/>
      <c r="H53" s="19"/>
      <c r="I53" s="15"/>
      <c r="J53" s="43"/>
      <c r="K53" s="15"/>
      <c r="L53" s="15"/>
      <c r="M53" s="15"/>
      <c r="N53" s="15"/>
      <c r="O53" s="15"/>
      <c r="P53" s="43"/>
      <c r="Q53" s="43"/>
      <c r="R53" s="43"/>
      <c r="S53" s="15"/>
      <c r="T53" s="15"/>
      <c r="U53" s="15"/>
      <c r="V53" s="15"/>
      <c r="W53" s="43"/>
      <c r="X53" s="15"/>
      <c r="Y53" s="15"/>
      <c r="Z53" s="43"/>
      <c r="AA53" s="15"/>
      <c r="AB53" s="15"/>
      <c r="AC53" s="15"/>
      <c r="AD53" s="43"/>
      <c r="AE53" s="43"/>
      <c r="AF53" s="15"/>
      <c r="AG53" s="43"/>
      <c r="AH53" s="43"/>
    </row>
    <row r="54" spans="2:34" s="14" customFormat="1" ht="41.25" customHeight="1">
      <c r="B54" s="18"/>
      <c r="C54" s="57" t="str">
        <f t="shared" si="2"/>
        <v/>
      </c>
      <c r="D54" s="18" t="e">
        <f>VLOOKUP(F54,LOOKUP!$C$2:$C$8,2,0)</f>
        <v>#N/A</v>
      </c>
      <c r="E54" s="18"/>
      <c r="F54" s="19"/>
      <c r="G54" s="19"/>
      <c r="H54" s="19"/>
      <c r="I54" s="19"/>
      <c r="J54" s="44"/>
      <c r="K54" s="19"/>
      <c r="L54" s="19"/>
      <c r="M54" s="19"/>
      <c r="N54" s="19"/>
      <c r="O54" s="19"/>
      <c r="P54" s="44"/>
      <c r="Q54" s="44"/>
      <c r="R54" s="44"/>
      <c r="S54" s="19"/>
      <c r="T54" s="19"/>
      <c r="U54" s="19"/>
      <c r="V54" s="19"/>
      <c r="W54" s="44"/>
      <c r="X54" s="19"/>
      <c r="Y54" s="19"/>
      <c r="Z54" s="44"/>
      <c r="AA54" s="19"/>
      <c r="AB54" s="19"/>
      <c r="AC54" s="19"/>
      <c r="AD54" s="44"/>
      <c r="AE54" s="44"/>
      <c r="AF54" s="19"/>
      <c r="AG54" s="44"/>
      <c r="AH54" s="44"/>
    </row>
    <row r="55" spans="2:34" s="14" customFormat="1" ht="41.25" customHeight="1">
      <c r="B55" s="18"/>
      <c r="C55" s="57" t="str">
        <f t="shared" si="2"/>
        <v/>
      </c>
      <c r="D55" s="18" t="e">
        <f>VLOOKUP(F55,LOOKUP!$C$2:$C$8,2,0)</f>
        <v>#N/A</v>
      </c>
      <c r="E55" s="18"/>
      <c r="F55" s="18"/>
      <c r="G55" s="19"/>
      <c r="H55" s="19"/>
      <c r="I55" s="19"/>
      <c r="J55" s="47"/>
      <c r="K55" s="22"/>
      <c r="L55" s="22"/>
      <c r="M55" s="22"/>
      <c r="N55" s="22"/>
      <c r="O55" s="22"/>
      <c r="P55" s="47"/>
      <c r="Q55" s="47"/>
      <c r="R55" s="47"/>
      <c r="S55" s="22"/>
      <c r="T55" s="22"/>
      <c r="U55" s="22"/>
      <c r="V55" s="22"/>
      <c r="W55" s="47"/>
      <c r="X55" s="22"/>
      <c r="Y55" s="22"/>
      <c r="Z55" s="47"/>
      <c r="AA55" s="22"/>
      <c r="AB55" s="22"/>
      <c r="AC55" s="22"/>
      <c r="AD55" s="47"/>
      <c r="AE55" s="47"/>
      <c r="AF55" s="22"/>
      <c r="AG55" s="47"/>
      <c r="AH55" s="47"/>
    </row>
    <row r="56" spans="2:34" s="14" customFormat="1" ht="41.25" customHeight="1">
      <c r="B56" s="18"/>
      <c r="C56" s="57" t="str">
        <f t="shared" si="2"/>
        <v/>
      </c>
      <c r="D56" s="18" t="e">
        <f>VLOOKUP(F56,LOOKUP!$C$2:$C$8,2,0)</f>
        <v>#N/A</v>
      </c>
      <c r="E56" s="18"/>
      <c r="F56" s="18"/>
      <c r="G56" s="19"/>
      <c r="H56" s="19"/>
      <c r="I56" s="19"/>
      <c r="J56" s="47"/>
      <c r="K56" s="22"/>
      <c r="L56" s="22"/>
      <c r="M56" s="22"/>
      <c r="N56" s="22"/>
      <c r="O56" s="22"/>
      <c r="P56" s="47"/>
      <c r="Q56" s="47"/>
      <c r="R56" s="47"/>
      <c r="S56" s="22"/>
      <c r="T56" s="22"/>
      <c r="U56" s="22"/>
      <c r="V56" s="22"/>
      <c r="W56" s="47"/>
      <c r="X56" s="22"/>
      <c r="Y56" s="22"/>
      <c r="Z56" s="47"/>
      <c r="AA56" s="22"/>
      <c r="AB56" s="22"/>
      <c r="AC56" s="22"/>
      <c r="AD56" s="47"/>
      <c r="AE56" s="47"/>
      <c r="AF56" s="22"/>
      <c r="AG56" s="47"/>
      <c r="AH56" s="47"/>
    </row>
    <row r="57" spans="2:34" s="14" customFormat="1" ht="41.25" customHeight="1">
      <c r="B57" s="18"/>
      <c r="C57" s="57" t="str">
        <f t="shared" si="2"/>
        <v/>
      </c>
      <c r="D57" s="18" t="e">
        <f>VLOOKUP(F57,LOOKUP!$C$2:$C$8,2,0)</f>
        <v>#N/A</v>
      </c>
      <c r="E57" s="18"/>
      <c r="F57" s="18"/>
      <c r="G57" s="19"/>
      <c r="H57" s="19"/>
      <c r="I57" s="19"/>
      <c r="J57" s="47"/>
      <c r="K57" s="22"/>
      <c r="L57" s="22"/>
      <c r="M57" s="22"/>
      <c r="N57" s="22"/>
      <c r="O57" s="22"/>
      <c r="P57" s="47"/>
      <c r="Q57" s="47"/>
      <c r="R57" s="47"/>
      <c r="S57" s="22"/>
      <c r="T57" s="22"/>
      <c r="U57" s="22"/>
      <c r="V57" s="22"/>
      <c r="W57" s="47"/>
      <c r="X57" s="22"/>
      <c r="Y57" s="22"/>
      <c r="Z57" s="47"/>
      <c r="AA57" s="22"/>
      <c r="AB57" s="22"/>
      <c r="AC57" s="22"/>
      <c r="AD57" s="47"/>
      <c r="AE57" s="47"/>
      <c r="AF57" s="22"/>
      <c r="AG57" s="47"/>
      <c r="AH57" s="47"/>
    </row>
    <row r="58" spans="2:34" s="14" customFormat="1" ht="41.25" customHeight="1">
      <c r="B58" s="18"/>
      <c r="C58" s="57" t="str">
        <f t="shared" si="2"/>
        <v/>
      </c>
      <c r="D58" s="18" t="e">
        <f>VLOOKUP(F58,LOOKUP!$C$2:$C$8,2,0)</f>
        <v>#N/A</v>
      </c>
      <c r="E58" s="18"/>
      <c r="F58" s="18"/>
      <c r="G58" s="19"/>
      <c r="H58" s="19"/>
      <c r="I58" s="19"/>
      <c r="J58" s="47"/>
      <c r="K58" s="22"/>
      <c r="L58" s="22"/>
      <c r="M58" s="22"/>
      <c r="N58" s="22"/>
      <c r="O58" s="22"/>
      <c r="P58" s="47"/>
      <c r="Q58" s="47"/>
      <c r="R58" s="47"/>
      <c r="S58" s="22"/>
      <c r="T58" s="22"/>
      <c r="U58" s="22"/>
      <c r="V58" s="22"/>
      <c r="W58" s="47"/>
      <c r="X58" s="22"/>
      <c r="Y58" s="22"/>
      <c r="Z58" s="47"/>
      <c r="AA58" s="22"/>
      <c r="AB58" s="22"/>
      <c r="AC58" s="22"/>
      <c r="AD58" s="47"/>
      <c r="AE58" s="47"/>
      <c r="AF58" s="22"/>
      <c r="AG58" s="47"/>
      <c r="AH58" s="47"/>
    </row>
    <row r="59" spans="2:34" s="14" customFormat="1" ht="41.25" customHeight="1">
      <c r="B59" s="18"/>
      <c r="C59" s="57" t="str">
        <f t="shared" si="2"/>
        <v/>
      </c>
      <c r="D59" s="18" t="e">
        <f>VLOOKUP(F59,LOOKUP!$C$2:$C$8,2,0)</f>
        <v>#N/A</v>
      </c>
      <c r="E59" s="18"/>
      <c r="F59" s="18"/>
      <c r="G59" s="19"/>
      <c r="H59" s="19"/>
      <c r="I59" s="19"/>
      <c r="J59" s="47"/>
      <c r="K59" s="22"/>
      <c r="L59" s="22"/>
      <c r="M59" s="22"/>
      <c r="N59" s="22"/>
      <c r="O59" s="22"/>
      <c r="P59" s="47"/>
      <c r="Q59" s="47"/>
      <c r="R59" s="47"/>
      <c r="S59" s="22"/>
      <c r="T59" s="22"/>
      <c r="U59" s="22"/>
      <c r="V59" s="22"/>
      <c r="W59" s="47"/>
      <c r="X59" s="22"/>
      <c r="Y59" s="22"/>
      <c r="Z59" s="47"/>
      <c r="AA59" s="22"/>
      <c r="AB59" s="22"/>
      <c r="AC59" s="22"/>
      <c r="AD59" s="47"/>
      <c r="AE59" s="47"/>
      <c r="AF59" s="22"/>
      <c r="AG59" s="47"/>
      <c r="AH59" s="47"/>
    </row>
    <row r="60" spans="2:34" s="14" customFormat="1" ht="41.25" customHeight="1">
      <c r="B60" s="18"/>
      <c r="C60" s="57" t="str">
        <f t="shared" si="2"/>
        <v/>
      </c>
      <c r="D60" s="18" t="e">
        <f>VLOOKUP(F60,LOOKUP!$C$2:$C$8,2,0)</f>
        <v>#N/A</v>
      </c>
      <c r="E60" s="18"/>
      <c r="F60" s="18"/>
      <c r="G60" s="18"/>
      <c r="H60" s="18"/>
      <c r="I60" s="15"/>
      <c r="J60" s="43"/>
      <c r="K60" s="15"/>
      <c r="L60" s="15"/>
      <c r="M60" s="15"/>
      <c r="N60" s="15"/>
      <c r="O60" s="15"/>
      <c r="P60" s="43"/>
      <c r="Q60" s="43"/>
      <c r="R60" s="43"/>
      <c r="S60" s="15"/>
      <c r="T60" s="15"/>
      <c r="U60" s="15"/>
      <c r="V60" s="15"/>
      <c r="W60" s="43"/>
      <c r="X60" s="15"/>
      <c r="Y60" s="15"/>
      <c r="Z60" s="43"/>
      <c r="AA60" s="15"/>
      <c r="AB60" s="15"/>
      <c r="AC60" s="15"/>
      <c r="AD60" s="43"/>
      <c r="AE60" s="43"/>
      <c r="AF60" s="15"/>
      <c r="AG60" s="43"/>
      <c r="AH60" s="43"/>
    </row>
    <row r="61" spans="2:34" s="14" customFormat="1" ht="41.25" customHeight="1">
      <c r="B61" s="18"/>
      <c r="C61" s="57" t="str">
        <f t="shared" si="2"/>
        <v/>
      </c>
      <c r="D61" s="18" t="e">
        <f>VLOOKUP(F61,LOOKUP!$C$2:$C$8,2,0)</f>
        <v>#N/A</v>
      </c>
      <c r="E61" s="18"/>
      <c r="F61" s="18"/>
      <c r="G61" s="19"/>
      <c r="H61" s="19"/>
      <c r="I61" s="19"/>
      <c r="J61" s="43"/>
      <c r="K61" s="15"/>
      <c r="L61" s="15"/>
      <c r="M61" s="15"/>
      <c r="N61" s="15"/>
      <c r="O61" s="15"/>
      <c r="P61" s="43"/>
      <c r="Q61" s="43"/>
      <c r="R61" s="43"/>
      <c r="S61" s="15"/>
      <c r="T61" s="15"/>
      <c r="U61" s="15"/>
      <c r="V61" s="15"/>
      <c r="W61" s="43"/>
      <c r="X61" s="15"/>
      <c r="Y61" s="15"/>
      <c r="Z61" s="43"/>
      <c r="AA61" s="15"/>
      <c r="AB61" s="15"/>
      <c r="AC61" s="15"/>
      <c r="AD61" s="43"/>
      <c r="AE61" s="43"/>
      <c r="AF61" s="15"/>
      <c r="AG61" s="43"/>
      <c r="AH61" s="43"/>
    </row>
    <row r="62" spans="2:34" s="14" customFormat="1" ht="41.25" customHeight="1">
      <c r="B62" s="18"/>
      <c r="C62" s="57" t="str">
        <f t="shared" si="2"/>
        <v/>
      </c>
      <c r="D62" s="18" t="e">
        <f>VLOOKUP(F62,LOOKUP!$C$2:$C$8,2,0)</f>
        <v>#N/A</v>
      </c>
      <c r="E62" s="18"/>
      <c r="F62" s="18"/>
      <c r="G62" s="19"/>
      <c r="H62" s="19"/>
      <c r="I62" s="19"/>
      <c r="J62" s="43"/>
      <c r="K62" s="15"/>
      <c r="L62" s="15"/>
      <c r="M62" s="15"/>
      <c r="N62" s="15"/>
      <c r="O62" s="15"/>
      <c r="P62" s="43"/>
      <c r="Q62" s="43"/>
      <c r="R62" s="43"/>
      <c r="S62" s="15"/>
      <c r="T62" s="15"/>
      <c r="U62" s="15"/>
      <c r="V62" s="15"/>
      <c r="W62" s="43"/>
      <c r="X62" s="15"/>
      <c r="Y62" s="15"/>
      <c r="Z62" s="43"/>
      <c r="AA62" s="15"/>
      <c r="AB62" s="15"/>
      <c r="AC62" s="15"/>
      <c r="AD62" s="43"/>
      <c r="AE62" s="43"/>
      <c r="AF62" s="15"/>
      <c r="AG62" s="43"/>
      <c r="AH62" s="43"/>
    </row>
    <row r="63" spans="2:34" s="14" customFormat="1" ht="41.25" customHeight="1">
      <c r="B63" s="18"/>
      <c r="C63" s="57" t="str">
        <f t="shared" si="2"/>
        <v/>
      </c>
      <c r="D63" s="18" t="e">
        <f>VLOOKUP(F63,LOOKUP!$C$2:$C$8,2,0)</f>
        <v>#N/A</v>
      </c>
      <c r="E63" s="18"/>
      <c r="F63" s="18"/>
      <c r="G63" s="19"/>
      <c r="H63" s="19"/>
      <c r="I63" s="19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</row>
    <row r="64" spans="2:34" s="14" customFormat="1" ht="41.25" customHeight="1">
      <c r="B64" s="18"/>
      <c r="C64" s="57" t="str">
        <f t="shared" si="2"/>
        <v/>
      </c>
      <c r="D64" s="18" t="e">
        <f>VLOOKUP(F64,LOOKUP!$C$2:$C$8,2,0)</f>
        <v>#N/A</v>
      </c>
      <c r="E64" s="18"/>
      <c r="F64" s="18"/>
      <c r="G64" s="19"/>
      <c r="H64" s="19"/>
      <c r="I64" s="19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</row>
    <row r="65" spans="2:34" s="14" customFormat="1" ht="41.25" customHeight="1">
      <c r="B65" s="18"/>
      <c r="C65" s="57" t="str">
        <f t="shared" si="2"/>
        <v/>
      </c>
      <c r="D65" s="18" t="e">
        <f>VLOOKUP(F65,LOOKUP!$C$2:$C$8,2,0)</f>
        <v>#N/A</v>
      </c>
      <c r="E65" s="18"/>
      <c r="F65" s="18"/>
      <c r="G65" s="19"/>
      <c r="H65" s="19"/>
      <c r="I65" s="19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</row>
    <row r="66" spans="2:34" s="14" customFormat="1" ht="41.25" customHeight="1">
      <c r="B66" s="18"/>
      <c r="C66" s="57" t="str">
        <f t="shared" si="2"/>
        <v/>
      </c>
      <c r="D66" s="18" t="e">
        <f>VLOOKUP(F66,LOOKUP!$C$2:$C$8,2,0)</f>
        <v>#N/A</v>
      </c>
      <c r="E66" s="18"/>
      <c r="F66" s="18"/>
      <c r="G66" s="19"/>
      <c r="H66" s="19"/>
      <c r="I66" s="19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</row>
    <row r="67" spans="2:34" s="14" customFormat="1" ht="41.25" customHeight="1">
      <c r="B67" s="18"/>
      <c r="C67" s="57" t="str">
        <f t="shared" si="2"/>
        <v/>
      </c>
      <c r="D67" s="18" t="e">
        <f>VLOOKUP(F67,LOOKUP!$C$2:$C$8,2,0)</f>
        <v>#N/A</v>
      </c>
      <c r="E67" s="18"/>
      <c r="F67" s="15"/>
      <c r="G67" s="19"/>
      <c r="H67" s="19"/>
      <c r="I67" s="19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</row>
    <row r="68" spans="2:34" s="14" customFormat="1" ht="41.25" customHeight="1">
      <c r="B68" s="18"/>
      <c r="C68" s="57" t="str">
        <f t="shared" si="2"/>
        <v/>
      </c>
      <c r="D68" s="18" t="e">
        <f>VLOOKUP(F68,LOOKUP!$C$2:$C$8,2,0)</f>
        <v>#N/A</v>
      </c>
      <c r="E68" s="18"/>
      <c r="F68" s="18"/>
      <c r="G68" s="18"/>
      <c r="H68" s="18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</row>
    <row r="69" spans="2:34" s="14" customFormat="1" ht="41.25" customHeight="1">
      <c r="B69" s="18"/>
      <c r="C69" s="57" t="str">
        <f t="shared" si="2"/>
        <v/>
      </c>
      <c r="D69" s="18" t="e">
        <f>VLOOKUP(F69,LOOKUP!$C$2:$C$8,2,0)</f>
        <v>#N/A</v>
      </c>
      <c r="E69" s="18"/>
      <c r="F69" s="18"/>
      <c r="G69" s="18"/>
      <c r="H69" s="18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</row>
    <row r="70" spans="2:34" s="14" customFormat="1" ht="41.25" customHeight="1">
      <c r="B70" s="18"/>
      <c r="C70" s="57" t="str">
        <f t="shared" si="2"/>
        <v/>
      </c>
      <c r="D70" s="18" t="e">
        <f>VLOOKUP(F70,LOOKUP!$C$2:$C$8,2,0)</f>
        <v>#N/A</v>
      </c>
      <c r="E70" s="18"/>
      <c r="F70" s="18"/>
      <c r="G70" s="18"/>
      <c r="H70" s="18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</row>
    <row r="71" spans="2:34" s="14" customFormat="1" ht="41.25" customHeight="1">
      <c r="B71" s="18"/>
      <c r="C71" s="57" t="str">
        <f t="shared" si="2"/>
        <v/>
      </c>
      <c r="D71" s="18" t="e">
        <f>VLOOKUP(F71,LOOKUP!$C$2:$C$8,2,0)</f>
        <v>#N/A</v>
      </c>
      <c r="E71" s="18"/>
      <c r="F71" s="15"/>
      <c r="G71" s="15"/>
      <c r="H71" s="19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</row>
    <row r="72" spans="2:34" ht="41.25" customHeight="1">
      <c r="B72" s="18"/>
      <c r="C72" s="57" t="str">
        <f t="shared" si="2"/>
        <v/>
      </c>
      <c r="D72" s="18" t="e">
        <f>VLOOKUP(F72,LOOKUP!$C$2:$C$8,2,0)</f>
        <v>#N/A</v>
      </c>
      <c r="E72" s="18"/>
      <c r="F72" s="18"/>
      <c r="G72" s="19"/>
      <c r="H72" s="19"/>
      <c r="I72" s="19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</row>
    <row r="73" spans="2:34" ht="41.25" customHeight="1">
      <c r="B73" s="18"/>
      <c r="C73" s="57" t="str">
        <f t="shared" si="2"/>
        <v/>
      </c>
      <c r="D73" s="18" t="e">
        <f>VLOOKUP(F73,LOOKUP!$C$2:$C$8,2,0)</f>
        <v>#N/A</v>
      </c>
      <c r="E73" s="18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</row>
    <row r="74" spans="2:34" ht="41.25" customHeight="1">
      <c r="B74" s="18"/>
      <c r="C74" s="57" t="str">
        <f t="shared" si="2"/>
        <v/>
      </c>
      <c r="D74" s="18" t="e">
        <f>VLOOKUP(F74,LOOKUP!$C$2:$C$8,2,0)</f>
        <v>#N/A</v>
      </c>
      <c r="E74" s="18"/>
      <c r="F74" s="18"/>
      <c r="G74" s="18"/>
      <c r="H74" s="18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</row>
    <row r="75" spans="2:34" ht="41.25" customHeight="1">
      <c r="B75" s="18"/>
      <c r="C75" s="57" t="str">
        <f t="shared" si="2"/>
        <v/>
      </c>
      <c r="D75" s="18" t="e">
        <f>VLOOKUP(F75,LOOKUP!$C$2:$C$8,2,0)</f>
        <v>#N/A</v>
      </c>
      <c r="E75" s="18"/>
      <c r="F75" s="18"/>
      <c r="G75" s="18"/>
      <c r="H75" s="19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</row>
    <row r="76" spans="2:34" ht="41.25" customHeight="1">
      <c r="B76" s="18"/>
      <c r="C76" s="57" t="str">
        <f t="shared" si="2"/>
        <v/>
      </c>
      <c r="D76" s="18" t="e">
        <f>VLOOKUP(F76,LOOKUP!$C$2:$C$8,2,0)</f>
        <v>#N/A</v>
      </c>
      <c r="E76" s="18"/>
      <c r="F76" s="18"/>
      <c r="G76" s="18"/>
      <c r="H76" s="18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</row>
    <row r="77" spans="2:34" ht="41.25" customHeight="1">
      <c r="B77" s="18"/>
      <c r="C77" s="57" t="str">
        <f t="shared" si="2"/>
        <v/>
      </c>
      <c r="D77" s="18" t="e">
        <f>VLOOKUP(F77,LOOKUP!$C$2:$C$8,2,0)</f>
        <v>#N/A</v>
      </c>
      <c r="E77" s="18"/>
      <c r="F77" s="18"/>
      <c r="G77" s="18"/>
      <c r="H77" s="19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</row>
    <row r="78" spans="2:34" ht="41.25" customHeight="1">
      <c r="B78" s="18"/>
      <c r="C78" s="57" t="str">
        <f t="shared" si="2"/>
        <v/>
      </c>
      <c r="D78" s="18" t="e">
        <f>VLOOKUP(F78,LOOKUP!$C$2:$C$8,2,0)</f>
        <v>#N/A</v>
      </c>
      <c r="E78" s="18"/>
      <c r="F78" s="18"/>
      <c r="G78" s="19"/>
      <c r="H78" s="19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</row>
    <row r="79" spans="2:34" ht="41.25" customHeight="1">
      <c r="B79" s="21"/>
      <c r="C79" s="57" t="str">
        <f t="shared" si="2"/>
        <v/>
      </c>
      <c r="D79" s="18" t="e">
        <f>VLOOKUP(F79,LOOKUP!$C$2:$C$8,2,0)</f>
        <v>#N/A</v>
      </c>
      <c r="E79" s="18"/>
      <c r="F79" s="18"/>
      <c r="G79" s="19"/>
      <c r="H79" s="19"/>
      <c r="I79" s="19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</row>
    <row r="80" spans="2:34" ht="41.25" customHeight="1">
      <c r="B80" s="21"/>
      <c r="C80" s="57" t="str">
        <f t="shared" si="2"/>
        <v/>
      </c>
      <c r="D80" s="18" t="e">
        <f>VLOOKUP(F80,LOOKUP!$C$2:$C$8,2,0)</f>
        <v>#N/A</v>
      </c>
      <c r="E80" s="18"/>
      <c r="F80" s="15"/>
      <c r="G80" s="19"/>
      <c r="H80" s="19"/>
      <c r="I80" s="19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</row>
    <row r="81" spans="2:34" ht="41.25" customHeight="1">
      <c r="B81" s="21"/>
      <c r="C81" s="57" t="str">
        <f t="shared" si="2"/>
        <v/>
      </c>
      <c r="D81" s="18" t="e">
        <f>VLOOKUP(F81,LOOKUP!$C$2:$C$8,2,0)</f>
        <v>#N/A</v>
      </c>
      <c r="E81" s="18"/>
      <c r="F81" s="18"/>
      <c r="G81" s="19"/>
      <c r="H81" s="19"/>
      <c r="I81" s="19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</row>
    <row r="82" spans="2:34" ht="41.25" customHeight="1">
      <c r="B82" s="21"/>
      <c r="C82" s="57" t="str">
        <f t="shared" si="2"/>
        <v/>
      </c>
      <c r="D82" s="18" t="e">
        <f>VLOOKUP(F82,LOOKUP!$C$2:$C$8,2,0)</f>
        <v>#N/A</v>
      </c>
      <c r="E82" s="18"/>
      <c r="F82" s="18"/>
      <c r="G82" s="19"/>
      <c r="H82" s="19"/>
      <c r="I82" s="19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</row>
    <row r="83" spans="2:34" ht="41.25" customHeight="1">
      <c r="B83" s="18"/>
      <c r="C83" s="57" t="str">
        <f t="shared" si="2"/>
        <v/>
      </c>
      <c r="D83" s="18" t="e">
        <f>VLOOKUP(F83,LOOKUP!$C$2:$C$8,2,0)</f>
        <v>#N/A</v>
      </c>
      <c r="E83" s="18"/>
      <c r="F83" s="18"/>
      <c r="G83" s="19"/>
      <c r="H83" s="19"/>
      <c r="I83" s="19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</row>
    <row r="84" spans="2:34" ht="41.25" customHeight="1">
      <c r="B84" s="18"/>
      <c r="C84" s="57" t="str">
        <f t="shared" si="2"/>
        <v/>
      </c>
      <c r="D84" s="18" t="e">
        <f>VLOOKUP(F84,LOOKUP!$C$2:$C$8,2,0)</f>
        <v>#N/A</v>
      </c>
      <c r="E84" s="18"/>
      <c r="F84" s="15"/>
      <c r="G84" s="19"/>
      <c r="H84" s="19"/>
      <c r="I84" s="19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</row>
    <row r="85" spans="2:34" ht="41.25" customHeight="1">
      <c r="B85" s="18"/>
      <c r="C85" s="57" t="str">
        <f t="shared" si="2"/>
        <v/>
      </c>
      <c r="D85" s="18" t="e">
        <f>VLOOKUP(F85,LOOKUP!$C$2:$C$8,2,0)</f>
        <v>#N/A</v>
      </c>
      <c r="E85" s="18"/>
      <c r="F85" s="18"/>
      <c r="G85" s="19"/>
      <c r="H85" s="19"/>
      <c r="I85" s="19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</row>
    <row r="86" spans="2:34" ht="41.25" customHeight="1">
      <c r="B86" s="18"/>
      <c r="C86" s="57" t="str">
        <f t="shared" si="2"/>
        <v/>
      </c>
      <c r="D86" s="18" t="e">
        <f>VLOOKUP(F86,LOOKUP!$C$2:$C$8,2,0)</f>
        <v>#N/A</v>
      </c>
      <c r="E86" s="18"/>
      <c r="F86" s="18"/>
      <c r="G86" s="19"/>
      <c r="H86" s="19"/>
      <c r="I86" s="19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</row>
    <row r="87" spans="2:34" ht="41.25" customHeight="1">
      <c r="B87" s="18"/>
      <c r="C87" s="57" t="str">
        <f t="shared" si="2"/>
        <v/>
      </c>
      <c r="D87" s="18" t="e">
        <f>VLOOKUP(F87,LOOKUP!$C$2:$C$8,2,0)</f>
        <v>#N/A</v>
      </c>
      <c r="E87" s="18"/>
      <c r="F87" s="18"/>
      <c r="G87" s="19"/>
      <c r="H87" s="19"/>
      <c r="I87" s="19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</row>
    <row r="88" spans="2:34" ht="41.25" customHeight="1">
      <c r="B88" s="21"/>
      <c r="C88" s="57" t="str">
        <f t="shared" si="2"/>
        <v/>
      </c>
      <c r="D88" s="18" t="e">
        <f>VLOOKUP(F88,LOOKUP!$C$2:$C$8,2,0)</f>
        <v>#N/A</v>
      </c>
      <c r="E88" s="18"/>
      <c r="F88" s="15"/>
      <c r="G88" s="19"/>
      <c r="H88" s="19"/>
      <c r="I88" s="19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</row>
    <row r="89" spans="2:34" ht="41.25" customHeight="1">
      <c r="B89" s="21"/>
      <c r="C89" s="57" t="str">
        <f t="shared" si="2"/>
        <v/>
      </c>
      <c r="D89" s="18" t="e">
        <f>VLOOKUP(F89,LOOKUP!$C$2:$C$8,2,0)</f>
        <v>#N/A</v>
      </c>
      <c r="E89" s="18"/>
      <c r="F89" s="15"/>
      <c r="G89" s="19"/>
      <c r="H89" s="19"/>
      <c r="I89" s="19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</row>
    <row r="90" spans="2:34" ht="41.25" customHeight="1">
      <c r="B90" s="21"/>
      <c r="C90" s="57" t="str">
        <f t="shared" si="2"/>
        <v/>
      </c>
      <c r="D90" s="18" t="e">
        <f>VLOOKUP(F90,LOOKUP!$C$2:$C$8,2,0)</f>
        <v>#N/A</v>
      </c>
      <c r="E90" s="18"/>
      <c r="F90" s="15"/>
      <c r="G90" s="19"/>
      <c r="H90" s="19"/>
      <c r="I90" s="19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</row>
    <row r="91" spans="2:34" ht="41.25" customHeight="1">
      <c r="B91" s="21"/>
      <c r="C91" s="57" t="str">
        <f t="shared" si="2"/>
        <v/>
      </c>
      <c r="D91" s="18" t="e">
        <f>VLOOKUP(F91,LOOKUP!$C$2:$C$8,2,0)</f>
        <v>#N/A</v>
      </c>
      <c r="E91" s="18"/>
      <c r="F91" s="15"/>
      <c r="G91" s="19"/>
      <c r="H91" s="19"/>
      <c r="I91" s="19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</row>
    <row r="92" spans="2:34" ht="41.25" customHeight="1">
      <c r="B92" s="21"/>
      <c r="C92" s="57" t="str">
        <f t="shared" si="2"/>
        <v/>
      </c>
      <c r="D92" s="18" t="e">
        <f>VLOOKUP(F92,LOOKUP!$C$2:$C$8,2,0)</f>
        <v>#N/A</v>
      </c>
      <c r="E92" s="18"/>
      <c r="F92" s="15"/>
      <c r="G92" s="18"/>
      <c r="H92" s="19"/>
      <c r="I92" s="19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</row>
    <row r="93" spans="2:34" ht="41.25" customHeight="1">
      <c r="B93" s="21"/>
      <c r="C93" s="57" t="str">
        <f t="shared" si="2"/>
        <v/>
      </c>
      <c r="D93" s="18" t="e">
        <f>VLOOKUP(F93,LOOKUP!$C$2:$C$8,2,0)</f>
        <v>#N/A</v>
      </c>
      <c r="E93" s="18"/>
      <c r="F93" s="18"/>
      <c r="G93" s="19"/>
      <c r="H93" s="19"/>
      <c r="I93" s="19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</row>
    <row r="94" spans="2:34" ht="41.25" customHeight="1">
      <c r="B94" s="21"/>
      <c r="C94" s="57" t="str">
        <f t="shared" si="2"/>
        <v/>
      </c>
      <c r="D94" s="18" t="e">
        <f>VLOOKUP(F94,LOOKUP!$C$2:$C$8,2,0)</f>
        <v>#N/A</v>
      </c>
      <c r="E94" s="18"/>
      <c r="F94" s="15"/>
      <c r="G94" s="19"/>
      <c r="H94" s="19"/>
      <c r="I94" s="19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</row>
    <row r="95" spans="2:34" ht="41.25" customHeight="1">
      <c r="B95" s="21"/>
      <c r="C95" s="57" t="str">
        <f t="shared" si="2"/>
        <v/>
      </c>
      <c r="D95" s="18" t="e">
        <f>VLOOKUP(F95,LOOKUP!$C$2:$C$8,2,0)</f>
        <v>#N/A</v>
      </c>
      <c r="E95" s="18"/>
      <c r="F95" s="15"/>
      <c r="G95" s="19"/>
      <c r="H95" s="19"/>
      <c r="I95" s="19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</row>
    <row r="96" spans="2:34" ht="41.25" customHeight="1">
      <c r="B96" s="21"/>
      <c r="C96" s="57" t="str">
        <f t="shared" si="2"/>
        <v/>
      </c>
      <c r="D96" s="18" t="e">
        <f>VLOOKUP(F96,LOOKUP!$C$2:$C$8,2,0)</f>
        <v>#N/A</v>
      </c>
      <c r="E96" s="18"/>
      <c r="F96" s="18"/>
      <c r="G96" s="19"/>
      <c r="H96" s="19"/>
      <c r="I96" s="19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</row>
    <row r="97" spans="2:34" ht="41.25" customHeight="1">
      <c r="B97" s="18"/>
      <c r="C97" s="57" t="str">
        <f t="shared" si="2"/>
        <v/>
      </c>
      <c r="D97" s="18" t="e">
        <f>VLOOKUP(F97,LOOKUP!$C$2:$C$8,2,0)</f>
        <v>#N/A</v>
      </c>
      <c r="E97" s="18"/>
      <c r="F97" s="18"/>
      <c r="G97" s="19"/>
      <c r="H97" s="19"/>
      <c r="I97" s="19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</row>
    <row r="98" spans="2:34" ht="41.25" customHeight="1">
      <c r="B98" s="18"/>
      <c r="C98" s="57" t="str">
        <f t="shared" si="2"/>
        <v/>
      </c>
      <c r="D98" s="18" t="e">
        <f>VLOOKUP(F98,LOOKUP!$C$2:$C$8,2,0)</f>
        <v>#N/A</v>
      </c>
      <c r="E98" s="18"/>
      <c r="F98" s="15"/>
      <c r="G98" s="19"/>
      <c r="H98" s="19"/>
      <c r="I98" s="19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</row>
    <row r="99" spans="2:34" ht="41.25" customHeight="1">
      <c r="B99" s="21"/>
      <c r="C99" s="57" t="str">
        <f t="shared" si="2"/>
        <v/>
      </c>
      <c r="D99" s="18" t="e">
        <f>VLOOKUP(F99,LOOKUP!$C$2:$C$8,2,0)</f>
        <v>#N/A</v>
      </c>
      <c r="E99" s="21"/>
      <c r="F99" s="18"/>
      <c r="G99" s="19"/>
      <c r="H99" s="19"/>
      <c r="I99" s="19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</row>
    <row r="100" spans="2:34" ht="41.25" customHeight="1">
      <c r="B100" s="21"/>
      <c r="C100" s="57" t="str">
        <f t="shared" si="2"/>
        <v/>
      </c>
      <c r="D100" s="18" t="e">
        <f>VLOOKUP(F100,LOOKUP!$C$2:$C$8,2,0)</f>
        <v>#N/A</v>
      </c>
      <c r="E100" s="18"/>
      <c r="F100" s="18"/>
      <c r="G100" s="19"/>
      <c r="H100" s="19"/>
      <c r="I100" s="19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</row>
    <row r="101" spans="2:34" ht="41.25" customHeight="1">
      <c r="B101" s="21"/>
      <c r="C101" s="57" t="str">
        <f t="shared" ref="C101:C164" si="3">IF(B101="","",MONTH(B101))</f>
        <v/>
      </c>
      <c r="D101" s="18" t="e">
        <f>VLOOKUP(F101,LOOKUP!$C$2:$C$8,2,0)</f>
        <v>#N/A</v>
      </c>
      <c r="E101" s="18"/>
      <c r="F101" s="15"/>
      <c r="G101" s="19"/>
      <c r="H101" s="19"/>
      <c r="I101" s="19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</row>
    <row r="102" spans="2:34" ht="41.25" customHeight="1">
      <c r="B102" s="21"/>
      <c r="C102" s="57" t="str">
        <f t="shared" si="3"/>
        <v/>
      </c>
      <c r="D102" s="18" t="e">
        <f>VLOOKUP(F102,LOOKUP!$C$2:$C$8,2,0)</f>
        <v>#N/A</v>
      </c>
      <c r="E102" s="18"/>
      <c r="F102" s="15"/>
      <c r="G102" s="19"/>
      <c r="H102" s="19"/>
      <c r="I102" s="19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</row>
    <row r="103" spans="2:34" ht="41.25" customHeight="1">
      <c r="B103" s="21"/>
      <c r="C103" s="57" t="str">
        <f t="shared" si="3"/>
        <v/>
      </c>
      <c r="D103" s="18" t="e">
        <f>VLOOKUP(F103,LOOKUP!$C$2:$C$8,2,0)</f>
        <v>#N/A</v>
      </c>
      <c r="E103" s="18"/>
      <c r="F103" s="15"/>
      <c r="G103" s="19"/>
      <c r="H103" s="19"/>
      <c r="I103" s="19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</row>
    <row r="104" spans="2:34" ht="41.25" customHeight="1">
      <c r="B104" s="18"/>
      <c r="C104" s="57" t="str">
        <f t="shared" si="3"/>
        <v/>
      </c>
      <c r="D104" s="18" t="e">
        <f>VLOOKUP(F104,LOOKUP!$C$2:$C$8,2,0)</f>
        <v>#N/A</v>
      </c>
      <c r="E104" s="18"/>
      <c r="F104" s="18"/>
      <c r="G104" s="19"/>
      <c r="H104" s="19"/>
      <c r="I104" s="19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</row>
    <row r="105" spans="2:34" ht="41.25" customHeight="1">
      <c r="B105" s="18"/>
      <c r="C105" s="57" t="str">
        <f t="shared" si="3"/>
        <v/>
      </c>
      <c r="D105" s="18" t="e">
        <f>VLOOKUP(F105,LOOKUP!$C$2:$C$8,2,0)</f>
        <v>#N/A</v>
      </c>
      <c r="E105" s="18"/>
      <c r="F105" s="15"/>
      <c r="G105" s="19"/>
      <c r="H105" s="19"/>
      <c r="I105" s="19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</row>
    <row r="106" spans="2:34" ht="41.25" customHeight="1">
      <c r="B106" s="21"/>
      <c r="C106" s="57" t="str">
        <f t="shared" si="3"/>
        <v/>
      </c>
      <c r="D106" s="18" t="e">
        <f>VLOOKUP(F106,LOOKUP!$C$2:$C$8,2,0)</f>
        <v>#N/A</v>
      </c>
      <c r="E106" s="18"/>
      <c r="F106" s="15"/>
      <c r="G106" s="19"/>
      <c r="H106" s="19"/>
      <c r="I106" s="19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</row>
    <row r="107" spans="2:34" ht="41.25" customHeight="1">
      <c r="B107" s="21"/>
      <c r="C107" s="57" t="str">
        <f t="shared" si="3"/>
        <v/>
      </c>
      <c r="D107" s="18" t="e">
        <f>VLOOKUP(F107,LOOKUP!$C$2:$C$8,2,0)</f>
        <v>#N/A</v>
      </c>
      <c r="E107" s="18"/>
      <c r="F107" s="15"/>
      <c r="G107" s="19"/>
      <c r="H107" s="19"/>
      <c r="I107" s="19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</row>
    <row r="108" spans="2:34" ht="41.25" customHeight="1">
      <c r="B108" s="18"/>
      <c r="C108" s="57" t="str">
        <f t="shared" si="3"/>
        <v/>
      </c>
      <c r="D108" s="18" t="e">
        <f>VLOOKUP(F108,LOOKUP!$C$2:$C$8,2,0)</f>
        <v>#N/A</v>
      </c>
      <c r="E108" s="18"/>
      <c r="F108" s="18"/>
      <c r="G108" s="19"/>
      <c r="H108" s="19"/>
      <c r="I108" s="19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</row>
    <row r="109" spans="2:34" ht="41.25" customHeight="1">
      <c r="B109" s="18"/>
      <c r="C109" s="57" t="str">
        <f t="shared" si="3"/>
        <v/>
      </c>
      <c r="D109" s="18" t="e">
        <f>VLOOKUP(F109,LOOKUP!$C$2:$C$8,2,0)</f>
        <v>#N/A</v>
      </c>
      <c r="E109" s="18"/>
      <c r="F109" s="18"/>
      <c r="G109" s="19"/>
      <c r="H109" s="19"/>
      <c r="I109" s="19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</row>
    <row r="110" spans="2:34" ht="41.25" customHeight="1">
      <c r="B110" s="18"/>
      <c r="C110" s="57" t="str">
        <f t="shared" si="3"/>
        <v/>
      </c>
      <c r="D110" s="18" t="e">
        <f>VLOOKUP(F110,LOOKUP!$C$2:$C$8,2,0)</f>
        <v>#N/A</v>
      </c>
      <c r="E110" s="18"/>
      <c r="F110" s="18"/>
      <c r="G110" s="19"/>
      <c r="H110" s="19"/>
      <c r="I110" s="19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</row>
    <row r="111" spans="2:34" ht="41.25" customHeight="1">
      <c r="B111" s="18"/>
      <c r="C111" s="57" t="str">
        <f t="shared" si="3"/>
        <v/>
      </c>
      <c r="D111" s="18" t="e">
        <f>VLOOKUP(F111,LOOKUP!$C$2:$C$8,2,0)</f>
        <v>#N/A</v>
      </c>
      <c r="E111" s="18"/>
      <c r="F111" s="18"/>
      <c r="G111" s="19"/>
      <c r="H111" s="19"/>
      <c r="I111" s="19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</row>
    <row r="112" spans="2:34" ht="41.25" customHeight="1">
      <c r="B112" s="18"/>
      <c r="C112" s="57" t="str">
        <f t="shared" si="3"/>
        <v/>
      </c>
      <c r="D112" s="18" t="e">
        <f>VLOOKUP(F112,LOOKUP!$C$2:$C$8,2,0)</f>
        <v>#N/A</v>
      </c>
      <c r="E112" s="18"/>
      <c r="F112" s="18"/>
      <c r="G112" s="19"/>
      <c r="H112" s="19"/>
      <c r="I112" s="19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</row>
    <row r="113" spans="2:34" ht="41.25" customHeight="1">
      <c r="B113" s="18"/>
      <c r="C113" s="57" t="str">
        <f t="shared" si="3"/>
        <v/>
      </c>
      <c r="D113" s="18" t="e">
        <f>VLOOKUP(F113,LOOKUP!$C$2:$C$8,2,0)</f>
        <v>#N/A</v>
      </c>
      <c r="E113" s="18"/>
      <c r="F113" s="18"/>
      <c r="G113" s="19"/>
      <c r="H113" s="19"/>
      <c r="I113" s="19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</row>
    <row r="114" spans="2:34" ht="41.25" customHeight="1">
      <c r="B114" s="18"/>
      <c r="C114" s="57" t="str">
        <f t="shared" si="3"/>
        <v/>
      </c>
      <c r="D114" s="18" t="e">
        <f>VLOOKUP(F114,LOOKUP!$C$2:$C$8,2,0)</f>
        <v>#N/A</v>
      </c>
      <c r="E114" s="18"/>
      <c r="F114" s="18"/>
      <c r="G114" s="19"/>
      <c r="H114" s="19"/>
      <c r="I114" s="19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</row>
    <row r="115" spans="2:34" ht="41.25" customHeight="1">
      <c r="B115" s="18"/>
      <c r="C115" s="57" t="str">
        <f t="shared" si="3"/>
        <v/>
      </c>
      <c r="D115" s="18" t="e">
        <f>VLOOKUP(F115,LOOKUP!$C$2:$C$8,2,0)</f>
        <v>#N/A</v>
      </c>
      <c r="E115" s="18"/>
      <c r="F115" s="18"/>
      <c r="G115" s="19"/>
      <c r="H115" s="19"/>
      <c r="I115" s="19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</row>
    <row r="116" spans="2:34" ht="41.25" customHeight="1">
      <c r="B116" s="18"/>
      <c r="C116" s="57" t="str">
        <f t="shared" si="3"/>
        <v/>
      </c>
      <c r="D116" s="18" t="e">
        <f>VLOOKUP(F116,LOOKUP!$C$2:$C$8,2,0)</f>
        <v>#N/A</v>
      </c>
      <c r="E116" s="18"/>
      <c r="F116" s="18"/>
      <c r="G116" s="19"/>
      <c r="H116" s="19"/>
      <c r="I116" s="19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</row>
    <row r="117" spans="2:34" ht="41.25" customHeight="1">
      <c r="B117" s="18"/>
      <c r="C117" s="57" t="str">
        <f t="shared" si="3"/>
        <v/>
      </c>
      <c r="D117" s="18" t="e">
        <f>VLOOKUP(F117,LOOKUP!$C$2:$C$8,2,0)</f>
        <v>#N/A</v>
      </c>
      <c r="E117" s="18"/>
      <c r="F117" s="18"/>
      <c r="G117" s="19"/>
      <c r="H117" s="19"/>
      <c r="I117" s="19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</row>
    <row r="118" spans="2:34" ht="41.25" customHeight="1">
      <c r="B118" s="18"/>
      <c r="C118" s="57" t="str">
        <f t="shared" si="3"/>
        <v/>
      </c>
      <c r="D118" s="18" t="e">
        <f>VLOOKUP(F118,LOOKUP!$C$2:$C$8,2,0)</f>
        <v>#N/A</v>
      </c>
      <c r="E118" s="18"/>
      <c r="F118" s="18"/>
      <c r="G118" s="19"/>
      <c r="H118" s="19"/>
      <c r="I118" s="19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</row>
    <row r="119" spans="2:34" ht="41.25" customHeight="1">
      <c r="B119" s="18"/>
      <c r="C119" s="57" t="str">
        <f t="shared" si="3"/>
        <v/>
      </c>
      <c r="D119" s="18" t="e">
        <f>VLOOKUP(F119,LOOKUP!$C$2:$C$8,2,0)</f>
        <v>#N/A</v>
      </c>
      <c r="E119" s="18"/>
      <c r="F119" s="18"/>
      <c r="G119" s="19"/>
      <c r="H119" s="19"/>
      <c r="I119" s="19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</row>
    <row r="120" spans="2:34" ht="41.25" customHeight="1">
      <c r="B120" s="21"/>
      <c r="C120" s="57" t="str">
        <f t="shared" si="3"/>
        <v/>
      </c>
      <c r="D120" s="18" t="e">
        <f>VLOOKUP(F120,LOOKUP!$C$2:$C$8,2,0)</f>
        <v>#N/A</v>
      </c>
      <c r="E120" s="18"/>
      <c r="F120" s="15"/>
      <c r="G120" s="19"/>
      <c r="H120" s="19"/>
      <c r="I120" s="19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</row>
    <row r="121" spans="2:34" ht="41.25" customHeight="1">
      <c r="B121" s="21"/>
      <c r="C121" s="57" t="str">
        <f t="shared" si="3"/>
        <v/>
      </c>
      <c r="D121" s="18" t="e">
        <f>VLOOKUP(F121,LOOKUP!$C$2:$C$8,2,0)</f>
        <v>#N/A</v>
      </c>
      <c r="E121" s="18"/>
      <c r="F121" s="15"/>
      <c r="G121" s="19"/>
      <c r="H121" s="19"/>
      <c r="I121" s="19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</row>
    <row r="122" spans="2:34" ht="41.25" customHeight="1">
      <c r="B122" s="21"/>
      <c r="C122" s="57" t="str">
        <f t="shared" si="3"/>
        <v/>
      </c>
      <c r="D122" s="18" t="e">
        <f>VLOOKUP(F122,LOOKUP!$C$2:$C$8,2,0)</f>
        <v>#N/A</v>
      </c>
      <c r="E122" s="18"/>
      <c r="F122" s="15"/>
      <c r="G122" s="19"/>
      <c r="H122" s="19"/>
      <c r="I122" s="19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</row>
    <row r="123" spans="2:34" ht="41.25" customHeight="1">
      <c r="B123" s="18"/>
      <c r="C123" s="57" t="str">
        <f t="shared" si="3"/>
        <v/>
      </c>
      <c r="D123" s="18" t="e">
        <f>VLOOKUP(F123,LOOKUP!$C$2:$C$8,2,0)</f>
        <v>#N/A</v>
      </c>
      <c r="E123" s="18"/>
      <c r="F123" s="18"/>
      <c r="G123" s="19"/>
      <c r="H123" s="19"/>
      <c r="I123" s="19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</row>
    <row r="124" spans="2:34" ht="41.25" customHeight="1">
      <c r="B124" s="18"/>
      <c r="C124" s="57" t="str">
        <f t="shared" si="3"/>
        <v/>
      </c>
      <c r="D124" s="18" t="e">
        <f>VLOOKUP(F124,LOOKUP!$C$2:$C$8,2,0)</f>
        <v>#N/A</v>
      </c>
      <c r="E124" s="18"/>
      <c r="F124" s="18"/>
      <c r="G124" s="19"/>
      <c r="H124" s="19"/>
      <c r="I124" s="19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</row>
    <row r="125" spans="2:34" ht="41.25" customHeight="1">
      <c r="B125" s="21"/>
      <c r="C125" s="57" t="str">
        <f t="shared" si="3"/>
        <v/>
      </c>
      <c r="D125" s="18" t="e">
        <f>VLOOKUP(F125,LOOKUP!$C$2:$C$8,2,0)</f>
        <v>#N/A</v>
      </c>
      <c r="E125" s="18"/>
      <c r="F125" s="15"/>
      <c r="G125" s="19"/>
      <c r="H125" s="19"/>
      <c r="I125" s="19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</row>
    <row r="126" spans="2:34" ht="41.25" customHeight="1">
      <c r="B126" s="21"/>
      <c r="C126" s="57" t="str">
        <f t="shared" si="3"/>
        <v/>
      </c>
      <c r="D126" s="18" t="e">
        <f>VLOOKUP(F126,LOOKUP!$C$2:$C$8,2,0)</f>
        <v>#N/A</v>
      </c>
      <c r="E126" s="18"/>
      <c r="F126" s="15"/>
      <c r="G126" s="19"/>
      <c r="H126" s="19"/>
      <c r="I126" s="19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</row>
    <row r="127" spans="2:34" ht="41.25" customHeight="1">
      <c r="B127" s="21"/>
      <c r="C127" s="57" t="str">
        <f t="shared" si="3"/>
        <v/>
      </c>
      <c r="D127" s="18" t="e">
        <f>VLOOKUP(F127,LOOKUP!$C$2:$C$8,2,0)</f>
        <v>#N/A</v>
      </c>
      <c r="E127" s="18"/>
      <c r="F127" s="15"/>
      <c r="G127" s="19"/>
      <c r="H127" s="19"/>
      <c r="I127" s="19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</row>
    <row r="128" spans="2:34" ht="41.25" customHeight="1">
      <c r="B128" s="21"/>
      <c r="C128" s="57" t="str">
        <f t="shared" si="3"/>
        <v/>
      </c>
      <c r="D128" s="18" t="e">
        <f>VLOOKUP(F128,LOOKUP!$C$2:$C$8,2,0)</f>
        <v>#N/A</v>
      </c>
      <c r="E128" s="18"/>
      <c r="F128" s="15"/>
      <c r="G128" s="19"/>
      <c r="H128" s="19"/>
      <c r="I128" s="19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</row>
    <row r="129" spans="1:94" ht="41.25" customHeight="1">
      <c r="B129" s="21"/>
      <c r="C129" s="57" t="str">
        <f t="shared" si="3"/>
        <v/>
      </c>
      <c r="D129" s="18" t="e">
        <f>VLOOKUP(F129,LOOKUP!$C$2:$C$8,2,0)</f>
        <v>#N/A</v>
      </c>
      <c r="E129" s="18"/>
      <c r="F129" s="15"/>
      <c r="G129" s="19"/>
      <c r="H129" s="19"/>
      <c r="I129" s="19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</row>
    <row r="130" spans="1:94" ht="41.25" customHeight="1">
      <c r="B130" s="18"/>
      <c r="C130" s="57" t="str">
        <f t="shared" si="3"/>
        <v/>
      </c>
      <c r="D130" s="18" t="e">
        <f>VLOOKUP(F130,LOOKUP!$C$2:$C$8,2,0)</f>
        <v>#N/A</v>
      </c>
      <c r="E130" s="18"/>
      <c r="F130" s="18"/>
      <c r="G130" s="19"/>
      <c r="H130" s="19"/>
      <c r="I130" s="19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</row>
    <row r="131" spans="1:94" ht="41.25" customHeight="1">
      <c r="B131" s="18"/>
      <c r="C131" s="57" t="str">
        <f t="shared" si="3"/>
        <v/>
      </c>
      <c r="D131" s="18" t="e">
        <f>VLOOKUP(F131,LOOKUP!$C$2:$C$8,2,0)</f>
        <v>#N/A</v>
      </c>
      <c r="E131" s="18"/>
      <c r="F131" s="18"/>
      <c r="G131" s="23"/>
      <c r="H131" s="23"/>
      <c r="I131" s="23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</row>
    <row r="132" spans="1:94" ht="41.25" customHeight="1">
      <c r="B132" s="18"/>
      <c r="C132" s="57" t="str">
        <f t="shared" si="3"/>
        <v/>
      </c>
      <c r="D132" s="18" t="e">
        <f>VLOOKUP(F132,LOOKUP!$C$2:$C$8,2,0)</f>
        <v>#N/A</v>
      </c>
      <c r="E132" s="18"/>
      <c r="F132" s="18"/>
      <c r="G132" s="19"/>
      <c r="H132" s="19"/>
      <c r="I132" s="19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</row>
    <row r="133" spans="1:94" ht="41.25" customHeight="1">
      <c r="B133" s="18"/>
      <c r="C133" s="57" t="str">
        <f t="shared" si="3"/>
        <v/>
      </c>
      <c r="D133" s="18" t="e">
        <f>VLOOKUP(F133,LOOKUP!$C$2:$C$8,2,0)</f>
        <v>#N/A</v>
      </c>
      <c r="E133" s="18"/>
      <c r="F133" s="18"/>
      <c r="G133" s="19"/>
      <c r="H133" s="19"/>
      <c r="I133" s="19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</row>
    <row r="134" spans="1:94" ht="41.25" customHeight="1">
      <c r="B134" s="18"/>
      <c r="C134" s="57" t="str">
        <f t="shared" si="3"/>
        <v/>
      </c>
      <c r="D134" s="18" t="e">
        <f>VLOOKUP(F134,LOOKUP!$C$2:$C$8,2,0)</f>
        <v>#N/A</v>
      </c>
      <c r="E134" s="18"/>
      <c r="F134" s="18"/>
      <c r="G134" s="19"/>
      <c r="H134" s="19"/>
      <c r="I134" s="19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</row>
    <row r="135" spans="1:94" ht="41.25" customHeight="1">
      <c r="B135" s="18"/>
      <c r="C135" s="57" t="str">
        <f t="shared" si="3"/>
        <v/>
      </c>
      <c r="D135" s="18" t="e">
        <f>VLOOKUP(F135,LOOKUP!$C$2:$C$8,2,0)</f>
        <v>#N/A</v>
      </c>
      <c r="E135" s="18"/>
      <c r="F135" s="18"/>
      <c r="G135" s="19"/>
      <c r="H135" s="19"/>
      <c r="I135" s="19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</row>
    <row r="136" spans="1:94" ht="41.25" customHeight="1">
      <c r="B136" s="18"/>
      <c r="C136" s="57" t="str">
        <f t="shared" si="3"/>
        <v/>
      </c>
      <c r="D136" s="18" t="e">
        <f>VLOOKUP(F136,LOOKUP!$C$2:$C$8,2,0)</f>
        <v>#N/A</v>
      </c>
      <c r="E136" s="18"/>
      <c r="F136" s="18"/>
      <c r="G136" s="19"/>
      <c r="H136" s="19"/>
      <c r="I136" s="19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</row>
    <row r="137" spans="1:94" ht="41.25" customHeight="1">
      <c r="B137" s="18"/>
      <c r="C137" s="57" t="str">
        <f t="shared" si="3"/>
        <v/>
      </c>
      <c r="D137" s="18" t="e">
        <f>VLOOKUP(F137,LOOKUP!$C$2:$C$8,2,0)</f>
        <v>#N/A</v>
      </c>
      <c r="E137" s="18"/>
      <c r="F137" s="18"/>
      <c r="G137" s="19"/>
      <c r="H137" s="19"/>
      <c r="I137" s="19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</row>
    <row r="138" spans="1:94" ht="41.25" customHeight="1">
      <c r="B138" s="18"/>
      <c r="C138" s="57" t="str">
        <f t="shared" si="3"/>
        <v/>
      </c>
      <c r="D138" s="18" t="e">
        <f>VLOOKUP(F138,LOOKUP!$C$2:$C$8,2,0)</f>
        <v>#N/A</v>
      </c>
      <c r="E138" s="18"/>
      <c r="F138" s="18"/>
      <c r="G138" s="19"/>
      <c r="H138" s="19"/>
      <c r="I138" s="19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</row>
    <row r="139" spans="1:94" s="9" customFormat="1" ht="41.25" customHeight="1">
      <c r="A139" s="13"/>
      <c r="B139" s="21"/>
      <c r="C139" s="57" t="str">
        <f t="shared" si="3"/>
        <v/>
      </c>
      <c r="D139" s="18" t="e">
        <f>VLOOKUP(F139,LOOKUP!$C$2:$C$8,2,0)</f>
        <v>#N/A</v>
      </c>
      <c r="E139" s="18"/>
      <c r="F139" s="15"/>
      <c r="G139" s="19"/>
      <c r="H139" s="19"/>
      <c r="I139" s="19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</row>
    <row r="140" spans="1:94" ht="41.25" customHeight="1">
      <c r="B140" s="18"/>
      <c r="C140" s="57" t="str">
        <f t="shared" si="3"/>
        <v/>
      </c>
      <c r="D140" s="18" t="e">
        <f>VLOOKUP(F140,LOOKUP!$C$2:$C$8,2,0)</f>
        <v>#N/A</v>
      </c>
      <c r="E140" s="18"/>
      <c r="F140" s="18"/>
      <c r="G140" s="19"/>
      <c r="H140" s="19"/>
      <c r="I140" s="19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</row>
    <row r="141" spans="1:94" ht="41.25" customHeight="1">
      <c r="B141" s="18"/>
      <c r="C141" s="57" t="str">
        <f t="shared" si="3"/>
        <v/>
      </c>
      <c r="D141" s="18" t="e">
        <f>VLOOKUP(F141,LOOKUP!$C$2:$C$8,2,0)</f>
        <v>#N/A</v>
      </c>
      <c r="E141" s="18"/>
      <c r="F141" s="15"/>
      <c r="G141" s="19"/>
      <c r="H141" s="19"/>
      <c r="I141" s="19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</row>
    <row r="142" spans="1:94" ht="41.25" customHeight="1">
      <c r="B142" s="18"/>
      <c r="C142" s="57" t="str">
        <f t="shared" si="3"/>
        <v/>
      </c>
      <c r="D142" s="18" t="e">
        <f>VLOOKUP(F142,LOOKUP!$C$2:$C$8,2,0)</f>
        <v>#N/A</v>
      </c>
      <c r="E142" s="18"/>
      <c r="F142" s="18"/>
      <c r="G142" s="19"/>
      <c r="H142" s="19"/>
      <c r="I142" s="19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</row>
    <row r="143" spans="1:94" ht="41.25" customHeight="1">
      <c r="B143" s="18"/>
      <c r="C143" s="57" t="str">
        <f t="shared" si="3"/>
        <v/>
      </c>
      <c r="D143" s="18" t="e">
        <f>VLOOKUP(F143,LOOKUP!$C$2:$C$8,2,0)</f>
        <v>#N/A</v>
      </c>
      <c r="E143" s="18"/>
      <c r="F143" s="18"/>
      <c r="G143" s="19"/>
      <c r="H143" s="19"/>
      <c r="I143" s="19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</row>
    <row r="144" spans="1:94" ht="41.25" customHeight="1">
      <c r="B144" s="18"/>
      <c r="C144" s="57" t="str">
        <f t="shared" si="3"/>
        <v/>
      </c>
      <c r="D144" s="18" t="e">
        <f>VLOOKUP(F144,LOOKUP!$C$2:$C$8,2,0)</f>
        <v>#N/A</v>
      </c>
      <c r="E144" s="18"/>
      <c r="F144" s="18"/>
      <c r="G144" s="19"/>
      <c r="H144" s="19"/>
      <c r="I144" s="19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</row>
    <row r="145" spans="2:34" ht="41.25" customHeight="1">
      <c r="B145" s="18"/>
      <c r="C145" s="57" t="str">
        <f t="shared" si="3"/>
        <v/>
      </c>
      <c r="D145" s="18" t="e">
        <f>VLOOKUP(F145,LOOKUP!$C$2:$C$8,2,0)</f>
        <v>#N/A</v>
      </c>
      <c r="E145" s="18"/>
      <c r="F145" s="18"/>
      <c r="G145" s="19"/>
      <c r="H145" s="19"/>
      <c r="I145" s="19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</row>
    <row r="146" spans="2:34" ht="41.25" customHeight="1">
      <c r="B146" s="18"/>
      <c r="C146" s="57" t="str">
        <f t="shared" si="3"/>
        <v/>
      </c>
      <c r="D146" s="18" t="e">
        <f>VLOOKUP(F146,LOOKUP!$C$2:$C$8,2,0)</f>
        <v>#N/A</v>
      </c>
      <c r="E146" s="18"/>
      <c r="F146" s="18"/>
      <c r="G146" s="19"/>
      <c r="H146" s="19"/>
      <c r="I146" s="19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</row>
    <row r="147" spans="2:34" ht="41.25" customHeight="1">
      <c r="B147" s="18"/>
      <c r="C147" s="57" t="str">
        <f t="shared" si="3"/>
        <v/>
      </c>
      <c r="D147" s="18" t="e">
        <f>VLOOKUP(F147,LOOKUP!$C$2:$C$8,2,0)</f>
        <v>#N/A</v>
      </c>
      <c r="E147" s="18"/>
      <c r="F147" s="18"/>
      <c r="G147" s="19"/>
      <c r="H147" s="19"/>
      <c r="I147" s="19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</row>
    <row r="148" spans="2:34" ht="41.25" customHeight="1">
      <c r="B148" s="21"/>
      <c r="C148" s="57" t="str">
        <f t="shared" si="3"/>
        <v/>
      </c>
      <c r="D148" s="18" t="e">
        <f>VLOOKUP(F148,LOOKUP!$C$2:$C$8,2,0)</f>
        <v>#N/A</v>
      </c>
      <c r="E148" s="18"/>
      <c r="F148" s="15"/>
      <c r="G148" s="19"/>
      <c r="H148" s="19"/>
      <c r="I148" s="19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</row>
    <row r="149" spans="2:34" ht="41.25" customHeight="1">
      <c r="B149" s="21"/>
      <c r="C149" s="57" t="str">
        <f t="shared" si="3"/>
        <v/>
      </c>
      <c r="D149" s="18" t="e">
        <f>VLOOKUP(F149,LOOKUP!$C$2:$C$8,2,0)</f>
        <v>#N/A</v>
      </c>
      <c r="E149" s="18"/>
      <c r="F149" s="15"/>
      <c r="G149" s="19"/>
      <c r="H149" s="19"/>
      <c r="I149" s="19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</row>
    <row r="150" spans="2:34" ht="41.25" customHeight="1">
      <c r="B150" s="21"/>
      <c r="C150" s="57" t="str">
        <f t="shared" si="3"/>
        <v/>
      </c>
      <c r="D150" s="18" t="e">
        <f>VLOOKUP(F150,LOOKUP!$C$2:$C$8,2,0)</f>
        <v>#N/A</v>
      </c>
      <c r="E150" s="18"/>
      <c r="F150" s="15"/>
      <c r="G150" s="19"/>
      <c r="H150" s="19"/>
      <c r="I150" s="19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</row>
    <row r="151" spans="2:34" ht="41.25" customHeight="1">
      <c r="B151" s="18"/>
      <c r="C151" s="57" t="str">
        <f t="shared" si="3"/>
        <v/>
      </c>
      <c r="D151" s="18" t="e">
        <f>VLOOKUP(F151,LOOKUP!$C$2:$C$8,2,0)</f>
        <v>#N/A</v>
      </c>
      <c r="E151" s="18"/>
      <c r="F151" s="18"/>
      <c r="G151" s="19"/>
      <c r="H151" s="19"/>
      <c r="I151" s="19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</row>
    <row r="152" spans="2:34" ht="41.25" customHeight="1">
      <c r="B152" s="18"/>
      <c r="C152" s="57" t="str">
        <f t="shared" si="3"/>
        <v/>
      </c>
      <c r="D152" s="18" t="e">
        <f>VLOOKUP(F152,LOOKUP!$C$2:$C$8,2,0)</f>
        <v>#N/A</v>
      </c>
      <c r="E152" s="18"/>
      <c r="F152" s="15"/>
      <c r="G152" s="19"/>
      <c r="H152" s="19"/>
      <c r="I152" s="19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</row>
    <row r="153" spans="2:34" ht="41.25" customHeight="1">
      <c r="B153" s="21"/>
      <c r="C153" s="57" t="str">
        <f t="shared" si="3"/>
        <v/>
      </c>
      <c r="D153" s="18" t="e">
        <f>VLOOKUP(F153,LOOKUP!$C$2:$C$8,2,0)</f>
        <v>#N/A</v>
      </c>
      <c r="E153" s="18"/>
      <c r="F153" s="15"/>
      <c r="G153" s="19"/>
      <c r="H153" s="19"/>
      <c r="I153" s="19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</row>
    <row r="154" spans="2:34" ht="41.25" customHeight="1">
      <c r="B154" s="21"/>
      <c r="C154" s="57" t="str">
        <f t="shared" si="3"/>
        <v/>
      </c>
      <c r="D154" s="18" t="e">
        <f>VLOOKUP(F154,LOOKUP!$C$2:$C$8,2,0)</f>
        <v>#N/A</v>
      </c>
      <c r="E154" s="18"/>
      <c r="F154" s="15"/>
      <c r="G154" s="19"/>
      <c r="H154" s="19"/>
      <c r="I154" s="19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</row>
    <row r="155" spans="2:34" ht="41.25" customHeight="1">
      <c r="B155" s="21"/>
      <c r="C155" s="57" t="str">
        <f t="shared" si="3"/>
        <v/>
      </c>
      <c r="D155" s="18" t="e">
        <f>VLOOKUP(F155,LOOKUP!$C$2:$C$8,2,0)</f>
        <v>#N/A</v>
      </c>
      <c r="E155" s="18"/>
      <c r="F155" s="15"/>
      <c r="G155" s="19"/>
      <c r="H155" s="19"/>
      <c r="I155" s="19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</row>
    <row r="156" spans="2:34" ht="41.25" customHeight="1">
      <c r="B156" s="21"/>
      <c r="C156" s="57" t="str">
        <f t="shared" si="3"/>
        <v/>
      </c>
      <c r="D156" s="18" t="e">
        <f>VLOOKUP(F156,LOOKUP!$C$2:$C$8,2,0)</f>
        <v>#N/A</v>
      </c>
      <c r="E156" s="18"/>
      <c r="F156" s="15"/>
      <c r="G156" s="19"/>
      <c r="H156" s="19"/>
      <c r="I156" s="19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</row>
    <row r="157" spans="2:34" ht="41.25" customHeight="1">
      <c r="B157" s="21"/>
      <c r="C157" s="57" t="str">
        <f t="shared" si="3"/>
        <v/>
      </c>
      <c r="D157" s="18" t="e">
        <f>VLOOKUP(F157,LOOKUP!$C$2:$C$8,2,0)</f>
        <v>#N/A</v>
      </c>
      <c r="E157" s="18"/>
      <c r="F157" s="15"/>
      <c r="G157" s="19"/>
      <c r="H157" s="19"/>
      <c r="I157" s="19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</row>
    <row r="158" spans="2:34" ht="41.25" customHeight="1">
      <c r="B158" s="21"/>
      <c r="C158" s="57" t="str">
        <f t="shared" si="3"/>
        <v/>
      </c>
      <c r="D158" s="18" t="e">
        <f>VLOOKUP(F158,LOOKUP!$C$2:$C$8,2,0)</f>
        <v>#N/A</v>
      </c>
      <c r="E158" s="18"/>
      <c r="F158" s="15"/>
      <c r="G158" s="19"/>
      <c r="H158" s="19"/>
      <c r="I158" s="19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</row>
    <row r="159" spans="2:34" ht="41.25" customHeight="1">
      <c r="B159" s="21"/>
      <c r="C159" s="57" t="str">
        <f t="shared" si="3"/>
        <v/>
      </c>
      <c r="D159" s="18" t="e">
        <f>VLOOKUP(F159,LOOKUP!$C$2:$C$8,2,0)</f>
        <v>#N/A</v>
      </c>
      <c r="E159" s="18"/>
      <c r="F159" s="15"/>
      <c r="G159" s="19"/>
      <c r="H159" s="19"/>
      <c r="I159" s="19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</row>
    <row r="160" spans="2:34" ht="41.25" customHeight="1">
      <c r="B160" s="21"/>
      <c r="C160" s="57" t="str">
        <f t="shared" si="3"/>
        <v/>
      </c>
      <c r="D160" s="18" t="e">
        <f>VLOOKUP(F160,LOOKUP!$C$2:$C$8,2,0)</f>
        <v>#N/A</v>
      </c>
      <c r="E160" s="18"/>
      <c r="F160" s="15"/>
      <c r="G160" s="19"/>
      <c r="H160" s="19"/>
      <c r="I160" s="19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</row>
    <row r="161" spans="2:34" ht="41.25" customHeight="1">
      <c r="B161" s="21"/>
      <c r="C161" s="57" t="str">
        <f t="shared" si="3"/>
        <v/>
      </c>
      <c r="D161" s="18" t="e">
        <f>VLOOKUP(F161,LOOKUP!$C$2:$C$8,2,0)</f>
        <v>#N/A</v>
      </c>
      <c r="E161" s="18"/>
      <c r="F161" s="15"/>
      <c r="G161" s="19"/>
      <c r="H161" s="19"/>
      <c r="I161" s="19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</row>
    <row r="162" spans="2:34" ht="41.25" customHeight="1">
      <c r="B162" s="18"/>
      <c r="C162" s="57" t="str">
        <f t="shared" si="3"/>
        <v/>
      </c>
      <c r="D162" s="18" t="e">
        <f>VLOOKUP(F162,LOOKUP!$C$2:$C$8,2,0)</f>
        <v>#N/A</v>
      </c>
      <c r="E162" s="18"/>
      <c r="F162" s="15"/>
      <c r="G162" s="19"/>
      <c r="H162" s="19"/>
      <c r="I162" s="19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</row>
    <row r="163" spans="2:34" ht="41.25" customHeight="1">
      <c r="B163" s="21"/>
      <c r="C163" s="57" t="str">
        <f t="shared" si="3"/>
        <v/>
      </c>
      <c r="D163" s="18" t="e">
        <f>VLOOKUP(F163,LOOKUP!$C$2:$C$8,2,0)</f>
        <v>#N/A</v>
      </c>
      <c r="E163" s="18"/>
      <c r="F163" s="15"/>
      <c r="G163" s="19"/>
      <c r="H163" s="19"/>
      <c r="I163" s="19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</row>
    <row r="164" spans="2:34" ht="41.25" customHeight="1">
      <c r="B164" s="21"/>
      <c r="C164" s="57" t="str">
        <f t="shared" si="3"/>
        <v/>
      </c>
      <c r="D164" s="18" t="e">
        <f>VLOOKUP(F164,LOOKUP!$C$2:$C$8,2,0)</f>
        <v>#N/A</v>
      </c>
      <c r="E164" s="18"/>
      <c r="F164" s="15"/>
      <c r="G164" s="19"/>
      <c r="H164" s="19"/>
      <c r="I164" s="19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</row>
    <row r="165" spans="2:34" ht="41.25" customHeight="1">
      <c r="B165" s="21"/>
      <c r="C165" s="57" t="str">
        <f t="shared" ref="C165:C228" si="4">IF(B165="","",MONTH(B165))</f>
        <v/>
      </c>
      <c r="D165" s="18" t="e">
        <f>VLOOKUP(F165,LOOKUP!$C$2:$C$8,2,0)</f>
        <v>#N/A</v>
      </c>
      <c r="E165" s="18"/>
      <c r="F165" s="15"/>
      <c r="G165" s="19"/>
      <c r="H165" s="19"/>
      <c r="I165" s="19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</row>
    <row r="166" spans="2:34" ht="41.25" customHeight="1">
      <c r="B166" s="21"/>
      <c r="C166" s="57" t="str">
        <f t="shared" si="4"/>
        <v/>
      </c>
      <c r="D166" s="18" t="e">
        <f>VLOOKUP(F166,LOOKUP!$C$2:$C$8,2,0)</f>
        <v>#N/A</v>
      </c>
      <c r="E166" s="18"/>
      <c r="F166" s="15"/>
      <c r="G166" s="19"/>
      <c r="H166" s="19"/>
      <c r="I166" s="19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</row>
    <row r="167" spans="2:34" ht="41.25" customHeight="1">
      <c r="B167" s="21"/>
      <c r="C167" s="57" t="str">
        <f t="shared" si="4"/>
        <v/>
      </c>
      <c r="D167" s="18"/>
      <c r="E167" s="18"/>
      <c r="F167" s="15"/>
      <c r="G167" s="19"/>
      <c r="H167" s="19"/>
      <c r="I167" s="19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</row>
    <row r="168" spans="2:34" ht="41.25" customHeight="1">
      <c r="B168" s="21"/>
      <c r="C168" s="57" t="str">
        <f t="shared" si="4"/>
        <v/>
      </c>
      <c r="D168" s="18"/>
      <c r="E168" s="18"/>
      <c r="F168" s="15"/>
      <c r="G168" s="19"/>
      <c r="H168" s="19"/>
      <c r="I168" s="19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</row>
    <row r="169" spans="2:34" ht="41.25" customHeight="1">
      <c r="B169" s="21"/>
      <c r="C169" s="57" t="str">
        <f t="shared" si="4"/>
        <v/>
      </c>
      <c r="D169" s="18"/>
      <c r="E169" s="18"/>
      <c r="F169" s="15"/>
      <c r="G169" s="19"/>
      <c r="H169" s="19"/>
      <c r="I169" s="19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</row>
    <row r="170" spans="2:34" ht="41.25" customHeight="1">
      <c r="B170" s="21"/>
      <c r="C170" s="57" t="str">
        <f t="shared" si="4"/>
        <v/>
      </c>
      <c r="D170" s="18"/>
      <c r="E170" s="18"/>
      <c r="F170" s="15"/>
      <c r="G170" s="19"/>
      <c r="H170" s="19"/>
      <c r="I170" s="19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</row>
    <row r="171" spans="2:34" ht="41.25" customHeight="1">
      <c r="B171" s="21"/>
      <c r="C171" s="57" t="str">
        <f t="shared" si="4"/>
        <v/>
      </c>
      <c r="D171" s="18"/>
      <c r="E171" s="18"/>
      <c r="F171" s="15"/>
      <c r="G171" s="19"/>
      <c r="H171" s="19"/>
      <c r="I171" s="19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</row>
    <row r="172" spans="2:34" ht="41.25" customHeight="1">
      <c r="B172" s="21"/>
      <c r="C172" s="57" t="str">
        <f t="shared" si="4"/>
        <v/>
      </c>
      <c r="D172" s="18"/>
      <c r="E172" s="18"/>
      <c r="F172" s="15"/>
      <c r="G172" s="19"/>
      <c r="H172" s="19"/>
      <c r="I172" s="19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</row>
    <row r="173" spans="2:34" ht="41.25" customHeight="1">
      <c r="B173" s="21"/>
      <c r="C173" s="57" t="str">
        <f t="shared" si="4"/>
        <v/>
      </c>
      <c r="D173" s="18"/>
      <c r="E173" s="18"/>
      <c r="F173" s="15"/>
      <c r="G173" s="19"/>
      <c r="H173" s="19"/>
      <c r="I173" s="19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</row>
    <row r="174" spans="2:34" ht="41.25" customHeight="1">
      <c r="B174" s="21"/>
      <c r="C174" s="57" t="str">
        <f t="shared" si="4"/>
        <v/>
      </c>
      <c r="D174" s="18"/>
      <c r="E174" s="18"/>
      <c r="F174" s="15"/>
      <c r="G174" s="19"/>
      <c r="H174" s="19"/>
      <c r="I174" s="19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</row>
    <row r="175" spans="2:34" ht="41.25" customHeight="1">
      <c r="B175" s="21"/>
      <c r="C175" s="57" t="str">
        <f t="shared" si="4"/>
        <v/>
      </c>
      <c r="D175" s="18"/>
      <c r="E175" s="18"/>
      <c r="F175" s="15"/>
      <c r="G175" s="19"/>
      <c r="H175" s="19"/>
      <c r="I175" s="19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</row>
    <row r="176" spans="2:34" ht="41.25" customHeight="1">
      <c r="B176" s="21"/>
      <c r="C176" s="57" t="str">
        <f t="shared" si="4"/>
        <v/>
      </c>
      <c r="D176" s="18"/>
      <c r="E176" s="18"/>
      <c r="F176" s="15"/>
      <c r="G176" s="19"/>
      <c r="H176" s="19"/>
      <c r="I176" s="19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</row>
    <row r="177" spans="2:34" ht="41.25" customHeight="1">
      <c r="B177" s="21"/>
      <c r="C177" s="57" t="str">
        <f t="shared" si="4"/>
        <v/>
      </c>
      <c r="D177" s="18"/>
      <c r="E177" s="18"/>
      <c r="F177" s="15"/>
      <c r="G177" s="19"/>
      <c r="H177" s="19"/>
      <c r="I177" s="19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</row>
    <row r="178" spans="2:34" ht="41.25" customHeight="1">
      <c r="B178" s="21"/>
      <c r="C178" s="57" t="str">
        <f t="shared" si="4"/>
        <v/>
      </c>
      <c r="D178" s="18"/>
      <c r="E178" s="18"/>
      <c r="F178" s="15"/>
      <c r="G178" s="19"/>
      <c r="H178" s="19"/>
      <c r="I178" s="19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</row>
    <row r="179" spans="2:34" ht="41.25" customHeight="1">
      <c r="B179" s="21"/>
      <c r="C179" s="57" t="str">
        <f t="shared" si="4"/>
        <v/>
      </c>
      <c r="D179" s="18"/>
      <c r="E179" s="18"/>
      <c r="F179" s="15"/>
      <c r="G179" s="19"/>
      <c r="H179" s="19"/>
      <c r="I179" s="19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</row>
    <row r="180" spans="2:34" ht="41.25" customHeight="1">
      <c r="B180" s="21"/>
      <c r="C180" s="57" t="str">
        <f t="shared" si="4"/>
        <v/>
      </c>
      <c r="D180" s="18"/>
      <c r="E180" s="18"/>
      <c r="F180" s="15"/>
      <c r="G180" s="19"/>
      <c r="H180" s="19"/>
      <c r="I180" s="19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</row>
    <row r="181" spans="2:34" ht="41.25" customHeight="1">
      <c r="B181" s="21"/>
      <c r="C181" s="57" t="str">
        <f t="shared" si="4"/>
        <v/>
      </c>
      <c r="D181" s="18"/>
      <c r="E181" s="18"/>
      <c r="F181" s="15"/>
      <c r="G181" s="19"/>
      <c r="H181" s="19"/>
      <c r="I181" s="19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</row>
    <row r="182" spans="2:34" ht="41.25" customHeight="1">
      <c r="B182" s="21"/>
      <c r="C182" s="57" t="str">
        <f t="shared" si="4"/>
        <v/>
      </c>
      <c r="D182" s="18"/>
      <c r="E182" s="18"/>
      <c r="F182" s="15"/>
      <c r="G182" s="19"/>
      <c r="H182" s="19"/>
      <c r="I182" s="19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</row>
    <row r="183" spans="2:34" ht="41.25" customHeight="1">
      <c r="B183" s="21"/>
      <c r="C183" s="57" t="str">
        <f t="shared" si="4"/>
        <v/>
      </c>
      <c r="D183" s="18"/>
      <c r="E183" s="18"/>
      <c r="F183" s="15"/>
      <c r="G183" s="19"/>
      <c r="H183" s="19"/>
      <c r="I183" s="19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</row>
    <row r="184" spans="2:34" ht="41.25" customHeight="1">
      <c r="B184" s="21"/>
      <c r="C184" s="57" t="str">
        <f t="shared" si="4"/>
        <v/>
      </c>
      <c r="D184" s="18"/>
      <c r="E184" s="18"/>
      <c r="F184" s="15"/>
      <c r="G184" s="19"/>
      <c r="H184" s="19"/>
      <c r="I184" s="19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</row>
    <row r="185" spans="2:34" ht="41.25" customHeight="1">
      <c r="B185" s="21"/>
      <c r="C185" s="57" t="str">
        <f t="shared" si="4"/>
        <v/>
      </c>
      <c r="D185" s="18"/>
      <c r="E185" s="18"/>
      <c r="F185" s="15"/>
      <c r="G185" s="19"/>
      <c r="H185" s="19"/>
      <c r="I185" s="19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</row>
    <row r="186" spans="2:34" ht="41.25" customHeight="1">
      <c r="B186" s="21"/>
      <c r="C186" s="57" t="str">
        <f t="shared" si="4"/>
        <v/>
      </c>
      <c r="D186" s="18"/>
      <c r="E186" s="18"/>
      <c r="F186" s="15"/>
      <c r="G186" s="19"/>
      <c r="H186" s="19"/>
      <c r="I186" s="19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</row>
    <row r="187" spans="2:34" ht="41.25" customHeight="1">
      <c r="B187" s="21"/>
      <c r="C187" s="57" t="str">
        <f t="shared" si="4"/>
        <v/>
      </c>
      <c r="D187" s="18"/>
      <c r="E187" s="18"/>
      <c r="F187" s="15"/>
      <c r="G187" s="19"/>
      <c r="H187" s="19"/>
      <c r="I187" s="19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</row>
    <row r="188" spans="2:34" ht="41.25" customHeight="1">
      <c r="B188" s="21"/>
      <c r="C188" s="57" t="str">
        <f t="shared" si="4"/>
        <v/>
      </c>
      <c r="D188" s="18"/>
      <c r="E188" s="18"/>
      <c r="F188" s="15"/>
      <c r="G188" s="19"/>
      <c r="H188" s="19"/>
      <c r="I188" s="19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</row>
    <row r="189" spans="2:34" ht="41.25" customHeight="1">
      <c r="B189" s="21"/>
      <c r="C189" s="57" t="str">
        <f t="shared" si="4"/>
        <v/>
      </c>
      <c r="D189" s="18"/>
      <c r="E189" s="18"/>
      <c r="F189" s="15"/>
      <c r="G189" s="19"/>
      <c r="H189" s="19"/>
      <c r="I189" s="19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</row>
    <row r="190" spans="2:34" ht="41.25" customHeight="1">
      <c r="B190" s="21"/>
      <c r="C190" s="57" t="str">
        <f t="shared" si="4"/>
        <v/>
      </c>
      <c r="D190" s="18"/>
      <c r="E190" s="18"/>
      <c r="F190" s="15"/>
      <c r="G190" s="19"/>
      <c r="H190" s="19"/>
      <c r="I190" s="19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</row>
    <row r="191" spans="2:34" ht="41.25" customHeight="1">
      <c r="B191" s="21"/>
      <c r="C191" s="57" t="str">
        <f t="shared" si="4"/>
        <v/>
      </c>
      <c r="D191" s="18"/>
      <c r="E191" s="18"/>
      <c r="F191" s="15"/>
      <c r="G191" s="19"/>
      <c r="H191" s="19"/>
      <c r="I191" s="19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</row>
    <row r="192" spans="2:34" ht="41.25" customHeight="1">
      <c r="B192" s="21"/>
      <c r="C192" s="57" t="str">
        <f t="shared" si="4"/>
        <v/>
      </c>
      <c r="D192" s="18"/>
      <c r="E192" s="18"/>
      <c r="F192" s="15"/>
      <c r="G192" s="19"/>
      <c r="H192" s="19"/>
      <c r="I192" s="19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</row>
    <row r="193" spans="2:34" ht="41.25" customHeight="1">
      <c r="B193" s="21"/>
      <c r="C193" s="57" t="str">
        <f t="shared" si="4"/>
        <v/>
      </c>
      <c r="D193" s="18"/>
      <c r="E193" s="18"/>
      <c r="F193" s="15"/>
      <c r="G193" s="19"/>
      <c r="H193" s="19"/>
      <c r="I193" s="19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</row>
    <row r="194" spans="2:34" ht="41.25" customHeight="1">
      <c r="B194" s="21"/>
      <c r="C194" s="57" t="str">
        <f t="shared" si="4"/>
        <v/>
      </c>
      <c r="D194" s="18"/>
      <c r="E194" s="18"/>
      <c r="F194" s="15"/>
      <c r="G194" s="19"/>
      <c r="H194" s="19"/>
      <c r="I194" s="19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</row>
    <row r="195" spans="2:34" ht="41.25" customHeight="1">
      <c r="B195" s="21"/>
      <c r="C195" s="57" t="str">
        <f t="shared" si="4"/>
        <v/>
      </c>
      <c r="D195" s="18"/>
      <c r="E195" s="18"/>
      <c r="F195" s="15"/>
      <c r="G195" s="19"/>
      <c r="H195" s="19"/>
      <c r="I195" s="19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</row>
    <row r="196" spans="2:34" ht="41.25" customHeight="1">
      <c r="B196" s="21"/>
      <c r="C196" s="57" t="str">
        <f t="shared" si="4"/>
        <v/>
      </c>
      <c r="D196" s="18"/>
      <c r="E196" s="18"/>
      <c r="F196" s="15"/>
      <c r="G196" s="19"/>
      <c r="H196" s="19"/>
      <c r="I196" s="19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</row>
    <row r="197" spans="2:34" ht="41.25" customHeight="1">
      <c r="B197" s="21"/>
      <c r="C197" s="57" t="str">
        <f t="shared" si="4"/>
        <v/>
      </c>
      <c r="D197" s="18"/>
      <c r="E197" s="18"/>
      <c r="F197" s="15"/>
      <c r="G197" s="19"/>
      <c r="H197" s="19"/>
      <c r="I197" s="19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</row>
    <row r="198" spans="2:34" ht="41.25" customHeight="1">
      <c r="B198" s="21"/>
      <c r="C198" s="57" t="str">
        <f t="shared" si="4"/>
        <v/>
      </c>
      <c r="D198" s="18"/>
      <c r="E198" s="18"/>
      <c r="F198" s="15"/>
      <c r="G198" s="19"/>
      <c r="H198" s="19"/>
      <c r="I198" s="19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</row>
    <row r="199" spans="2:34" ht="41.25" customHeight="1">
      <c r="B199" s="21"/>
      <c r="C199" s="57" t="str">
        <f t="shared" si="4"/>
        <v/>
      </c>
      <c r="D199" s="18"/>
      <c r="E199" s="18"/>
      <c r="F199" s="15"/>
      <c r="G199" s="19"/>
      <c r="H199" s="19"/>
      <c r="I199" s="19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</row>
    <row r="200" spans="2:34" ht="41.25" customHeight="1">
      <c r="B200" s="21"/>
      <c r="C200" s="57" t="str">
        <f t="shared" si="4"/>
        <v/>
      </c>
      <c r="D200" s="18"/>
      <c r="E200" s="18"/>
      <c r="F200" s="15"/>
      <c r="G200" s="19"/>
      <c r="H200" s="19"/>
      <c r="I200" s="19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</row>
    <row r="201" spans="2:34" ht="41.25" customHeight="1">
      <c r="B201" s="21"/>
      <c r="C201" s="57" t="str">
        <f t="shared" si="4"/>
        <v/>
      </c>
      <c r="D201" s="18"/>
      <c r="E201" s="18"/>
      <c r="F201" s="15"/>
      <c r="G201" s="19"/>
      <c r="H201" s="19"/>
      <c r="I201" s="19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</row>
    <row r="202" spans="2:34" ht="41.25" customHeight="1">
      <c r="B202" s="21"/>
      <c r="C202" s="57" t="str">
        <f t="shared" si="4"/>
        <v/>
      </c>
      <c r="D202" s="18"/>
      <c r="E202" s="18"/>
      <c r="F202" s="15"/>
      <c r="G202" s="19"/>
      <c r="H202" s="19"/>
      <c r="I202" s="19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</row>
    <row r="203" spans="2:34" ht="41.25" customHeight="1">
      <c r="B203" s="21"/>
      <c r="C203" s="57" t="str">
        <f t="shared" si="4"/>
        <v/>
      </c>
      <c r="D203" s="18"/>
      <c r="E203" s="18"/>
      <c r="F203" s="15"/>
      <c r="G203" s="19"/>
      <c r="H203" s="19"/>
      <c r="I203" s="19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</row>
    <row r="204" spans="2:34" ht="41.25" customHeight="1">
      <c r="B204" s="21"/>
      <c r="C204" s="57" t="str">
        <f t="shared" si="4"/>
        <v/>
      </c>
      <c r="D204" s="18"/>
      <c r="E204" s="18"/>
      <c r="F204" s="15"/>
      <c r="G204" s="19"/>
      <c r="H204" s="19"/>
      <c r="I204" s="19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</row>
    <row r="205" spans="2:34" ht="41.25" customHeight="1">
      <c r="B205" s="21"/>
      <c r="C205" s="57" t="str">
        <f t="shared" si="4"/>
        <v/>
      </c>
      <c r="D205" s="18"/>
      <c r="E205" s="18"/>
      <c r="F205" s="15"/>
      <c r="G205" s="19"/>
      <c r="H205" s="19"/>
      <c r="I205" s="19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</row>
    <row r="206" spans="2:34" ht="41.25" customHeight="1">
      <c r="B206" s="21"/>
      <c r="C206" s="57" t="str">
        <f t="shared" si="4"/>
        <v/>
      </c>
      <c r="D206" s="18"/>
      <c r="E206" s="18"/>
      <c r="F206" s="15"/>
      <c r="G206" s="19"/>
      <c r="H206" s="19"/>
      <c r="I206" s="19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</row>
    <row r="207" spans="2:34" ht="41.25" customHeight="1">
      <c r="B207" s="21"/>
      <c r="C207" s="57" t="str">
        <f t="shared" si="4"/>
        <v/>
      </c>
      <c r="D207" s="18"/>
      <c r="E207" s="18"/>
      <c r="F207" s="15"/>
      <c r="G207" s="19"/>
      <c r="H207" s="19"/>
      <c r="I207" s="19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</row>
    <row r="208" spans="2:34" ht="41.25" customHeight="1">
      <c r="B208" s="21"/>
      <c r="C208" s="57" t="str">
        <f t="shared" si="4"/>
        <v/>
      </c>
      <c r="D208" s="18"/>
      <c r="E208" s="18"/>
      <c r="F208" s="15"/>
      <c r="G208" s="19"/>
      <c r="H208" s="19"/>
      <c r="I208" s="19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</row>
    <row r="209" spans="1:34" ht="41.25" customHeight="1">
      <c r="B209" s="21"/>
      <c r="C209" s="57" t="str">
        <f t="shared" si="4"/>
        <v/>
      </c>
      <c r="D209" s="18"/>
      <c r="E209" s="18"/>
      <c r="F209" s="15"/>
      <c r="G209" s="19"/>
      <c r="H209" s="19"/>
      <c r="I209" s="19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</row>
    <row r="210" spans="1:34" ht="41.25" customHeight="1">
      <c r="B210" s="21"/>
      <c r="C210" s="57" t="str">
        <f t="shared" si="4"/>
        <v/>
      </c>
      <c r="D210" s="18"/>
      <c r="E210" s="18"/>
      <c r="F210" s="15"/>
      <c r="G210" s="19"/>
      <c r="H210" s="19"/>
      <c r="I210" s="19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</row>
    <row r="211" spans="1:34" ht="41.25" customHeight="1">
      <c r="B211" s="21"/>
      <c r="C211" s="57" t="str">
        <f t="shared" si="4"/>
        <v/>
      </c>
      <c r="D211" s="18"/>
      <c r="E211" s="18"/>
      <c r="F211" s="15"/>
      <c r="G211" s="19"/>
      <c r="H211" s="19"/>
      <c r="I211" s="19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</row>
    <row r="212" spans="1:34" s="9" customFormat="1" ht="41.25" customHeight="1">
      <c r="A212" s="13"/>
      <c r="B212" s="21"/>
      <c r="C212" s="57" t="str">
        <f t="shared" si="4"/>
        <v/>
      </c>
      <c r="D212" s="18"/>
      <c r="E212" s="18"/>
      <c r="F212" s="15"/>
      <c r="G212" s="19"/>
      <c r="H212" s="19"/>
      <c r="I212" s="19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</row>
    <row r="213" spans="1:34" ht="41.25" customHeight="1">
      <c r="B213" s="21"/>
      <c r="C213" s="57" t="str">
        <f t="shared" si="4"/>
        <v/>
      </c>
      <c r="D213" s="18"/>
      <c r="E213" s="18"/>
      <c r="F213" s="15"/>
      <c r="G213" s="19"/>
      <c r="H213" s="19"/>
      <c r="I213" s="19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</row>
    <row r="214" spans="1:34" ht="41.25" customHeight="1">
      <c r="B214" s="21"/>
      <c r="C214" s="57" t="str">
        <f t="shared" si="4"/>
        <v/>
      </c>
      <c r="D214" s="18"/>
      <c r="E214" s="18"/>
      <c r="F214" s="15"/>
      <c r="G214" s="19"/>
      <c r="H214" s="19"/>
      <c r="I214" s="19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</row>
    <row r="215" spans="1:34" ht="41.25" customHeight="1">
      <c r="B215" s="21"/>
      <c r="C215" s="57" t="str">
        <f t="shared" si="4"/>
        <v/>
      </c>
      <c r="D215" s="18"/>
      <c r="E215" s="18"/>
      <c r="F215" s="15"/>
      <c r="G215" s="19"/>
      <c r="H215" s="19"/>
      <c r="I215" s="19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</row>
    <row r="216" spans="1:34" ht="41.25" customHeight="1">
      <c r="B216" s="21"/>
      <c r="C216" s="57" t="str">
        <f t="shared" si="4"/>
        <v/>
      </c>
      <c r="D216" s="18"/>
      <c r="E216" s="18"/>
      <c r="F216" s="15"/>
      <c r="G216" s="19"/>
      <c r="H216" s="19"/>
      <c r="I216" s="19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</row>
    <row r="217" spans="1:34" ht="41.25" customHeight="1">
      <c r="B217" s="21"/>
      <c r="C217" s="57" t="str">
        <f t="shared" si="4"/>
        <v/>
      </c>
      <c r="D217" s="18"/>
      <c r="E217" s="18"/>
      <c r="F217" s="15"/>
      <c r="G217" s="19"/>
      <c r="H217" s="19"/>
      <c r="I217" s="19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</row>
    <row r="218" spans="1:34" ht="41.25" customHeight="1">
      <c r="B218" s="21"/>
      <c r="C218" s="57" t="str">
        <f t="shared" si="4"/>
        <v/>
      </c>
      <c r="D218" s="18"/>
      <c r="E218" s="18"/>
      <c r="F218" s="15"/>
      <c r="G218" s="19"/>
      <c r="H218" s="19"/>
      <c r="I218" s="19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</row>
    <row r="219" spans="1:34" ht="41.25" customHeight="1">
      <c r="B219" s="21"/>
      <c r="C219" s="57" t="str">
        <f t="shared" si="4"/>
        <v/>
      </c>
      <c r="D219" s="18"/>
      <c r="E219" s="18"/>
      <c r="F219" s="15"/>
      <c r="G219" s="19"/>
      <c r="H219" s="19"/>
      <c r="I219" s="19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</row>
    <row r="220" spans="1:34" ht="41.25" customHeight="1">
      <c r="B220" s="21"/>
      <c r="C220" s="57" t="str">
        <f t="shared" si="4"/>
        <v/>
      </c>
      <c r="D220" s="18"/>
      <c r="E220" s="18"/>
      <c r="F220" s="15"/>
      <c r="G220" s="19"/>
      <c r="H220" s="19"/>
      <c r="I220" s="19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</row>
    <row r="221" spans="1:34" ht="41.25" customHeight="1">
      <c r="B221" s="21"/>
      <c r="C221" s="57" t="str">
        <f t="shared" si="4"/>
        <v/>
      </c>
      <c r="D221" s="18"/>
      <c r="E221" s="18"/>
      <c r="F221" s="15"/>
      <c r="G221" s="19"/>
      <c r="H221" s="19"/>
      <c r="I221" s="19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</row>
    <row r="222" spans="1:34" ht="41.25" customHeight="1">
      <c r="B222" s="21"/>
      <c r="C222" s="57" t="str">
        <f t="shared" si="4"/>
        <v/>
      </c>
      <c r="D222" s="18"/>
      <c r="E222" s="18"/>
      <c r="F222" s="15"/>
      <c r="G222" s="19"/>
      <c r="H222" s="19"/>
      <c r="I222" s="19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</row>
    <row r="223" spans="1:34" ht="41.25" customHeight="1">
      <c r="B223" s="21"/>
      <c r="C223" s="57" t="str">
        <f t="shared" si="4"/>
        <v/>
      </c>
      <c r="D223" s="18"/>
      <c r="E223" s="18"/>
      <c r="F223" s="15"/>
      <c r="G223" s="19"/>
      <c r="H223" s="19"/>
      <c r="I223" s="19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</row>
    <row r="224" spans="1:34" ht="41.25" customHeight="1">
      <c r="B224" s="21"/>
      <c r="C224" s="57" t="str">
        <f t="shared" si="4"/>
        <v/>
      </c>
      <c r="D224" s="18"/>
      <c r="E224" s="18"/>
      <c r="F224" s="15"/>
      <c r="G224" s="19"/>
      <c r="H224" s="19"/>
      <c r="I224" s="19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</row>
    <row r="225" spans="2:34" ht="41.25" customHeight="1">
      <c r="B225" s="21"/>
      <c r="C225" s="57" t="str">
        <f t="shared" si="4"/>
        <v/>
      </c>
      <c r="D225" s="18"/>
      <c r="E225" s="18"/>
      <c r="F225" s="15"/>
      <c r="G225" s="19"/>
      <c r="H225" s="19"/>
      <c r="I225" s="19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</row>
    <row r="226" spans="2:34" ht="41.25" customHeight="1">
      <c r="B226" s="21"/>
      <c r="C226" s="57" t="str">
        <f t="shared" si="4"/>
        <v/>
      </c>
      <c r="D226" s="18"/>
      <c r="E226" s="18"/>
      <c r="F226" s="15"/>
      <c r="G226" s="19"/>
      <c r="H226" s="19"/>
      <c r="I226" s="19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</row>
    <row r="227" spans="2:34" ht="41.25" customHeight="1">
      <c r="B227" s="21"/>
      <c r="C227" s="57" t="str">
        <f t="shared" si="4"/>
        <v/>
      </c>
      <c r="D227" s="18"/>
      <c r="E227" s="18"/>
      <c r="F227" s="15"/>
      <c r="G227" s="19"/>
      <c r="H227" s="19"/>
      <c r="I227" s="19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</row>
    <row r="228" spans="2:34" ht="41.25" customHeight="1">
      <c r="B228" s="21"/>
      <c r="C228" s="57" t="str">
        <f t="shared" si="4"/>
        <v/>
      </c>
      <c r="D228" s="18"/>
      <c r="E228" s="18"/>
      <c r="F228" s="15"/>
      <c r="G228" s="19"/>
      <c r="H228" s="19"/>
      <c r="I228" s="19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</row>
    <row r="229" spans="2:34" ht="41.25" customHeight="1">
      <c r="B229" s="21"/>
      <c r="C229" s="57" t="str">
        <f t="shared" ref="C229:C292" si="5">IF(B229="","",MONTH(B229))</f>
        <v/>
      </c>
      <c r="D229" s="18"/>
      <c r="E229" s="18"/>
      <c r="F229" s="15"/>
      <c r="G229" s="19"/>
      <c r="H229" s="19"/>
      <c r="I229" s="19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</row>
    <row r="230" spans="2:34" ht="41.25" customHeight="1">
      <c r="B230" s="21"/>
      <c r="C230" s="57" t="str">
        <f t="shared" si="5"/>
        <v/>
      </c>
      <c r="D230" s="18"/>
      <c r="E230" s="18"/>
      <c r="F230" s="15"/>
      <c r="G230" s="19"/>
      <c r="H230" s="19"/>
      <c r="I230" s="19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</row>
    <row r="231" spans="2:34" ht="41.25" customHeight="1">
      <c r="B231" s="21"/>
      <c r="C231" s="57" t="str">
        <f t="shared" si="5"/>
        <v/>
      </c>
      <c r="D231" s="18"/>
      <c r="E231" s="18"/>
      <c r="F231" s="15"/>
      <c r="G231" s="19"/>
      <c r="H231" s="19"/>
      <c r="I231" s="19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</row>
    <row r="232" spans="2:34" ht="41.25" customHeight="1">
      <c r="B232" s="21"/>
      <c r="C232" s="57" t="str">
        <f t="shared" si="5"/>
        <v/>
      </c>
      <c r="D232" s="18"/>
      <c r="E232" s="18"/>
      <c r="F232" s="15"/>
      <c r="G232" s="19"/>
      <c r="H232" s="19"/>
      <c r="I232" s="19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</row>
    <row r="233" spans="2:34" ht="41.25" customHeight="1">
      <c r="B233" s="21"/>
      <c r="C233" s="57" t="str">
        <f t="shared" si="5"/>
        <v/>
      </c>
      <c r="D233" s="18"/>
      <c r="E233" s="18"/>
      <c r="F233" s="15"/>
      <c r="G233" s="19"/>
      <c r="H233" s="19"/>
      <c r="I233" s="19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</row>
    <row r="234" spans="2:34" ht="41.25" customHeight="1">
      <c r="B234" s="21"/>
      <c r="C234" s="57" t="str">
        <f t="shared" si="5"/>
        <v/>
      </c>
      <c r="D234" s="18"/>
      <c r="E234" s="18"/>
      <c r="F234" s="15"/>
      <c r="G234" s="19"/>
      <c r="H234" s="19"/>
      <c r="I234" s="19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</row>
    <row r="235" spans="2:34" ht="41.25" customHeight="1">
      <c r="B235" s="21"/>
      <c r="C235" s="57" t="str">
        <f t="shared" si="5"/>
        <v/>
      </c>
      <c r="D235" s="18"/>
      <c r="E235" s="18"/>
      <c r="F235" s="15"/>
      <c r="G235" s="19"/>
      <c r="H235" s="19"/>
      <c r="I235" s="19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</row>
    <row r="236" spans="2:34" ht="41.25" customHeight="1">
      <c r="B236" s="21"/>
      <c r="C236" s="57" t="str">
        <f t="shared" si="5"/>
        <v/>
      </c>
      <c r="D236" s="18"/>
      <c r="E236" s="18"/>
      <c r="F236" s="15"/>
      <c r="G236" s="19"/>
      <c r="H236" s="19"/>
      <c r="I236" s="19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</row>
    <row r="237" spans="2:34" ht="41.25" customHeight="1">
      <c r="B237" s="21"/>
      <c r="C237" s="57" t="str">
        <f t="shared" si="5"/>
        <v/>
      </c>
      <c r="D237" s="18"/>
      <c r="E237" s="18"/>
      <c r="F237" s="15"/>
      <c r="G237" s="19"/>
      <c r="H237" s="19"/>
      <c r="I237" s="19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</row>
    <row r="238" spans="2:34" ht="41.25" customHeight="1">
      <c r="B238" s="21"/>
      <c r="C238" s="57" t="str">
        <f t="shared" si="5"/>
        <v/>
      </c>
      <c r="D238" s="18"/>
      <c r="E238" s="18"/>
      <c r="F238" s="15"/>
      <c r="G238" s="19"/>
      <c r="H238" s="19"/>
      <c r="I238" s="19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</row>
    <row r="239" spans="2:34" ht="41.25" customHeight="1">
      <c r="B239" s="21"/>
      <c r="C239" s="57" t="str">
        <f t="shared" si="5"/>
        <v/>
      </c>
      <c r="D239" s="18"/>
      <c r="E239" s="18"/>
      <c r="F239" s="15"/>
      <c r="G239" s="19"/>
      <c r="H239" s="19"/>
      <c r="I239" s="19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</row>
    <row r="240" spans="2:34" ht="41.25" customHeight="1">
      <c r="B240" s="21"/>
      <c r="C240" s="57" t="str">
        <f t="shared" si="5"/>
        <v/>
      </c>
      <c r="D240" s="18"/>
      <c r="E240" s="18"/>
      <c r="F240" s="15"/>
      <c r="G240" s="19"/>
      <c r="H240" s="19"/>
      <c r="I240" s="19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</row>
    <row r="241" spans="2:34" ht="41.25" customHeight="1">
      <c r="B241" s="21"/>
      <c r="C241" s="57" t="str">
        <f t="shared" si="5"/>
        <v/>
      </c>
      <c r="D241" s="18"/>
      <c r="E241" s="18"/>
      <c r="F241" s="15"/>
      <c r="G241" s="19"/>
      <c r="H241" s="19"/>
      <c r="I241" s="19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</row>
    <row r="242" spans="2:34" ht="41.25" customHeight="1">
      <c r="B242" s="21"/>
      <c r="C242" s="57" t="str">
        <f t="shared" si="5"/>
        <v/>
      </c>
      <c r="D242" s="18"/>
      <c r="E242" s="18"/>
      <c r="F242" s="15"/>
      <c r="G242" s="19"/>
      <c r="H242" s="19"/>
      <c r="I242" s="19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</row>
    <row r="243" spans="2:34" ht="41.25" customHeight="1">
      <c r="B243" s="21"/>
      <c r="C243" s="57" t="str">
        <f t="shared" si="5"/>
        <v/>
      </c>
      <c r="D243" s="18"/>
      <c r="E243" s="18"/>
      <c r="F243" s="15"/>
      <c r="G243" s="19"/>
      <c r="H243" s="19"/>
      <c r="I243" s="19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</row>
    <row r="244" spans="2:34" ht="41.25" customHeight="1">
      <c r="B244" s="21"/>
      <c r="C244" s="57" t="str">
        <f t="shared" si="5"/>
        <v/>
      </c>
      <c r="D244" s="18"/>
      <c r="E244" s="18"/>
      <c r="F244" s="15"/>
      <c r="G244" s="19"/>
      <c r="H244" s="19"/>
      <c r="I244" s="19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</row>
    <row r="245" spans="2:34" ht="41.25" customHeight="1">
      <c r="B245" s="21"/>
      <c r="C245" s="57" t="str">
        <f t="shared" si="5"/>
        <v/>
      </c>
      <c r="D245" s="18"/>
      <c r="E245" s="18"/>
      <c r="F245" s="15"/>
      <c r="G245" s="19"/>
      <c r="H245" s="19"/>
      <c r="I245" s="19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</row>
    <row r="246" spans="2:34" ht="41.25" customHeight="1">
      <c r="B246" s="21"/>
      <c r="C246" s="57" t="str">
        <f t="shared" si="5"/>
        <v/>
      </c>
      <c r="D246" s="18"/>
      <c r="E246" s="18"/>
      <c r="F246" s="15"/>
      <c r="G246" s="19"/>
      <c r="H246" s="19"/>
      <c r="I246" s="19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</row>
    <row r="247" spans="2:34" ht="41.25" customHeight="1">
      <c r="B247" s="21"/>
      <c r="C247" s="57" t="str">
        <f t="shared" si="5"/>
        <v/>
      </c>
      <c r="D247" s="18"/>
      <c r="E247" s="18"/>
      <c r="F247" s="15"/>
      <c r="G247" s="19"/>
      <c r="H247" s="19"/>
      <c r="I247" s="19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</row>
    <row r="248" spans="2:34" ht="41.25" customHeight="1">
      <c r="B248" s="21"/>
      <c r="C248" s="57" t="str">
        <f t="shared" si="5"/>
        <v/>
      </c>
      <c r="D248" s="18"/>
      <c r="E248" s="18"/>
      <c r="F248" s="15"/>
      <c r="G248" s="19"/>
      <c r="H248" s="19"/>
      <c r="I248" s="19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</row>
    <row r="249" spans="2:34" ht="41.25" customHeight="1">
      <c r="B249" s="21"/>
      <c r="C249" s="57" t="str">
        <f t="shared" si="5"/>
        <v/>
      </c>
      <c r="D249" s="18"/>
      <c r="E249" s="18"/>
      <c r="F249" s="15"/>
      <c r="G249" s="19"/>
      <c r="H249" s="19"/>
      <c r="I249" s="19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</row>
    <row r="250" spans="2:34" ht="41.25" customHeight="1">
      <c r="B250" s="21"/>
      <c r="C250" s="57" t="str">
        <f t="shared" si="5"/>
        <v/>
      </c>
      <c r="D250" s="18"/>
      <c r="E250" s="18"/>
      <c r="F250" s="15"/>
      <c r="G250" s="19"/>
      <c r="H250" s="19"/>
      <c r="I250" s="19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</row>
    <row r="251" spans="2:34" ht="41.25" customHeight="1">
      <c r="B251" s="21"/>
      <c r="C251" s="57" t="str">
        <f t="shared" si="5"/>
        <v/>
      </c>
      <c r="D251" s="18"/>
      <c r="E251" s="18"/>
      <c r="F251" s="15"/>
      <c r="G251" s="19"/>
      <c r="H251" s="19"/>
      <c r="I251" s="19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</row>
    <row r="252" spans="2:34" ht="41.25" customHeight="1">
      <c r="B252" s="21"/>
      <c r="C252" s="57" t="str">
        <f t="shared" si="5"/>
        <v/>
      </c>
      <c r="D252" s="18"/>
      <c r="E252" s="18"/>
      <c r="F252" s="15"/>
      <c r="G252" s="19"/>
      <c r="H252" s="19"/>
      <c r="I252" s="19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</row>
    <row r="253" spans="2:34" ht="41.25" customHeight="1">
      <c r="B253" s="21"/>
      <c r="C253" s="57" t="str">
        <f t="shared" si="5"/>
        <v/>
      </c>
      <c r="D253" s="18"/>
      <c r="E253" s="18"/>
      <c r="F253" s="15"/>
      <c r="G253" s="19"/>
      <c r="H253" s="19"/>
      <c r="I253" s="19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</row>
    <row r="254" spans="2:34" ht="41.25" customHeight="1">
      <c r="B254" s="21"/>
      <c r="C254" s="57" t="str">
        <f t="shared" si="5"/>
        <v/>
      </c>
      <c r="D254" s="18"/>
      <c r="E254" s="18"/>
      <c r="F254" s="15"/>
      <c r="G254" s="19"/>
      <c r="H254" s="19"/>
      <c r="I254" s="19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</row>
    <row r="255" spans="2:34" ht="41.25" customHeight="1">
      <c r="B255" s="21"/>
      <c r="C255" s="57" t="str">
        <f t="shared" si="5"/>
        <v/>
      </c>
      <c r="D255" s="18"/>
      <c r="E255" s="18"/>
      <c r="F255" s="15"/>
      <c r="G255" s="19"/>
      <c r="H255" s="19"/>
      <c r="I255" s="19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</row>
    <row r="256" spans="2:34" ht="41.25" customHeight="1">
      <c r="B256" s="21"/>
      <c r="C256" s="57" t="str">
        <f t="shared" si="5"/>
        <v/>
      </c>
      <c r="D256" s="18"/>
      <c r="E256" s="18"/>
      <c r="F256" s="15"/>
      <c r="G256" s="19"/>
      <c r="H256" s="19"/>
      <c r="I256" s="19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</row>
    <row r="257" spans="2:34" ht="41.25" customHeight="1">
      <c r="B257" s="21"/>
      <c r="C257" s="57" t="str">
        <f t="shared" si="5"/>
        <v/>
      </c>
      <c r="D257" s="18"/>
      <c r="E257" s="18"/>
      <c r="F257" s="15"/>
      <c r="G257" s="19"/>
      <c r="H257" s="19"/>
      <c r="I257" s="19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</row>
    <row r="258" spans="2:34" ht="41.25" customHeight="1">
      <c r="B258" s="21"/>
      <c r="C258" s="57" t="str">
        <f t="shared" si="5"/>
        <v/>
      </c>
      <c r="D258" s="18"/>
      <c r="E258" s="18"/>
      <c r="F258" s="15"/>
      <c r="G258" s="19"/>
      <c r="H258" s="19"/>
      <c r="I258" s="19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</row>
    <row r="259" spans="2:34" ht="41.25" customHeight="1">
      <c r="B259" s="21"/>
      <c r="C259" s="57" t="str">
        <f t="shared" si="5"/>
        <v/>
      </c>
      <c r="D259" s="18"/>
      <c r="E259" s="18"/>
      <c r="F259" s="15"/>
      <c r="G259" s="19"/>
      <c r="H259" s="19"/>
      <c r="I259" s="19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</row>
    <row r="260" spans="2:34" ht="41.25" customHeight="1">
      <c r="B260" s="21"/>
      <c r="C260" s="57" t="str">
        <f t="shared" si="5"/>
        <v/>
      </c>
      <c r="D260" s="18"/>
      <c r="E260" s="18"/>
      <c r="F260" s="15"/>
      <c r="G260" s="19"/>
      <c r="H260" s="19"/>
      <c r="I260" s="19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</row>
    <row r="261" spans="2:34" ht="41.25" customHeight="1">
      <c r="B261" s="21"/>
      <c r="C261" s="57" t="str">
        <f t="shared" si="5"/>
        <v/>
      </c>
      <c r="D261" s="18"/>
      <c r="E261" s="18"/>
      <c r="F261" s="15"/>
      <c r="G261" s="19"/>
      <c r="H261" s="19"/>
      <c r="I261" s="19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</row>
    <row r="262" spans="2:34" ht="41.25" customHeight="1">
      <c r="B262" s="21"/>
      <c r="C262" s="57" t="str">
        <f t="shared" si="5"/>
        <v/>
      </c>
      <c r="D262" s="18"/>
      <c r="E262" s="18"/>
      <c r="F262" s="15"/>
      <c r="G262" s="19"/>
      <c r="H262" s="19"/>
      <c r="I262" s="19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</row>
    <row r="263" spans="2:34" ht="41.25" customHeight="1" outlineLevel="1">
      <c r="B263" s="21"/>
      <c r="C263" s="57" t="str">
        <f t="shared" si="5"/>
        <v/>
      </c>
      <c r="D263" s="18"/>
      <c r="E263" s="18"/>
      <c r="F263" s="15"/>
      <c r="G263" s="19"/>
      <c r="H263" s="19"/>
      <c r="I263" s="19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</row>
    <row r="264" spans="2:34" ht="41.25" customHeight="1" outlineLevel="1">
      <c r="B264" s="21"/>
      <c r="C264" s="57" t="str">
        <f t="shared" si="5"/>
        <v/>
      </c>
      <c r="D264" s="18"/>
      <c r="E264" s="18"/>
      <c r="F264" s="15"/>
      <c r="G264" s="19"/>
      <c r="H264" s="19"/>
      <c r="I264" s="19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</row>
    <row r="265" spans="2:34" ht="41.25" customHeight="1" outlineLevel="1">
      <c r="B265" s="21"/>
      <c r="C265" s="57" t="str">
        <f t="shared" si="5"/>
        <v/>
      </c>
      <c r="D265" s="18"/>
      <c r="E265" s="18"/>
      <c r="F265" s="15"/>
      <c r="G265" s="19"/>
      <c r="H265" s="19"/>
      <c r="I265" s="19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</row>
    <row r="266" spans="2:34" ht="41.25" customHeight="1" outlineLevel="1">
      <c r="B266" s="21"/>
      <c r="C266" s="57" t="str">
        <f t="shared" si="5"/>
        <v/>
      </c>
      <c r="D266" s="18"/>
      <c r="E266" s="18"/>
      <c r="F266" s="15"/>
      <c r="G266" s="19"/>
      <c r="H266" s="19"/>
      <c r="I266" s="19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</row>
    <row r="267" spans="2:34" ht="41.25" customHeight="1" outlineLevel="1">
      <c r="B267" s="21"/>
      <c r="C267" s="57" t="str">
        <f t="shared" si="5"/>
        <v/>
      </c>
      <c r="D267" s="18"/>
      <c r="E267" s="18"/>
      <c r="F267" s="15"/>
      <c r="G267" s="19"/>
      <c r="H267" s="19"/>
      <c r="I267" s="19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</row>
    <row r="268" spans="2:34" ht="41.25" customHeight="1" outlineLevel="1">
      <c r="B268" s="21"/>
      <c r="C268" s="57" t="str">
        <f t="shared" si="5"/>
        <v/>
      </c>
      <c r="D268" s="18"/>
      <c r="E268" s="18"/>
      <c r="F268" s="15"/>
      <c r="G268" s="19"/>
      <c r="H268" s="19"/>
      <c r="I268" s="19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</row>
    <row r="269" spans="2:34" ht="41.25" customHeight="1" outlineLevel="1">
      <c r="B269" s="21"/>
      <c r="C269" s="57" t="str">
        <f t="shared" si="5"/>
        <v/>
      </c>
      <c r="D269" s="18"/>
      <c r="E269" s="18"/>
      <c r="F269" s="15"/>
      <c r="G269" s="19"/>
      <c r="H269" s="19"/>
      <c r="I269" s="19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</row>
    <row r="270" spans="2:34" ht="41.25" customHeight="1" outlineLevel="1">
      <c r="B270" s="21"/>
      <c r="C270" s="57" t="str">
        <f t="shared" si="5"/>
        <v/>
      </c>
      <c r="D270" s="18"/>
      <c r="E270" s="18"/>
      <c r="F270" s="15"/>
      <c r="G270" s="19"/>
      <c r="H270" s="19"/>
      <c r="I270" s="19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</row>
    <row r="271" spans="2:34" ht="41.25" customHeight="1" outlineLevel="1">
      <c r="B271" s="21"/>
      <c r="C271" s="57" t="str">
        <f t="shared" si="5"/>
        <v/>
      </c>
      <c r="D271" s="18"/>
      <c r="E271" s="18"/>
      <c r="F271" s="15"/>
      <c r="G271" s="19"/>
      <c r="H271" s="19"/>
      <c r="I271" s="19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</row>
    <row r="272" spans="2:34" ht="41.25" customHeight="1" outlineLevel="1">
      <c r="B272" s="21"/>
      <c r="C272" s="57" t="str">
        <f t="shared" si="5"/>
        <v/>
      </c>
      <c r="D272" s="18"/>
      <c r="E272" s="18"/>
      <c r="F272" s="15"/>
      <c r="G272" s="19"/>
      <c r="H272" s="19"/>
      <c r="I272" s="19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</row>
    <row r="273" spans="2:34" ht="41.25" customHeight="1" outlineLevel="1">
      <c r="B273" s="21"/>
      <c r="C273" s="57" t="str">
        <f t="shared" si="5"/>
        <v/>
      </c>
      <c r="D273" s="18"/>
      <c r="E273" s="18"/>
      <c r="F273" s="15"/>
      <c r="G273" s="19"/>
      <c r="H273" s="19"/>
      <c r="I273" s="19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</row>
    <row r="274" spans="2:34" ht="41.25" customHeight="1" outlineLevel="1">
      <c r="B274" s="21"/>
      <c r="C274" s="57" t="str">
        <f t="shared" si="5"/>
        <v/>
      </c>
      <c r="D274" s="18"/>
      <c r="E274" s="18"/>
      <c r="F274" s="15"/>
      <c r="G274" s="19"/>
      <c r="H274" s="19"/>
      <c r="I274" s="19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</row>
    <row r="275" spans="2:34" ht="41.25" customHeight="1" outlineLevel="1">
      <c r="B275" s="21"/>
      <c r="C275" s="57" t="str">
        <f t="shared" si="5"/>
        <v/>
      </c>
      <c r="D275" s="18"/>
      <c r="E275" s="18"/>
      <c r="F275" s="15"/>
      <c r="G275" s="19"/>
      <c r="H275" s="19"/>
      <c r="I275" s="19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</row>
    <row r="276" spans="2:34" ht="41.25" customHeight="1" outlineLevel="1">
      <c r="B276" s="21"/>
      <c r="C276" s="57" t="str">
        <f t="shared" si="5"/>
        <v/>
      </c>
      <c r="D276" s="18"/>
      <c r="E276" s="18"/>
      <c r="F276" s="15"/>
      <c r="G276" s="19"/>
      <c r="H276" s="19"/>
      <c r="I276" s="19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</row>
    <row r="277" spans="2:34" ht="41.25" customHeight="1" outlineLevel="1">
      <c r="B277" s="21"/>
      <c r="C277" s="57" t="str">
        <f t="shared" si="5"/>
        <v/>
      </c>
      <c r="D277" s="18"/>
      <c r="E277" s="18"/>
      <c r="F277" s="15"/>
      <c r="G277" s="19"/>
      <c r="H277" s="19"/>
      <c r="I277" s="19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</row>
    <row r="278" spans="2:34" ht="41.25" customHeight="1" outlineLevel="1">
      <c r="B278" s="21"/>
      <c r="C278" s="57" t="str">
        <f t="shared" si="5"/>
        <v/>
      </c>
      <c r="D278" s="18"/>
      <c r="E278" s="18"/>
      <c r="F278" s="15"/>
      <c r="G278" s="19"/>
      <c r="H278" s="19"/>
      <c r="I278" s="19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</row>
    <row r="279" spans="2:34" ht="41.25" customHeight="1" outlineLevel="1">
      <c r="B279" s="21"/>
      <c r="C279" s="57" t="str">
        <f t="shared" si="5"/>
        <v/>
      </c>
      <c r="D279" s="18"/>
      <c r="E279" s="18"/>
      <c r="F279" s="15"/>
      <c r="G279" s="19"/>
      <c r="H279" s="19"/>
      <c r="I279" s="19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</row>
    <row r="280" spans="2:34" ht="41.25" customHeight="1" outlineLevel="1">
      <c r="B280" s="21"/>
      <c r="C280" s="57" t="str">
        <f t="shared" si="5"/>
        <v/>
      </c>
      <c r="D280" s="18"/>
      <c r="E280" s="18"/>
      <c r="F280" s="15"/>
      <c r="G280" s="19"/>
      <c r="H280" s="19"/>
      <c r="I280" s="19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</row>
    <row r="281" spans="2:34" ht="41.25" customHeight="1" outlineLevel="1">
      <c r="B281" s="21"/>
      <c r="C281" s="57" t="str">
        <f t="shared" si="5"/>
        <v/>
      </c>
      <c r="D281" s="18"/>
      <c r="E281" s="18"/>
      <c r="F281" s="15"/>
      <c r="G281" s="19"/>
      <c r="H281" s="19"/>
      <c r="I281" s="19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</row>
    <row r="282" spans="2:34" ht="41.25" customHeight="1" outlineLevel="1">
      <c r="B282" s="21"/>
      <c r="C282" s="57" t="str">
        <f t="shared" si="5"/>
        <v/>
      </c>
      <c r="D282" s="18"/>
      <c r="E282" s="18"/>
      <c r="F282" s="15"/>
      <c r="G282" s="19"/>
      <c r="H282" s="19"/>
      <c r="I282" s="19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</row>
    <row r="283" spans="2:34" ht="41.25" customHeight="1" outlineLevel="1">
      <c r="B283" s="21"/>
      <c r="C283" s="57" t="str">
        <f t="shared" si="5"/>
        <v/>
      </c>
      <c r="D283" s="18"/>
      <c r="E283" s="18"/>
      <c r="F283" s="15"/>
      <c r="G283" s="19"/>
      <c r="H283" s="19"/>
      <c r="I283" s="19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</row>
    <row r="284" spans="2:34" ht="41.25" customHeight="1" outlineLevel="1">
      <c r="B284" s="21"/>
      <c r="C284" s="57" t="str">
        <f t="shared" si="5"/>
        <v/>
      </c>
      <c r="D284" s="18"/>
      <c r="E284" s="18"/>
      <c r="F284" s="15"/>
      <c r="G284" s="19"/>
      <c r="H284" s="19"/>
      <c r="I284" s="19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</row>
    <row r="285" spans="2:34" ht="41.25" customHeight="1" outlineLevel="1">
      <c r="B285" s="21"/>
      <c r="C285" s="57" t="str">
        <f t="shared" si="5"/>
        <v/>
      </c>
      <c r="D285" s="18"/>
      <c r="E285" s="18"/>
      <c r="F285" s="15"/>
      <c r="G285" s="19"/>
      <c r="H285" s="19"/>
      <c r="I285" s="19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</row>
    <row r="286" spans="2:34" ht="41.25" customHeight="1" outlineLevel="1">
      <c r="B286" s="21"/>
      <c r="C286" s="57" t="str">
        <f t="shared" si="5"/>
        <v/>
      </c>
      <c r="D286" s="18"/>
      <c r="E286" s="18"/>
      <c r="F286" s="15"/>
      <c r="G286" s="19"/>
      <c r="H286" s="19"/>
      <c r="I286" s="19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</row>
    <row r="287" spans="2:34" ht="41.25" customHeight="1" outlineLevel="1">
      <c r="B287" s="21"/>
      <c r="C287" s="57" t="str">
        <f t="shared" si="5"/>
        <v/>
      </c>
      <c r="D287" s="18"/>
      <c r="E287" s="18"/>
      <c r="F287" s="15"/>
      <c r="G287" s="19"/>
      <c r="H287" s="19"/>
      <c r="I287" s="19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</row>
    <row r="288" spans="2:34" ht="41.25" customHeight="1" outlineLevel="1">
      <c r="B288" s="21"/>
      <c r="C288" s="57" t="str">
        <f t="shared" si="5"/>
        <v/>
      </c>
      <c r="D288" s="18"/>
      <c r="E288" s="18"/>
      <c r="F288" s="15"/>
      <c r="G288" s="19"/>
      <c r="H288" s="19"/>
      <c r="I288" s="19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</row>
    <row r="289" spans="2:34" ht="41.25" customHeight="1" outlineLevel="1">
      <c r="B289" s="21"/>
      <c r="C289" s="57" t="str">
        <f t="shared" si="5"/>
        <v/>
      </c>
      <c r="D289" s="18"/>
      <c r="E289" s="18"/>
      <c r="F289" s="15"/>
      <c r="G289" s="19"/>
      <c r="H289" s="19"/>
      <c r="I289" s="19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</row>
    <row r="290" spans="2:34" ht="41.25" customHeight="1" outlineLevel="1">
      <c r="B290" s="21"/>
      <c r="C290" s="57" t="str">
        <f t="shared" si="5"/>
        <v/>
      </c>
      <c r="D290" s="18"/>
      <c r="E290" s="18"/>
      <c r="F290" s="15"/>
      <c r="G290" s="19"/>
      <c r="H290" s="19"/>
      <c r="I290" s="19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</row>
    <row r="291" spans="2:34" ht="41.25" customHeight="1" outlineLevel="1">
      <c r="B291" s="21"/>
      <c r="C291" s="57" t="str">
        <f t="shared" si="5"/>
        <v/>
      </c>
      <c r="D291" s="18"/>
      <c r="E291" s="18"/>
      <c r="F291" s="15"/>
      <c r="G291" s="19"/>
      <c r="H291" s="19"/>
      <c r="I291" s="19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</row>
    <row r="292" spans="2:34" ht="41.25" customHeight="1" outlineLevel="1">
      <c r="B292" s="21"/>
      <c r="C292" s="57" t="str">
        <f t="shared" si="5"/>
        <v/>
      </c>
      <c r="D292" s="18"/>
      <c r="E292" s="18"/>
      <c r="F292" s="15"/>
      <c r="G292" s="19"/>
      <c r="H292" s="19"/>
      <c r="I292" s="19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</row>
    <row r="293" spans="2:34" ht="41.25" customHeight="1" outlineLevel="1">
      <c r="B293" s="21"/>
      <c r="C293" s="57" t="str">
        <f t="shared" ref="C293:C356" si="6">IF(B293="","",MONTH(B293))</f>
        <v/>
      </c>
      <c r="D293" s="18"/>
      <c r="E293" s="18"/>
      <c r="F293" s="15"/>
      <c r="G293" s="19"/>
      <c r="H293" s="19"/>
      <c r="I293" s="19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</row>
    <row r="294" spans="2:34" ht="41.25" customHeight="1" outlineLevel="1">
      <c r="B294" s="21"/>
      <c r="C294" s="57" t="str">
        <f t="shared" si="6"/>
        <v/>
      </c>
      <c r="D294" s="18"/>
      <c r="E294" s="18"/>
      <c r="F294" s="15"/>
      <c r="G294" s="19"/>
      <c r="H294" s="19"/>
      <c r="I294" s="19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</row>
    <row r="295" spans="2:34" ht="41.25" customHeight="1" outlineLevel="1">
      <c r="B295" s="21"/>
      <c r="C295" s="57" t="str">
        <f t="shared" si="6"/>
        <v/>
      </c>
      <c r="D295" s="18"/>
      <c r="E295" s="18"/>
      <c r="F295" s="15"/>
      <c r="G295" s="19"/>
      <c r="H295" s="19"/>
      <c r="I295" s="19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</row>
    <row r="296" spans="2:34" ht="41.25" customHeight="1" outlineLevel="1">
      <c r="B296" s="21"/>
      <c r="C296" s="57" t="str">
        <f t="shared" si="6"/>
        <v/>
      </c>
      <c r="D296" s="18"/>
      <c r="E296" s="18"/>
      <c r="F296" s="15"/>
      <c r="G296" s="19"/>
      <c r="H296" s="19"/>
      <c r="I296" s="19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</row>
    <row r="297" spans="2:34" ht="41.25" customHeight="1" outlineLevel="1">
      <c r="B297" s="21"/>
      <c r="C297" s="57" t="str">
        <f t="shared" si="6"/>
        <v/>
      </c>
      <c r="D297" s="18"/>
      <c r="E297" s="18"/>
      <c r="F297" s="15"/>
      <c r="G297" s="19"/>
      <c r="H297" s="19"/>
      <c r="I297" s="19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</row>
    <row r="298" spans="2:34" ht="41.25" customHeight="1" outlineLevel="1">
      <c r="B298" s="21"/>
      <c r="C298" s="57" t="str">
        <f t="shared" si="6"/>
        <v/>
      </c>
      <c r="D298" s="18"/>
      <c r="E298" s="18"/>
      <c r="F298" s="15"/>
      <c r="G298" s="19"/>
      <c r="H298" s="19"/>
      <c r="I298" s="19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</row>
    <row r="299" spans="2:34" ht="41.25" customHeight="1" outlineLevel="1">
      <c r="B299" s="21"/>
      <c r="C299" s="57" t="str">
        <f t="shared" si="6"/>
        <v/>
      </c>
      <c r="D299" s="18"/>
      <c r="E299" s="18"/>
      <c r="F299" s="15"/>
      <c r="G299" s="19"/>
      <c r="H299" s="19"/>
      <c r="I299" s="19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</row>
    <row r="300" spans="2:34" ht="41.25" customHeight="1" outlineLevel="1">
      <c r="B300" s="21"/>
      <c r="C300" s="57" t="str">
        <f t="shared" si="6"/>
        <v/>
      </c>
      <c r="D300" s="18"/>
      <c r="E300" s="18"/>
      <c r="F300" s="15"/>
      <c r="G300" s="19"/>
      <c r="H300" s="19"/>
      <c r="I300" s="19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</row>
    <row r="301" spans="2:34" ht="41.25" customHeight="1" outlineLevel="1">
      <c r="B301" s="21"/>
      <c r="C301" s="57" t="str">
        <f t="shared" si="6"/>
        <v/>
      </c>
      <c r="D301" s="18"/>
      <c r="E301" s="18"/>
      <c r="F301" s="15"/>
      <c r="G301" s="19"/>
      <c r="H301" s="19"/>
      <c r="I301" s="19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</row>
    <row r="302" spans="2:34" ht="41.25" customHeight="1" outlineLevel="1">
      <c r="B302" s="21"/>
      <c r="C302" s="57" t="str">
        <f t="shared" si="6"/>
        <v/>
      </c>
      <c r="D302" s="18"/>
      <c r="E302" s="18"/>
      <c r="F302" s="15"/>
      <c r="G302" s="19"/>
      <c r="H302" s="19"/>
      <c r="I302" s="19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</row>
    <row r="303" spans="2:34" ht="41.25" customHeight="1" outlineLevel="1">
      <c r="B303" s="21"/>
      <c r="C303" s="57" t="str">
        <f t="shared" si="6"/>
        <v/>
      </c>
      <c r="D303" s="18"/>
      <c r="E303" s="18"/>
      <c r="F303" s="15"/>
      <c r="G303" s="19"/>
      <c r="H303" s="19"/>
      <c r="I303" s="19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</row>
    <row r="304" spans="2:34" ht="41.25" customHeight="1" outlineLevel="1">
      <c r="B304" s="21"/>
      <c r="C304" s="57" t="str">
        <f t="shared" si="6"/>
        <v/>
      </c>
      <c r="D304" s="18"/>
      <c r="E304" s="18"/>
      <c r="F304" s="15"/>
      <c r="G304" s="19"/>
      <c r="H304" s="19"/>
      <c r="I304" s="19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</row>
    <row r="305" spans="2:34" ht="41.25" customHeight="1" outlineLevel="1">
      <c r="B305" s="21"/>
      <c r="C305" s="57" t="str">
        <f t="shared" si="6"/>
        <v/>
      </c>
      <c r="D305" s="18"/>
      <c r="E305" s="18"/>
      <c r="F305" s="15"/>
      <c r="G305" s="19"/>
      <c r="H305" s="19"/>
      <c r="I305" s="19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</row>
    <row r="306" spans="2:34" ht="41.25" customHeight="1" outlineLevel="1">
      <c r="B306" s="21"/>
      <c r="C306" s="57" t="str">
        <f t="shared" si="6"/>
        <v/>
      </c>
      <c r="D306" s="18"/>
      <c r="E306" s="18"/>
      <c r="F306" s="15"/>
      <c r="G306" s="19"/>
      <c r="H306" s="19"/>
      <c r="I306" s="19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</row>
    <row r="307" spans="2:34" ht="41.25" customHeight="1" outlineLevel="1">
      <c r="B307" s="21"/>
      <c r="C307" s="57" t="str">
        <f t="shared" si="6"/>
        <v/>
      </c>
      <c r="D307" s="18"/>
      <c r="E307" s="18"/>
      <c r="F307" s="15"/>
      <c r="G307" s="19"/>
      <c r="H307" s="19"/>
      <c r="I307" s="19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</row>
    <row r="308" spans="2:34" ht="41.25" customHeight="1" outlineLevel="1">
      <c r="B308" s="21"/>
      <c r="C308" s="57" t="str">
        <f t="shared" si="6"/>
        <v/>
      </c>
      <c r="D308" s="18"/>
      <c r="E308" s="18"/>
      <c r="F308" s="15"/>
      <c r="G308" s="19"/>
      <c r="H308" s="19"/>
      <c r="I308" s="19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</row>
    <row r="309" spans="2:34" ht="41.25" customHeight="1" outlineLevel="1">
      <c r="B309" s="21"/>
      <c r="C309" s="57" t="str">
        <f t="shared" si="6"/>
        <v/>
      </c>
      <c r="D309" s="18"/>
      <c r="E309" s="18"/>
      <c r="F309" s="15"/>
      <c r="G309" s="19"/>
      <c r="H309" s="19"/>
      <c r="I309" s="19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</row>
    <row r="310" spans="2:34" ht="41.25" customHeight="1" outlineLevel="1">
      <c r="B310" s="21"/>
      <c r="C310" s="57" t="str">
        <f t="shared" si="6"/>
        <v/>
      </c>
      <c r="D310" s="18"/>
      <c r="E310" s="18"/>
      <c r="F310" s="15"/>
      <c r="G310" s="19"/>
      <c r="H310" s="19"/>
      <c r="I310" s="19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</row>
    <row r="311" spans="2:34" ht="41.25" customHeight="1" outlineLevel="1">
      <c r="B311" s="21"/>
      <c r="C311" s="57" t="str">
        <f t="shared" si="6"/>
        <v/>
      </c>
      <c r="D311" s="18"/>
      <c r="E311" s="18"/>
      <c r="F311" s="15"/>
      <c r="G311" s="19"/>
      <c r="H311" s="19"/>
      <c r="I311" s="19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</row>
    <row r="312" spans="2:34" ht="41.25" customHeight="1" outlineLevel="1">
      <c r="B312" s="21"/>
      <c r="C312" s="57" t="str">
        <f t="shared" si="6"/>
        <v/>
      </c>
      <c r="D312" s="18"/>
      <c r="E312" s="18"/>
      <c r="F312" s="15"/>
      <c r="G312" s="19"/>
      <c r="H312" s="19"/>
      <c r="I312" s="19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</row>
    <row r="313" spans="2:34" ht="41.25" customHeight="1" outlineLevel="1">
      <c r="B313" s="21"/>
      <c r="C313" s="57" t="str">
        <f t="shared" si="6"/>
        <v/>
      </c>
      <c r="D313" s="18"/>
      <c r="E313" s="18"/>
      <c r="F313" s="15"/>
      <c r="G313" s="19"/>
      <c r="H313" s="19"/>
      <c r="I313" s="19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</row>
    <row r="314" spans="2:34" ht="41.25" customHeight="1" outlineLevel="1">
      <c r="B314" s="21"/>
      <c r="C314" s="57" t="str">
        <f t="shared" si="6"/>
        <v/>
      </c>
      <c r="D314" s="18"/>
      <c r="E314" s="18"/>
      <c r="F314" s="15"/>
      <c r="G314" s="19"/>
      <c r="H314" s="19"/>
      <c r="I314" s="19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</row>
    <row r="315" spans="2:34" ht="41.25" customHeight="1" outlineLevel="1">
      <c r="B315" s="21"/>
      <c r="C315" s="57" t="str">
        <f t="shared" si="6"/>
        <v/>
      </c>
      <c r="D315" s="18"/>
      <c r="E315" s="18"/>
      <c r="F315" s="15"/>
      <c r="G315" s="19"/>
      <c r="H315" s="19"/>
      <c r="I315" s="19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</row>
    <row r="316" spans="2:34" ht="41.25" customHeight="1" outlineLevel="1">
      <c r="B316" s="21"/>
      <c r="C316" s="57" t="str">
        <f t="shared" si="6"/>
        <v/>
      </c>
      <c r="D316" s="18"/>
      <c r="E316" s="18"/>
      <c r="F316" s="15"/>
      <c r="G316" s="19"/>
      <c r="H316" s="19"/>
      <c r="I316" s="19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</row>
    <row r="317" spans="2:34" ht="41.25" customHeight="1" outlineLevel="1">
      <c r="B317" s="21"/>
      <c r="C317" s="57" t="str">
        <f t="shared" si="6"/>
        <v/>
      </c>
      <c r="D317" s="18"/>
      <c r="E317" s="18"/>
      <c r="F317" s="15"/>
      <c r="G317" s="19"/>
      <c r="H317" s="19"/>
      <c r="I317" s="19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</row>
    <row r="318" spans="2:34" ht="41.25" customHeight="1" outlineLevel="1">
      <c r="B318" s="21"/>
      <c r="C318" s="57" t="str">
        <f t="shared" si="6"/>
        <v/>
      </c>
      <c r="D318" s="18"/>
      <c r="E318" s="18"/>
      <c r="F318" s="15"/>
      <c r="G318" s="19"/>
      <c r="H318" s="19"/>
      <c r="I318" s="19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</row>
    <row r="319" spans="2:34" ht="41.25" customHeight="1" outlineLevel="1">
      <c r="B319" s="21"/>
      <c r="C319" s="57" t="str">
        <f t="shared" si="6"/>
        <v/>
      </c>
      <c r="D319" s="18"/>
      <c r="E319" s="18"/>
      <c r="F319" s="15"/>
      <c r="G319" s="19"/>
      <c r="H319" s="19"/>
      <c r="I319" s="19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</row>
    <row r="320" spans="2:34" ht="41.25" customHeight="1" outlineLevel="1">
      <c r="B320" s="21"/>
      <c r="C320" s="57" t="str">
        <f t="shared" si="6"/>
        <v/>
      </c>
      <c r="D320" s="18"/>
      <c r="E320" s="18"/>
      <c r="F320" s="15"/>
      <c r="G320" s="19"/>
      <c r="H320" s="19"/>
      <c r="I320" s="19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</row>
    <row r="321" spans="2:34" ht="41.25" customHeight="1" outlineLevel="1">
      <c r="B321" s="21"/>
      <c r="C321" s="57" t="str">
        <f t="shared" si="6"/>
        <v/>
      </c>
      <c r="D321" s="18"/>
      <c r="E321" s="18"/>
      <c r="F321" s="15"/>
      <c r="G321" s="19"/>
      <c r="H321" s="19"/>
      <c r="I321" s="19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</row>
    <row r="322" spans="2:34" ht="41.25" customHeight="1" outlineLevel="1">
      <c r="B322" s="21"/>
      <c r="C322" s="57" t="str">
        <f t="shared" si="6"/>
        <v/>
      </c>
      <c r="D322" s="18"/>
      <c r="E322" s="18"/>
      <c r="F322" s="15"/>
      <c r="G322" s="19"/>
      <c r="H322" s="19"/>
      <c r="I322" s="19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</row>
    <row r="323" spans="2:34" ht="41.25" customHeight="1" outlineLevel="1">
      <c r="B323" s="21"/>
      <c r="C323" s="57" t="str">
        <f t="shared" si="6"/>
        <v/>
      </c>
      <c r="D323" s="18"/>
      <c r="E323" s="18"/>
      <c r="F323" s="15"/>
      <c r="G323" s="19"/>
      <c r="H323" s="19"/>
      <c r="I323" s="19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</row>
    <row r="324" spans="2:34" ht="41.25" customHeight="1" outlineLevel="1">
      <c r="B324" s="21"/>
      <c r="C324" s="57" t="str">
        <f t="shared" si="6"/>
        <v/>
      </c>
      <c r="D324" s="18"/>
      <c r="E324" s="18"/>
      <c r="F324" s="15"/>
      <c r="G324" s="19"/>
      <c r="H324" s="19"/>
      <c r="I324" s="19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</row>
    <row r="325" spans="2:34" ht="41.25" customHeight="1" outlineLevel="1">
      <c r="B325" s="21"/>
      <c r="C325" s="57" t="str">
        <f t="shared" si="6"/>
        <v/>
      </c>
      <c r="D325" s="18"/>
      <c r="E325" s="18"/>
      <c r="F325" s="15"/>
      <c r="G325" s="19"/>
      <c r="H325" s="19"/>
      <c r="I325" s="19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</row>
    <row r="326" spans="2:34" ht="41.25" customHeight="1" outlineLevel="1">
      <c r="B326" s="21"/>
      <c r="C326" s="57" t="str">
        <f t="shared" si="6"/>
        <v/>
      </c>
      <c r="D326" s="18"/>
      <c r="E326" s="18"/>
      <c r="F326" s="15"/>
      <c r="G326" s="19"/>
      <c r="H326" s="19"/>
      <c r="I326" s="19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</row>
    <row r="327" spans="2:34" ht="41.25" customHeight="1" outlineLevel="1">
      <c r="B327" s="21"/>
      <c r="C327" s="57" t="str">
        <f t="shared" si="6"/>
        <v/>
      </c>
      <c r="D327" s="18"/>
      <c r="E327" s="18"/>
      <c r="F327" s="15"/>
      <c r="G327" s="19"/>
      <c r="H327" s="19"/>
      <c r="I327" s="19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</row>
    <row r="328" spans="2:34" ht="41.25" customHeight="1" outlineLevel="1">
      <c r="B328" s="21"/>
      <c r="C328" s="57" t="str">
        <f t="shared" si="6"/>
        <v/>
      </c>
      <c r="D328" s="18"/>
      <c r="E328" s="18"/>
      <c r="F328" s="15"/>
      <c r="G328" s="19"/>
      <c r="H328" s="19"/>
      <c r="I328" s="19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</row>
    <row r="329" spans="2:34" ht="41.25" customHeight="1" outlineLevel="1">
      <c r="B329" s="21"/>
      <c r="C329" s="57" t="str">
        <f t="shared" si="6"/>
        <v/>
      </c>
      <c r="D329" s="18"/>
      <c r="E329" s="18"/>
      <c r="F329" s="15"/>
      <c r="G329" s="19"/>
      <c r="H329" s="19"/>
      <c r="I329" s="19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</row>
    <row r="330" spans="2:34" ht="41.25" customHeight="1" outlineLevel="1">
      <c r="B330" s="21"/>
      <c r="C330" s="57" t="str">
        <f t="shared" si="6"/>
        <v/>
      </c>
      <c r="D330" s="18"/>
      <c r="E330" s="18"/>
      <c r="F330" s="15"/>
      <c r="G330" s="19"/>
      <c r="H330" s="19"/>
      <c r="I330" s="19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</row>
    <row r="331" spans="2:34" ht="41.25" customHeight="1" outlineLevel="1">
      <c r="B331" s="21"/>
      <c r="C331" s="57" t="str">
        <f t="shared" si="6"/>
        <v/>
      </c>
      <c r="D331" s="18"/>
      <c r="E331" s="18"/>
      <c r="F331" s="15"/>
      <c r="G331" s="19"/>
      <c r="H331" s="19"/>
      <c r="I331" s="19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</row>
    <row r="332" spans="2:34" s="10" customFormat="1" ht="41.25" customHeight="1" outlineLevel="1">
      <c r="B332" s="21"/>
      <c r="C332" s="57" t="str">
        <f t="shared" si="6"/>
        <v/>
      </c>
      <c r="D332" s="18"/>
      <c r="E332" s="18"/>
      <c r="F332" s="15"/>
      <c r="G332" s="19"/>
      <c r="H332" s="19"/>
      <c r="I332" s="19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</row>
    <row r="333" spans="2:34" ht="41.25" customHeight="1" outlineLevel="1">
      <c r="B333" s="21"/>
      <c r="C333" s="57" t="str">
        <f t="shared" si="6"/>
        <v/>
      </c>
      <c r="D333" s="18"/>
      <c r="E333" s="18"/>
      <c r="F333" s="15"/>
      <c r="G333" s="19"/>
      <c r="H333" s="19"/>
      <c r="I333" s="19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</row>
    <row r="334" spans="2:34" ht="41.25" customHeight="1" outlineLevel="1">
      <c r="B334" s="21"/>
      <c r="C334" s="57" t="str">
        <f t="shared" si="6"/>
        <v/>
      </c>
      <c r="D334" s="18"/>
      <c r="E334" s="18"/>
      <c r="F334" s="15"/>
      <c r="G334" s="19"/>
      <c r="H334" s="19"/>
      <c r="I334" s="19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</row>
    <row r="335" spans="2:34" ht="41.25" customHeight="1" outlineLevel="1">
      <c r="B335" s="21"/>
      <c r="C335" s="57" t="str">
        <f t="shared" si="6"/>
        <v/>
      </c>
      <c r="D335" s="18"/>
      <c r="E335" s="18"/>
      <c r="F335" s="15"/>
      <c r="G335" s="19"/>
      <c r="H335" s="19"/>
      <c r="I335" s="19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</row>
    <row r="336" spans="2:34" ht="41.25" customHeight="1" outlineLevel="1">
      <c r="B336" s="21"/>
      <c r="C336" s="57" t="str">
        <f t="shared" si="6"/>
        <v/>
      </c>
      <c r="D336" s="18"/>
      <c r="E336" s="18"/>
      <c r="F336" s="15"/>
      <c r="G336" s="19"/>
      <c r="H336" s="19"/>
      <c r="I336" s="19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</row>
    <row r="337" spans="2:34" ht="41.25" customHeight="1" outlineLevel="1">
      <c r="B337" s="21"/>
      <c r="C337" s="57" t="str">
        <f t="shared" si="6"/>
        <v/>
      </c>
      <c r="D337" s="18"/>
      <c r="E337" s="18"/>
      <c r="F337" s="15"/>
      <c r="G337" s="19"/>
      <c r="H337" s="19"/>
      <c r="I337" s="19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</row>
    <row r="338" spans="2:34" ht="41.25" customHeight="1" outlineLevel="1">
      <c r="B338" s="18"/>
      <c r="C338" s="57" t="str">
        <f t="shared" si="6"/>
        <v/>
      </c>
      <c r="D338" s="18"/>
      <c r="E338" s="18"/>
      <c r="F338" s="15"/>
      <c r="G338" s="19"/>
      <c r="H338" s="19"/>
      <c r="I338" s="19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</row>
    <row r="339" spans="2:34" ht="41.25" customHeight="1" outlineLevel="1">
      <c r="B339" s="18"/>
      <c r="C339" s="57" t="str">
        <f t="shared" si="6"/>
        <v/>
      </c>
      <c r="D339" s="18"/>
      <c r="E339" s="18"/>
      <c r="F339" s="15"/>
      <c r="G339" s="19"/>
      <c r="H339" s="19"/>
      <c r="I339" s="19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</row>
    <row r="340" spans="2:34" s="11" customFormat="1" ht="41.25" customHeight="1" outlineLevel="1">
      <c r="B340" s="24"/>
      <c r="C340" s="57" t="str">
        <f t="shared" si="6"/>
        <v/>
      </c>
      <c r="D340" s="24"/>
      <c r="E340" s="24"/>
      <c r="F340" s="25"/>
      <c r="G340" s="26"/>
      <c r="H340" s="26"/>
      <c r="I340" s="26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</row>
    <row r="341" spans="2:34" ht="41.25" customHeight="1" outlineLevel="1">
      <c r="B341" s="18"/>
      <c r="C341" s="57" t="str">
        <f t="shared" si="6"/>
        <v/>
      </c>
      <c r="D341" s="18"/>
      <c r="E341" s="18"/>
      <c r="F341" s="15"/>
      <c r="G341" s="19"/>
      <c r="H341" s="19"/>
      <c r="I341" s="19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</row>
    <row r="342" spans="2:34" ht="41.25" customHeight="1" outlineLevel="1">
      <c r="B342" s="18"/>
      <c r="C342" s="57" t="str">
        <f t="shared" si="6"/>
        <v/>
      </c>
      <c r="D342" s="18"/>
      <c r="E342" s="18"/>
      <c r="F342" s="15"/>
      <c r="G342" s="19"/>
      <c r="H342" s="19"/>
      <c r="I342" s="19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</row>
    <row r="343" spans="2:34" ht="41.25" customHeight="1" outlineLevel="1">
      <c r="B343" s="18"/>
      <c r="C343" s="57" t="str">
        <f t="shared" si="6"/>
        <v/>
      </c>
      <c r="D343" s="18"/>
      <c r="E343" s="18"/>
      <c r="F343" s="15"/>
      <c r="G343" s="19"/>
      <c r="H343" s="19"/>
      <c r="I343" s="19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</row>
    <row r="344" spans="2:34" ht="41.25" customHeight="1" outlineLevel="1">
      <c r="B344" s="18"/>
      <c r="C344" s="57" t="str">
        <f t="shared" si="6"/>
        <v/>
      </c>
      <c r="D344" s="18"/>
      <c r="E344" s="18"/>
      <c r="F344" s="15"/>
      <c r="G344" s="19"/>
      <c r="H344" s="19"/>
      <c r="I344" s="19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</row>
    <row r="345" spans="2:34" ht="41.25" customHeight="1" outlineLevel="1">
      <c r="B345" s="18"/>
      <c r="C345" s="57" t="str">
        <f t="shared" si="6"/>
        <v/>
      </c>
      <c r="D345" s="18"/>
      <c r="E345" s="18"/>
      <c r="F345" s="15"/>
      <c r="G345" s="19"/>
      <c r="H345" s="19"/>
      <c r="I345" s="19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</row>
    <row r="346" spans="2:34" ht="41.25" customHeight="1" outlineLevel="1">
      <c r="B346" s="18"/>
      <c r="C346" s="57" t="str">
        <f t="shared" si="6"/>
        <v/>
      </c>
      <c r="D346" s="18"/>
      <c r="E346" s="18"/>
      <c r="F346" s="15"/>
      <c r="G346" s="19"/>
      <c r="H346" s="19"/>
      <c r="I346" s="19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</row>
    <row r="347" spans="2:34" ht="41.25" customHeight="1" outlineLevel="1">
      <c r="B347" s="18"/>
      <c r="C347" s="57" t="str">
        <f t="shared" si="6"/>
        <v/>
      </c>
      <c r="D347" s="18"/>
      <c r="E347" s="18"/>
      <c r="F347" s="15"/>
      <c r="G347" s="19"/>
      <c r="H347" s="19"/>
      <c r="I347" s="19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</row>
    <row r="348" spans="2:34" ht="41.25" customHeight="1" outlineLevel="1">
      <c r="B348" s="18"/>
      <c r="C348" s="57" t="str">
        <f t="shared" si="6"/>
        <v/>
      </c>
      <c r="D348" s="18"/>
      <c r="E348" s="18"/>
      <c r="F348" s="15"/>
      <c r="G348" s="19"/>
      <c r="H348" s="19"/>
      <c r="I348" s="19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</row>
    <row r="349" spans="2:34" ht="41.25" customHeight="1" outlineLevel="1">
      <c r="B349" s="18"/>
      <c r="C349" s="57" t="str">
        <f t="shared" si="6"/>
        <v/>
      </c>
      <c r="D349" s="18"/>
      <c r="E349" s="18"/>
      <c r="F349" s="15"/>
      <c r="G349" s="19"/>
      <c r="H349" s="19"/>
      <c r="I349" s="19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</row>
    <row r="350" spans="2:34" ht="41.25" customHeight="1" outlineLevel="1">
      <c r="B350" s="18"/>
      <c r="C350" s="57" t="str">
        <f t="shared" si="6"/>
        <v/>
      </c>
      <c r="D350" s="18"/>
      <c r="E350" s="18"/>
      <c r="F350" s="15"/>
      <c r="G350" s="19"/>
      <c r="H350" s="19"/>
      <c r="I350" s="19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</row>
    <row r="351" spans="2:34" ht="41.25" customHeight="1" outlineLevel="1">
      <c r="B351" s="18"/>
      <c r="C351" s="57" t="str">
        <f t="shared" si="6"/>
        <v/>
      </c>
      <c r="D351" s="18"/>
      <c r="E351" s="18"/>
      <c r="F351" s="15"/>
      <c r="G351" s="19"/>
      <c r="H351" s="19"/>
      <c r="I351" s="19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</row>
    <row r="352" spans="2:34" ht="41.25" customHeight="1" outlineLevel="1">
      <c r="B352" s="18"/>
      <c r="C352" s="57" t="str">
        <f t="shared" si="6"/>
        <v/>
      </c>
      <c r="D352" s="18"/>
      <c r="E352" s="18"/>
      <c r="F352" s="15"/>
      <c r="G352" s="19"/>
      <c r="H352" s="19"/>
      <c r="I352" s="19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</row>
    <row r="353" spans="2:34" ht="41.25" customHeight="1" outlineLevel="1">
      <c r="B353" s="18"/>
      <c r="C353" s="57" t="str">
        <f t="shared" si="6"/>
        <v/>
      </c>
      <c r="D353" s="18"/>
      <c r="E353" s="18"/>
      <c r="F353" s="15"/>
      <c r="G353" s="19"/>
      <c r="H353" s="19"/>
      <c r="I353" s="19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</row>
    <row r="354" spans="2:34" ht="41.25" customHeight="1" outlineLevel="1">
      <c r="B354" s="18"/>
      <c r="C354" s="57" t="str">
        <f t="shared" si="6"/>
        <v/>
      </c>
      <c r="D354" s="18"/>
      <c r="E354" s="18"/>
      <c r="F354" s="15"/>
      <c r="G354" s="19"/>
      <c r="H354" s="19"/>
      <c r="I354" s="19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</row>
    <row r="355" spans="2:34" ht="41.25" customHeight="1" outlineLevel="1">
      <c r="B355" s="18"/>
      <c r="C355" s="57" t="str">
        <f t="shared" si="6"/>
        <v/>
      </c>
      <c r="D355" s="18"/>
      <c r="E355" s="18"/>
      <c r="F355" s="15"/>
      <c r="G355" s="19"/>
      <c r="H355" s="19"/>
      <c r="I355" s="19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</row>
    <row r="356" spans="2:34" ht="41.25" customHeight="1" outlineLevel="1">
      <c r="B356" s="18"/>
      <c r="C356" s="57" t="str">
        <f t="shared" si="6"/>
        <v/>
      </c>
      <c r="D356" s="18"/>
      <c r="E356" s="18"/>
      <c r="F356" s="15"/>
      <c r="G356" s="19"/>
      <c r="H356" s="19"/>
      <c r="I356" s="19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</row>
    <row r="357" spans="2:34" ht="41.25" customHeight="1" outlineLevel="1">
      <c r="B357" s="18"/>
      <c r="C357" s="57" t="str">
        <f t="shared" ref="C357:C403" si="7">IF(B357="","",MONTH(B357))</f>
        <v/>
      </c>
      <c r="D357" s="18"/>
      <c r="E357" s="18"/>
      <c r="F357" s="15"/>
      <c r="G357" s="19"/>
      <c r="H357" s="19"/>
      <c r="I357" s="19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</row>
    <row r="358" spans="2:34" ht="41.25" customHeight="1" outlineLevel="1">
      <c r="B358" s="18"/>
      <c r="C358" s="57" t="str">
        <f t="shared" si="7"/>
        <v/>
      </c>
      <c r="D358" s="18"/>
      <c r="E358" s="18"/>
      <c r="F358" s="15"/>
      <c r="G358" s="19"/>
      <c r="H358" s="19"/>
      <c r="I358" s="19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</row>
    <row r="359" spans="2:34" ht="41.25" customHeight="1" outlineLevel="1">
      <c r="B359" s="18"/>
      <c r="C359" s="57" t="str">
        <f t="shared" si="7"/>
        <v/>
      </c>
      <c r="D359" s="18"/>
      <c r="E359" s="18"/>
      <c r="F359" s="15"/>
      <c r="G359" s="19"/>
      <c r="H359" s="19"/>
      <c r="I359" s="19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</row>
    <row r="360" spans="2:34" ht="41.25" customHeight="1" outlineLevel="1">
      <c r="B360" s="18"/>
      <c r="C360" s="57" t="str">
        <f t="shared" si="7"/>
        <v/>
      </c>
      <c r="D360" s="18"/>
      <c r="E360" s="18"/>
      <c r="F360" s="15"/>
      <c r="G360" s="19"/>
      <c r="H360" s="19"/>
      <c r="I360" s="19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</row>
    <row r="361" spans="2:34" ht="41.25" customHeight="1" outlineLevel="1">
      <c r="B361" s="18"/>
      <c r="C361" s="57" t="str">
        <f t="shared" si="7"/>
        <v/>
      </c>
      <c r="D361" s="18"/>
      <c r="E361" s="18"/>
      <c r="F361" s="15"/>
      <c r="G361" s="19"/>
      <c r="H361" s="19"/>
      <c r="I361" s="19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</row>
    <row r="362" spans="2:34" ht="41.25" customHeight="1" outlineLevel="1">
      <c r="B362" s="18"/>
      <c r="C362" s="57" t="str">
        <f t="shared" si="7"/>
        <v/>
      </c>
      <c r="D362" s="18"/>
      <c r="E362" s="18"/>
      <c r="F362" s="15"/>
      <c r="G362" s="19"/>
      <c r="H362" s="19"/>
      <c r="I362" s="19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</row>
    <row r="363" spans="2:34" ht="41.25" customHeight="1" outlineLevel="1">
      <c r="B363" s="18"/>
      <c r="C363" s="57" t="str">
        <f t="shared" si="7"/>
        <v/>
      </c>
      <c r="D363" s="18"/>
      <c r="E363" s="18"/>
      <c r="F363" s="15"/>
      <c r="G363" s="19"/>
      <c r="H363" s="19"/>
      <c r="I363" s="19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</row>
    <row r="364" spans="2:34" ht="41.25" customHeight="1" outlineLevel="1">
      <c r="B364" s="18"/>
      <c r="C364" s="57" t="str">
        <f t="shared" si="7"/>
        <v/>
      </c>
      <c r="D364" s="18"/>
      <c r="E364" s="18"/>
      <c r="F364" s="15"/>
      <c r="G364" s="19"/>
      <c r="H364" s="19"/>
      <c r="I364" s="19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</row>
    <row r="365" spans="2:34" ht="41.25" customHeight="1" outlineLevel="1">
      <c r="B365" s="18"/>
      <c r="C365" s="57" t="str">
        <f t="shared" si="7"/>
        <v/>
      </c>
      <c r="D365" s="18"/>
      <c r="E365" s="18"/>
      <c r="F365" s="15"/>
      <c r="G365" s="19"/>
      <c r="H365" s="19"/>
      <c r="I365" s="19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</row>
    <row r="366" spans="2:34" ht="41.25" customHeight="1" outlineLevel="1">
      <c r="B366" s="18"/>
      <c r="C366" s="57" t="str">
        <f t="shared" si="7"/>
        <v/>
      </c>
      <c r="D366" s="18"/>
      <c r="E366" s="18"/>
      <c r="F366" s="15"/>
      <c r="G366" s="19"/>
      <c r="H366" s="19"/>
      <c r="I366" s="19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</row>
    <row r="367" spans="2:34" ht="41.25" customHeight="1" outlineLevel="1">
      <c r="B367" s="18"/>
      <c r="C367" s="57" t="str">
        <f t="shared" si="7"/>
        <v/>
      </c>
      <c r="D367" s="18"/>
      <c r="E367" s="18"/>
      <c r="F367" s="15"/>
      <c r="G367" s="19"/>
      <c r="H367" s="19"/>
      <c r="I367" s="19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</row>
    <row r="368" spans="2:34" s="12" customFormat="1" ht="41.25" customHeight="1" outlineLevel="1">
      <c r="B368" s="28"/>
      <c r="C368" s="57" t="str">
        <f t="shared" si="7"/>
        <v/>
      </c>
      <c r="D368" s="28"/>
      <c r="E368" s="28"/>
      <c r="F368" s="29"/>
      <c r="G368" s="19"/>
      <c r="H368" s="19"/>
      <c r="I368" s="19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</row>
    <row r="369" spans="2:34" ht="41.25" customHeight="1" outlineLevel="1">
      <c r="B369" s="18"/>
      <c r="C369" s="57" t="str">
        <f t="shared" si="7"/>
        <v/>
      </c>
      <c r="D369" s="18"/>
      <c r="E369" s="18"/>
      <c r="F369" s="15"/>
      <c r="G369" s="19"/>
      <c r="H369" s="19"/>
      <c r="I369" s="19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</row>
    <row r="370" spans="2:34" ht="41.25" customHeight="1" outlineLevel="1">
      <c r="B370" s="18"/>
      <c r="C370" s="57" t="str">
        <f t="shared" si="7"/>
        <v/>
      </c>
      <c r="D370" s="18"/>
      <c r="E370" s="18"/>
      <c r="F370" s="15"/>
      <c r="G370" s="19"/>
      <c r="H370" s="19"/>
      <c r="I370" s="19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</row>
    <row r="371" spans="2:34" ht="41.25" customHeight="1" outlineLevel="1">
      <c r="B371" s="18"/>
      <c r="C371" s="57" t="str">
        <f t="shared" si="7"/>
        <v/>
      </c>
      <c r="D371" s="18"/>
      <c r="E371" s="18"/>
      <c r="F371" s="15"/>
      <c r="G371" s="19"/>
      <c r="H371" s="19"/>
      <c r="I371" s="19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</row>
    <row r="372" spans="2:34" ht="41.25" customHeight="1" outlineLevel="1">
      <c r="B372" s="18"/>
      <c r="C372" s="57" t="str">
        <f t="shared" si="7"/>
        <v/>
      </c>
      <c r="D372" s="18"/>
      <c r="E372" s="18"/>
      <c r="F372" s="15"/>
      <c r="G372" s="19"/>
      <c r="H372" s="19"/>
      <c r="I372" s="19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</row>
    <row r="373" spans="2:34" ht="41.25" customHeight="1" outlineLevel="1">
      <c r="B373" s="18"/>
      <c r="C373" s="57" t="str">
        <f t="shared" si="7"/>
        <v/>
      </c>
      <c r="D373" s="18"/>
      <c r="E373" s="18"/>
      <c r="F373" s="15"/>
      <c r="G373" s="19"/>
      <c r="H373" s="19"/>
      <c r="I373" s="19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</row>
    <row r="374" spans="2:34" ht="41.25" customHeight="1" outlineLevel="1">
      <c r="B374" s="18"/>
      <c r="C374" s="57" t="str">
        <f t="shared" si="7"/>
        <v/>
      </c>
      <c r="D374" s="18"/>
      <c r="E374" s="18"/>
      <c r="F374" s="15"/>
      <c r="G374" s="19"/>
      <c r="H374" s="19"/>
      <c r="I374" s="19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</row>
    <row r="375" spans="2:34" ht="41.25" customHeight="1" outlineLevel="1">
      <c r="B375" s="18"/>
      <c r="C375" s="57" t="str">
        <f t="shared" si="7"/>
        <v/>
      </c>
      <c r="D375" s="18"/>
      <c r="E375" s="18"/>
      <c r="F375" s="15"/>
      <c r="G375" s="19"/>
      <c r="H375" s="19"/>
      <c r="I375" s="19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</row>
    <row r="376" spans="2:34" ht="41.25" customHeight="1" outlineLevel="1">
      <c r="B376" s="18"/>
      <c r="C376" s="57" t="str">
        <f t="shared" si="7"/>
        <v/>
      </c>
      <c r="D376" s="18"/>
      <c r="E376" s="18"/>
      <c r="F376" s="15"/>
      <c r="G376" s="19"/>
      <c r="H376" s="19"/>
      <c r="I376" s="19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</row>
    <row r="377" spans="2:34" ht="41.25" customHeight="1" outlineLevel="1">
      <c r="B377" s="18"/>
      <c r="C377" s="57" t="str">
        <f t="shared" si="7"/>
        <v/>
      </c>
      <c r="D377" s="18"/>
      <c r="E377" s="18"/>
      <c r="F377" s="15"/>
      <c r="G377" s="19"/>
      <c r="H377" s="19"/>
      <c r="I377" s="19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</row>
    <row r="378" spans="2:34" ht="41.25" customHeight="1" outlineLevel="1">
      <c r="B378" s="18"/>
      <c r="C378" s="57" t="str">
        <f t="shared" si="7"/>
        <v/>
      </c>
      <c r="D378" s="18"/>
      <c r="E378" s="18"/>
      <c r="F378" s="15"/>
      <c r="G378" s="19"/>
      <c r="H378" s="19"/>
      <c r="I378" s="19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</row>
    <row r="379" spans="2:34" ht="41.25" customHeight="1" outlineLevel="1">
      <c r="B379" s="18"/>
      <c r="C379" s="57" t="str">
        <f t="shared" si="7"/>
        <v/>
      </c>
      <c r="D379" s="18"/>
      <c r="E379" s="18"/>
      <c r="F379" s="15"/>
      <c r="G379" s="19"/>
      <c r="H379" s="19"/>
      <c r="I379" s="19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</row>
    <row r="380" spans="2:34" ht="41.25" customHeight="1" outlineLevel="1">
      <c r="B380" s="18"/>
      <c r="C380" s="57" t="str">
        <f t="shared" si="7"/>
        <v/>
      </c>
      <c r="D380" s="18"/>
      <c r="E380" s="18"/>
      <c r="F380" s="15"/>
      <c r="G380" s="19"/>
      <c r="H380" s="19"/>
      <c r="I380" s="19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</row>
    <row r="381" spans="2:34" ht="41.25" customHeight="1" outlineLevel="1">
      <c r="B381" s="18"/>
      <c r="C381" s="57" t="str">
        <f t="shared" si="7"/>
        <v/>
      </c>
      <c r="D381" s="18"/>
      <c r="E381" s="18"/>
      <c r="F381" s="15"/>
      <c r="G381" s="19"/>
      <c r="H381" s="19"/>
      <c r="I381" s="19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</row>
    <row r="382" spans="2:34" ht="41.25" customHeight="1" outlineLevel="1">
      <c r="B382" s="18"/>
      <c r="C382" s="57" t="str">
        <f t="shared" si="7"/>
        <v/>
      </c>
      <c r="D382" s="18"/>
      <c r="E382" s="18"/>
      <c r="F382" s="15"/>
      <c r="G382" s="19"/>
      <c r="H382" s="19"/>
      <c r="I382" s="19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</row>
    <row r="383" spans="2:34" ht="41.25" customHeight="1" outlineLevel="1">
      <c r="B383" s="18"/>
      <c r="C383" s="57" t="str">
        <f t="shared" si="7"/>
        <v/>
      </c>
      <c r="D383" s="18"/>
      <c r="E383" s="18"/>
      <c r="F383" s="15"/>
      <c r="G383" s="19"/>
      <c r="H383" s="19"/>
      <c r="I383" s="19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</row>
    <row r="384" spans="2:34" ht="41.25" customHeight="1" outlineLevel="1">
      <c r="B384" s="18"/>
      <c r="C384" s="57" t="str">
        <f t="shared" si="7"/>
        <v/>
      </c>
      <c r="D384" s="18"/>
      <c r="E384" s="18"/>
      <c r="F384" s="15"/>
      <c r="G384" s="19"/>
      <c r="H384" s="19"/>
      <c r="I384" s="19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</row>
    <row r="385" spans="2:34" ht="41.25" customHeight="1" outlineLevel="1">
      <c r="B385" s="18"/>
      <c r="C385" s="57" t="str">
        <f t="shared" si="7"/>
        <v/>
      </c>
      <c r="D385" s="18"/>
      <c r="E385" s="18"/>
      <c r="F385" s="15"/>
      <c r="G385" s="19"/>
      <c r="H385" s="19"/>
      <c r="I385" s="19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</row>
    <row r="386" spans="2:34" ht="41.25" customHeight="1" outlineLevel="1">
      <c r="B386" s="18"/>
      <c r="C386" s="57" t="str">
        <f t="shared" si="7"/>
        <v/>
      </c>
      <c r="D386" s="18"/>
      <c r="E386" s="18"/>
      <c r="F386" s="15"/>
      <c r="G386" s="19"/>
      <c r="H386" s="19"/>
      <c r="I386" s="19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</row>
    <row r="387" spans="2:34" ht="41.25" customHeight="1" outlineLevel="1">
      <c r="B387" s="18"/>
      <c r="C387" s="57" t="str">
        <f t="shared" si="7"/>
        <v/>
      </c>
      <c r="D387" s="18"/>
      <c r="E387" s="18"/>
      <c r="F387" s="15"/>
      <c r="G387" s="19"/>
      <c r="H387" s="19"/>
      <c r="I387" s="19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</row>
    <row r="388" spans="2:34" ht="41.25" customHeight="1" outlineLevel="1">
      <c r="B388" s="18"/>
      <c r="C388" s="57" t="str">
        <f t="shared" si="7"/>
        <v/>
      </c>
      <c r="D388" s="18"/>
      <c r="E388" s="18"/>
      <c r="F388" s="15"/>
      <c r="G388" s="19"/>
      <c r="H388" s="19"/>
      <c r="I388" s="19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</row>
    <row r="389" spans="2:34" ht="41.25" customHeight="1" outlineLevel="1">
      <c r="B389" s="18"/>
      <c r="C389" s="57" t="str">
        <f t="shared" si="7"/>
        <v/>
      </c>
      <c r="D389" s="18"/>
      <c r="E389" s="18"/>
      <c r="F389" s="15"/>
      <c r="G389" s="19"/>
      <c r="H389" s="19"/>
      <c r="I389" s="19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</row>
    <row r="390" spans="2:34" ht="41.25" customHeight="1" outlineLevel="1">
      <c r="B390" s="18"/>
      <c r="C390" s="57" t="str">
        <f t="shared" si="7"/>
        <v/>
      </c>
      <c r="D390" s="18"/>
      <c r="E390" s="18"/>
      <c r="F390" s="15"/>
      <c r="G390" s="19"/>
      <c r="H390" s="19"/>
      <c r="I390" s="19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</row>
    <row r="391" spans="2:34" ht="41.25" customHeight="1" outlineLevel="1">
      <c r="B391" s="18"/>
      <c r="C391" s="57" t="str">
        <f t="shared" si="7"/>
        <v/>
      </c>
      <c r="D391" s="18"/>
      <c r="E391" s="18"/>
      <c r="F391" s="15"/>
      <c r="G391" s="19"/>
      <c r="H391" s="19"/>
      <c r="I391" s="19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</row>
    <row r="392" spans="2:34" ht="41.25" customHeight="1" outlineLevel="1">
      <c r="B392" s="18"/>
      <c r="C392" s="57" t="str">
        <f t="shared" si="7"/>
        <v/>
      </c>
      <c r="D392" s="18"/>
      <c r="E392" s="18"/>
      <c r="F392" s="15"/>
      <c r="G392" s="19"/>
      <c r="H392" s="19"/>
      <c r="I392" s="19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</row>
    <row r="393" spans="2:34" ht="41.25" customHeight="1" outlineLevel="1">
      <c r="B393" s="18"/>
      <c r="C393" s="57" t="str">
        <f t="shared" si="7"/>
        <v/>
      </c>
      <c r="D393" s="18"/>
      <c r="E393" s="18"/>
      <c r="F393" s="15"/>
      <c r="G393" s="19"/>
      <c r="H393" s="19"/>
      <c r="I393" s="19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</row>
    <row r="394" spans="2:34" ht="41.25" customHeight="1" outlineLevel="1">
      <c r="B394" s="18"/>
      <c r="C394" s="57" t="str">
        <f t="shared" si="7"/>
        <v/>
      </c>
      <c r="D394" s="18"/>
      <c r="E394" s="18"/>
      <c r="F394" s="15"/>
      <c r="G394" s="19"/>
      <c r="H394" s="19"/>
      <c r="I394" s="19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</row>
    <row r="395" spans="2:34" ht="41.25" customHeight="1" outlineLevel="1">
      <c r="B395" s="18"/>
      <c r="C395" s="57" t="str">
        <f t="shared" si="7"/>
        <v/>
      </c>
      <c r="D395" s="18"/>
      <c r="E395" s="18"/>
      <c r="F395" s="15"/>
      <c r="G395" s="19"/>
      <c r="H395" s="19"/>
      <c r="I395" s="19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</row>
    <row r="396" spans="2:34" ht="41.25" customHeight="1" outlineLevel="1">
      <c r="B396" s="18"/>
      <c r="C396" s="57" t="str">
        <f t="shared" si="7"/>
        <v/>
      </c>
      <c r="D396" s="18"/>
      <c r="E396" s="18"/>
      <c r="F396" s="15"/>
      <c r="G396" s="19"/>
      <c r="H396" s="19"/>
      <c r="I396" s="19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</row>
    <row r="397" spans="2:34" ht="41.25" customHeight="1" outlineLevel="1">
      <c r="B397" s="18"/>
      <c r="C397" s="57" t="str">
        <f t="shared" si="7"/>
        <v/>
      </c>
      <c r="D397" s="18"/>
      <c r="E397" s="18"/>
      <c r="F397" s="15"/>
      <c r="G397" s="19"/>
      <c r="H397" s="19"/>
      <c r="I397" s="19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</row>
    <row r="398" spans="2:34" ht="41.25" customHeight="1" outlineLevel="1">
      <c r="B398" s="18"/>
      <c r="C398" s="57" t="str">
        <f t="shared" si="7"/>
        <v/>
      </c>
      <c r="D398" s="18"/>
      <c r="E398" s="18"/>
      <c r="F398" s="15"/>
      <c r="G398" s="19"/>
      <c r="H398" s="19"/>
      <c r="I398" s="19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</row>
    <row r="399" spans="2:34" ht="41.25" customHeight="1" outlineLevel="1">
      <c r="B399" s="18"/>
      <c r="C399" s="57" t="str">
        <f t="shared" si="7"/>
        <v/>
      </c>
      <c r="D399" s="18"/>
      <c r="E399" s="18"/>
      <c r="F399" s="15"/>
      <c r="G399" s="19"/>
      <c r="H399" s="19"/>
      <c r="I399" s="19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</row>
    <row r="400" spans="2:34" ht="41.25" customHeight="1" outlineLevel="1">
      <c r="B400" s="18"/>
      <c r="C400" s="57" t="str">
        <f t="shared" si="7"/>
        <v/>
      </c>
      <c r="D400" s="18"/>
      <c r="E400" s="18"/>
      <c r="F400" s="15"/>
      <c r="G400" s="19"/>
      <c r="H400" s="19"/>
      <c r="I400" s="19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</row>
    <row r="401" spans="2:34" ht="41.25" customHeight="1" outlineLevel="1">
      <c r="B401" s="18"/>
      <c r="C401" s="57" t="str">
        <f t="shared" si="7"/>
        <v/>
      </c>
      <c r="D401" s="18"/>
      <c r="E401" s="18"/>
      <c r="F401" s="15"/>
      <c r="G401" s="19"/>
      <c r="H401" s="19"/>
      <c r="I401" s="19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</row>
    <row r="402" spans="2:34" ht="41.25" customHeight="1" outlineLevel="1">
      <c r="B402" s="18"/>
      <c r="C402" s="57" t="str">
        <f t="shared" si="7"/>
        <v/>
      </c>
      <c r="D402" s="18"/>
      <c r="E402" s="18"/>
      <c r="F402" s="15"/>
      <c r="G402" s="19"/>
      <c r="H402" s="19"/>
      <c r="I402" s="19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</row>
    <row r="403" spans="2:34" ht="41.25" customHeight="1" outlineLevel="1">
      <c r="B403" s="18"/>
      <c r="C403" s="57" t="str">
        <f t="shared" si="7"/>
        <v/>
      </c>
      <c r="D403" s="18"/>
      <c r="E403" s="18"/>
      <c r="F403" s="15"/>
      <c r="G403" s="19"/>
      <c r="H403" s="19"/>
      <c r="I403" s="19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</row>
    <row r="404" spans="2:34" ht="29.4" customHeight="1">
      <c r="B404" s="30"/>
      <c r="C404" s="30"/>
      <c r="D404" s="30"/>
      <c r="E404" s="30"/>
      <c r="F404" s="30"/>
      <c r="G404" s="31"/>
      <c r="H404" s="31"/>
      <c r="I404" s="31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</row>
    <row r="405" spans="2:34">
      <c r="B405"/>
      <c r="C405"/>
    </row>
    <row r="406" spans="2:34">
      <c r="B406"/>
      <c r="C406"/>
    </row>
    <row r="407" spans="2:34" ht="27" customHeight="1"/>
    <row r="408" spans="2:34">
      <c r="B408" t="s">
        <v>11</v>
      </c>
      <c r="C408" t="s">
        <v>12</v>
      </c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</row>
    <row r="409" spans="2:34">
      <c r="B409" s="7" t="s">
        <v>13</v>
      </c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</row>
    <row r="410" spans="2:34">
      <c r="B410" s="7" t="s">
        <v>6</v>
      </c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</row>
    <row r="411" spans="2:34">
      <c r="B411" s="7" t="s">
        <v>14</v>
      </c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</row>
    <row r="412" spans="2:34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</row>
    <row r="413" spans="2:34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</row>
    <row r="414" spans="2:34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</row>
    <row r="415" spans="2:34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</row>
    <row r="416" spans="2:34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</row>
    <row r="417" spans="2:18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</row>
    <row r="418" spans="2:18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</row>
    <row r="419" spans="2:18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</row>
    <row r="420" spans="2:18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</row>
    <row r="421" spans="2:18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</row>
    <row r="422" spans="2:18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</row>
    <row r="423" spans="2:18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</row>
    <row r="424" spans="2:18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</row>
    <row r="425" spans="2:18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</row>
    <row r="426" spans="2:18">
      <c r="B426"/>
      <c r="C426"/>
      <c r="D426"/>
      <c r="E426"/>
      <c r="F426" s="32"/>
      <c r="G426"/>
      <c r="H426"/>
      <c r="I426"/>
      <c r="J426"/>
      <c r="K426"/>
      <c r="L426"/>
      <c r="M426"/>
      <c r="N426"/>
      <c r="O426"/>
      <c r="P426"/>
      <c r="Q426"/>
      <c r="R426"/>
    </row>
    <row r="427" spans="2:18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</row>
    <row r="428" spans="2:18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</row>
    <row r="429" spans="2:18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</row>
    <row r="430" spans="2:18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</row>
    <row r="431" spans="2:18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</row>
    <row r="432" spans="2:18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</row>
    <row r="433" spans="2:18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</row>
    <row r="434" spans="2:18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</row>
    <row r="435" spans="2:18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</row>
    <row r="436" spans="2:18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</row>
    <row r="437" spans="2:18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</row>
    <row r="438" spans="2:18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</row>
    <row r="439" spans="2:18">
      <c r="B439"/>
      <c r="C439"/>
      <c r="D439"/>
      <c r="E439"/>
      <c r="F439"/>
    </row>
  </sheetData>
  <autoFilter ref="B5:AH403" xr:uid="{00000000-0009-0000-0000-000026000000}"/>
  <mergeCells count="9">
    <mergeCell ref="AA4:AC4"/>
    <mergeCell ref="AD4:AE4"/>
    <mergeCell ref="AG4:AH4"/>
    <mergeCell ref="E1:G1"/>
    <mergeCell ref="E2:G2"/>
    <mergeCell ref="K4:O4"/>
    <mergeCell ref="P4:R4"/>
    <mergeCell ref="S4:V4"/>
    <mergeCell ref="X4:Y4"/>
  </mergeCells>
  <phoneticPr fontId="18" type="noConversion"/>
  <conditionalFormatting sqref="C6:C403">
    <cfRule type="cellIs" dxfId="17" priority="1" operator="between">
      <formula>"B1"</formula>
      <formula>"B100"</formula>
    </cfRule>
    <cfRule type="cellIs" dxfId="16" priority="2" operator="equal">
      <formula>"HA"</formula>
    </cfRule>
    <cfRule type="cellIs" dxfId="15" priority="3" operator="equal">
      <formula>"LD"</formula>
    </cfRule>
  </conditionalFormatting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63A46-DF5A-41C4-90F1-E8332AE06F44}">
  <dimension ref="A1:CU439"/>
  <sheetViews>
    <sheetView topLeftCell="A44" zoomScale="55" zoomScaleNormal="55" workbookViewId="0">
      <selection activeCell="G409" sqref="G409"/>
    </sheetView>
  </sheetViews>
  <sheetFormatPr defaultColWidth="8.88671875" defaultRowHeight="18" outlineLevelRow="1"/>
  <cols>
    <col min="1" max="1" width="8.88671875" style="13"/>
    <col min="2" max="2" width="17.88671875" style="14" customWidth="1"/>
    <col min="3" max="3" width="31.5546875" style="14" customWidth="1"/>
    <col min="4" max="4" width="29.109375" style="14" customWidth="1"/>
    <col min="5" max="6" width="16.6640625" style="14" customWidth="1"/>
    <col min="7" max="7" width="32.5546875" style="14" customWidth="1"/>
    <col min="8" max="8" width="31.109375" style="14" customWidth="1"/>
    <col min="9" max="9" width="27.88671875" style="14" customWidth="1"/>
    <col min="10" max="11" width="30.109375" style="13" customWidth="1"/>
    <col min="12" max="23" width="25.33203125" style="13" customWidth="1"/>
    <col min="24" max="27" width="32.6640625" style="13" customWidth="1"/>
    <col min="28" max="30" width="34.109375" style="13" customWidth="1"/>
    <col min="31" max="34" width="25.33203125" style="13" customWidth="1"/>
    <col min="35" max="35" width="34.109375" style="13" bestFit="1" customWidth="1"/>
    <col min="36" max="37" width="34.109375" style="13" customWidth="1"/>
    <col min="38" max="39" width="25.33203125" style="13" customWidth="1"/>
    <col min="40" max="16384" width="8.88671875" style="13"/>
  </cols>
  <sheetData>
    <row r="1" spans="2:39" ht="27" customHeight="1">
      <c r="E1" s="108" t="s">
        <v>60</v>
      </c>
      <c r="F1" s="108"/>
      <c r="G1" s="108"/>
      <c r="H1" s="16"/>
      <c r="I1" s="50"/>
      <c r="J1" s="68">
        <v>308.10000000000002</v>
      </c>
      <c r="K1" s="60">
        <v>487.82742006132287</v>
      </c>
      <c r="L1" s="59">
        <v>45.12</v>
      </c>
      <c r="M1" s="59">
        <v>68</v>
      </c>
      <c r="N1" s="59">
        <v>61.09</v>
      </c>
      <c r="O1" s="59">
        <v>61.09</v>
      </c>
      <c r="P1" s="59">
        <v>61.09</v>
      </c>
      <c r="Q1" s="59">
        <v>498.85</v>
      </c>
      <c r="R1" s="59">
        <v>513.01</v>
      </c>
      <c r="S1" s="59">
        <v>639</v>
      </c>
      <c r="T1" s="59">
        <v>443.78</v>
      </c>
      <c r="U1" s="59">
        <v>317.43</v>
      </c>
      <c r="V1" s="59">
        <v>184.75</v>
      </c>
      <c r="W1" s="59">
        <v>276.63</v>
      </c>
      <c r="X1" s="59">
        <v>439.59</v>
      </c>
      <c r="Y1" s="59">
        <v>794.42</v>
      </c>
      <c r="Z1" s="59">
        <v>726.72</v>
      </c>
      <c r="AA1" s="59"/>
      <c r="AB1" s="59">
        <v>66.52</v>
      </c>
      <c r="AC1" s="59">
        <v>78.930000000000007</v>
      </c>
      <c r="AD1" s="59">
        <v>79.930000000000007</v>
      </c>
      <c r="AE1" s="59">
        <v>108.19</v>
      </c>
      <c r="AF1" s="59">
        <v>94.13</v>
      </c>
      <c r="AG1" s="59">
        <v>343.33</v>
      </c>
      <c r="AH1" s="59">
        <v>136.44</v>
      </c>
      <c r="AI1" s="67">
        <v>69.959999999999994</v>
      </c>
      <c r="AJ1" s="67">
        <v>168.67893123083664</v>
      </c>
      <c r="AK1" s="67">
        <v>390.14016644765661</v>
      </c>
      <c r="AL1" s="59">
        <v>96.3</v>
      </c>
      <c r="AM1" s="60">
        <v>96.3</v>
      </c>
    </row>
    <row r="2" spans="2:39" ht="27" customHeight="1">
      <c r="E2" s="108" t="s">
        <v>59</v>
      </c>
      <c r="F2" s="108"/>
      <c r="G2" s="108"/>
      <c r="H2" s="51">
        <f>SUM(J2:AM2)</f>
        <v>39065.177038983806</v>
      </c>
      <c r="I2" s="50"/>
      <c r="J2" s="69">
        <f>J1*J3</f>
        <v>616.20000000000005</v>
      </c>
      <c r="K2" s="64">
        <f>K1*K3</f>
        <v>2926.9645203679374</v>
      </c>
      <c r="L2" s="62">
        <f t="shared" ref="L2:AM2" si="0">L1*L3</f>
        <v>541.43999999999994</v>
      </c>
      <c r="M2" s="62">
        <f t="shared" si="0"/>
        <v>136</v>
      </c>
      <c r="N2" s="62">
        <f t="shared" si="0"/>
        <v>122.18</v>
      </c>
      <c r="O2" s="62">
        <f t="shared" si="0"/>
        <v>122.18</v>
      </c>
      <c r="P2" s="62">
        <f t="shared" si="0"/>
        <v>122.18</v>
      </c>
      <c r="Q2" s="62">
        <f t="shared" si="0"/>
        <v>0</v>
      </c>
      <c r="R2" s="62">
        <f t="shared" si="0"/>
        <v>0</v>
      </c>
      <c r="S2" s="62">
        <f t="shared" si="0"/>
        <v>0</v>
      </c>
      <c r="T2" s="62">
        <f t="shared" si="0"/>
        <v>0</v>
      </c>
      <c r="U2" s="62">
        <f t="shared" si="0"/>
        <v>317.43</v>
      </c>
      <c r="V2" s="62">
        <f t="shared" si="0"/>
        <v>0</v>
      </c>
      <c r="W2" s="62">
        <f t="shared" si="0"/>
        <v>0</v>
      </c>
      <c r="X2" s="62">
        <f t="shared" si="0"/>
        <v>0</v>
      </c>
      <c r="Y2" s="62">
        <f t="shared" si="0"/>
        <v>4766.5199999999995</v>
      </c>
      <c r="Z2" s="62">
        <f t="shared" si="0"/>
        <v>0</v>
      </c>
      <c r="AA2" s="62">
        <f t="shared" si="0"/>
        <v>0</v>
      </c>
      <c r="AB2" s="62">
        <f t="shared" si="0"/>
        <v>5321.5999999999995</v>
      </c>
      <c r="AC2" s="62">
        <f t="shared" si="0"/>
        <v>8682.3000000000011</v>
      </c>
      <c r="AD2" s="62">
        <f t="shared" ref="AD2" si="1">AD1*AD3</f>
        <v>0</v>
      </c>
      <c r="AE2" s="62">
        <f t="shared" si="0"/>
        <v>3245.7</v>
      </c>
      <c r="AF2" s="62">
        <f t="shared" si="0"/>
        <v>2447.38</v>
      </c>
      <c r="AG2" s="62">
        <f t="shared" si="0"/>
        <v>4463.29</v>
      </c>
      <c r="AH2" s="62">
        <f t="shared" si="0"/>
        <v>3956.7599999999998</v>
      </c>
      <c r="AI2" s="63">
        <f t="shared" si="0"/>
        <v>0</v>
      </c>
      <c r="AJ2" s="63">
        <f t="shared" ref="AJ2:AK2" si="2">AJ1*AJ3</f>
        <v>1180.7525186158564</v>
      </c>
      <c r="AK2" s="63">
        <f t="shared" si="2"/>
        <v>0</v>
      </c>
      <c r="AL2" s="63">
        <f t="shared" si="0"/>
        <v>96.3</v>
      </c>
      <c r="AM2" s="64">
        <f t="shared" si="0"/>
        <v>0</v>
      </c>
    </row>
    <row r="3" spans="2:39" s="8" customFormat="1" ht="36.6" customHeight="1">
      <c r="B3" s="16"/>
      <c r="C3" s="16"/>
      <c r="D3" s="16"/>
      <c r="E3" s="16"/>
      <c r="F3" s="16"/>
      <c r="G3" s="16"/>
      <c r="H3" s="16"/>
      <c r="I3" s="16"/>
      <c r="J3" s="70">
        <f t="shared" ref="J3:AM3" si="3">SUM(J6:J403)</f>
        <v>2</v>
      </c>
      <c r="K3" s="71">
        <f t="shared" si="3"/>
        <v>6</v>
      </c>
      <c r="L3" s="53">
        <f t="shared" si="3"/>
        <v>12</v>
      </c>
      <c r="M3" s="54">
        <f t="shared" si="3"/>
        <v>2</v>
      </c>
      <c r="N3" s="54">
        <f t="shared" si="3"/>
        <v>2</v>
      </c>
      <c r="O3" s="54">
        <f t="shared" si="3"/>
        <v>2</v>
      </c>
      <c r="P3" s="55">
        <f t="shared" si="3"/>
        <v>2</v>
      </c>
      <c r="Q3" s="53">
        <f t="shared" si="3"/>
        <v>0</v>
      </c>
      <c r="R3" s="54">
        <f t="shared" si="3"/>
        <v>0</v>
      </c>
      <c r="S3" s="55">
        <f t="shared" si="3"/>
        <v>0</v>
      </c>
      <c r="T3" s="53">
        <f t="shared" si="3"/>
        <v>0</v>
      </c>
      <c r="U3" s="54">
        <f t="shared" si="3"/>
        <v>1</v>
      </c>
      <c r="V3" s="54">
        <f t="shared" si="3"/>
        <v>0</v>
      </c>
      <c r="W3" s="55">
        <f t="shared" si="3"/>
        <v>0</v>
      </c>
      <c r="X3" s="56">
        <f t="shared" si="3"/>
        <v>0</v>
      </c>
      <c r="Y3" s="53">
        <f t="shared" si="3"/>
        <v>6</v>
      </c>
      <c r="Z3" s="55">
        <f t="shared" si="3"/>
        <v>0</v>
      </c>
      <c r="AA3" s="55"/>
      <c r="AB3" s="52">
        <f t="shared" si="3"/>
        <v>80</v>
      </c>
      <c r="AC3" s="53">
        <f t="shared" si="3"/>
        <v>110</v>
      </c>
      <c r="AD3" s="54"/>
      <c r="AE3" s="54">
        <f t="shared" si="3"/>
        <v>30</v>
      </c>
      <c r="AF3" s="55">
        <f t="shared" si="3"/>
        <v>26</v>
      </c>
      <c r="AG3" s="53">
        <f t="shared" si="3"/>
        <v>13</v>
      </c>
      <c r="AH3" s="55">
        <f t="shared" si="3"/>
        <v>29</v>
      </c>
      <c r="AI3" s="70">
        <f t="shared" si="3"/>
        <v>0</v>
      </c>
      <c r="AJ3" s="71">
        <f t="shared" si="3"/>
        <v>7</v>
      </c>
      <c r="AK3" s="54">
        <f t="shared" si="3"/>
        <v>0</v>
      </c>
      <c r="AL3" s="53">
        <f t="shared" si="3"/>
        <v>1</v>
      </c>
      <c r="AM3" s="55">
        <f t="shared" si="3"/>
        <v>0</v>
      </c>
    </row>
    <row r="4" spans="2:39" s="40" customFormat="1" ht="21">
      <c r="B4" s="38"/>
      <c r="C4" s="38"/>
      <c r="D4" s="38"/>
      <c r="E4" s="38"/>
      <c r="F4" s="38"/>
      <c r="G4" s="38"/>
      <c r="H4" s="38"/>
      <c r="I4" s="38"/>
      <c r="J4" s="109" t="s">
        <v>2</v>
      </c>
      <c r="K4" s="110"/>
      <c r="L4" s="105" t="s">
        <v>48</v>
      </c>
      <c r="M4" s="106"/>
      <c r="N4" s="106"/>
      <c r="O4" s="106"/>
      <c r="P4" s="107"/>
      <c r="Q4" s="109" t="s">
        <v>49</v>
      </c>
      <c r="R4" s="111"/>
      <c r="S4" s="110"/>
      <c r="T4" s="105" t="s">
        <v>51</v>
      </c>
      <c r="U4" s="106"/>
      <c r="V4" s="106"/>
      <c r="W4" s="107"/>
      <c r="X4" s="41" t="s">
        <v>50</v>
      </c>
      <c r="Y4" s="105" t="s">
        <v>52</v>
      </c>
      <c r="Z4" s="106"/>
      <c r="AA4" s="106"/>
      <c r="AB4" s="49" t="s">
        <v>53</v>
      </c>
      <c r="AC4" s="105" t="s">
        <v>54</v>
      </c>
      <c r="AD4" s="106"/>
      <c r="AE4" s="106"/>
      <c r="AF4" s="107"/>
      <c r="AG4" s="109" t="s">
        <v>55</v>
      </c>
      <c r="AH4" s="110"/>
      <c r="AI4" s="105" t="s">
        <v>3</v>
      </c>
      <c r="AJ4" s="107"/>
      <c r="AK4" s="49"/>
      <c r="AL4" s="105" t="s">
        <v>4</v>
      </c>
      <c r="AM4" s="107"/>
    </row>
    <row r="5" spans="2:39" ht="94.95" customHeight="1">
      <c r="B5" s="17" t="s">
        <v>0</v>
      </c>
      <c r="C5" s="17" t="s">
        <v>9</v>
      </c>
      <c r="D5" s="17" t="s">
        <v>10</v>
      </c>
      <c r="E5" s="17" t="s">
        <v>5</v>
      </c>
      <c r="F5" s="17" t="s">
        <v>1</v>
      </c>
      <c r="G5" s="17" t="s">
        <v>56</v>
      </c>
      <c r="H5" s="17" t="s">
        <v>57</v>
      </c>
      <c r="I5" s="36" t="s">
        <v>58</v>
      </c>
      <c r="J5" s="42" t="s">
        <v>20</v>
      </c>
      <c r="K5" s="42" t="s">
        <v>141</v>
      </c>
      <c r="L5" s="17" t="s">
        <v>42</v>
      </c>
      <c r="M5" s="17" t="s">
        <v>43</v>
      </c>
      <c r="N5" s="17" t="s">
        <v>44</v>
      </c>
      <c r="O5" s="17" t="s">
        <v>45</v>
      </c>
      <c r="P5" s="17" t="s">
        <v>46</v>
      </c>
      <c r="Q5" s="42" t="s">
        <v>29</v>
      </c>
      <c r="R5" s="42" t="s">
        <v>30</v>
      </c>
      <c r="S5" s="42" t="s">
        <v>31</v>
      </c>
      <c r="T5" s="17" t="s">
        <v>28</v>
      </c>
      <c r="U5" s="37" t="s">
        <v>68</v>
      </c>
      <c r="V5" s="37" t="s">
        <v>34</v>
      </c>
      <c r="W5" s="37" t="s">
        <v>35</v>
      </c>
      <c r="X5" s="42" t="s">
        <v>33</v>
      </c>
      <c r="Y5" s="17" t="s">
        <v>39</v>
      </c>
      <c r="Z5" s="17" t="s">
        <v>40</v>
      </c>
      <c r="AA5" s="37" t="s">
        <v>143</v>
      </c>
      <c r="AB5" s="45" t="s">
        <v>22</v>
      </c>
      <c r="AC5" s="37" t="s">
        <v>23</v>
      </c>
      <c r="AD5" s="37" t="s">
        <v>155</v>
      </c>
      <c r="AE5" s="37" t="s">
        <v>24</v>
      </c>
      <c r="AF5" s="37" t="s">
        <v>25</v>
      </c>
      <c r="AG5" s="45" t="s">
        <v>26</v>
      </c>
      <c r="AH5" s="45" t="s">
        <v>27</v>
      </c>
      <c r="AI5" s="17" t="s">
        <v>21</v>
      </c>
      <c r="AJ5" s="17" t="s">
        <v>142</v>
      </c>
      <c r="AK5" s="41"/>
      <c r="AL5" s="37" t="s">
        <v>36</v>
      </c>
      <c r="AM5" s="37" t="s">
        <v>37</v>
      </c>
    </row>
    <row r="6" spans="2:39" s="14" customFormat="1" ht="41.25" customHeight="1">
      <c r="B6" s="18">
        <v>46113</v>
      </c>
      <c r="C6" s="57" t="s">
        <v>134</v>
      </c>
      <c r="D6" s="18" t="s">
        <v>7</v>
      </c>
      <c r="E6" s="18" t="s">
        <v>78</v>
      </c>
      <c r="F6" s="15" t="s">
        <v>18</v>
      </c>
      <c r="G6" s="19" t="s">
        <v>151</v>
      </c>
      <c r="H6" s="19" t="s">
        <v>148</v>
      </c>
      <c r="I6" s="19" t="s">
        <v>149</v>
      </c>
      <c r="J6" s="43"/>
      <c r="K6" s="43"/>
      <c r="L6" s="15"/>
      <c r="M6" s="15"/>
      <c r="N6" s="15"/>
      <c r="O6" s="15"/>
      <c r="P6" s="15"/>
      <c r="Q6" s="43"/>
      <c r="R6" s="43"/>
      <c r="S6" s="43"/>
      <c r="T6" s="15"/>
      <c r="U6" s="15"/>
      <c r="V6" s="15"/>
      <c r="W6" s="15"/>
      <c r="X6" s="43"/>
      <c r="Y6" s="15"/>
      <c r="Z6" s="15"/>
      <c r="AA6" s="15"/>
      <c r="AB6" s="43"/>
      <c r="AC6" s="15"/>
      <c r="AD6" s="15"/>
      <c r="AE6" s="15"/>
      <c r="AF6" s="15"/>
      <c r="AG6" s="43"/>
      <c r="AH6" s="43"/>
      <c r="AI6" s="15"/>
      <c r="AJ6" s="15"/>
      <c r="AK6" s="45"/>
      <c r="AL6" s="15"/>
      <c r="AM6" s="15"/>
    </row>
    <row r="7" spans="2:39" s="14" customFormat="1" ht="41.25" customHeight="1">
      <c r="B7" s="18">
        <v>46113</v>
      </c>
      <c r="C7" s="57" t="s">
        <v>134</v>
      </c>
      <c r="D7" s="18" t="s">
        <v>7</v>
      </c>
      <c r="E7" s="18" t="s">
        <v>78</v>
      </c>
      <c r="F7" s="15" t="s">
        <v>18</v>
      </c>
      <c r="G7" s="19" t="s">
        <v>152</v>
      </c>
      <c r="H7" s="19" t="s">
        <v>148</v>
      </c>
      <c r="I7" s="19" t="s">
        <v>149</v>
      </c>
      <c r="J7" s="43"/>
      <c r="K7" s="43"/>
      <c r="L7" s="15"/>
      <c r="M7" s="15"/>
      <c r="N7" s="15"/>
      <c r="O7" s="15"/>
      <c r="P7" s="15"/>
      <c r="Q7" s="43"/>
      <c r="R7" s="43"/>
      <c r="S7" s="43"/>
      <c r="T7" s="15"/>
      <c r="U7" s="15"/>
      <c r="V7" s="15"/>
      <c r="W7" s="15"/>
      <c r="X7" s="43"/>
      <c r="Y7" s="15">
        <v>1</v>
      </c>
      <c r="Z7" s="15"/>
      <c r="AA7" s="15"/>
      <c r="AB7" s="43"/>
      <c r="AC7" s="15"/>
      <c r="AD7" s="15"/>
      <c r="AE7" s="15">
        <v>2</v>
      </c>
      <c r="AF7" s="15"/>
      <c r="AG7" s="43">
        <v>5</v>
      </c>
      <c r="AH7" s="43"/>
      <c r="AI7" s="15"/>
      <c r="AJ7" s="15"/>
      <c r="AK7" s="43"/>
      <c r="AL7" s="15"/>
      <c r="AM7" s="15"/>
    </row>
    <row r="8" spans="2:39" s="14" customFormat="1" ht="41.25" customHeight="1">
      <c r="B8" s="18">
        <v>46123</v>
      </c>
      <c r="C8" s="57" t="s">
        <v>134</v>
      </c>
      <c r="D8" s="18" t="s">
        <v>7</v>
      </c>
      <c r="E8" s="18" t="s">
        <v>78</v>
      </c>
      <c r="F8" s="15" t="s">
        <v>88</v>
      </c>
      <c r="G8" s="19" t="s">
        <v>76</v>
      </c>
      <c r="H8" s="19" t="s">
        <v>148</v>
      </c>
      <c r="I8" s="19" t="s">
        <v>149</v>
      </c>
      <c r="J8" s="43"/>
      <c r="K8" s="43"/>
      <c r="L8" s="15"/>
      <c r="M8" s="15"/>
      <c r="N8" s="15"/>
      <c r="O8" s="15"/>
      <c r="P8" s="15"/>
      <c r="Q8" s="43"/>
      <c r="R8" s="43"/>
      <c r="S8" s="43"/>
      <c r="T8" s="15"/>
      <c r="U8" s="15"/>
      <c r="V8" s="15"/>
      <c r="W8" s="15"/>
      <c r="X8" s="43"/>
      <c r="Y8" s="15"/>
      <c r="Z8" s="15"/>
      <c r="AA8" s="15"/>
      <c r="AB8" s="43">
        <v>10</v>
      </c>
      <c r="AC8" s="15">
        <v>10</v>
      </c>
      <c r="AD8" s="15"/>
      <c r="AE8" s="15"/>
      <c r="AF8" s="15"/>
      <c r="AG8" s="43"/>
      <c r="AH8" s="43"/>
      <c r="AI8" s="15"/>
      <c r="AJ8" s="15"/>
      <c r="AK8" s="43"/>
      <c r="AL8" s="15"/>
      <c r="AM8" s="15"/>
    </row>
    <row r="9" spans="2:39" s="14" customFormat="1" ht="41.25" customHeight="1">
      <c r="B9" s="18">
        <v>46114</v>
      </c>
      <c r="C9" s="57" t="s">
        <v>134</v>
      </c>
      <c r="D9" s="18" t="s">
        <v>7</v>
      </c>
      <c r="E9" s="18" t="s">
        <v>78</v>
      </c>
      <c r="F9" s="15" t="s">
        <v>88</v>
      </c>
      <c r="G9" s="19" t="s">
        <v>137</v>
      </c>
      <c r="H9" s="19" t="s">
        <v>148</v>
      </c>
      <c r="I9" s="19" t="s">
        <v>149</v>
      </c>
      <c r="J9" s="43"/>
      <c r="K9" s="43"/>
      <c r="L9" s="15"/>
      <c r="M9" s="15"/>
      <c r="N9" s="15"/>
      <c r="O9" s="15"/>
      <c r="P9" s="15"/>
      <c r="Q9" s="43"/>
      <c r="R9" s="43"/>
      <c r="S9" s="43"/>
      <c r="T9" s="15"/>
      <c r="U9" s="15"/>
      <c r="V9" s="15"/>
      <c r="W9" s="15"/>
      <c r="X9" s="43"/>
      <c r="Y9" s="15"/>
      <c r="Z9" s="15"/>
      <c r="AA9" s="15"/>
      <c r="AB9" s="43"/>
      <c r="AC9" s="15"/>
      <c r="AD9" s="15"/>
      <c r="AE9" s="15"/>
      <c r="AF9" s="15"/>
      <c r="AG9" s="43">
        <v>2</v>
      </c>
      <c r="AH9" s="43">
        <v>2</v>
      </c>
      <c r="AI9" s="15"/>
      <c r="AJ9" s="15"/>
      <c r="AK9" s="43"/>
      <c r="AL9" s="15"/>
      <c r="AM9" s="15"/>
    </row>
    <row r="10" spans="2:39" s="14" customFormat="1" ht="41.25" customHeight="1">
      <c r="B10" s="18">
        <v>46116</v>
      </c>
      <c r="C10" s="57" t="s">
        <v>134</v>
      </c>
      <c r="D10" s="18" t="s">
        <v>7</v>
      </c>
      <c r="E10" s="18" t="s">
        <v>78</v>
      </c>
      <c r="F10" s="15" t="s">
        <v>88</v>
      </c>
      <c r="G10" s="19" t="s">
        <v>137</v>
      </c>
      <c r="H10" s="19" t="s">
        <v>148</v>
      </c>
      <c r="I10" s="19" t="s">
        <v>149</v>
      </c>
      <c r="J10" s="43"/>
      <c r="K10" s="43"/>
      <c r="L10" s="15">
        <v>2</v>
      </c>
      <c r="M10" s="15"/>
      <c r="N10" s="15"/>
      <c r="O10" s="15"/>
      <c r="P10" s="15"/>
      <c r="Q10" s="43"/>
      <c r="R10" s="43"/>
      <c r="S10" s="43"/>
      <c r="T10" s="15"/>
      <c r="U10" s="15"/>
      <c r="V10" s="15"/>
      <c r="W10" s="15"/>
      <c r="X10" s="43"/>
      <c r="Y10" s="15">
        <v>1</v>
      </c>
      <c r="Z10" s="15"/>
      <c r="AA10" s="15"/>
      <c r="AB10" s="43"/>
      <c r="AC10" s="15"/>
      <c r="AD10" s="15"/>
      <c r="AE10" s="15"/>
      <c r="AF10" s="15"/>
      <c r="AG10" s="43"/>
      <c r="AH10" s="43"/>
      <c r="AI10" s="15"/>
      <c r="AJ10" s="15"/>
      <c r="AK10" s="43"/>
      <c r="AL10" s="15"/>
      <c r="AM10" s="15"/>
    </row>
    <row r="11" spans="2:39" s="14" customFormat="1" ht="41.25" customHeight="1">
      <c r="B11" s="18">
        <v>46117</v>
      </c>
      <c r="C11" s="57" t="s">
        <v>134</v>
      </c>
      <c r="D11" s="18" t="s">
        <v>7</v>
      </c>
      <c r="E11" s="18" t="s">
        <v>78</v>
      </c>
      <c r="F11" s="15" t="s">
        <v>88</v>
      </c>
      <c r="G11" s="19" t="s">
        <v>131</v>
      </c>
      <c r="H11" s="19" t="s">
        <v>148</v>
      </c>
      <c r="I11" s="19" t="s">
        <v>149</v>
      </c>
      <c r="J11" s="43"/>
      <c r="K11" s="43"/>
      <c r="L11" s="15"/>
      <c r="M11" s="15"/>
      <c r="N11" s="15"/>
      <c r="O11" s="15"/>
      <c r="P11" s="15"/>
      <c r="Q11" s="43"/>
      <c r="R11" s="43"/>
      <c r="S11" s="43"/>
      <c r="T11" s="15"/>
      <c r="U11" s="15"/>
      <c r="V11" s="15"/>
      <c r="W11" s="15"/>
      <c r="X11" s="43"/>
      <c r="Y11" s="15"/>
      <c r="Z11" s="15"/>
      <c r="AA11" s="15"/>
      <c r="AB11" s="43"/>
      <c r="AC11" s="15"/>
      <c r="AD11" s="15"/>
      <c r="AE11" s="15"/>
      <c r="AF11" s="15"/>
      <c r="AG11" s="43"/>
      <c r="AH11" s="43">
        <v>5</v>
      </c>
      <c r="AI11" s="15"/>
      <c r="AJ11" s="15"/>
      <c r="AK11" s="43"/>
      <c r="AL11" s="15"/>
      <c r="AM11" s="15"/>
    </row>
    <row r="12" spans="2:39" s="14" customFormat="1" ht="41.25" customHeight="1">
      <c r="B12" s="18">
        <v>46119</v>
      </c>
      <c r="C12" s="57" t="s">
        <v>134</v>
      </c>
      <c r="D12" s="18" t="s">
        <v>7</v>
      </c>
      <c r="E12" s="18" t="s">
        <v>78</v>
      </c>
      <c r="F12" s="15" t="s">
        <v>88</v>
      </c>
      <c r="G12" s="19" t="s">
        <v>76</v>
      </c>
      <c r="H12" s="19" t="s">
        <v>148</v>
      </c>
      <c r="I12" s="19" t="s">
        <v>149</v>
      </c>
      <c r="J12" s="44"/>
      <c r="K12" s="44"/>
      <c r="L12" s="19"/>
      <c r="M12" s="19">
        <v>2</v>
      </c>
      <c r="N12" s="19"/>
      <c r="O12" s="19"/>
      <c r="P12" s="19"/>
      <c r="Q12" s="44"/>
      <c r="R12" s="44"/>
      <c r="S12" s="44"/>
      <c r="T12" s="19"/>
      <c r="U12" s="19"/>
      <c r="V12" s="19"/>
      <c r="W12" s="19"/>
      <c r="X12" s="44"/>
      <c r="Y12" s="19"/>
      <c r="Z12" s="19"/>
      <c r="AA12" s="19"/>
      <c r="AB12" s="44">
        <v>20</v>
      </c>
      <c r="AC12" s="19"/>
      <c r="AD12" s="19"/>
      <c r="AE12" s="19"/>
      <c r="AF12" s="19"/>
      <c r="AG12" s="44"/>
      <c r="AH12" s="44"/>
      <c r="AI12" s="19"/>
      <c r="AJ12" s="19"/>
      <c r="AK12" s="43"/>
      <c r="AL12" s="19"/>
      <c r="AM12" s="19"/>
    </row>
    <row r="13" spans="2:39" s="14" customFormat="1" ht="41.25" customHeight="1">
      <c r="B13" s="18">
        <v>46120</v>
      </c>
      <c r="C13" s="57" t="s">
        <v>134</v>
      </c>
      <c r="D13" s="18" t="s">
        <v>7</v>
      </c>
      <c r="E13" s="18" t="s">
        <v>78</v>
      </c>
      <c r="F13" s="15" t="s">
        <v>18</v>
      </c>
      <c r="G13" s="19" t="s">
        <v>76</v>
      </c>
      <c r="H13" s="19" t="s">
        <v>148</v>
      </c>
      <c r="I13" s="19" t="s">
        <v>149</v>
      </c>
      <c r="J13" s="43">
        <v>1</v>
      </c>
      <c r="K13" s="43"/>
      <c r="L13" s="15"/>
      <c r="M13" s="15"/>
      <c r="N13" s="15"/>
      <c r="O13" s="15"/>
      <c r="P13" s="15"/>
      <c r="Q13" s="43"/>
      <c r="R13" s="43"/>
      <c r="S13" s="43"/>
      <c r="T13" s="15"/>
      <c r="U13" s="15"/>
      <c r="V13" s="15"/>
      <c r="W13" s="15"/>
      <c r="X13" s="43"/>
      <c r="Y13" s="15"/>
      <c r="Z13" s="15"/>
      <c r="AA13" s="15"/>
      <c r="AB13" s="43"/>
      <c r="AC13" s="15">
        <v>10</v>
      </c>
      <c r="AD13" s="15"/>
      <c r="AE13" s="15">
        <v>10</v>
      </c>
      <c r="AF13" s="15"/>
      <c r="AG13" s="43"/>
      <c r="AH13" s="43">
        <v>5</v>
      </c>
      <c r="AI13" s="15"/>
      <c r="AJ13" s="15">
        <v>2</v>
      </c>
      <c r="AK13" s="44"/>
      <c r="AL13" s="15"/>
      <c r="AM13" s="15"/>
    </row>
    <row r="14" spans="2:39" s="14" customFormat="1" ht="41.25" customHeight="1">
      <c r="B14" s="18">
        <v>46120</v>
      </c>
      <c r="C14" s="57" t="s">
        <v>134</v>
      </c>
      <c r="D14" s="18" t="s">
        <v>7</v>
      </c>
      <c r="E14" s="18" t="s">
        <v>78</v>
      </c>
      <c r="F14" s="15" t="s">
        <v>88</v>
      </c>
      <c r="G14" s="19" t="s">
        <v>152</v>
      </c>
      <c r="H14" s="19" t="s">
        <v>148</v>
      </c>
      <c r="I14" s="19" t="s">
        <v>149</v>
      </c>
      <c r="J14" s="43"/>
      <c r="K14" s="43">
        <v>2</v>
      </c>
      <c r="L14" s="15"/>
      <c r="M14" s="15"/>
      <c r="N14" s="15"/>
      <c r="O14" s="15"/>
      <c r="P14" s="15"/>
      <c r="Q14" s="43"/>
      <c r="R14" s="43"/>
      <c r="S14" s="43"/>
      <c r="T14" s="15"/>
      <c r="U14" s="15"/>
      <c r="V14" s="15"/>
      <c r="W14" s="15"/>
      <c r="X14" s="43"/>
      <c r="Y14" s="15"/>
      <c r="Z14" s="15"/>
      <c r="AA14" s="15"/>
      <c r="AB14" s="43"/>
      <c r="AC14" s="15"/>
      <c r="AD14" s="15"/>
      <c r="AE14" s="15"/>
      <c r="AF14" s="15"/>
      <c r="AG14" s="43"/>
      <c r="AH14" s="43"/>
      <c r="AI14" s="15"/>
      <c r="AJ14" s="15"/>
      <c r="AK14" s="43"/>
      <c r="AL14" s="15"/>
      <c r="AM14" s="15"/>
    </row>
    <row r="15" spans="2:39" s="14" customFormat="1" ht="41.25" customHeight="1">
      <c r="B15" s="18">
        <v>46121</v>
      </c>
      <c r="C15" s="57" t="s">
        <v>134</v>
      </c>
      <c r="D15" s="18" t="s">
        <v>7</v>
      </c>
      <c r="E15" s="18" t="s">
        <v>78</v>
      </c>
      <c r="F15" s="15" t="s">
        <v>88</v>
      </c>
      <c r="G15" s="19" t="s">
        <v>153</v>
      </c>
      <c r="H15" s="19" t="s">
        <v>148</v>
      </c>
      <c r="I15" s="19" t="s">
        <v>149</v>
      </c>
      <c r="J15" s="43">
        <v>1</v>
      </c>
      <c r="K15" s="43">
        <v>1</v>
      </c>
      <c r="L15" s="15"/>
      <c r="M15" s="15"/>
      <c r="N15" s="15"/>
      <c r="O15" s="15"/>
      <c r="P15" s="15"/>
      <c r="Q15" s="43"/>
      <c r="R15" s="43"/>
      <c r="S15" s="43"/>
      <c r="T15" s="15"/>
      <c r="U15" s="15">
        <v>1</v>
      </c>
      <c r="V15" s="15"/>
      <c r="W15" s="15"/>
      <c r="X15" s="43"/>
      <c r="Y15" s="15">
        <v>1</v>
      </c>
      <c r="Z15" s="15"/>
      <c r="AA15" s="15"/>
      <c r="AB15" s="43"/>
      <c r="AC15" s="15"/>
      <c r="AD15" s="15"/>
      <c r="AE15" s="15"/>
      <c r="AF15" s="15"/>
      <c r="AG15" s="43"/>
      <c r="AH15" s="43"/>
      <c r="AI15" s="15"/>
      <c r="AJ15" s="15"/>
      <c r="AK15" s="43"/>
      <c r="AL15" s="15">
        <v>1</v>
      </c>
      <c r="AM15" s="15"/>
    </row>
    <row r="16" spans="2:39" s="14" customFormat="1" ht="41.25" customHeight="1">
      <c r="B16" s="18">
        <v>46121</v>
      </c>
      <c r="C16" s="57" t="s">
        <v>134</v>
      </c>
      <c r="D16" s="18" t="s">
        <v>7</v>
      </c>
      <c r="E16" s="18" t="s">
        <v>78</v>
      </c>
      <c r="F16" s="15" t="s">
        <v>18</v>
      </c>
      <c r="G16" s="19" t="s">
        <v>153</v>
      </c>
      <c r="H16" s="19" t="s">
        <v>148</v>
      </c>
      <c r="I16" s="19" t="s">
        <v>150</v>
      </c>
      <c r="J16" s="43"/>
      <c r="K16" s="43"/>
      <c r="L16" s="15"/>
      <c r="M16" s="15"/>
      <c r="N16" s="15"/>
      <c r="O16" s="15"/>
      <c r="P16" s="15"/>
      <c r="Q16" s="43"/>
      <c r="R16" s="43"/>
      <c r="S16" s="43"/>
      <c r="T16" s="15"/>
      <c r="U16" s="15"/>
      <c r="V16" s="15"/>
      <c r="W16" s="15"/>
      <c r="X16" s="43"/>
      <c r="Y16" s="15"/>
      <c r="Z16" s="15"/>
      <c r="AA16" s="15"/>
      <c r="AB16" s="43">
        <v>10</v>
      </c>
      <c r="AC16" s="15"/>
      <c r="AD16" s="15"/>
      <c r="AE16" s="15"/>
      <c r="AF16" s="15"/>
      <c r="AG16" s="43"/>
      <c r="AH16" s="43"/>
      <c r="AI16" s="15"/>
      <c r="AJ16" s="15"/>
      <c r="AK16" s="43"/>
      <c r="AL16" s="15"/>
      <c r="AM16" s="15"/>
    </row>
    <row r="17" spans="2:39" s="14" customFormat="1" ht="41.25" customHeight="1">
      <c r="B17" s="18">
        <v>46124</v>
      </c>
      <c r="C17" s="57" t="s">
        <v>134</v>
      </c>
      <c r="D17" s="18" t="s">
        <v>7</v>
      </c>
      <c r="E17" s="18" t="s">
        <v>78</v>
      </c>
      <c r="F17" s="15" t="s">
        <v>18</v>
      </c>
      <c r="G17" s="19" t="s">
        <v>151</v>
      </c>
      <c r="H17" s="19" t="s">
        <v>148</v>
      </c>
      <c r="I17" s="19" t="s">
        <v>150</v>
      </c>
      <c r="J17" s="43"/>
      <c r="K17" s="43"/>
      <c r="L17" s="15"/>
      <c r="M17" s="15"/>
      <c r="N17" s="15"/>
      <c r="O17" s="15"/>
      <c r="P17" s="15"/>
      <c r="Q17" s="43"/>
      <c r="R17" s="43"/>
      <c r="S17" s="43"/>
      <c r="T17" s="15"/>
      <c r="U17" s="15"/>
      <c r="V17" s="15"/>
      <c r="W17" s="15"/>
      <c r="X17" s="43"/>
      <c r="Y17" s="15"/>
      <c r="Z17" s="15"/>
      <c r="AA17" s="15"/>
      <c r="AB17" s="43"/>
      <c r="AC17" s="15"/>
      <c r="AD17" s="15"/>
      <c r="AE17" s="15"/>
      <c r="AF17" s="15"/>
      <c r="AG17" s="43"/>
      <c r="AH17" s="43">
        <v>2</v>
      </c>
      <c r="AI17" s="15"/>
      <c r="AJ17" s="15"/>
      <c r="AK17" s="43"/>
      <c r="AL17" s="15"/>
      <c r="AM17" s="15"/>
    </row>
    <row r="18" spans="2:39" s="14" customFormat="1" ht="41.25" customHeight="1">
      <c r="B18" s="18">
        <v>46125</v>
      </c>
      <c r="C18" s="57" t="s">
        <v>134</v>
      </c>
      <c r="D18" s="18" t="s">
        <v>7</v>
      </c>
      <c r="E18" s="18" t="s">
        <v>78</v>
      </c>
      <c r="F18" s="15" t="s">
        <v>88</v>
      </c>
      <c r="G18" s="19" t="s">
        <v>74</v>
      </c>
      <c r="H18" s="19" t="s">
        <v>148</v>
      </c>
      <c r="I18" s="19" t="s">
        <v>149</v>
      </c>
      <c r="J18" s="43"/>
      <c r="K18" s="43"/>
      <c r="L18" s="15"/>
      <c r="M18" s="15"/>
      <c r="N18" s="15"/>
      <c r="O18" s="15"/>
      <c r="P18" s="15"/>
      <c r="Q18" s="43"/>
      <c r="R18" s="43"/>
      <c r="S18" s="43"/>
      <c r="T18" s="15"/>
      <c r="U18" s="15"/>
      <c r="V18" s="15"/>
      <c r="W18" s="15"/>
      <c r="X18" s="43"/>
      <c r="Y18" s="15"/>
      <c r="Z18" s="15"/>
      <c r="AA18" s="15"/>
      <c r="AB18" s="43"/>
      <c r="AC18" s="15">
        <v>10</v>
      </c>
      <c r="AD18" s="15"/>
      <c r="AE18" s="15">
        <v>10</v>
      </c>
      <c r="AF18" s="15"/>
      <c r="AG18" s="43"/>
      <c r="AH18" s="43"/>
      <c r="AI18" s="15"/>
      <c r="AJ18" s="15"/>
      <c r="AK18" s="43"/>
      <c r="AL18" s="15"/>
      <c r="AM18" s="15"/>
    </row>
    <row r="19" spans="2:39" s="14" customFormat="1" ht="41.25" customHeight="1">
      <c r="B19" s="18">
        <v>46125</v>
      </c>
      <c r="C19" s="57" t="s">
        <v>134</v>
      </c>
      <c r="D19" s="18" t="s">
        <v>7</v>
      </c>
      <c r="E19" s="18" t="s">
        <v>78</v>
      </c>
      <c r="F19" s="15" t="s">
        <v>18</v>
      </c>
      <c r="G19" s="19" t="s">
        <v>139</v>
      </c>
      <c r="H19" s="19" t="s">
        <v>148</v>
      </c>
      <c r="I19" s="19" t="s">
        <v>150</v>
      </c>
      <c r="J19" s="43"/>
      <c r="K19" s="43"/>
      <c r="L19" s="15"/>
      <c r="M19" s="15"/>
      <c r="N19" s="15"/>
      <c r="O19" s="15"/>
      <c r="P19" s="15"/>
      <c r="Q19" s="43"/>
      <c r="R19" s="43"/>
      <c r="S19" s="43"/>
      <c r="T19" s="15"/>
      <c r="U19" s="15"/>
      <c r="V19" s="15"/>
      <c r="W19" s="15"/>
      <c r="X19" s="43"/>
      <c r="Y19" s="15"/>
      <c r="Z19" s="15"/>
      <c r="AA19" s="15"/>
      <c r="AB19" s="43"/>
      <c r="AC19" s="15"/>
      <c r="AD19" s="15"/>
      <c r="AE19" s="15"/>
      <c r="AF19" s="15"/>
      <c r="AG19" s="43"/>
      <c r="AH19" s="43">
        <v>6</v>
      </c>
      <c r="AI19" s="15"/>
      <c r="AJ19" s="15"/>
      <c r="AK19" s="43"/>
      <c r="AL19" s="15"/>
      <c r="AM19" s="15"/>
    </row>
    <row r="20" spans="2:39" s="14" customFormat="1" ht="41.25" customHeight="1">
      <c r="B20" s="18">
        <v>46129</v>
      </c>
      <c r="C20" s="57" t="s">
        <v>134</v>
      </c>
      <c r="D20" s="18" t="s">
        <v>7</v>
      </c>
      <c r="E20" s="18" t="s">
        <v>78</v>
      </c>
      <c r="F20" s="15" t="s">
        <v>88</v>
      </c>
      <c r="G20" s="19" t="s">
        <v>76</v>
      </c>
      <c r="H20" s="19" t="s">
        <v>148</v>
      </c>
      <c r="I20" s="19" t="s">
        <v>149</v>
      </c>
      <c r="J20" s="43"/>
      <c r="K20" s="43"/>
      <c r="L20" s="15"/>
      <c r="M20" s="15"/>
      <c r="N20" s="15"/>
      <c r="O20" s="15"/>
      <c r="P20" s="15"/>
      <c r="Q20" s="43"/>
      <c r="R20" s="43"/>
      <c r="S20" s="43"/>
      <c r="T20" s="15"/>
      <c r="U20" s="15"/>
      <c r="V20" s="15"/>
      <c r="W20" s="15"/>
      <c r="X20" s="43"/>
      <c r="Y20" s="15"/>
      <c r="Z20" s="15"/>
      <c r="AA20" s="15"/>
      <c r="AB20" s="43"/>
      <c r="AC20" s="15">
        <v>10</v>
      </c>
      <c r="AD20" s="15"/>
      <c r="AE20" s="15"/>
      <c r="AF20" s="15"/>
      <c r="AG20" s="43"/>
      <c r="AH20" s="43"/>
      <c r="AI20" s="15"/>
      <c r="AJ20" s="15"/>
      <c r="AK20" s="43"/>
      <c r="AL20" s="15"/>
      <c r="AM20" s="15"/>
    </row>
    <row r="21" spans="2:39" s="14" customFormat="1" ht="41.25" customHeight="1">
      <c r="B21" s="18">
        <v>46130</v>
      </c>
      <c r="C21" s="57" t="s">
        <v>134</v>
      </c>
      <c r="D21" s="18" t="s">
        <v>7</v>
      </c>
      <c r="E21" s="18" t="s">
        <v>78</v>
      </c>
      <c r="F21" s="15" t="s">
        <v>88</v>
      </c>
      <c r="G21" s="19" t="s">
        <v>91</v>
      </c>
      <c r="H21" s="19" t="s">
        <v>148</v>
      </c>
      <c r="I21" s="19" t="s">
        <v>149</v>
      </c>
      <c r="J21" s="43"/>
      <c r="K21" s="43"/>
      <c r="L21" s="15"/>
      <c r="M21" s="15"/>
      <c r="N21" s="15"/>
      <c r="O21" s="15"/>
      <c r="P21" s="15"/>
      <c r="Q21" s="43"/>
      <c r="R21" s="43"/>
      <c r="S21" s="43"/>
      <c r="T21" s="15"/>
      <c r="U21" s="15"/>
      <c r="V21" s="15"/>
      <c r="W21" s="15"/>
      <c r="X21" s="43"/>
      <c r="Y21" s="15"/>
      <c r="Z21" s="15"/>
      <c r="AA21" s="15"/>
      <c r="AB21" s="43"/>
      <c r="AC21" s="15"/>
      <c r="AD21" s="15"/>
      <c r="AE21" s="15">
        <v>3</v>
      </c>
      <c r="AF21" s="15">
        <v>10</v>
      </c>
      <c r="AG21" s="43"/>
      <c r="AH21" s="43"/>
      <c r="AI21" s="15"/>
      <c r="AJ21" s="15"/>
      <c r="AK21" s="43"/>
      <c r="AL21" s="15"/>
      <c r="AM21" s="15"/>
    </row>
    <row r="22" spans="2:39" s="14" customFormat="1" ht="41.25" customHeight="1">
      <c r="B22" s="18">
        <v>46130</v>
      </c>
      <c r="C22" s="57" t="s">
        <v>134</v>
      </c>
      <c r="D22" s="18" t="s">
        <v>7</v>
      </c>
      <c r="E22" s="18" t="s">
        <v>78</v>
      </c>
      <c r="F22" s="15" t="s">
        <v>18</v>
      </c>
      <c r="G22" s="19" t="s">
        <v>91</v>
      </c>
      <c r="H22" s="19" t="s">
        <v>148</v>
      </c>
      <c r="I22" s="19" t="s">
        <v>150</v>
      </c>
      <c r="J22" s="43"/>
      <c r="K22" s="43"/>
      <c r="L22" s="15"/>
      <c r="M22" s="15"/>
      <c r="N22" s="15"/>
      <c r="O22" s="15">
        <v>2</v>
      </c>
      <c r="P22" s="15">
        <v>2</v>
      </c>
      <c r="Q22" s="43"/>
      <c r="R22" s="43"/>
      <c r="S22" s="43"/>
      <c r="T22" s="15"/>
      <c r="U22" s="15"/>
      <c r="V22" s="15"/>
      <c r="W22" s="15"/>
      <c r="X22" s="43"/>
      <c r="Y22" s="15"/>
      <c r="Z22" s="15"/>
      <c r="AA22" s="15"/>
      <c r="AB22" s="43"/>
      <c r="AC22" s="15"/>
      <c r="AD22" s="15"/>
      <c r="AE22" s="15"/>
      <c r="AF22" s="15"/>
      <c r="AG22" s="43"/>
      <c r="AH22" s="43"/>
      <c r="AI22" s="15"/>
      <c r="AJ22" s="15"/>
      <c r="AK22" s="43"/>
      <c r="AL22" s="15"/>
      <c r="AM22" s="15"/>
    </row>
    <row r="23" spans="2:39" s="14" customFormat="1" ht="41.25" customHeight="1">
      <c r="B23" s="18">
        <v>46131</v>
      </c>
      <c r="C23" s="57" t="s">
        <v>134</v>
      </c>
      <c r="D23" s="18" t="s">
        <v>7</v>
      </c>
      <c r="E23" s="18" t="s">
        <v>78</v>
      </c>
      <c r="F23" s="15" t="s">
        <v>88</v>
      </c>
      <c r="G23" s="19" t="s">
        <v>76</v>
      </c>
      <c r="H23" s="19" t="s">
        <v>148</v>
      </c>
      <c r="I23" s="19" t="s">
        <v>149</v>
      </c>
      <c r="J23" s="43"/>
      <c r="K23" s="43"/>
      <c r="L23" s="15">
        <v>2</v>
      </c>
      <c r="M23" s="15"/>
      <c r="N23" s="15"/>
      <c r="O23" s="15"/>
      <c r="P23" s="15"/>
      <c r="Q23" s="43"/>
      <c r="R23" s="43"/>
      <c r="S23" s="43"/>
      <c r="T23" s="15"/>
      <c r="U23" s="15"/>
      <c r="V23" s="15"/>
      <c r="W23" s="15"/>
      <c r="X23" s="43"/>
      <c r="Y23" s="15"/>
      <c r="Z23" s="15"/>
      <c r="AA23" s="15"/>
      <c r="AB23" s="43"/>
      <c r="AC23" s="15"/>
      <c r="AD23" s="15"/>
      <c r="AE23" s="15"/>
      <c r="AF23" s="15">
        <v>6</v>
      </c>
      <c r="AG23" s="43"/>
      <c r="AH23" s="43"/>
      <c r="AI23" s="15"/>
      <c r="AJ23" s="15"/>
      <c r="AK23" s="43"/>
      <c r="AL23" s="15"/>
      <c r="AM23" s="15"/>
    </row>
    <row r="24" spans="2:39" s="14" customFormat="1" ht="41.25" customHeight="1">
      <c r="B24" s="18">
        <v>46132</v>
      </c>
      <c r="C24" s="57" t="s">
        <v>134</v>
      </c>
      <c r="D24" s="18" t="s">
        <v>7</v>
      </c>
      <c r="E24" s="18" t="s">
        <v>140</v>
      </c>
      <c r="F24" s="15" t="s">
        <v>88</v>
      </c>
      <c r="G24" s="19" t="s">
        <v>91</v>
      </c>
      <c r="H24" s="19" t="s">
        <v>148</v>
      </c>
      <c r="I24" s="19" t="s">
        <v>149</v>
      </c>
      <c r="J24" s="43"/>
      <c r="K24" s="43"/>
      <c r="L24" s="15"/>
      <c r="M24" s="15"/>
      <c r="N24" s="15"/>
      <c r="O24" s="15"/>
      <c r="P24" s="15"/>
      <c r="Q24" s="43"/>
      <c r="R24" s="43"/>
      <c r="S24" s="43"/>
      <c r="T24" s="15"/>
      <c r="U24" s="15"/>
      <c r="V24" s="15"/>
      <c r="W24" s="15"/>
      <c r="X24" s="43"/>
      <c r="Y24" s="15">
        <v>1</v>
      </c>
      <c r="Z24" s="15"/>
      <c r="AA24" s="15"/>
      <c r="AB24" s="43"/>
      <c r="AC24" s="15"/>
      <c r="AD24" s="15"/>
      <c r="AE24" s="15"/>
      <c r="AF24" s="15"/>
      <c r="AG24" s="43"/>
      <c r="AH24" s="43">
        <v>2</v>
      </c>
      <c r="AI24" s="15"/>
      <c r="AJ24" s="15"/>
      <c r="AK24" s="43"/>
      <c r="AL24" s="15"/>
      <c r="AM24" s="15"/>
    </row>
    <row r="25" spans="2:39" s="14" customFormat="1" ht="41.25" customHeight="1">
      <c r="B25" s="18">
        <v>46133</v>
      </c>
      <c r="C25" s="57" t="s">
        <v>134</v>
      </c>
      <c r="D25" s="18" t="s">
        <v>7</v>
      </c>
      <c r="E25" s="18" t="s">
        <v>78</v>
      </c>
      <c r="F25" s="15" t="s">
        <v>18</v>
      </c>
      <c r="G25" s="19" t="s">
        <v>153</v>
      </c>
      <c r="H25" s="19" t="s">
        <v>148</v>
      </c>
      <c r="I25" s="19" t="s">
        <v>150</v>
      </c>
      <c r="J25" s="43"/>
      <c r="K25" s="43"/>
      <c r="L25" s="15">
        <v>2</v>
      </c>
      <c r="M25" s="15"/>
      <c r="N25" s="15">
        <v>2</v>
      </c>
      <c r="O25" s="15"/>
      <c r="P25" s="15"/>
      <c r="Q25" s="43"/>
      <c r="R25" s="43"/>
      <c r="S25" s="43"/>
      <c r="T25" s="15"/>
      <c r="U25" s="15"/>
      <c r="V25" s="15"/>
      <c r="W25" s="15"/>
      <c r="X25" s="43"/>
      <c r="Y25" s="15">
        <v>1</v>
      </c>
      <c r="Z25" s="15"/>
      <c r="AA25" s="15"/>
      <c r="AB25" s="43"/>
      <c r="AC25" s="15">
        <v>10</v>
      </c>
      <c r="AD25" s="15"/>
      <c r="AE25" s="15"/>
      <c r="AF25" s="15">
        <v>10</v>
      </c>
      <c r="AG25" s="43"/>
      <c r="AH25" s="43"/>
      <c r="AI25" s="15"/>
      <c r="AJ25" s="15"/>
      <c r="AK25" s="43"/>
      <c r="AL25" s="15"/>
      <c r="AM25" s="15"/>
    </row>
    <row r="26" spans="2:39" s="14" customFormat="1" ht="41.25" customHeight="1">
      <c r="B26" s="18">
        <v>46134</v>
      </c>
      <c r="C26" s="57" t="s">
        <v>134</v>
      </c>
      <c r="D26" s="18" t="s">
        <v>7</v>
      </c>
      <c r="E26" s="18" t="s">
        <v>78</v>
      </c>
      <c r="F26" s="15" t="s">
        <v>88</v>
      </c>
      <c r="G26" s="19" t="s">
        <v>74</v>
      </c>
      <c r="H26" s="19" t="s">
        <v>148</v>
      </c>
      <c r="I26" s="19" t="s">
        <v>149</v>
      </c>
      <c r="J26" s="43"/>
      <c r="K26" s="43">
        <v>1</v>
      </c>
      <c r="L26" s="15"/>
      <c r="M26" s="15"/>
      <c r="N26" s="15"/>
      <c r="O26" s="15"/>
      <c r="P26" s="15"/>
      <c r="Q26" s="43"/>
      <c r="R26" s="43"/>
      <c r="S26" s="43"/>
      <c r="T26" s="15"/>
      <c r="U26" s="15"/>
      <c r="V26" s="15"/>
      <c r="W26" s="15"/>
      <c r="X26" s="43"/>
      <c r="Y26" s="15"/>
      <c r="Z26" s="15"/>
      <c r="AA26" s="15"/>
      <c r="AB26" s="43"/>
      <c r="AC26" s="15">
        <v>20</v>
      </c>
      <c r="AD26" s="15"/>
      <c r="AE26" s="15"/>
      <c r="AF26" s="15"/>
      <c r="AG26" s="43"/>
      <c r="AH26" s="43"/>
      <c r="AI26" s="15"/>
      <c r="AJ26" s="15"/>
      <c r="AK26" s="43"/>
      <c r="AL26" s="15"/>
      <c r="AM26" s="15"/>
    </row>
    <row r="27" spans="2:39" s="14" customFormat="1" ht="41.25" customHeight="1">
      <c r="B27" s="18">
        <v>46135</v>
      </c>
      <c r="C27" s="57" t="s">
        <v>134</v>
      </c>
      <c r="D27" s="18" t="s">
        <v>7</v>
      </c>
      <c r="E27" s="18" t="s">
        <v>78</v>
      </c>
      <c r="F27" s="15" t="s">
        <v>88</v>
      </c>
      <c r="G27" s="19" t="s">
        <v>74</v>
      </c>
      <c r="H27" s="19" t="s">
        <v>148</v>
      </c>
      <c r="I27" s="19" t="s">
        <v>149</v>
      </c>
      <c r="J27" s="43"/>
      <c r="K27" s="43"/>
      <c r="L27" s="15">
        <v>3</v>
      </c>
      <c r="M27" s="15"/>
      <c r="N27" s="15"/>
      <c r="O27" s="15"/>
      <c r="P27" s="15"/>
      <c r="Q27" s="43"/>
      <c r="R27" s="43"/>
      <c r="S27" s="43"/>
      <c r="T27" s="15"/>
      <c r="U27" s="15"/>
      <c r="V27" s="15"/>
      <c r="W27" s="15"/>
      <c r="X27" s="43"/>
      <c r="Y27" s="15"/>
      <c r="Z27" s="15"/>
      <c r="AA27" s="15"/>
      <c r="AB27" s="43"/>
      <c r="AC27" s="15"/>
      <c r="AD27" s="15"/>
      <c r="AE27" s="15"/>
      <c r="AF27" s="15"/>
      <c r="AG27" s="43"/>
      <c r="AH27" s="43"/>
      <c r="AI27" s="15"/>
      <c r="AJ27" s="15"/>
      <c r="AK27" s="43"/>
      <c r="AL27" s="15"/>
      <c r="AM27" s="15"/>
    </row>
    <row r="28" spans="2:39" s="14" customFormat="1" ht="41.25" customHeight="1">
      <c r="B28" s="18">
        <v>46135</v>
      </c>
      <c r="C28" s="57" t="s">
        <v>134</v>
      </c>
      <c r="D28" s="18" t="s">
        <v>7</v>
      </c>
      <c r="E28" s="18" t="s">
        <v>140</v>
      </c>
      <c r="F28" s="15" t="s">
        <v>88</v>
      </c>
      <c r="G28" s="19" t="s">
        <v>131</v>
      </c>
      <c r="H28" s="19" t="s">
        <v>148</v>
      </c>
      <c r="I28" s="19" t="s">
        <v>149</v>
      </c>
      <c r="J28" s="43"/>
      <c r="K28" s="43"/>
      <c r="L28" s="15"/>
      <c r="M28" s="15"/>
      <c r="N28" s="15"/>
      <c r="O28" s="15"/>
      <c r="P28" s="15"/>
      <c r="Q28" s="43"/>
      <c r="R28" s="43"/>
      <c r="S28" s="43"/>
      <c r="T28" s="15"/>
      <c r="U28" s="15"/>
      <c r="V28" s="15"/>
      <c r="W28" s="15"/>
      <c r="X28" s="43"/>
      <c r="Y28" s="15"/>
      <c r="Z28" s="15"/>
      <c r="AA28" s="15"/>
      <c r="AB28" s="43"/>
      <c r="AC28" s="15"/>
      <c r="AD28" s="15"/>
      <c r="AE28" s="15"/>
      <c r="AF28" s="15"/>
      <c r="AG28" s="43"/>
      <c r="AH28" s="43"/>
      <c r="AI28" s="15"/>
      <c r="AJ28" s="15">
        <v>5</v>
      </c>
      <c r="AK28" s="43"/>
      <c r="AL28" s="15"/>
      <c r="AM28" s="15"/>
    </row>
    <row r="29" spans="2:39" s="14" customFormat="1" ht="41.25" customHeight="1">
      <c r="B29" s="18">
        <v>46135</v>
      </c>
      <c r="C29" s="57" t="s">
        <v>134</v>
      </c>
      <c r="D29" s="18" t="s">
        <v>7</v>
      </c>
      <c r="E29" s="18" t="s">
        <v>140</v>
      </c>
      <c r="F29" s="15" t="s">
        <v>88</v>
      </c>
      <c r="G29" s="19" t="s">
        <v>110</v>
      </c>
      <c r="H29" s="19" t="s">
        <v>148</v>
      </c>
      <c r="I29" s="19" t="s">
        <v>149</v>
      </c>
      <c r="J29" s="43"/>
      <c r="K29" s="43"/>
      <c r="L29" s="15"/>
      <c r="M29" s="15"/>
      <c r="N29" s="15"/>
      <c r="O29" s="15"/>
      <c r="P29" s="15"/>
      <c r="Q29" s="43"/>
      <c r="R29" s="43"/>
      <c r="S29" s="43"/>
      <c r="T29" s="15"/>
      <c r="U29" s="15"/>
      <c r="V29" s="15"/>
      <c r="W29" s="15"/>
      <c r="X29" s="43"/>
      <c r="Y29" s="15"/>
      <c r="Z29" s="15"/>
      <c r="AA29" s="15"/>
      <c r="AB29" s="43"/>
      <c r="AC29" s="15"/>
      <c r="AD29" s="15"/>
      <c r="AE29" s="15"/>
      <c r="AF29" s="15"/>
      <c r="AG29" s="43"/>
      <c r="AH29" s="43"/>
      <c r="AI29" s="15"/>
      <c r="AJ29" s="15"/>
      <c r="AK29" s="43"/>
      <c r="AL29" s="15"/>
      <c r="AM29" s="15"/>
    </row>
    <row r="30" spans="2:39" s="14" customFormat="1" ht="41.25" customHeight="1">
      <c r="B30" s="18">
        <v>46136</v>
      </c>
      <c r="C30" s="57" t="s">
        <v>134</v>
      </c>
      <c r="D30" s="18" t="s">
        <v>7</v>
      </c>
      <c r="E30" s="18" t="s">
        <v>140</v>
      </c>
      <c r="F30" s="15" t="s">
        <v>88</v>
      </c>
      <c r="G30" s="19" t="s">
        <v>76</v>
      </c>
      <c r="H30" s="19" t="s">
        <v>148</v>
      </c>
      <c r="I30" s="19" t="s">
        <v>149</v>
      </c>
      <c r="J30" s="43"/>
      <c r="K30" s="43"/>
      <c r="L30" s="15"/>
      <c r="M30" s="15"/>
      <c r="N30" s="15"/>
      <c r="O30" s="15"/>
      <c r="P30" s="15"/>
      <c r="Q30" s="43"/>
      <c r="R30" s="43"/>
      <c r="S30" s="43"/>
      <c r="T30" s="15"/>
      <c r="U30" s="15"/>
      <c r="V30" s="15"/>
      <c r="W30" s="15"/>
      <c r="X30" s="43"/>
      <c r="Y30" s="15"/>
      <c r="Z30" s="15"/>
      <c r="AA30" s="15"/>
      <c r="AB30" s="43"/>
      <c r="AC30" s="15"/>
      <c r="AD30" s="15"/>
      <c r="AE30" s="15"/>
      <c r="AF30" s="15"/>
      <c r="AG30" s="43"/>
      <c r="AH30" s="43">
        <v>5</v>
      </c>
      <c r="AI30" s="15"/>
      <c r="AJ30" s="15"/>
      <c r="AK30" s="43"/>
      <c r="AL30" s="15"/>
      <c r="AM30" s="15"/>
    </row>
    <row r="31" spans="2:39" s="14" customFormat="1" ht="41.25" customHeight="1">
      <c r="B31" s="18">
        <v>46136</v>
      </c>
      <c r="C31" s="57" t="s">
        <v>134</v>
      </c>
      <c r="D31" s="18" t="s">
        <v>7</v>
      </c>
      <c r="E31" s="18" t="s">
        <v>140</v>
      </c>
      <c r="F31" s="15" t="s">
        <v>18</v>
      </c>
      <c r="G31" s="19" t="s">
        <v>119</v>
      </c>
      <c r="H31" s="19" t="s">
        <v>148</v>
      </c>
      <c r="I31" s="19" t="s">
        <v>150</v>
      </c>
      <c r="J31" s="43"/>
      <c r="K31" s="43">
        <v>2</v>
      </c>
      <c r="L31" s="15"/>
      <c r="M31" s="15"/>
      <c r="N31" s="15"/>
      <c r="O31" s="15"/>
      <c r="P31" s="15"/>
      <c r="Q31" s="43"/>
      <c r="R31" s="43"/>
      <c r="S31" s="43"/>
      <c r="T31" s="15"/>
      <c r="U31" s="15"/>
      <c r="V31" s="15"/>
      <c r="W31" s="15"/>
      <c r="X31" s="43"/>
      <c r="Y31" s="15"/>
      <c r="Z31" s="15"/>
      <c r="AA31" s="15"/>
      <c r="AB31" s="43"/>
      <c r="AC31" s="15"/>
      <c r="AD31" s="15"/>
      <c r="AE31" s="15"/>
      <c r="AF31" s="15"/>
      <c r="AG31" s="43"/>
      <c r="AH31" s="43"/>
      <c r="AI31" s="15"/>
      <c r="AJ31" s="15"/>
      <c r="AK31" s="43"/>
      <c r="AL31" s="15"/>
      <c r="AM31" s="15"/>
    </row>
    <row r="32" spans="2:39" s="14" customFormat="1" ht="41.25" customHeight="1">
      <c r="B32" s="18">
        <v>46137</v>
      </c>
      <c r="C32" s="57" t="s">
        <v>134</v>
      </c>
      <c r="D32" s="18" t="s">
        <v>7</v>
      </c>
      <c r="E32" s="18" t="s">
        <v>78</v>
      </c>
      <c r="F32" s="15" t="s">
        <v>88</v>
      </c>
      <c r="G32" s="19" t="s">
        <v>103</v>
      </c>
      <c r="H32" s="19" t="s">
        <v>148</v>
      </c>
      <c r="I32" s="19" t="s">
        <v>149</v>
      </c>
      <c r="J32" s="43"/>
      <c r="K32" s="43"/>
      <c r="L32" s="15"/>
      <c r="M32" s="15"/>
      <c r="N32" s="15"/>
      <c r="O32" s="15"/>
      <c r="P32" s="15"/>
      <c r="Q32" s="43"/>
      <c r="R32" s="43"/>
      <c r="S32" s="43"/>
      <c r="T32" s="15"/>
      <c r="U32" s="15"/>
      <c r="V32" s="15"/>
      <c r="W32" s="15"/>
      <c r="X32" s="43"/>
      <c r="Y32" s="15"/>
      <c r="Z32" s="15"/>
      <c r="AA32" s="15"/>
      <c r="AB32" s="43"/>
      <c r="AC32" s="15"/>
      <c r="AD32" s="15"/>
      <c r="AE32" s="15"/>
      <c r="AF32" s="15"/>
      <c r="AG32" s="43"/>
      <c r="AH32" s="43"/>
      <c r="AI32" s="15"/>
      <c r="AJ32" s="15"/>
      <c r="AK32" s="43"/>
      <c r="AL32" s="15"/>
      <c r="AM32" s="15"/>
    </row>
    <row r="33" spans="1:39" s="14" customFormat="1" ht="41.25" customHeight="1">
      <c r="B33" s="18">
        <v>46137</v>
      </c>
      <c r="C33" s="57" t="s">
        <v>134</v>
      </c>
      <c r="D33" s="18" t="s">
        <v>7</v>
      </c>
      <c r="E33" s="18" t="s">
        <v>78</v>
      </c>
      <c r="F33" s="15" t="s">
        <v>88</v>
      </c>
      <c r="G33" s="19" t="s">
        <v>74</v>
      </c>
      <c r="H33" s="19" t="s">
        <v>148</v>
      </c>
      <c r="I33" s="19" t="s">
        <v>149</v>
      </c>
      <c r="J33" s="43"/>
      <c r="K33" s="43"/>
      <c r="L33" s="15"/>
      <c r="M33" s="15"/>
      <c r="N33" s="15"/>
      <c r="O33" s="15"/>
      <c r="P33" s="15"/>
      <c r="Q33" s="43"/>
      <c r="R33" s="43"/>
      <c r="S33" s="43"/>
      <c r="T33" s="15"/>
      <c r="U33" s="15"/>
      <c r="V33" s="15"/>
      <c r="W33" s="15"/>
      <c r="X33" s="43"/>
      <c r="Y33" s="15"/>
      <c r="Z33" s="15"/>
      <c r="AA33" s="15"/>
      <c r="AB33" s="43">
        <v>20</v>
      </c>
      <c r="AC33" s="15">
        <v>20</v>
      </c>
      <c r="AD33" s="15"/>
      <c r="AE33" s="15"/>
      <c r="AF33" s="15"/>
      <c r="AG33" s="43"/>
      <c r="AH33" s="43"/>
      <c r="AI33" s="15"/>
      <c r="AJ33" s="15"/>
      <c r="AK33" s="43"/>
      <c r="AL33" s="15"/>
      <c r="AM33" s="15"/>
    </row>
    <row r="34" spans="1:39" s="14" customFormat="1" ht="41.25" customHeight="1">
      <c r="B34" s="18">
        <v>46141</v>
      </c>
      <c r="C34" s="57" t="s">
        <v>134</v>
      </c>
      <c r="D34" s="18" t="s">
        <v>7</v>
      </c>
      <c r="E34" s="18" t="s">
        <v>78</v>
      </c>
      <c r="F34" s="15" t="s">
        <v>18</v>
      </c>
      <c r="G34" s="19" t="s">
        <v>74</v>
      </c>
      <c r="H34" s="19" t="s">
        <v>148</v>
      </c>
      <c r="I34" s="19" t="s">
        <v>150</v>
      </c>
      <c r="J34" s="43"/>
      <c r="K34" s="43"/>
      <c r="L34" s="15"/>
      <c r="M34" s="15"/>
      <c r="N34" s="15"/>
      <c r="O34" s="15"/>
      <c r="P34" s="15"/>
      <c r="Q34" s="43"/>
      <c r="R34" s="43"/>
      <c r="S34" s="43"/>
      <c r="T34" s="15"/>
      <c r="U34" s="15"/>
      <c r="V34" s="15"/>
      <c r="W34" s="15"/>
      <c r="X34" s="43"/>
      <c r="Y34" s="15"/>
      <c r="Z34" s="15"/>
      <c r="AA34" s="15"/>
      <c r="AB34" s="43">
        <v>10</v>
      </c>
      <c r="AC34" s="15">
        <v>10</v>
      </c>
      <c r="AD34" s="15"/>
      <c r="AE34" s="15"/>
      <c r="AF34" s="15"/>
      <c r="AG34" s="43"/>
      <c r="AH34" s="43"/>
      <c r="AI34" s="15"/>
      <c r="AJ34" s="15"/>
      <c r="AK34" s="43"/>
      <c r="AL34" s="15"/>
      <c r="AM34" s="15"/>
    </row>
    <row r="35" spans="1:39" s="14" customFormat="1" ht="41.25" customHeight="1">
      <c r="B35" s="18">
        <v>46142</v>
      </c>
      <c r="C35" s="57" t="s">
        <v>134</v>
      </c>
      <c r="D35" s="18" t="s">
        <v>7</v>
      </c>
      <c r="E35" s="18" t="s">
        <v>78</v>
      </c>
      <c r="F35" s="15" t="s">
        <v>88</v>
      </c>
      <c r="G35" s="19" t="s">
        <v>76</v>
      </c>
      <c r="H35" s="19" t="s">
        <v>148</v>
      </c>
      <c r="I35" s="19" t="s">
        <v>149</v>
      </c>
      <c r="J35" s="43"/>
      <c r="K35" s="43"/>
      <c r="L35" s="15">
        <v>3</v>
      </c>
      <c r="M35" s="15"/>
      <c r="N35" s="15"/>
      <c r="O35" s="15"/>
      <c r="P35" s="15"/>
      <c r="Q35" s="43"/>
      <c r="R35" s="43"/>
      <c r="S35" s="43"/>
      <c r="T35" s="15"/>
      <c r="U35" s="15"/>
      <c r="V35" s="15"/>
      <c r="W35" s="15"/>
      <c r="X35" s="43"/>
      <c r="Y35" s="15">
        <v>1</v>
      </c>
      <c r="Z35" s="15"/>
      <c r="AA35" s="15"/>
      <c r="AB35" s="43">
        <v>10</v>
      </c>
      <c r="AC35" s="15">
        <v>10</v>
      </c>
      <c r="AD35" s="15">
        <v>20</v>
      </c>
      <c r="AE35" s="15">
        <v>5</v>
      </c>
      <c r="AF35" s="15"/>
      <c r="AG35" s="43">
        <v>6</v>
      </c>
      <c r="AH35" s="43">
        <v>2</v>
      </c>
      <c r="AI35" s="15"/>
      <c r="AJ35" s="15"/>
      <c r="AK35" s="43"/>
      <c r="AL35" s="15"/>
      <c r="AM35" s="15"/>
    </row>
    <row r="36" spans="1:39" s="14" customFormat="1" ht="41.25" customHeight="1">
      <c r="B36" s="18"/>
      <c r="C36" s="57" t="s">
        <v>134</v>
      </c>
      <c r="D36" s="18" t="s">
        <v>7</v>
      </c>
      <c r="E36" s="18"/>
      <c r="F36" s="15"/>
      <c r="G36" s="19"/>
      <c r="H36" s="19"/>
      <c r="I36" s="19"/>
      <c r="J36" s="43"/>
      <c r="K36" s="43"/>
      <c r="L36" s="15"/>
      <c r="M36" s="15"/>
      <c r="N36" s="15"/>
      <c r="O36" s="15"/>
      <c r="P36" s="15"/>
      <c r="Q36" s="43"/>
      <c r="R36" s="43"/>
      <c r="S36" s="43"/>
      <c r="T36" s="15"/>
      <c r="U36" s="15"/>
      <c r="V36" s="15"/>
      <c r="W36" s="15"/>
      <c r="X36" s="43"/>
      <c r="Y36" s="15"/>
      <c r="Z36" s="15"/>
      <c r="AA36" s="15"/>
      <c r="AB36" s="43"/>
      <c r="AC36" s="15"/>
      <c r="AD36" s="15"/>
      <c r="AE36" s="15"/>
      <c r="AF36" s="15"/>
      <c r="AG36" s="43"/>
      <c r="AH36" s="43"/>
      <c r="AI36" s="15"/>
      <c r="AJ36" s="15"/>
      <c r="AK36" s="43"/>
      <c r="AL36" s="15"/>
      <c r="AM36" s="15"/>
    </row>
    <row r="37" spans="1:39" s="14" customFormat="1" ht="41.25" customHeight="1">
      <c r="B37" s="18"/>
      <c r="C37" s="57" t="s">
        <v>134</v>
      </c>
      <c r="D37" s="18" t="s">
        <v>7</v>
      </c>
      <c r="E37" s="18"/>
      <c r="F37" s="15"/>
      <c r="G37" s="19"/>
      <c r="H37" s="19"/>
      <c r="I37" s="19"/>
      <c r="J37" s="43"/>
      <c r="K37" s="43"/>
      <c r="L37" s="15"/>
      <c r="M37" s="15"/>
      <c r="N37" s="15"/>
      <c r="O37" s="15"/>
      <c r="P37" s="15"/>
      <c r="Q37" s="43"/>
      <c r="R37" s="43"/>
      <c r="S37" s="43"/>
      <c r="T37" s="15"/>
      <c r="U37" s="15"/>
      <c r="V37" s="15"/>
      <c r="W37" s="15"/>
      <c r="X37" s="43"/>
      <c r="Y37" s="15"/>
      <c r="Z37" s="15"/>
      <c r="AA37" s="15"/>
      <c r="AB37" s="43"/>
      <c r="AC37" s="15"/>
      <c r="AD37" s="15"/>
      <c r="AE37" s="15"/>
      <c r="AF37" s="15"/>
      <c r="AG37" s="43"/>
      <c r="AH37" s="43"/>
      <c r="AI37" s="15"/>
      <c r="AJ37" s="15"/>
      <c r="AK37" s="43"/>
      <c r="AL37" s="15"/>
      <c r="AM37" s="15"/>
    </row>
    <row r="38" spans="1:39" s="14" customFormat="1" ht="41.25" customHeight="1">
      <c r="B38" s="18"/>
      <c r="C38" s="57" t="s">
        <v>134</v>
      </c>
      <c r="D38" s="18" t="s">
        <v>7</v>
      </c>
      <c r="E38" s="18"/>
      <c r="F38" s="15"/>
      <c r="G38" s="19"/>
      <c r="H38" s="19"/>
      <c r="I38" s="19"/>
      <c r="J38" s="43"/>
      <c r="K38" s="43"/>
      <c r="L38" s="15"/>
      <c r="M38" s="15"/>
      <c r="N38" s="15"/>
      <c r="O38" s="15"/>
      <c r="P38" s="15"/>
      <c r="Q38" s="43"/>
      <c r="R38" s="43"/>
      <c r="S38" s="43"/>
      <c r="T38" s="15"/>
      <c r="U38" s="15"/>
      <c r="V38" s="15"/>
      <c r="W38" s="15"/>
      <c r="X38" s="43"/>
      <c r="Y38" s="15"/>
      <c r="Z38" s="15"/>
      <c r="AA38" s="15"/>
      <c r="AB38" s="43"/>
      <c r="AC38" s="15"/>
      <c r="AD38" s="15"/>
      <c r="AE38" s="15"/>
      <c r="AF38" s="15"/>
      <c r="AG38" s="43"/>
      <c r="AH38" s="43"/>
      <c r="AI38" s="15"/>
      <c r="AJ38" s="15"/>
      <c r="AK38" s="43"/>
      <c r="AL38" s="15"/>
      <c r="AM38" s="15"/>
    </row>
    <row r="39" spans="1:39" s="14" customFormat="1" ht="41.25" customHeight="1">
      <c r="B39" s="18"/>
      <c r="C39" s="57" t="s">
        <v>134</v>
      </c>
      <c r="D39" s="18" t="s">
        <v>7</v>
      </c>
      <c r="E39" s="18"/>
      <c r="F39" s="15"/>
      <c r="G39" s="19"/>
      <c r="H39" s="19"/>
      <c r="I39" s="19"/>
      <c r="J39" s="44"/>
      <c r="K39" s="44"/>
      <c r="L39" s="19"/>
      <c r="M39" s="19"/>
      <c r="N39" s="19"/>
      <c r="O39" s="19"/>
      <c r="P39" s="19"/>
      <c r="Q39" s="44"/>
      <c r="R39" s="44"/>
      <c r="S39" s="44"/>
      <c r="T39" s="19"/>
      <c r="U39" s="19"/>
      <c r="V39" s="19"/>
      <c r="W39" s="19"/>
      <c r="X39" s="44"/>
      <c r="Y39" s="19"/>
      <c r="Z39" s="19"/>
      <c r="AA39" s="19"/>
      <c r="AB39" s="44"/>
      <c r="AC39" s="19"/>
      <c r="AD39" s="19"/>
      <c r="AE39" s="19"/>
      <c r="AF39" s="19"/>
      <c r="AG39" s="44"/>
      <c r="AH39" s="44"/>
      <c r="AI39" s="19"/>
      <c r="AJ39" s="19"/>
      <c r="AK39" s="43"/>
      <c r="AL39" s="19"/>
      <c r="AM39" s="19"/>
    </row>
    <row r="40" spans="1:39" s="14" customFormat="1" ht="41.25" customHeight="1">
      <c r="A40" s="35"/>
      <c r="B40" s="18"/>
      <c r="C40" s="57" t="s">
        <v>134</v>
      </c>
      <c r="D40" s="18" t="s">
        <v>7</v>
      </c>
      <c r="E40" s="18"/>
      <c r="F40" s="15"/>
      <c r="G40" s="19"/>
      <c r="H40" s="19"/>
      <c r="I40" s="19"/>
      <c r="J40" s="43"/>
      <c r="K40" s="43"/>
      <c r="L40" s="15"/>
      <c r="M40" s="15"/>
      <c r="N40" s="15"/>
      <c r="O40" s="15"/>
      <c r="P40" s="15"/>
      <c r="Q40" s="43"/>
      <c r="R40" s="43"/>
      <c r="S40" s="43"/>
      <c r="T40" s="15"/>
      <c r="U40" s="15"/>
      <c r="V40" s="15"/>
      <c r="W40" s="15"/>
      <c r="X40" s="43"/>
      <c r="Y40" s="15"/>
      <c r="Z40" s="15"/>
      <c r="AA40" s="15"/>
      <c r="AB40" s="43"/>
      <c r="AC40" s="15"/>
      <c r="AD40" s="15"/>
      <c r="AE40" s="15"/>
      <c r="AF40" s="15"/>
      <c r="AG40" s="43"/>
      <c r="AH40" s="43"/>
      <c r="AI40" s="15"/>
      <c r="AJ40" s="15"/>
      <c r="AK40" s="44"/>
      <c r="AL40" s="15"/>
      <c r="AM40" s="15"/>
    </row>
    <row r="41" spans="1:39" s="14" customFormat="1" ht="41.25" customHeight="1">
      <c r="B41" s="18"/>
      <c r="C41" s="57" t="s">
        <v>134</v>
      </c>
      <c r="D41" s="18" t="s">
        <v>7</v>
      </c>
      <c r="E41" s="18"/>
      <c r="F41" s="15"/>
      <c r="G41" s="19"/>
      <c r="H41" s="19"/>
      <c r="I41" s="19"/>
      <c r="J41" s="43"/>
      <c r="K41" s="43"/>
      <c r="L41" s="15"/>
      <c r="M41" s="15"/>
      <c r="N41" s="15"/>
      <c r="O41" s="15"/>
      <c r="P41" s="15"/>
      <c r="Q41" s="43"/>
      <c r="R41" s="43"/>
      <c r="S41" s="43"/>
      <c r="T41" s="15"/>
      <c r="U41" s="15"/>
      <c r="V41" s="15"/>
      <c r="W41" s="15"/>
      <c r="X41" s="43"/>
      <c r="Y41" s="15"/>
      <c r="Z41" s="15"/>
      <c r="AA41" s="15"/>
      <c r="AB41" s="43"/>
      <c r="AC41" s="15"/>
      <c r="AD41" s="15"/>
      <c r="AE41" s="15"/>
      <c r="AF41" s="15"/>
      <c r="AG41" s="43"/>
      <c r="AH41" s="43"/>
      <c r="AI41" s="15"/>
      <c r="AJ41" s="15"/>
      <c r="AK41" s="43"/>
      <c r="AL41" s="15"/>
      <c r="AM41" s="15"/>
    </row>
    <row r="42" spans="1:39" s="14" customFormat="1" ht="41.25" customHeight="1">
      <c r="B42" s="21"/>
      <c r="C42" s="57" t="s">
        <v>134</v>
      </c>
      <c r="D42" s="18" t="s">
        <v>7</v>
      </c>
      <c r="E42" s="18"/>
      <c r="F42" s="15"/>
      <c r="G42" s="19"/>
      <c r="H42" s="19"/>
      <c r="I42" s="19"/>
      <c r="J42" s="43"/>
      <c r="K42" s="43"/>
      <c r="L42" s="15"/>
      <c r="M42" s="15"/>
      <c r="N42" s="15"/>
      <c r="O42" s="15"/>
      <c r="P42" s="15"/>
      <c r="Q42" s="43"/>
      <c r="R42" s="43"/>
      <c r="S42" s="43"/>
      <c r="T42" s="15"/>
      <c r="U42" s="15"/>
      <c r="V42" s="15"/>
      <c r="W42" s="15"/>
      <c r="X42" s="43"/>
      <c r="Y42" s="15"/>
      <c r="Z42" s="15"/>
      <c r="AA42" s="15"/>
      <c r="AB42" s="43"/>
      <c r="AC42" s="15"/>
      <c r="AD42" s="15"/>
      <c r="AE42" s="15"/>
      <c r="AF42" s="15"/>
      <c r="AG42" s="43"/>
      <c r="AH42" s="43"/>
      <c r="AI42" s="15"/>
      <c r="AJ42" s="15"/>
      <c r="AK42" s="43"/>
      <c r="AL42" s="15"/>
      <c r="AM42" s="15"/>
    </row>
    <row r="43" spans="1:39" s="14" customFormat="1" ht="41.25" customHeight="1">
      <c r="B43" s="18"/>
      <c r="C43" s="57" t="s">
        <v>134</v>
      </c>
      <c r="D43" s="18" t="s">
        <v>7</v>
      </c>
      <c r="E43" s="18"/>
      <c r="F43" s="15"/>
      <c r="G43" s="19"/>
      <c r="H43" s="19"/>
      <c r="I43" s="19"/>
      <c r="J43" s="44"/>
      <c r="K43" s="44"/>
      <c r="L43" s="19"/>
      <c r="M43" s="19"/>
      <c r="N43" s="19"/>
      <c r="O43" s="19"/>
      <c r="P43" s="19"/>
      <c r="Q43" s="44"/>
      <c r="R43" s="44"/>
      <c r="S43" s="44"/>
      <c r="T43" s="19"/>
      <c r="U43" s="19"/>
      <c r="V43" s="19"/>
      <c r="W43" s="19"/>
      <c r="X43" s="44"/>
      <c r="Y43" s="19"/>
      <c r="Z43" s="19"/>
      <c r="AA43" s="19"/>
      <c r="AB43" s="44"/>
      <c r="AC43" s="15"/>
      <c r="AD43" s="15"/>
      <c r="AE43" s="15"/>
      <c r="AF43" s="15"/>
      <c r="AG43" s="44"/>
      <c r="AH43" s="44"/>
      <c r="AI43" s="19"/>
      <c r="AJ43" s="19"/>
      <c r="AK43" s="43"/>
      <c r="AL43" s="19"/>
      <c r="AM43" s="19"/>
    </row>
    <row r="44" spans="1:39" s="14" customFormat="1" ht="41.25" customHeight="1">
      <c r="B44" s="18"/>
      <c r="C44" s="57" t="s">
        <v>134</v>
      </c>
      <c r="D44" s="18" t="s">
        <v>7</v>
      </c>
      <c r="E44" s="18"/>
      <c r="F44" s="15"/>
      <c r="G44" s="19"/>
      <c r="H44" s="19"/>
      <c r="I44" s="19"/>
      <c r="J44" s="43"/>
      <c r="K44" s="43"/>
      <c r="L44" s="15"/>
      <c r="M44" s="15"/>
      <c r="N44" s="15"/>
      <c r="O44" s="15"/>
      <c r="P44" s="15"/>
      <c r="Q44" s="43"/>
      <c r="R44" s="43"/>
      <c r="S44" s="43"/>
      <c r="T44" s="15"/>
      <c r="U44" s="15"/>
      <c r="V44" s="15"/>
      <c r="W44" s="15"/>
      <c r="X44" s="43"/>
      <c r="Y44" s="15"/>
      <c r="Z44" s="15"/>
      <c r="AA44" s="15"/>
      <c r="AB44" s="43"/>
      <c r="AC44" s="15"/>
      <c r="AD44" s="15"/>
      <c r="AE44" s="15"/>
      <c r="AF44" s="15"/>
      <c r="AG44" s="43"/>
      <c r="AH44" s="43"/>
      <c r="AI44" s="15"/>
      <c r="AJ44" s="15"/>
      <c r="AK44" s="44"/>
      <c r="AL44" s="15"/>
      <c r="AM44" s="15"/>
    </row>
    <row r="45" spans="1:39" s="14" customFormat="1" ht="41.25" customHeight="1">
      <c r="B45" s="18"/>
      <c r="C45" s="57" t="s">
        <v>134</v>
      </c>
      <c r="D45" s="18" t="s">
        <v>7</v>
      </c>
      <c r="E45" s="18"/>
      <c r="F45" s="15"/>
      <c r="G45" s="19"/>
      <c r="H45" s="19"/>
      <c r="I45" s="19"/>
      <c r="J45" s="43"/>
      <c r="K45" s="43"/>
      <c r="L45" s="15"/>
      <c r="M45" s="15"/>
      <c r="N45" s="15"/>
      <c r="O45" s="15"/>
      <c r="P45" s="15"/>
      <c r="Q45" s="43"/>
      <c r="R45" s="43"/>
      <c r="S45" s="43"/>
      <c r="T45" s="15"/>
      <c r="U45" s="15"/>
      <c r="V45" s="15"/>
      <c r="W45" s="15"/>
      <c r="X45" s="43"/>
      <c r="Y45" s="15"/>
      <c r="Z45" s="15"/>
      <c r="AA45" s="15"/>
      <c r="AB45" s="43"/>
      <c r="AC45" s="15"/>
      <c r="AD45" s="15"/>
      <c r="AE45" s="15"/>
      <c r="AF45" s="15"/>
      <c r="AG45" s="43"/>
      <c r="AH45" s="43"/>
      <c r="AI45" s="15"/>
      <c r="AJ45" s="15"/>
      <c r="AK45" s="43"/>
      <c r="AL45" s="15"/>
      <c r="AM45" s="15"/>
    </row>
    <row r="46" spans="1:39" s="14" customFormat="1" ht="41.25" customHeight="1">
      <c r="B46" s="18"/>
      <c r="C46" s="57" t="s">
        <v>134</v>
      </c>
      <c r="D46" s="18" t="s">
        <v>7</v>
      </c>
      <c r="E46" s="18"/>
      <c r="F46" s="15"/>
      <c r="G46" s="19"/>
      <c r="H46" s="19"/>
      <c r="I46" s="19"/>
      <c r="J46" s="43"/>
      <c r="K46" s="43"/>
      <c r="L46" s="15"/>
      <c r="M46" s="15"/>
      <c r="N46" s="15"/>
      <c r="O46" s="15"/>
      <c r="P46" s="15"/>
      <c r="Q46" s="43"/>
      <c r="R46" s="43"/>
      <c r="S46" s="43"/>
      <c r="T46" s="15"/>
      <c r="U46" s="15"/>
      <c r="V46" s="15"/>
      <c r="W46" s="15"/>
      <c r="X46" s="43"/>
      <c r="Y46" s="15"/>
      <c r="Z46" s="15"/>
      <c r="AA46" s="15"/>
      <c r="AB46" s="43"/>
      <c r="AC46" s="15"/>
      <c r="AD46" s="15"/>
      <c r="AE46" s="15"/>
      <c r="AF46" s="15"/>
      <c r="AG46" s="43"/>
      <c r="AH46" s="43"/>
      <c r="AI46" s="15"/>
      <c r="AJ46" s="15"/>
      <c r="AK46" s="43"/>
      <c r="AL46" s="15"/>
      <c r="AM46" s="15"/>
    </row>
    <row r="47" spans="1:39" s="14" customFormat="1" ht="41.25" customHeight="1">
      <c r="B47" s="18"/>
      <c r="C47" s="57" t="s">
        <v>134</v>
      </c>
      <c r="D47" s="18" t="s">
        <v>7</v>
      </c>
      <c r="E47" s="18"/>
      <c r="F47" s="15"/>
      <c r="G47" s="19"/>
      <c r="H47" s="19"/>
      <c r="I47" s="19"/>
      <c r="J47" s="44"/>
      <c r="K47" s="44"/>
      <c r="L47" s="19"/>
      <c r="M47" s="19"/>
      <c r="N47" s="19"/>
      <c r="O47" s="19"/>
      <c r="P47" s="19"/>
      <c r="Q47" s="44"/>
      <c r="R47" s="44"/>
      <c r="S47" s="44"/>
      <c r="T47" s="19"/>
      <c r="U47" s="19"/>
      <c r="V47" s="19"/>
      <c r="W47" s="19"/>
      <c r="X47" s="44"/>
      <c r="Y47" s="19"/>
      <c r="Z47" s="19"/>
      <c r="AA47" s="19"/>
      <c r="AB47" s="44"/>
      <c r="AC47" s="19"/>
      <c r="AD47" s="19"/>
      <c r="AE47" s="19"/>
      <c r="AF47" s="19"/>
      <c r="AG47" s="44"/>
      <c r="AH47" s="44"/>
      <c r="AI47" s="19"/>
      <c r="AJ47" s="19"/>
      <c r="AK47" s="43"/>
      <c r="AL47" s="19"/>
      <c r="AM47" s="19"/>
    </row>
    <row r="48" spans="1:39" s="14" customFormat="1" ht="41.25" customHeight="1">
      <c r="B48" s="18"/>
      <c r="C48" s="57" t="str">
        <f t="shared" ref="C48:C106" si="4">IF(B48="","",MONTH(B48))</f>
        <v/>
      </c>
      <c r="D48" s="18" t="s">
        <v>7</v>
      </c>
      <c r="E48" s="18"/>
      <c r="F48" s="15"/>
      <c r="G48" s="19"/>
      <c r="H48" s="19"/>
      <c r="I48" s="19"/>
      <c r="J48" s="43"/>
      <c r="K48" s="43"/>
      <c r="L48" s="15"/>
      <c r="M48" s="15"/>
      <c r="N48" s="15"/>
      <c r="O48" s="15"/>
      <c r="P48" s="15"/>
      <c r="Q48" s="43"/>
      <c r="R48" s="43"/>
      <c r="S48" s="43"/>
      <c r="T48" s="15"/>
      <c r="U48" s="15"/>
      <c r="V48" s="15"/>
      <c r="W48" s="15"/>
      <c r="X48" s="43"/>
      <c r="Y48" s="15"/>
      <c r="Z48" s="15"/>
      <c r="AA48" s="15"/>
      <c r="AB48" s="43"/>
      <c r="AC48" s="15"/>
      <c r="AD48" s="15"/>
      <c r="AE48" s="15"/>
      <c r="AF48" s="15"/>
      <c r="AG48" s="43"/>
      <c r="AH48" s="43"/>
      <c r="AI48" s="15"/>
      <c r="AJ48" s="15"/>
      <c r="AK48" s="44"/>
      <c r="AL48" s="15"/>
      <c r="AM48" s="15"/>
    </row>
    <row r="49" spans="2:39" s="14" customFormat="1" ht="41.25" customHeight="1">
      <c r="B49" s="18"/>
      <c r="C49" s="57" t="str">
        <f t="shared" si="4"/>
        <v/>
      </c>
      <c r="D49" s="18" t="s">
        <v>7</v>
      </c>
      <c r="E49" s="18"/>
      <c r="F49" s="15"/>
      <c r="G49" s="19"/>
      <c r="H49" s="19"/>
      <c r="I49" s="19"/>
      <c r="J49" s="43"/>
      <c r="K49" s="43"/>
      <c r="L49" s="15"/>
      <c r="M49" s="15"/>
      <c r="N49" s="15"/>
      <c r="O49" s="15"/>
      <c r="P49" s="15"/>
      <c r="Q49" s="43"/>
      <c r="R49" s="43"/>
      <c r="S49" s="43"/>
      <c r="T49" s="15"/>
      <c r="U49" s="15"/>
      <c r="V49" s="15"/>
      <c r="W49" s="15"/>
      <c r="X49" s="43"/>
      <c r="Y49" s="15"/>
      <c r="Z49" s="15"/>
      <c r="AA49" s="15"/>
      <c r="AB49" s="43"/>
      <c r="AC49" s="15"/>
      <c r="AD49" s="15"/>
      <c r="AE49" s="15"/>
      <c r="AF49" s="15"/>
      <c r="AG49" s="43"/>
      <c r="AH49" s="43"/>
      <c r="AI49" s="15"/>
      <c r="AJ49" s="15"/>
      <c r="AK49" s="43"/>
      <c r="AL49" s="15"/>
      <c r="AM49" s="72"/>
    </row>
    <row r="50" spans="2:39" s="14" customFormat="1" ht="41.25" customHeight="1">
      <c r="B50" s="18"/>
      <c r="C50" s="57" t="str">
        <f t="shared" si="4"/>
        <v/>
      </c>
      <c r="D50" s="18" t="s">
        <v>7</v>
      </c>
      <c r="E50" s="18"/>
      <c r="F50" s="15"/>
      <c r="G50" s="19"/>
      <c r="H50" s="19"/>
      <c r="I50" s="19"/>
      <c r="J50" s="44"/>
      <c r="K50" s="44"/>
      <c r="L50" s="19"/>
      <c r="M50" s="19"/>
      <c r="N50" s="19"/>
      <c r="O50" s="19"/>
      <c r="P50" s="19"/>
      <c r="Q50" s="44"/>
      <c r="R50" s="44"/>
      <c r="S50" s="44"/>
      <c r="T50" s="19"/>
      <c r="U50" s="19"/>
      <c r="V50" s="19"/>
      <c r="W50" s="19"/>
      <c r="X50" s="44"/>
      <c r="Y50" s="19"/>
      <c r="Z50" s="19"/>
      <c r="AA50" s="19"/>
      <c r="AB50" s="44"/>
      <c r="AC50" s="19"/>
      <c r="AD50" s="19"/>
      <c r="AE50" s="19"/>
      <c r="AF50" s="19"/>
      <c r="AG50" s="44"/>
      <c r="AH50" s="44"/>
      <c r="AI50" s="19"/>
      <c r="AJ50" s="19"/>
      <c r="AK50" s="43"/>
      <c r="AL50" s="19"/>
      <c r="AM50" s="19"/>
    </row>
    <row r="51" spans="2:39" s="14" customFormat="1" ht="41.25" customHeight="1">
      <c r="B51" s="18"/>
      <c r="C51" s="57" t="str">
        <f t="shared" si="4"/>
        <v/>
      </c>
      <c r="D51" s="18" t="s">
        <v>7</v>
      </c>
      <c r="E51" s="18"/>
      <c r="F51" s="15"/>
      <c r="G51" s="19"/>
      <c r="H51" s="19"/>
      <c r="I51" s="19"/>
      <c r="J51" s="44"/>
      <c r="K51" s="44"/>
      <c r="L51" s="19"/>
      <c r="M51" s="19"/>
      <c r="N51" s="19"/>
      <c r="O51" s="19"/>
      <c r="P51" s="19"/>
      <c r="Q51" s="44"/>
      <c r="R51" s="44"/>
      <c r="S51" s="44"/>
      <c r="T51" s="19"/>
      <c r="U51" s="19"/>
      <c r="V51" s="19"/>
      <c r="W51" s="19"/>
      <c r="X51" s="44"/>
      <c r="Y51" s="19"/>
      <c r="Z51" s="19"/>
      <c r="AA51" s="19"/>
      <c r="AB51" s="44"/>
      <c r="AC51" s="19"/>
      <c r="AD51" s="19"/>
      <c r="AE51" s="19"/>
      <c r="AF51" s="19"/>
      <c r="AG51" s="44"/>
      <c r="AH51" s="44"/>
      <c r="AI51" s="19"/>
      <c r="AJ51" s="19"/>
      <c r="AK51" s="44"/>
      <c r="AL51" s="19"/>
      <c r="AM51" s="19"/>
    </row>
    <row r="52" spans="2:39" s="14" customFormat="1" ht="41.25" customHeight="1">
      <c r="B52" s="18"/>
      <c r="C52" s="57" t="str">
        <f t="shared" si="4"/>
        <v/>
      </c>
      <c r="D52" s="18" t="e">
        <f>VLOOKUP(F52,LOOKUP!$C$2:$C$8,2,0)</f>
        <v>#N/A</v>
      </c>
      <c r="E52" s="18"/>
      <c r="F52" s="15"/>
      <c r="G52" s="19"/>
      <c r="H52" s="19"/>
      <c r="I52" s="19"/>
      <c r="J52" s="43"/>
      <c r="K52" s="43"/>
      <c r="L52" s="15"/>
      <c r="M52" s="15"/>
      <c r="N52" s="15"/>
      <c r="O52" s="15"/>
      <c r="P52" s="15"/>
      <c r="Q52" s="43"/>
      <c r="R52" s="43"/>
      <c r="S52" s="43"/>
      <c r="T52" s="15"/>
      <c r="U52" s="15"/>
      <c r="V52" s="15"/>
      <c r="W52" s="15"/>
      <c r="X52" s="43"/>
      <c r="Y52" s="15"/>
      <c r="Z52" s="15"/>
      <c r="AA52" s="15"/>
      <c r="AB52" s="43"/>
      <c r="AC52" s="15"/>
      <c r="AD52" s="15"/>
      <c r="AE52" s="15"/>
      <c r="AF52" s="15"/>
      <c r="AG52" s="43"/>
      <c r="AH52" s="43"/>
      <c r="AI52" s="15"/>
      <c r="AJ52" s="15"/>
      <c r="AK52" s="44"/>
      <c r="AL52" s="15"/>
      <c r="AM52" s="15"/>
    </row>
    <row r="53" spans="2:39" s="14" customFormat="1" ht="41.25" customHeight="1">
      <c r="B53" s="18"/>
      <c r="C53" s="57" t="str">
        <f t="shared" si="4"/>
        <v/>
      </c>
      <c r="D53" s="18" t="e">
        <f>VLOOKUP(F53,LOOKUP!$C$2:$C$8,2,0)</f>
        <v>#N/A</v>
      </c>
      <c r="E53" s="18"/>
      <c r="F53" s="15"/>
      <c r="G53" s="19"/>
      <c r="H53" s="19"/>
      <c r="I53" s="19"/>
      <c r="J53" s="43"/>
      <c r="K53" s="43"/>
      <c r="L53" s="15"/>
      <c r="M53" s="15"/>
      <c r="N53" s="15"/>
      <c r="O53" s="15"/>
      <c r="P53" s="15"/>
      <c r="Q53" s="43"/>
      <c r="R53" s="43"/>
      <c r="S53" s="43"/>
      <c r="T53" s="15"/>
      <c r="U53" s="15"/>
      <c r="V53" s="15"/>
      <c r="W53" s="15"/>
      <c r="X53" s="43"/>
      <c r="Y53" s="15"/>
      <c r="Z53" s="15"/>
      <c r="AA53" s="15"/>
      <c r="AB53" s="43"/>
      <c r="AC53" s="15"/>
      <c r="AD53" s="15"/>
      <c r="AE53" s="15"/>
      <c r="AF53" s="15"/>
      <c r="AG53" s="43"/>
      <c r="AH53" s="43"/>
      <c r="AI53" s="15"/>
      <c r="AJ53" s="15"/>
      <c r="AK53" s="43"/>
      <c r="AL53" s="15"/>
      <c r="AM53" s="15"/>
    </row>
    <row r="54" spans="2:39" s="14" customFormat="1" ht="41.25" customHeight="1">
      <c r="B54" s="18"/>
      <c r="C54" s="57" t="str">
        <f t="shared" si="4"/>
        <v/>
      </c>
      <c r="D54" s="18" t="e">
        <f>VLOOKUP(F54,LOOKUP!$C$2:$C$8,2,0)</f>
        <v>#N/A</v>
      </c>
      <c r="E54" s="18"/>
      <c r="F54" s="15"/>
      <c r="G54" s="19"/>
      <c r="H54" s="19"/>
      <c r="I54" s="19"/>
      <c r="J54" s="44"/>
      <c r="K54" s="44"/>
      <c r="L54" s="19"/>
      <c r="M54" s="19"/>
      <c r="N54" s="19"/>
      <c r="O54" s="19"/>
      <c r="P54" s="19"/>
      <c r="Q54" s="44"/>
      <c r="R54" s="44"/>
      <c r="S54" s="44"/>
      <c r="T54" s="19"/>
      <c r="U54" s="19"/>
      <c r="V54" s="19"/>
      <c r="W54" s="19"/>
      <c r="X54" s="44"/>
      <c r="Y54" s="19"/>
      <c r="Z54" s="19"/>
      <c r="AA54" s="19"/>
      <c r="AB54" s="44"/>
      <c r="AC54" s="19"/>
      <c r="AD54" s="19"/>
      <c r="AE54" s="19"/>
      <c r="AF54" s="19"/>
      <c r="AG54" s="44"/>
      <c r="AH54" s="44"/>
      <c r="AI54" s="19"/>
      <c r="AJ54" s="19"/>
      <c r="AK54" s="43"/>
      <c r="AL54" s="19"/>
      <c r="AM54" s="19"/>
    </row>
    <row r="55" spans="2:39" s="14" customFormat="1" ht="41.25" customHeight="1">
      <c r="B55" s="18"/>
      <c r="C55" s="57" t="str">
        <f t="shared" si="4"/>
        <v/>
      </c>
      <c r="D55" s="18" t="e">
        <f>VLOOKUP(F55,LOOKUP!$C$2:$C$8,2,0)</f>
        <v>#N/A</v>
      </c>
      <c r="E55" s="18"/>
      <c r="F55" s="15"/>
      <c r="G55" s="19"/>
      <c r="H55" s="19"/>
      <c r="I55" s="19"/>
      <c r="J55" s="47"/>
      <c r="K55" s="47"/>
      <c r="L55" s="22"/>
      <c r="M55" s="22"/>
      <c r="N55" s="22"/>
      <c r="O55" s="22"/>
      <c r="P55" s="22"/>
      <c r="Q55" s="47"/>
      <c r="R55" s="47"/>
      <c r="S55" s="47"/>
      <c r="T55" s="22"/>
      <c r="U55" s="22"/>
      <c r="V55" s="22"/>
      <c r="W55" s="22"/>
      <c r="X55" s="47"/>
      <c r="Y55" s="22"/>
      <c r="Z55" s="22"/>
      <c r="AA55" s="22"/>
      <c r="AB55" s="47"/>
      <c r="AC55" s="22"/>
      <c r="AD55" s="22"/>
      <c r="AE55" s="22"/>
      <c r="AF55" s="22"/>
      <c r="AG55" s="47"/>
      <c r="AH55" s="47"/>
      <c r="AI55" s="22"/>
      <c r="AJ55" s="22"/>
      <c r="AK55" s="44"/>
      <c r="AL55" s="22"/>
      <c r="AM55" s="22"/>
    </row>
    <row r="56" spans="2:39" s="14" customFormat="1" ht="41.25" customHeight="1">
      <c r="B56" s="18"/>
      <c r="C56" s="57" t="str">
        <f t="shared" si="4"/>
        <v/>
      </c>
      <c r="D56" s="18" t="e">
        <f>VLOOKUP(F56,LOOKUP!$C$2:$C$8,2,0)</f>
        <v>#N/A</v>
      </c>
      <c r="E56" s="18"/>
      <c r="F56" s="15"/>
      <c r="G56" s="19"/>
      <c r="H56" s="19"/>
      <c r="I56" s="19"/>
      <c r="J56" s="47"/>
      <c r="K56" s="47"/>
      <c r="L56" s="22"/>
      <c r="M56" s="22"/>
      <c r="N56" s="22"/>
      <c r="O56" s="22"/>
      <c r="P56" s="22"/>
      <c r="Q56" s="47"/>
      <c r="R56" s="47"/>
      <c r="S56" s="47"/>
      <c r="T56" s="22"/>
      <c r="U56" s="22"/>
      <c r="V56" s="22"/>
      <c r="W56" s="22"/>
      <c r="X56" s="47"/>
      <c r="Y56" s="22"/>
      <c r="Z56" s="22"/>
      <c r="AA56" s="22"/>
      <c r="AB56" s="47"/>
      <c r="AC56" s="22"/>
      <c r="AD56" s="22"/>
      <c r="AE56" s="22"/>
      <c r="AF56" s="22"/>
      <c r="AG56" s="47"/>
      <c r="AH56" s="47"/>
      <c r="AI56" s="22"/>
      <c r="AJ56" s="22"/>
      <c r="AK56" s="47"/>
      <c r="AL56" s="22"/>
      <c r="AM56" s="22"/>
    </row>
    <row r="57" spans="2:39" s="14" customFormat="1" ht="41.25" customHeight="1">
      <c r="B57" s="18"/>
      <c r="C57" s="57" t="str">
        <f t="shared" si="4"/>
        <v/>
      </c>
      <c r="D57" s="18" t="e">
        <f>VLOOKUP(F57,LOOKUP!$C$2:$C$8,2,0)</f>
        <v>#N/A</v>
      </c>
      <c r="E57" s="18"/>
      <c r="F57" s="15"/>
      <c r="G57" s="19"/>
      <c r="H57" s="19"/>
      <c r="I57" s="19"/>
      <c r="J57" s="47"/>
      <c r="K57" s="47"/>
      <c r="L57" s="22"/>
      <c r="M57" s="22"/>
      <c r="N57" s="22"/>
      <c r="O57" s="22"/>
      <c r="P57" s="22"/>
      <c r="Q57" s="47"/>
      <c r="R57" s="47"/>
      <c r="S57" s="47"/>
      <c r="T57" s="22"/>
      <c r="U57" s="22"/>
      <c r="V57" s="22"/>
      <c r="W57" s="22"/>
      <c r="X57" s="47"/>
      <c r="Y57" s="22"/>
      <c r="Z57" s="22"/>
      <c r="AA57" s="22"/>
      <c r="AB57" s="47"/>
      <c r="AC57" s="22"/>
      <c r="AD57" s="22"/>
      <c r="AE57" s="22"/>
      <c r="AF57" s="22"/>
      <c r="AG57" s="47"/>
      <c r="AH57" s="47"/>
      <c r="AI57" s="22"/>
      <c r="AJ57" s="22"/>
      <c r="AK57" s="47"/>
      <c r="AL57" s="22"/>
      <c r="AM57" s="22"/>
    </row>
    <row r="58" spans="2:39" s="14" customFormat="1" ht="41.25" customHeight="1">
      <c r="B58" s="18"/>
      <c r="C58" s="57" t="str">
        <f t="shared" si="4"/>
        <v/>
      </c>
      <c r="D58" s="18" t="e">
        <f>VLOOKUP(F58,LOOKUP!$C$2:$C$8,2,0)</f>
        <v>#N/A</v>
      </c>
      <c r="E58" s="18"/>
      <c r="F58" s="15"/>
      <c r="G58" s="19"/>
      <c r="H58" s="19"/>
      <c r="I58" s="19"/>
      <c r="J58" s="47"/>
      <c r="K58" s="47"/>
      <c r="L58" s="22"/>
      <c r="M58" s="22"/>
      <c r="N58" s="22"/>
      <c r="O58" s="22"/>
      <c r="P58" s="22"/>
      <c r="Q58" s="47"/>
      <c r="R58" s="47"/>
      <c r="S58" s="47"/>
      <c r="T58" s="22"/>
      <c r="U58" s="22"/>
      <c r="V58" s="22"/>
      <c r="W58" s="22"/>
      <c r="X58" s="47"/>
      <c r="Y58" s="22"/>
      <c r="Z58" s="22"/>
      <c r="AA58" s="22"/>
      <c r="AB58" s="47"/>
      <c r="AC58" s="22"/>
      <c r="AD58" s="22"/>
      <c r="AE58" s="22"/>
      <c r="AF58" s="22"/>
      <c r="AG58" s="47"/>
      <c r="AH58" s="47"/>
      <c r="AI58" s="22"/>
      <c r="AJ58" s="22"/>
      <c r="AK58" s="47"/>
      <c r="AL58" s="22"/>
      <c r="AM58" s="22"/>
    </row>
    <row r="59" spans="2:39" s="14" customFormat="1" ht="41.25" customHeight="1">
      <c r="B59" s="18"/>
      <c r="C59" s="57" t="str">
        <f t="shared" si="4"/>
        <v/>
      </c>
      <c r="D59" s="18" t="e">
        <f>VLOOKUP(F59,LOOKUP!$C$2:$C$8,2,0)</f>
        <v>#N/A</v>
      </c>
      <c r="E59" s="18"/>
      <c r="F59" s="15"/>
      <c r="G59" s="19"/>
      <c r="H59" s="19"/>
      <c r="I59" s="19"/>
      <c r="J59" s="47"/>
      <c r="K59" s="47"/>
      <c r="L59" s="22"/>
      <c r="M59" s="22"/>
      <c r="N59" s="22"/>
      <c r="O59" s="22"/>
      <c r="P59" s="22"/>
      <c r="Q59" s="47"/>
      <c r="R59" s="47"/>
      <c r="S59" s="47"/>
      <c r="T59" s="22"/>
      <c r="U59" s="22"/>
      <c r="V59" s="22"/>
      <c r="W59" s="22"/>
      <c r="X59" s="47"/>
      <c r="Y59" s="22"/>
      <c r="Z59" s="22"/>
      <c r="AA59" s="22"/>
      <c r="AB59" s="47"/>
      <c r="AC59" s="22"/>
      <c r="AD59" s="22"/>
      <c r="AE59" s="22"/>
      <c r="AF59" s="22"/>
      <c r="AG59" s="47"/>
      <c r="AH59" s="47"/>
      <c r="AI59" s="22"/>
      <c r="AJ59" s="22"/>
      <c r="AK59" s="47"/>
      <c r="AL59" s="22"/>
      <c r="AM59" s="22"/>
    </row>
    <row r="60" spans="2:39" s="14" customFormat="1" ht="41.25" customHeight="1">
      <c r="B60" s="18"/>
      <c r="C60" s="57" t="str">
        <f t="shared" si="4"/>
        <v/>
      </c>
      <c r="D60" s="18" t="e">
        <f>VLOOKUP(F60,LOOKUP!$C$2:$C$8,2,0)</f>
        <v>#N/A</v>
      </c>
      <c r="E60" s="18"/>
      <c r="F60" s="15"/>
      <c r="G60" s="19"/>
      <c r="H60" s="19"/>
      <c r="I60" s="19"/>
      <c r="J60" s="43"/>
      <c r="K60" s="43"/>
      <c r="L60" s="15"/>
      <c r="M60" s="15"/>
      <c r="N60" s="15"/>
      <c r="O60" s="15"/>
      <c r="P60" s="15"/>
      <c r="Q60" s="43"/>
      <c r="R60" s="43"/>
      <c r="S60" s="43"/>
      <c r="T60" s="15"/>
      <c r="U60" s="15"/>
      <c r="V60" s="15"/>
      <c r="W60" s="15"/>
      <c r="X60" s="43"/>
      <c r="Y60" s="15"/>
      <c r="Z60" s="15"/>
      <c r="AA60" s="15"/>
      <c r="AB60" s="43"/>
      <c r="AC60" s="15"/>
      <c r="AD60" s="15"/>
      <c r="AE60" s="15"/>
      <c r="AF60" s="15"/>
      <c r="AG60" s="43"/>
      <c r="AH60" s="43"/>
      <c r="AI60" s="15"/>
      <c r="AJ60" s="15"/>
      <c r="AK60" s="47"/>
      <c r="AL60" s="15"/>
      <c r="AM60" s="15"/>
    </row>
    <row r="61" spans="2:39" s="14" customFormat="1" ht="41.25" customHeight="1">
      <c r="B61" s="18"/>
      <c r="C61" s="57" t="str">
        <f t="shared" si="4"/>
        <v/>
      </c>
      <c r="D61" s="18" t="e">
        <f>VLOOKUP(F61,LOOKUP!$C$2:$C$8,2,0)</f>
        <v>#N/A</v>
      </c>
      <c r="E61" s="18"/>
      <c r="F61" s="15"/>
      <c r="G61" s="19"/>
      <c r="H61" s="19"/>
      <c r="I61" s="19"/>
      <c r="J61" s="43"/>
      <c r="K61" s="43"/>
      <c r="L61" s="15"/>
      <c r="M61" s="15"/>
      <c r="N61" s="15"/>
      <c r="O61" s="15"/>
      <c r="P61" s="15"/>
      <c r="Q61" s="43"/>
      <c r="R61" s="43"/>
      <c r="S61" s="43"/>
      <c r="T61" s="15"/>
      <c r="U61" s="15"/>
      <c r="V61" s="15"/>
      <c r="W61" s="15"/>
      <c r="X61" s="43"/>
      <c r="Y61" s="15"/>
      <c r="Z61" s="15"/>
      <c r="AA61" s="15"/>
      <c r="AB61" s="43"/>
      <c r="AC61" s="15"/>
      <c r="AD61" s="15"/>
      <c r="AE61" s="15"/>
      <c r="AF61" s="15"/>
      <c r="AG61" s="43"/>
      <c r="AH61" s="43"/>
      <c r="AI61" s="15"/>
      <c r="AJ61" s="15"/>
      <c r="AK61" s="43"/>
      <c r="AL61" s="15"/>
      <c r="AM61" s="15"/>
    </row>
    <row r="62" spans="2:39" s="14" customFormat="1" ht="41.25" customHeight="1">
      <c r="B62" s="18"/>
      <c r="C62" s="57" t="str">
        <f t="shared" si="4"/>
        <v/>
      </c>
      <c r="D62" s="18" t="e">
        <f>VLOOKUP(F62,LOOKUP!$C$2:$C$8,2,0)</f>
        <v>#N/A</v>
      </c>
      <c r="E62" s="18"/>
      <c r="F62" s="15"/>
      <c r="G62" s="19"/>
      <c r="H62" s="19"/>
      <c r="I62" s="19"/>
      <c r="J62" s="43"/>
      <c r="K62" s="43"/>
      <c r="L62" s="15"/>
      <c r="M62" s="15"/>
      <c r="N62" s="15"/>
      <c r="O62" s="15"/>
      <c r="P62" s="15"/>
      <c r="Q62" s="43"/>
      <c r="R62" s="43"/>
      <c r="S62" s="43"/>
      <c r="T62" s="15"/>
      <c r="U62" s="15"/>
      <c r="V62" s="15"/>
      <c r="W62" s="15"/>
      <c r="X62" s="43"/>
      <c r="Y62" s="15"/>
      <c r="Z62" s="15"/>
      <c r="AA62" s="15"/>
      <c r="AB62" s="43"/>
      <c r="AC62" s="15"/>
      <c r="AD62" s="15"/>
      <c r="AE62" s="15"/>
      <c r="AF62" s="15"/>
      <c r="AG62" s="43"/>
      <c r="AH62" s="43"/>
      <c r="AI62" s="15"/>
      <c r="AJ62" s="15"/>
      <c r="AK62" s="43"/>
      <c r="AL62" s="15"/>
      <c r="AM62" s="15"/>
    </row>
    <row r="63" spans="2:39" s="14" customFormat="1" ht="41.25" customHeight="1">
      <c r="B63" s="18"/>
      <c r="C63" s="57" t="str">
        <f t="shared" si="4"/>
        <v/>
      </c>
      <c r="D63" s="18" t="e">
        <f>VLOOKUP(F63,LOOKUP!$C$2:$C$8,2,0)</f>
        <v>#N/A</v>
      </c>
      <c r="E63" s="18"/>
      <c r="F63" s="15"/>
      <c r="G63" s="19"/>
      <c r="H63" s="19"/>
      <c r="I63" s="19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43"/>
      <c r="AL63" s="15"/>
      <c r="AM63" s="15"/>
    </row>
    <row r="64" spans="2:39" s="14" customFormat="1" ht="41.25" customHeight="1">
      <c r="B64" s="18"/>
      <c r="C64" s="57" t="str">
        <f t="shared" si="4"/>
        <v/>
      </c>
      <c r="D64" s="18" t="e">
        <f>VLOOKUP(F64,LOOKUP!$C$2:$C$8,2,0)</f>
        <v>#N/A</v>
      </c>
      <c r="E64" s="18"/>
      <c r="F64" s="15"/>
      <c r="G64" s="19"/>
      <c r="H64" s="19"/>
      <c r="I64" s="19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</row>
    <row r="65" spans="2:39" s="14" customFormat="1" ht="41.25" customHeight="1">
      <c r="B65" s="18"/>
      <c r="C65" s="57" t="str">
        <f t="shared" si="4"/>
        <v/>
      </c>
      <c r="D65" s="18" t="e">
        <f>VLOOKUP(F65,LOOKUP!$C$2:$C$8,2,0)</f>
        <v>#N/A</v>
      </c>
      <c r="E65" s="18"/>
      <c r="F65" s="15"/>
      <c r="G65" s="19"/>
      <c r="H65" s="19"/>
      <c r="I65" s="19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</row>
    <row r="66" spans="2:39" s="14" customFormat="1" ht="41.25" customHeight="1">
      <c r="B66" s="18"/>
      <c r="C66" s="57" t="str">
        <f t="shared" si="4"/>
        <v/>
      </c>
      <c r="D66" s="18" t="e">
        <f>VLOOKUP(F66,LOOKUP!$C$2:$C$8,2,0)</f>
        <v>#N/A</v>
      </c>
      <c r="E66" s="18"/>
      <c r="F66" s="15"/>
      <c r="G66" s="19"/>
      <c r="H66" s="19"/>
      <c r="I66" s="19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15"/>
      <c r="AL66" s="22"/>
      <c r="AM66" s="22"/>
    </row>
    <row r="67" spans="2:39" s="14" customFormat="1" ht="41.25" customHeight="1">
      <c r="B67" s="18"/>
      <c r="C67" s="57" t="str">
        <f t="shared" si="4"/>
        <v/>
      </c>
      <c r="D67" s="18" t="e">
        <f>VLOOKUP(F67,LOOKUP!$C$2:$C$8,2,0)</f>
        <v>#N/A</v>
      </c>
      <c r="E67" s="18"/>
      <c r="F67" s="15"/>
      <c r="G67" s="19"/>
      <c r="H67" s="19"/>
      <c r="I67" s="19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</row>
    <row r="68" spans="2:39" s="14" customFormat="1" ht="41.25" customHeight="1">
      <c r="B68" s="18"/>
      <c r="C68" s="57" t="str">
        <f t="shared" si="4"/>
        <v/>
      </c>
      <c r="D68" s="18" t="e">
        <f>VLOOKUP(F68,LOOKUP!$C$2:$C$8,2,0)</f>
        <v>#N/A</v>
      </c>
      <c r="E68" s="18"/>
      <c r="F68" s="15"/>
      <c r="G68" s="19"/>
      <c r="H68" s="19"/>
      <c r="I68" s="19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22"/>
      <c r="AL68" s="15"/>
      <c r="AM68" s="15"/>
    </row>
    <row r="69" spans="2:39" s="14" customFormat="1" ht="41.25" customHeight="1">
      <c r="B69" s="18"/>
      <c r="C69" s="57" t="str">
        <f t="shared" si="4"/>
        <v/>
      </c>
      <c r="D69" s="18" t="e">
        <f>VLOOKUP(F69,LOOKUP!$C$2:$C$8,2,0)</f>
        <v>#N/A</v>
      </c>
      <c r="E69" s="18"/>
      <c r="F69" s="15"/>
      <c r="G69" s="19"/>
      <c r="H69" s="19"/>
      <c r="I69" s="19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</row>
    <row r="70" spans="2:39" s="14" customFormat="1" ht="41.25" customHeight="1">
      <c r="B70" s="18"/>
      <c r="C70" s="57" t="str">
        <f t="shared" si="4"/>
        <v/>
      </c>
      <c r="D70" s="18" t="e">
        <f>VLOOKUP(F70,LOOKUP!$C$2:$C$8,2,0)</f>
        <v>#N/A</v>
      </c>
      <c r="E70" s="18"/>
      <c r="F70" s="15"/>
      <c r="G70" s="19"/>
      <c r="H70" s="19"/>
      <c r="I70" s="19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</row>
    <row r="71" spans="2:39" s="14" customFormat="1" ht="41.25" customHeight="1">
      <c r="B71" s="18"/>
      <c r="C71" s="57" t="str">
        <f t="shared" si="4"/>
        <v/>
      </c>
      <c r="D71" s="18" t="e">
        <f>VLOOKUP(F71,LOOKUP!$C$2:$C$8,2,0)</f>
        <v>#N/A</v>
      </c>
      <c r="E71" s="18"/>
      <c r="F71" s="15"/>
      <c r="G71" s="19"/>
      <c r="H71" s="19"/>
      <c r="I71" s="19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</row>
    <row r="72" spans="2:39" ht="41.25" customHeight="1">
      <c r="B72" s="18"/>
      <c r="C72" s="57" t="str">
        <f t="shared" si="4"/>
        <v/>
      </c>
      <c r="D72" s="18" t="e">
        <f>VLOOKUP(F72,LOOKUP!$C$2:$C$8,2,0)</f>
        <v>#N/A</v>
      </c>
      <c r="E72" s="18"/>
      <c r="F72" s="15"/>
      <c r="G72" s="19"/>
      <c r="H72" s="19"/>
      <c r="I72" s="19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</row>
    <row r="73" spans="2:39" ht="41.25" customHeight="1">
      <c r="B73" s="18"/>
      <c r="C73" s="57" t="str">
        <f t="shared" si="4"/>
        <v/>
      </c>
      <c r="D73" s="18" t="e">
        <f>VLOOKUP(F73,LOOKUP!$C$2:$C$8,2,0)</f>
        <v>#N/A</v>
      </c>
      <c r="E73" s="18"/>
      <c r="F73" s="15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5"/>
      <c r="AL73" s="19"/>
      <c r="AM73" s="19"/>
    </row>
    <row r="74" spans="2:39" ht="41.25" customHeight="1">
      <c r="B74" s="18"/>
      <c r="C74" s="57" t="str">
        <f t="shared" si="4"/>
        <v/>
      </c>
      <c r="D74" s="18" t="e">
        <f>VLOOKUP(F74,LOOKUP!$C$2:$C$8,2,0)</f>
        <v>#N/A</v>
      </c>
      <c r="E74" s="18"/>
      <c r="F74" s="15"/>
      <c r="G74" s="19"/>
      <c r="H74" s="19"/>
      <c r="I74" s="19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9"/>
      <c r="AL74" s="15"/>
      <c r="AM74" s="15"/>
    </row>
    <row r="75" spans="2:39" ht="41.25" customHeight="1">
      <c r="B75" s="18"/>
      <c r="C75" s="57" t="str">
        <f t="shared" si="4"/>
        <v/>
      </c>
      <c r="D75" s="18" t="e">
        <f>VLOOKUP(F75,LOOKUP!$C$2:$C$8,2,0)</f>
        <v>#N/A</v>
      </c>
      <c r="E75" s="18"/>
      <c r="F75" s="15"/>
      <c r="G75" s="19"/>
      <c r="H75" s="19"/>
      <c r="I75" s="19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</row>
    <row r="76" spans="2:39" ht="41.25" customHeight="1">
      <c r="B76" s="18"/>
      <c r="C76" s="57" t="str">
        <f t="shared" si="4"/>
        <v/>
      </c>
      <c r="D76" s="18" t="e">
        <f>VLOOKUP(F76,LOOKUP!$C$2:$C$8,2,0)</f>
        <v>#N/A</v>
      </c>
      <c r="E76" s="18"/>
      <c r="F76" s="15"/>
      <c r="G76" s="19"/>
      <c r="H76" s="19"/>
      <c r="I76" s="19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</row>
    <row r="77" spans="2:39" ht="41.25" customHeight="1">
      <c r="B77" s="18"/>
      <c r="C77" s="57" t="str">
        <f t="shared" si="4"/>
        <v/>
      </c>
      <c r="D77" s="18" t="e">
        <f>VLOOKUP(F77,LOOKUP!$C$2:$C$8,2,0)</f>
        <v>#N/A</v>
      </c>
      <c r="E77" s="18"/>
      <c r="F77" s="15"/>
      <c r="G77" s="19"/>
      <c r="H77" s="19"/>
      <c r="I77" s="19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</row>
    <row r="78" spans="2:39" ht="41.25" customHeight="1">
      <c r="B78" s="18"/>
      <c r="C78" s="57" t="str">
        <f t="shared" si="4"/>
        <v/>
      </c>
      <c r="D78" s="18" t="e">
        <f>VLOOKUP(F78,LOOKUP!$C$2:$C$8,2,0)</f>
        <v>#N/A</v>
      </c>
      <c r="E78" s="18"/>
      <c r="F78" s="15"/>
      <c r="G78" s="19"/>
      <c r="H78" s="19"/>
      <c r="I78" s="19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</row>
    <row r="79" spans="2:39" ht="41.25" customHeight="1">
      <c r="B79" s="21"/>
      <c r="C79" s="57" t="str">
        <f t="shared" si="4"/>
        <v/>
      </c>
      <c r="D79" s="18" t="e">
        <f>VLOOKUP(F79,LOOKUP!$C$2:$C$8,2,0)</f>
        <v>#N/A</v>
      </c>
      <c r="E79" s="18"/>
      <c r="F79" s="15"/>
      <c r="G79" s="19"/>
      <c r="H79" s="19"/>
      <c r="I79" s="19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15"/>
      <c r="AL79" s="22"/>
      <c r="AM79" s="22"/>
    </row>
    <row r="80" spans="2:39" ht="41.25" customHeight="1">
      <c r="B80" s="21"/>
      <c r="C80" s="57" t="str">
        <f t="shared" si="4"/>
        <v/>
      </c>
      <c r="D80" s="18" t="e">
        <f>VLOOKUP(F80,LOOKUP!$C$2:$C$8,2,0)</f>
        <v>#N/A</v>
      </c>
      <c r="E80" s="18"/>
      <c r="F80" s="15"/>
      <c r="G80" s="19"/>
      <c r="H80" s="19"/>
      <c r="I80" s="19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</row>
    <row r="81" spans="2:39" ht="41.25" customHeight="1">
      <c r="B81" s="21"/>
      <c r="C81" s="57" t="str">
        <f t="shared" si="4"/>
        <v/>
      </c>
      <c r="D81" s="18" t="e">
        <f>VLOOKUP(F81,LOOKUP!$C$2:$C$8,2,0)</f>
        <v>#N/A</v>
      </c>
      <c r="E81" s="18"/>
      <c r="F81" s="15"/>
      <c r="G81" s="19"/>
      <c r="H81" s="19"/>
      <c r="I81" s="19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</row>
    <row r="82" spans="2:39" ht="41.25" customHeight="1">
      <c r="B82" s="21"/>
      <c r="C82" s="57" t="str">
        <f t="shared" si="4"/>
        <v/>
      </c>
      <c r="D82" s="18" t="e">
        <f>VLOOKUP(F82,LOOKUP!$C$2:$C$8,2,0)</f>
        <v>#N/A</v>
      </c>
      <c r="E82" s="18"/>
      <c r="F82" s="15"/>
      <c r="G82" s="19"/>
      <c r="H82" s="19"/>
      <c r="I82" s="19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</row>
    <row r="83" spans="2:39" ht="41.25" customHeight="1">
      <c r="B83" s="18"/>
      <c r="C83" s="57" t="str">
        <f t="shared" si="4"/>
        <v/>
      </c>
      <c r="D83" s="18" t="e">
        <f>VLOOKUP(F83,LOOKUP!$C$2:$C$8,2,0)</f>
        <v>#N/A</v>
      </c>
      <c r="E83" s="18"/>
      <c r="F83" s="15"/>
      <c r="G83" s="19"/>
      <c r="H83" s="19"/>
      <c r="I83" s="19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</row>
    <row r="84" spans="2:39" ht="41.25" customHeight="1">
      <c r="B84" s="18"/>
      <c r="C84" s="57" t="str">
        <f t="shared" si="4"/>
        <v/>
      </c>
      <c r="D84" s="18" t="e">
        <f>VLOOKUP(F84,LOOKUP!$C$2:$C$8,2,0)</f>
        <v>#N/A</v>
      </c>
      <c r="E84" s="18"/>
      <c r="F84" s="15"/>
      <c r="G84" s="19"/>
      <c r="H84" s="19"/>
      <c r="I84" s="19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</row>
    <row r="85" spans="2:39" ht="41.25" customHeight="1">
      <c r="B85" s="18"/>
      <c r="C85" s="57" t="str">
        <f t="shared" si="4"/>
        <v/>
      </c>
      <c r="D85" s="18" t="e">
        <f>VLOOKUP(F85,LOOKUP!$C$2:$C$8,2,0)</f>
        <v>#N/A</v>
      </c>
      <c r="E85" s="18"/>
      <c r="F85" s="15"/>
      <c r="G85" s="19"/>
      <c r="H85" s="19"/>
      <c r="I85" s="19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</row>
    <row r="86" spans="2:39" ht="41.25" customHeight="1">
      <c r="B86" s="18"/>
      <c r="C86" s="57" t="str">
        <f t="shared" si="4"/>
        <v/>
      </c>
      <c r="D86" s="18" t="e">
        <f>VLOOKUP(F86,LOOKUP!$C$2:$C$8,2,0)</f>
        <v>#N/A</v>
      </c>
      <c r="E86" s="18"/>
      <c r="F86" s="15"/>
      <c r="G86" s="19"/>
      <c r="H86" s="19"/>
      <c r="I86" s="19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</row>
    <row r="87" spans="2:39" ht="41.25" customHeight="1">
      <c r="B87" s="18"/>
      <c r="C87" s="57" t="str">
        <f t="shared" si="4"/>
        <v/>
      </c>
      <c r="D87" s="18" t="e">
        <f>VLOOKUP(F87,LOOKUP!$C$2:$C$8,2,0)</f>
        <v>#N/A</v>
      </c>
      <c r="E87" s="18"/>
      <c r="F87" s="15"/>
      <c r="G87" s="19"/>
      <c r="H87" s="19"/>
      <c r="I87" s="19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</row>
    <row r="88" spans="2:39" ht="41.25" customHeight="1">
      <c r="B88" s="21"/>
      <c r="C88" s="57" t="str">
        <f t="shared" si="4"/>
        <v/>
      </c>
      <c r="D88" s="18" t="e">
        <f>VLOOKUP(F88,LOOKUP!$C$2:$C$8,2,0)</f>
        <v>#N/A</v>
      </c>
      <c r="E88" s="18"/>
      <c r="F88" s="15"/>
      <c r="G88" s="19"/>
      <c r="H88" s="19"/>
      <c r="I88" s="19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</row>
    <row r="89" spans="2:39" ht="41.25" customHeight="1">
      <c r="B89" s="21"/>
      <c r="C89" s="57" t="str">
        <f t="shared" si="4"/>
        <v/>
      </c>
      <c r="D89" s="18" t="e">
        <f>VLOOKUP(F89,LOOKUP!$C$2:$C$8,2,0)</f>
        <v>#N/A</v>
      </c>
      <c r="E89" s="18"/>
      <c r="F89" s="15"/>
      <c r="G89" s="19"/>
      <c r="H89" s="19"/>
      <c r="I89" s="19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</row>
    <row r="90" spans="2:39" ht="41.25" customHeight="1">
      <c r="B90" s="21"/>
      <c r="C90" s="57" t="str">
        <f t="shared" si="4"/>
        <v/>
      </c>
      <c r="D90" s="18" t="e">
        <f>VLOOKUP(F90,LOOKUP!$C$2:$C$8,2,0)</f>
        <v>#N/A</v>
      </c>
      <c r="E90" s="18"/>
      <c r="F90" s="15"/>
      <c r="G90" s="19"/>
      <c r="H90" s="19"/>
      <c r="I90" s="19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</row>
    <row r="91" spans="2:39" ht="41.25" customHeight="1">
      <c r="B91" s="21"/>
      <c r="C91" s="57" t="str">
        <f t="shared" si="4"/>
        <v/>
      </c>
      <c r="D91" s="18" t="e">
        <f>VLOOKUP(F91,LOOKUP!$C$2:$C$8,2,0)</f>
        <v>#N/A</v>
      </c>
      <c r="E91" s="18"/>
      <c r="F91" s="15"/>
      <c r="G91" s="19"/>
      <c r="H91" s="19"/>
      <c r="I91" s="19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</row>
    <row r="92" spans="2:39" ht="41.25" customHeight="1">
      <c r="B92" s="21"/>
      <c r="C92" s="57" t="str">
        <f t="shared" si="4"/>
        <v/>
      </c>
      <c r="D92" s="18" t="e">
        <f>VLOOKUP(F92,LOOKUP!$C$2:$C$8,2,0)</f>
        <v>#N/A</v>
      </c>
      <c r="E92" s="18"/>
      <c r="F92" s="15"/>
      <c r="G92" s="19"/>
      <c r="H92" s="19"/>
      <c r="I92" s="19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</row>
    <row r="93" spans="2:39" ht="41.25" customHeight="1">
      <c r="B93" s="21"/>
      <c r="C93" s="57" t="str">
        <f t="shared" si="4"/>
        <v/>
      </c>
      <c r="D93" s="18" t="e">
        <f>VLOOKUP(F93,LOOKUP!$C$2:$C$8,2,0)</f>
        <v>#N/A</v>
      </c>
      <c r="E93" s="18"/>
      <c r="F93" s="15"/>
      <c r="G93" s="19"/>
      <c r="H93" s="19"/>
      <c r="I93" s="19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</row>
    <row r="94" spans="2:39" ht="41.25" customHeight="1">
      <c r="B94" s="21"/>
      <c r="C94" s="57" t="str">
        <f t="shared" si="4"/>
        <v/>
      </c>
      <c r="D94" s="18" t="e">
        <f>VLOOKUP(F94,LOOKUP!$C$2:$C$8,2,0)</f>
        <v>#N/A</v>
      </c>
      <c r="E94" s="18"/>
      <c r="F94" s="15"/>
      <c r="G94" s="19"/>
      <c r="H94" s="19"/>
      <c r="I94" s="19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</row>
    <row r="95" spans="2:39" ht="41.25" customHeight="1">
      <c r="B95" s="21"/>
      <c r="C95" s="57" t="str">
        <f t="shared" si="4"/>
        <v/>
      </c>
      <c r="D95" s="18" t="e">
        <f>VLOOKUP(F95,LOOKUP!$C$2:$C$8,2,0)</f>
        <v>#N/A</v>
      </c>
      <c r="E95" s="18"/>
      <c r="F95" s="15"/>
      <c r="G95" s="19"/>
      <c r="H95" s="19"/>
      <c r="I95" s="19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</row>
    <row r="96" spans="2:39" ht="41.25" customHeight="1">
      <c r="B96" s="21"/>
      <c r="C96" s="57" t="str">
        <f t="shared" si="4"/>
        <v/>
      </c>
      <c r="D96" s="18" t="e">
        <f>VLOOKUP(F96,LOOKUP!$C$2:$C$8,2,0)</f>
        <v>#N/A</v>
      </c>
      <c r="E96" s="18"/>
      <c r="F96" s="15"/>
      <c r="G96" s="19"/>
      <c r="H96" s="19"/>
      <c r="I96" s="19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</row>
    <row r="97" spans="2:39" ht="41.25" customHeight="1">
      <c r="B97" s="18"/>
      <c r="C97" s="57" t="str">
        <f t="shared" si="4"/>
        <v/>
      </c>
      <c r="D97" s="18" t="e">
        <f>VLOOKUP(F97,LOOKUP!$C$2:$C$8,2,0)</f>
        <v>#N/A</v>
      </c>
      <c r="E97" s="18"/>
      <c r="F97" s="15"/>
      <c r="G97" s="19"/>
      <c r="H97" s="19"/>
      <c r="I97" s="19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</row>
    <row r="98" spans="2:39" ht="41.25" customHeight="1">
      <c r="B98" s="18"/>
      <c r="C98" s="57" t="str">
        <f t="shared" si="4"/>
        <v/>
      </c>
      <c r="D98" s="18" t="e">
        <f>VLOOKUP(F98,LOOKUP!$C$2:$C$8,2,0)</f>
        <v>#N/A</v>
      </c>
      <c r="E98" s="18"/>
      <c r="F98" s="15"/>
      <c r="G98" s="19"/>
      <c r="H98" s="19"/>
      <c r="I98" s="19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</row>
    <row r="99" spans="2:39" ht="41.25" customHeight="1">
      <c r="B99" s="21"/>
      <c r="C99" s="57" t="str">
        <f t="shared" si="4"/>
        <v/>
      </c>
      <c r="D99" s="18" t="e">
        <f>VLOOKUP(F99,LOOKUP!$C$2:$C$8,2,0)</f>
        <v>#N/A</v>
      </c>
      <c r="E99" s="18"/>
      <c r="F99" s="15"/>
      <c r="G99" s="19"/>
      <c r="H99" s="19"/>
      <c r="I99" s="19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</row>
    <row r="100" spans="2:39" ht="41.25" customHeight="1">
      <c r="B100" s="21"/>
      <c r="C100" s="57" t="str">
        <f t="shared" si="4"/>
        <v/>
      </c>
      <c r="D100" s="18" t="e">
        <f>VLOOKUP(F100,LOOKUP!$C$2:$C$8,2,0)</f>
        <v>#N/A</v>
      </c>
      <c r="E100" s="18"/>
      <c r="F100" s="15"/>
      <c r="G100" s="19"/>
      <c r="H100" s="19"/>
      <c r="I100" s="19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</row>
    <row r="101" spans="2:39" ht="41.25" customHeight="1">
      <c r="B101" s="21"/>
      <c r="C101" s="57" t="str">
        <f t="shared" si="4"/>
        <v/>
      </c>
      <c r="D101" s="18" t="e">
        <f>VLOOKUP(F101,LOOKUP!$C$2:$C$8,2,0)</f>
        <v>#N/A</v>
      </c>
      <c r="E101" s="18"/>
      <c r="F101" s="15"/>
      <c r="G101" s="19"/>
      <c r="H101" s="19"/>
      <c r="I101" s="19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</row>
    <row r="102" spans="2:39" ht="41.25" customHeight="1">
      <c r="B102" s="21"/>
      <c r="C102" s="57" t="str">
        <f t="shared" si="4"/>
        <v/>
      </c>
      <c r="D102" s="18" t="e">
        <f>VLOOKUP(F102,LOOKUP!$C$2:$C$8,2,0)</f>
        <v>#N/A</v>
      </c>
      <c r="E102" s="18"/>
      <c r="F102" s="15"/>
      <c r="G102" s="19"/>
      <c r="H102" s="19"/>
      <c r="I102" s="19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</row>
    <row r="103" spans="2:39" ht="41.25" customHeight="1">
      <c r="B103" s="21"/>
      <c r="C103" s="57" t="str">
        <f t="shared" si="4"/>
        <v/>
      </c>
      <c r="D103" s="18" t="e">
        <f>VLOOKUP(F103,LOOKUP!$C$2:$C$8,2,0)</f>
        <v>#N/A</v>
      </c>
      <c r="E103" s="18"/>
      <c r="F103" s="15"/>
      <c r="G103" s="19"/>
      <c r="H103" s="19"/>
      <c r="I103" s="19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</row>
    <row r="104" spans="2:39" ht="41.25" customHeight="1">
      <c r="B104" s="18"/>
      <c r="C104" s="57" t="str">
        <f t="shared" si="4"/>
        <v/>
      </c>
      <c r="D104" s="18" t="e">
        <f>VLOOKUP(F104,LOOKUP!$C$2:$C$8,2,0)</f>
        <v>#N/A</v>
      </c>
      <c r="E104" s="18"/>
      <c r="F104" s="15"/>
      <c r="G104" s="19"/>
      <c r="H104" s="19"/>
      <c r="I104" s="19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</row>
    <row r="105" spans="2:39" ht="41.25" customHeight="1">
      <c r="B105" s="18"/>
      <c r="C105" s="57" t="str">
        <f t="shared" si="4"/>
        <v/>
      </c>
      <c r="D105" s="18" t="e">
        <f>VLOOKUP(F105,LOOKUP!$C$2:$C$8,2,0)</f>
        <v>#N/A</v>
      </c>
      <c r="E105" s="18"/>
      <c r="F105" s="15"/>
      <c r="G105" s="19"/>
      <c r="H105" s="19"/>
      <c r="I105" s="19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</row>
    <row r="106" spans="2:39" ht="41.25" customHeight="1">
      <c r="B106" s="21"/>
      <c r="C106" s="57" t="str">
        <f t="shared" si="4"/>
        <v/>
      </c>
      <c r="D106" s="18" t="e">
        <f>VLOOKUP(F106,LOOKUP!$C$2:$C$8,2,0)</f>
        <v>#N/A</v>
      </c>
      <c r="E106" s="18"/>
      <c r="F106" s="15"/>
      <c r="G106" s="19"/>
      <c r="H106" s="19"/>
      <c r="I106" s="19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</row>
    <row r="107" spans="2:39" ht="41.25" customHeight="1">
      <c r="B107" s="21"/>
      <c r="C107" s="57" t="str">
        <f t="shared" ref="C107:C170" si="5">IF(B107="","",MONTH(B107))</f>
        <v/>
      </c>
      <c r="D107" s="18" t="e">
        <f>VLOOKUP(F107,LOOKUP!$C$2:$C$8,2,0)</f>
        <v>#N/A</v>
      </c>
      <c r="E107" s="18"/>
      <c r="F107" s="15"/>
      <c r="G107" s="19"/>
      <c r="H107" s="19"/>
      <c r="I107" s="19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</row>
    <row r="108" spans="2:39" ht="41.25" customHeight="1">
      <c r="B108" s="18"/>
      <c r="C108" s="57" t="str">
        <f t="shared" si="5"/>
        <v/>
      </c>
      <c r="D108" s="18" t="e">
        <f>VLOOKUP(F108,LOOKUP!$C$2:$C$8,2,0)</f>
        <v>#N/A</v>
      </c>
      <c r="E108" s="18"/>
      <c r="F108" s="15"/>
      <c r="G108" s="19"/>
      <c r="H108" s="19"/>
      <c r="I108" s="19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</row>
    <row r="109" spans="2:39" ht="41.25" customHeight="1">
      <c r="B109" s="18"/>
      <c r="C109" s="57" t="str">
        <f t="shared" si="5"/>
        <v/>
      </c>
      <c r="D109" s="18" t="e">
        <f>VLOOKUP(F109,LOOKUP!$C$2:$C$8,2,0)</f>
        <v>#N/A</v>
      </c>
      <c r="E109" s="18"/>
      <c r="F109" s="15"/>
      <c r="G109" s="19"/>
      <c r="H109" s="19"/>
      <c r="I109" s="19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</row>
    <row r="110" spans="2:39" ht="41.25" customHeight="1">
      <c r="B110" s="18"/>
      <c r="C110" s="57" t="str">
        <f t="shared" si="5"/>
        <v/>
      </c>
      <c r="D110" s="18" t="e">
        <f>VLOOKUP(F110,LOOKUP!$C$2:$C$8,2,0)</f>
        <v>#N/A</v>
      </c>
      <c r="E110" s="18"/>
      <c r="F110" s="15"/>
      <c r="G110" s="19"/>
      <c r="H110" s="19"/>
      <c r="I110" s="19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</row>
    <row r="111" spans="2:39" ht="41.25" customHeight="1">
      <c r="B111" s="18"/>
      <c r="C111" s="57" t="str">
        <f t="shared" si="5"/>
        <v/>
      </c>
      <c r="D111" s="18" t="e">
        <f>VLOOKUP(F111,LOOKUP!$C$2:$C$8,2,0)</f>
        <v>#N/A</v>
      </c>
      <c r="E111" s="18"/>
      <c r="F111" s="15"/>
      <c r="G111" s="19"/>
      <c r="H111" s="19"/>
      <c r="I111" s="19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</row>
    <row r="112" spans="2:39" ht="41.25" customHeight="1">
      <c r="B112" s="18"/>
      <c r="C112" s="57" t="str">
        <f t="shared" si="5"/>
        <v/>
      </c>
      <c r="D112" s="18" t="e">
        <f>VLOOKUP(F112,LOOKUP!$C$2:$C$8,2,0)</f>
        <v>#N/A</v>
      </c>
      <c r="E112" s="18"/>
      <c r="F112" s="15"/>
      <c r="G112" s="19"/>
      <c r="H112" s="19"/>
      <c r="I112" s="19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</row>
    <row r="113" spans="2:39" ht="41.25" customHeight="1">
      <c r="B113" s="18"/>
      <c r="C113" s="57" t="str">
        <f t="shared" si="5"/>
        <v/>
      </c>
      <c r="D113" s="18" t="e">
        <f>VLOOKUP(F113,LOOKUP!$C$2:$C$8,2,0)</f>
        <v>#N/A</v>
      </c>
      <c r="E113" s="18"/>
      <c r="F113" s="15"/>
      <c r="G113" s="19"/>
      <c r="H113" s="19"/>
      <c r="I113" s="19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</row>
    <row r="114" spans="2:39" ht="41.25" customHeight="1">
      <c r="B114" s="18"/>
      <c r="C114" s="57" t="str">
        <f t="shared" si="5"/>
        <v/>
      </c>
      <c r="D114" s="18" t="e">
        <f>VLOOKUP(F114,LOOKUP!$C$2:$C$8,2,0)</f>
        <v>#N/A</v>
      </c>
      <c r="E114" s="18"/>
      <c r="F114" s="15"/>
      <c r="G114" s="19"/>
      <c r="H114" s="19"/>
      <c r="I114" s="19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</row>
    <row r="115" spans="2:39" ht="41.25" customHeight="1">
      <c r="B115" s="18"/>
      <c r="C115" s="57" t="str">
        <f t="shared" si="5"/>
        <v/>
      </c>
      <c r="D115" s="18" t="e">
        <f>VLOOKUP(F115,LOOKUP!$C$2:$C$8,2,0)</f>
        <v>#N/A</v>
      </c>
      <c r="E115" s="18"/>
      <c r="F115" s="15"/>
      <c r="G115" s="19"/>
      <c r="H115" s="19"/>
      <c r="I115" s="19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</row>
    <row r="116" spans="2:39" ht="41.25" customHeight="1">
      <c r="B116" s="18"/>
      <c r="C116" s="57" t="str">
        <f t="shared" si="5"/>
        <v/>
      </c>
      <c r="D116" s="18" t="e">
        <f>VLOOKUP(F116,LOOKUP!$C$2:$C$8,2,0)</f>
        <v>#N/A</v>
      </c>
      <c r="E116" s="18"/>
      <c r="F116" s="15"/>
      <c r="G116" s="19"/>
      <c r="H116" s="19"/>
      <c r="I116" s="19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</row>
    <row r="117" spans="2:39" ht="41.25" customHeight="1">
      <c r="B117" s="18"/>
      <c r="C117" s="57" t="str">
        <f t="shared" si="5"/>
        <v/>
      </c>
      <c r="D117" s="18" t="e">
        <f>VLOOKUP(F117,LOOKUP!$C$2:$C$8,2,0)</f>
        <v>#N/A</v>
      </c>
      <c r="E117" s="18"/>
      <c r="F117" s="15"/>
      <c r="G117" s="19"/>
      <c r="H117" s="19"/>
      <c r="I117" s="19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</row>
    <row r="118" spans="2:39" ht="41.25" customHeight="1">
      <c r="B118" s="18"/>
      <c r="C118" s="57" t="str">
        <f t="shared" si="5"/>
        <v/>
      </c>
      <c r="D118" s="18" t="e">
        <f>VLOOKUP(F118,LOOKUP!$C$2:$C$8,2,0)</f>
        <v>#N/A</v>
      </c>
      <c r="E118" s="18"/>
      <c r="F118" s="15"/>
      <c r="G118" s="19"/>
      <c r="H118" s="19"/>
      <c r="I118" s="19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</row>
    <row r="119" spans="2:39" ht="41.25" customHeight="1">
      <c r="B119" s="18"/>
      <c r="C119" s="57" t="str">
        <f t="shared" si="5"/>
        <v/>
      </c>
      <c r="D119" s="18" t="e">
        <f>VLOOKUP(F119,LOOKUP!$C$2:$C$8,2,0)</f>
        <v>#N/A</v>
      </c>
      <c r="E119" s="18"/>
      <c r="F119" s="15"/>
      <c r="G119" s="19"/>
      <c r="H119" s="19"/>
      <c r="I119" s="19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</row>
    <row r="120" spans="2:39" ht="41.25" customHeight="1">
      <c r="B120" s="21"/>
      <c r="C120" s="57" t="str">
        <f t="shared" si="5"/>
        <v/>
      </c>
      <c r="D120" s="18" t="e">
        <f>VLOOKUP(F120,LOOKUP!$C$2:$C$8,2,0)</f>
        <v>#N/A</v>
      </c>
      <c r="E120" s="18"/>
      <c r="F120" s="15"/>
      <c r="G120" s="19"/>
      <c r="H120" s="19"/>
      <c r="I120" s="19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</row>
    <row r="121" spans="2:39" ht="41.25" customHeight="1">
      <c r="B121" s="21"/>
      <c r="C121" s="57" t="str">
        <f t="shared" si="5"/>
        <v/>
      </c>
      <c r="D121" s="18" t="e">
        <f>VLOOKUP(F121,LOOKUP!$C$2:$C$8,2,0)</f>
        <v>#N/A</v>
      </c>
      <c r="E121" s="18"/>
      <c r="F121" s="15"/>
      <c r="G121" s="19"/>
      <c r="H121" s="19"/>
      <c r="I121" s="19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</row>
    <row r="122" spans="2:39" ht="41.25" customHeight="1">
      <c r="B122" s="21"/>
      <c r="C122" s="57" t="str">
        <f t="shared" si="5"/>
        <v/>
      </c>
      <c r="D122" s="18" t="e">
        <f>VLOOKUP(F122,LOOKUP!$C$2:$C$8,2,0)</f>
        <v>#N/A</v>
      </c>
      <c r="E122" s="18"/>
      <c r="F122" s="15"/>
      <c r="G122" s="19"/>
      <c r="H122" s="19"/>
      <c r="I122" s="19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</row>
    <row r="123" spans="2:39" ht="41.25" customHeight="1">
      <c r="B123" s="18"/>
      <c r="C123" s="57" t="str">
        <f t="shared" si="5"/>
        <v/>
      </c>
      <c r="D123" s="18" t="e">
        <f>VLOOKUP(F123,LOOKUP!$C$2:$C$8,2,0)</f>
        <v>#N/A</v>
      </c>
      <c r="E123" s="18"/>
      <c r="F123" s="15"/>
      <c r="G123" s="19"/>
      <c r="H123" s="19"/>
      <c r="I123" s="19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</row>
    <row r="124" spans="2:39" ht="41.25" customHeight="1">
      <c r="B124" s="18"/>
      <c r="C124" s="57" t="str">
        <f t="shared" si="5"/>
        <v/>
      </c>
      <c r="D124" s="18" t="e">
        <f>VLOOKUP(F124,LOOKUP!$C$2:$C$8,2,0)</f>
        <v>#N/A</v>
      </c>
      <c r="E124" s="18"/>
      <c r="F124" s="15"/>
      <c r="G124" s="19"/>
      <c r="H124" s="19"/>
      <c r="I124" s="19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</row>
    <row r="125" spans="2:39" ht="41.25" customHeight="1">
      <c r="B125" s="21"/>
      <c r="C125" s="57" t="str">
        <f t="shared" si="5"/>
        <v/>
      </c>
      <c r="D125" s="18" t="e">
        <f>VLOOKUP(F125,LOOKUP!$C$2:$C$8,2,0)</f>
        <v>#N/A</v>
      </c>
      <c r="E125" s="18"/>
      <c r="F125" s="15"/>
      <c r="G125" s="19"/>
      <c r="H125" s="19"/>
      <c r="I125" s="19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</row>
    <row r="126" spans="2:39" ht="41.25" customHeight="1">
      <c r="B126" s="21"/>
      <c r="C126" s="57" t="str">
        <f t="shared" si="5"/>
        <v/>
      </c>
      <c r="D126" s="18" t="e">
        <f>VLOOKUP(F126,LOOKUP!$C$2:$C$8,2,0)</f>
        <v>#N/A</v>
      </c>
      <c r="E126" s="18"/>
      <c r="F126" s="15"/>
      <c r="G126" s="19"/>
      <c r="H126" s="19"/>
      <c r="I126" s="19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</row>
    <row r="127" spans="2:39" ht="41.25" customHeight="1">
      <c r="B127" s="21"/>
      <c r="C127" s="57" t="str">
        <f t="shared" si="5"/>
        <v/>
      </c>
      <c r="D127" s="18" t="e">
        <f>VLOOKUP(F127,LOOKUP!$C$2:$C$8,2,0)</f>
        <v>#N/A</v>
      </c>
      <c r="E127" s="18"/>
      <c r="F127" s="15"/>
      <c r="G127" s="19"/>
      <c r="H127" s="19"/>
      <c r="I127" s="19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</row>
    <row r="128" spans="2:39" ht="41.25" customHeight="1">
      <c r="B128" s="21"/>
      <c r="C128" s="57" t="str">
        <f t="shared" si="5"/>
        <v/>
      </c>
      <c r="D128" s="18" t="e">
        <f>VLOOKUP(F128,LOOKUP!$C$2:$C$8,2,0)</f>
        <v>#N/A</v>
      </c>
      <c r="E128" s="18"/>
      <c r="F128" s="15"/>
      <c r="G128" s="19"/>
      <c r="H128" s="19"/>
      <c r="I128" s="19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</row>
    <row r="129" spans="1:99" ht="41.25" customHeight="1">
      <c r="B129" s="21"/>
      <c r="C129" s="57" t="str">
        <f t="shared" si="5"/>
        <v/>
      </c>
      <c r="D129" s="18" t="e">
        <f>VLOOKUP(F129,LOOKUP!$C$2:$C$8,2,0)</f>
        <v>#N/A</v>
      </c>
      <c r="E129" s="18"/>
      <c r="F129" s="15"/>
      <c r="G129" s="19"/>
      <c r="H129" s="19"/>
      <c r="I129" s="19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</row>
    <row r="130" spans="1:99" ht="41.25" customHeight="1">
      <c r="B130" s="18"/>
      <c r="C130" s="57" t="str">
        <f t="shared" si="5"/>
        <v/>
      </c>
      <c r="D130" s="18" t="e">
        <f>VLOOKUP(F130,LOOKUP!$C$2:$C$8,2,0)</f>
        <v>#N/A</v>
      </c>
      <c r="E130" s="18"/>
      <c r="F130" s="15"/>
      <c r="G130" s="19"/>
      <c r="H130" s="19"/>
      <c r="I130" s="19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</row>
    <row r="131" spans="1:99" ht="41.25" customHeight="1">
      <c r="B131" s="18"/>
      <c r="C131" s="57" t="str">
        <f t="shared" si="5"/>
        <v/>
      </c>
      <c r="D131" s="18" t="e">
        <f>VLOOKUP(F131,LOOKUP!$C$2:$C$8,2,0)</f>
        <v>#N/A</v>
      </c>
      <c r="E131" s="18"/>
      <c r="F131" s="15"/>
      <c r="G131" s="19"/>
      <c r="H131" s="19"/>
      <c r="I131" s="19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</row>
    <row r="132" spans="1:99" ht="41.25" customHeight="1">
      <c r="B132" s="18"/>
      <c r="C132" s="57" t="str">
        <f t="shared" si="5"/>
        <v/>
      </c>
      <c r="D132" s="18" t="e">
        <f>VLOOKUP(F132,LOOKUP!$C$2:$C$8,2,0)</f>
        <v>#N/A</v>
      </c>
      <c r="E132" s="18"/>
      <c r="F132" s="15"/>
      <c r="G132" s="19"/>
      <c r="H132" s="19"/>
      <c r="I132" s="19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</row>
    <row r="133" spans="1:99" ht="41.25" customHeight="1">
      <c r="B133" s="18"/>
      <c r="C133" s="57" t="str">
        <f t="shared" si="5"/>
        <v/>
      </c>
      <c r="D133" s="18" t="e">
        <f>VLOOKUP(F133,LOOKUP!$C$2:$C$8,2,0)</f>
        <v>#N/A</v>
      </c>
      <c r="E133" s="18"/>
      <c r="F133" s="15"/>
      <c r="G133" s="19"/>
      <c r="H133" s="19"/>
      <c r="I133" s="19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</row>
    <row r="134" spans="1:99" ht="41.25" customHeight="1">
      <c r="B134" s="18"/>
      <c r="C134" s="57" t="str">
        <f t="shared" si="5"/>
        <v/>
      </c>
      <c r="D134" s="18" t="e">
        <f>VLOOKUP(F134,LOOKUP!$C$2:$C$8,2,0)</f>
        <v>#N/A</v>
      </c>
      <c r="E134" s="18"/>
      <c r="F134" s="15"/>
      <c r="G134" s="19"/>
      <c r="H134" s="19"/>
      <c r="I134" s="19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</row>
    <row r="135" spans="1:99" ht="41.25" customHeight="1">
      <c r="B135" s="18"/>
      <c r="C135" s="57" t="str">
        <f t="shared" si="5"/>
        <v/>
      </c>
      <c r="D135" s="18" t="e">
        <f>VLOOKUP(F135,LOOKUP!$C$2:$C$8,2,0)</f>
        <v>#N/A</v>
      </c>
      <c r="E135" s="18"/>
      <c r="F135" s="15"/>
      <c r="G135" s="19"/>
      <c r="H135" s="19"/>
      <c r="I135" s="19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</row>
    <row r="136" spans="1:99" ht="41.25" customHeight="1">
      <c r="B136" s="18"/>
      <c r="C136" s="57" t="str">
        <f t="shared" si="5"/>
        <v/>
      </c>
      <c r="D136" s="18" t="e">
        <f>VLOOKUP(F136,LOOKUP!$C$2:$C$8,2,0)</f>
        <v>#N/A</v>
      </c>
      <c r="E136" s="18"/>
      <c r="F136" s="15"/>
      <c r="G136" s="19"/>
      <c r="H136" s="19"/>
      <c r="I136" s="19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</row>
    <row r="137" spans="1:99" ht="41.25" customHeight="1">
      <c r="B137" s="18"/>
      <c r="C137" s="57" t="str">
        <f t="shared" si="5"/>
        <v/>
      </c>
      <c r="D137" s="18" t="e">
        <f>VLOOKUP(F137,LOOKUP!$C$2:$C$8,2,0)</f>
        <v>#N/A</v>
      </c>
      <c r="E137" s="18"/>
      <c r="F137" s="15"/>
      <c r="G137" s="19"/>
      <c r="H137" s="19"/>
      <c r="I137" s="19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</row>
    <row r="138" spans="1:99" ht="41.25" customHeight="1">
      <c r="B138" s="18"/>
      <c r="C138" s="57" t="str">
        <f t="shared" si="5"/>
        <v/>
      </c>
      <c r="D138" s="18" t="e">
        <f>VLOOKUP(F138,LOOKUP!$C$2:$C$8,2,0)</f>
        <v>#N/A</v>
      </c>
      <c r="E138" s="18"/>
      <c r="F138" s="15"/>
      <c r="G138" s="19"/>
      <c r="H138" s="19"/>
      <c r="I138" s="19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</row>
    <row r="139" spans="1:99" s="9" customFormat="1" ht="41.25" customHeight="1">
      <c r="A139" s="13"/>
      <c r="B139" s="21"/>
      <c r="C139" s="57" t="str">
        <f t="shared" si="5"/>
        <v/>
      </c>
      <c r="D139" s="18" t="e">
        <f>VLOOKUP(F139,LOOKUP!$C$2:$C$8,2,0)</f>
        <v>#N/A</v>
      </c>
      <c r="E139" s="18"/>
      <c r="F139" s="15"/>
      <c r="G139" s="19"/>
      <c r="H139" s="19"/>
      <c r="I139" s="19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</row>
    <row r="140" spans="1:99" ht="41.25" customHeight="1">
      <c r="B140" s="18"/>
      <c r="C140" s="57" t="str">
        <f t="shared" si="5"/>
        <v/>
      </c>
      <c r="D140" s="18" t="e">
        <f>VLOOKUP(F140,LOOKUP!$C$2:$C$8,2,0)</f>
        <v>#N/A</v>
      </c>
      <c r="E140" s="18"/>
      <c r="F140" s="15"/>
      <c r="G140" s="19"/>
      <c r="H140" s="19"/>
      <c r="I140" s="19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</row>
    <row r="141" spans="1:99" ht="41.25" customHeight="1">
      <c r="B141" s="18"/>
      <c r="C141" s="57" t="str">
        <f t="shared" si="5"/>
        <v/>
      </c>
      <c r="D141" s="18" t="e">
        <f>VLOOKUP(F141,LOOKUP!$C$2:$C$8,2,0)</f>
        <v>#N/A</v>
      </c>
      <c r="E141" s="18"/>
      <c r="F141" s="15"/>
      <c r="G141" s="19"/>
      <c r="H141" s="19"/>
      <c r="I141" s="19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</row>
    <row r="142" spans="1:99" ht="41.25" customHeight="1">
      <c r="B142" s="18"/>
      <c r="C142" s="57" t="str">
        <f t="shared" si="5"/>
        <v/>
      </c>
      <c r="D142" s="18" t="e">
        <f>VLOOKUP(F142,LOOKUP!$C$2:$C$8,2,0)</f>
        <v>#N/A</v>
      </c>
      <c r="E142" s="18"/>
      <c r="F142" s="15"/>
      <c r="G142" s="19"/>
      <c r="H142" s="19"/>
      <c r="I142" s="19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</row>
    <row r="143" spans="1:99" ht="41.25" customHeight="1">
      <c r="B143" s="18"/>
      <c r="C143" s="57" t="str">
        <f t="shared" si="5"/>
        <v/>
      </c>
      <c r="D143" s="18" t="e">
        <f>VLOOKUP(F143,LOOKUP!$C$2:$C$8,2,0)</f>
        <v>#N/A</v>
      </c>
      <c r="E143" s="18"/>
      <c r="F143" s="15"/>
      <c r="G143" s="19"/>
      <c r="H143" s="19"/>
      <c r="I143" s="19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</row>
    <row r="144" spans="1:99" ht="41.25" customHeight="1">
      <c r="B144" s="18"/>
      <c r="C144" s="57" t="str">
        <f t="shared" si="5"/>
        <v/>
      </c>
      <c r="D144" s="18" t="e">
        <f>VLOOKUP(F144,LOOKUP!$C$2:$C$8,2,0)</f>
        <v>#N/A</v>
      </c>
      <c r="E144" s="18"/>
      <c r="F144" s="15"/>
      <c r="G144" s="19"/>
      <c r="H144" s="19"/>
      <c r="I144" s="19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</row>
    <row r="145" spans="2:39" ht="41.25" customHeight="1">
      <c r="B145" s="18"/>
      <c r="C145" s="57" t="str">
        <f t="shared" si="5"/>
        <v/>
      </c>
      <c r="D145" s="18" t="e">
        <f>VLOOKUP(F145,LOOKUP!$C$2:$C$8,2,0)</f>
        <v>#N/A</v>
      </c>
      <c r="E145" s="18"/>
      <c r="F145" s="15"/>
      <c r="G145" s="19"/>
      <c r="H145" s="19"/>
      <c r="I145" s="19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</row>
    <row r="146" spans="2:39" ht="41.25" customHeight="1">
      <c r="B146" s="18"/>
      <c r="C146" s="57" t="str">
        <f t="shared" si="5"/>
        <v/>
      </c>
      <c r="D146" s="18" t="e">
        <f>VLOOKUP(F146,LOOKUP!$C$2:$C$8,2,0)</f>
        <v>#N/A</v>
      </c>
      <c r="E146" s="18"/>
      <c r="F146" s="15"/>
      <c r="G146" s="19"/>
      <c r="H146" s="19"/>
      <c r="I146" s="19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</row>
    <row r="147" spans="2:39" ht="41.25" customHeight="1">
      <c r="B147" s="18"/>
      <c r="C147" s="57" t="str">
        <f t="shared" si="5"/>
        <v/>
      </c>
      <c r="D147" s="18" t="e">
        <f>VLOOKUP(F147,LOOKUP!$C$2:$C$8,2,0)</f>
        <v>#N/A</v>
      </c>
      <c r="E147" s="18"/>
      <c r="F147" s="15"/>
      <c r="G147" s="19"/>
      <c r="H147" s="19"/>
      <c r="I147" s="19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</row>
    <row r="148" spans="2:39" ht="41.25" customHeight="1">
      <c r="B148" s="21"/>
      <c r="C148" s="57" t="str">
        <f t="shared" si="5"/>
        <v/>
      </c>
      <c r="D148" s="18" t="e">
        <f>VLOOKUP(F148,LOOKUP!$C$2:$C$8,2,0)</f>
        <v>#N/A</v>
      </c>
      <c r="E148" s="18"/>
      <c r="F148" s="15"/>
      <c r="G148" s="19"/>
      <c r="H148" s="19"/>
      <c r="I148" s="19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</row>
    <row r="149" spans="2:39" ht="41.25" customHeight="1">
      <c r="B149" s="21"/>
      <c r="C149" s="57" t="str">
        <f t="shared" si="5"/>
        <v/>
      </c>
      <c r="D149" s="18" t="e">
        <f>VLOOKUP(F149,LOOKUP!$C$2:$C$8,2,0)</f>
        <v>#N/A</v>
      </c>
      <c r="E149" s="18"/>
      <c r="F149" s="15"/>
      <c r="G149" s="19"/>
      <c r="H149" s="19"/>
      <c r="I149" s="19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</row>
    <row r="150" spans="2:39" ht="41.25" customHeight="1">
      <c r="B150" s="21"/>
      <c r="C150" s="57" t="str">
        <f t="shared" si="5"/>
        <v/>
      </c>
      <c r="D150" s="18" t="e">
        <f>VLOOKUP(F150,LOOKUP!$C$2:$C$8,2,0)</f>
        <v>#N/A</v>
      </c>
      <c r="E150" s="18"/>
      <c r="F150" s="15"/>
      <c r="G150" s="19"/>
      <c r="H150" s="19"/>
      <c r="I150" s="19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</row>
    <row r="151" spans="2:39" ht="41.25" customHeight="1">
      <c r="B151" s="18"/>
      <c r="C151" s="57" t="str">
        <f t="shared" si="5"/>
        <v/>
      </c>
      <c r="D151" s="18" t="e">
        <f>VLOOKUP(F151,LOOKUP!$C$2:$C$8,2,0)</f>
        <v>#N/A</v>
      </c>
      <c r="E151" s="18"/>
      <c r="F151" s="15"/>
      <c r="G151" s="19"/>
      <c r="H151" s="19"/>
      <c r="I151" s="19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</row>
    <row r="152" spans="2:39" ht="41.25" customHeight="1">
      <c r="B152" s="18"/>
      <c r="C152" s="57" t="str">
        <f t="shared" si="5"/>
        <v/>
      </c>
      <c r="D152" s="18" t="e">
        <f>VLOOKUP(F152,LOOKUP!$C$2:$C$8,2,0)</f>
        <v>#N/A</v>
      </c>
      <c r="E152" s="18"/>
      <c r="F152" s="15"/>
      <c r="G152" s="19"/>
      <c r="H152" s="19"/>
      <c r="I152" s="19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</row>
    <row r="153" spans="2:39" ht="41.25" customHeight="1">
      <c r="B153" s="21"/>
      <c r="C153" s="57" t="str">
        <f t="shared" si="5"/>
        <v/>
      </c>
      <c r="D153" s="18" t="e">
        <f>VLOOKUP(F153,LOOKUP!$C$2:$C$8,2,0)</f>
        <v>#N/A</v>
      </c>
      <c r="E153" s="18"/>
      <c r="F153" s="15"/>
      <c r="G153" s="19"/>
      <c r="H153" s="19"/>
      <c r="I153" s="19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</row>
    <row r="154" spans="2:39" ht="41.25" customHeight="1">
      <c r="B154" s="21"/>
      <c r="C154" s="57" t="str">
        <f t="shared" si="5"/>
        <v/>
      </c>
      <c r="D154" s="18" t="e">
        <f>VLOOKUP(F154,LOOKUP!$C$2:$C$8,2,0)</f>
        <v>#N/A</v>
      </c>
      <c r="E154" s="18"/>
      <c r="F154" s="15"/>
      <c r="G154" s="19"/>
      <c r="H154" s="19"/>
      <c r="I154" s="19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</row>
    <row r="155" spans="2:39" ht="41.25" customHeight="1">
      <c r="B155" s="21"/>
      <c r="C155" s="57" t="str">
        <f t="shared" si="5"/>
        <v/>
      </c>
      <c r="D155" s="18" t="e">
        <f>VLOOKUP(F155,LOOKUP!$C$2:$C$8,2,0)</f>
        <v>#N/A</v>
      </c>
      <c r="E155" s="18"/>
      <c r="F155" s="15"/>
      <c r="G155" s="19"/>
      <c r="H155" s="19"/>
      <c r="I155" s="19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</row>
    <row r="156" spans="2:39" ht="41.25" customHeight="1">
      <c r="B156" s="21"/>
      <c r="C156" s="57" t="str">
        <f t="shared" si="5"/>
        <v/>
      </c>
      <c r="D156" s="18" t="e">
        <f>VLOOKUP(F156,LOOKUP!$C$2:$C$8,2,0)</f>
        <v>#N/A</v>
      </c>
      <c r="E156" s="18"/>
      <c r="F156" s="15"/>
      <c r="G156" s="19"/>
      <c r="H156" s="19"/>
      <c r="I156" s="19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</row>
    <row r="157" spans="2:39" ht="41.25" customHeight="1">
      <c r="B157" s="21"/>
      <c r="C157" s="57" t="str">
        <f t="shared" si="5"/>
        <v/>
      </c>
      <c r="D157" s="18" t="e">
        <f>VLOOKUP(F157,LOOKUP!$C$2:$C$8,2,0)</f>
        <v>#N/A</v>
      </c>
      <c r="E157" s="18"/>
      <c r="F157" s="15"/>
      <c r="G157" s="19"/>
      <c r="H157" s="19"/>
      <c r="I157" s="19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</row>
    <row r="158" spans="2:39" ht="41.25" customHeight="1">
      <c r="B158" s="21"/>
      <c r="C158" s="57" t="str">
        <f t="shared" si="5"/>
        <v/>
      </c>
      <c r="D158" s="18" t="e">
        <f>VLOOKUP(F158,LOOKUP!$C$2:$C$8,2,0)</f>
        <v>#N/A</v>
      </c>
      <c r="E158" s="18"/>
      <c r="F158" s="15"/>
      <c r="G158" s="19"/>
      <c r="H158" s="19"/>
      <c r="I158" s="19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</row>
    <row r="159" spans="2:39" ht="41.25" customHeight="1">
      <c r="B159" s="21"/>
      <c r="C159" s="57" t="str">
        <f t="shared" si="5"/>
        <v/>
      </c>
      <c r="D159" s="18" t="e">
        <f>VLOOKUP(F159,LOOKUP!$C$2:$C$8,2,0)</f>
        <v>#N/A</v>
      </c>
      <c r="E159" s="18"/>
      <c r="F159" s="15"/>
      <c r="G159" s="19"/>
      <c r="H159" s="19"/>
      <c r="I159" s="19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</row>
    <row r="160" spans="2:39" ht="41.25" customHeight="1">
      <c r="B160" s="21"/>
      <c r="C160" s="57" t="str">
        <f t="shared" si="5"/>
        <v/>
      </c>
      <c r="D160" s="18" t="e">
        <f>VLOOKUP(F160,LOOKUP!$C$2:$C$8,2,0)</f>
        <v>#N/A</v>
      </c>
      <c r="E160" s="18"/>
      <c r="F160" s="15"/>
      <c r="G160" s="19"/>
      <c r="H160" s="19"/>
      <c r="I160" s="19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</row>
    <row r="161" spans="2:39" ht="41.25" customHeight="1">
      <c r="B161" s="21"/>
      <c r="C161" s="57" t="str">
        <f t="shared" si="5"/>
        <v/>
      </c>
      <c r="D161" s="18" t="e">
        <f>VLOOKUP(F161,LOOKUP!$C$2:$C$8,2,0)</f>
        <v>#N/A</v>
      </c>
      <c r="E161" s="18"/>
      <c r="F161" s="15"/>
      <c r="G161" s="19"/>
      <c r="H161" s="19"/>
      <c r="I161" s="19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</row>
    <row r="162" spans="2:39" ht="41.25" customHeight="1">
      <c r="B162" s="18"/>
      <c r="C162" s="57" t="str">
        <f t="shared" si="5"/>
        <v/>
      </c>
      <c r="D162" s="18" t="e">
        <f>VLOOKUP(F162,LOOKUP!$C$2:$C$8,2,0)</f>
        <v>#N/A</v>
      </c>
      <c r="E162" s="18"/>
      <c r="F162" s="15"/>
      <c r="G162" s="19"/>
      <c r="H162" s="19"/>
      <c r="I162" s="19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</row>
    <row r="163" spans="2:39" ht="41.25" customHeight="1">
      <c r="B163" s="21"/>
      <c r="C163" s="57" t="str">
        <f t="shared" si="5"/>
        <v/>
      </c>
      <c r="D163" s="18" t="e">
        <f>VLOOKUP(F163,LOOKUP!$C$2:$C$8,2,0)</f>
        <v>#N/A</v>
      </c>
      <c r="E163" s="18"/>
      <c r="F163" s="15"/>
      <c r="G163" s="19"/>
      <c r="H163" s="19"/>
      <c r="I163" s="19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</row>
    <row r="164" spans="2:39" ht="41.25" customHeight="1">
      <c r="B164" s="21"/>
      <c r="C164" s="57" t="str">
        <f t="shared" si="5"/>
        <v/>
      </c>
      <c r="D164" s="18" t="e">
        <f>VLOOKUP(F164,LOOKUP!$C$2:$C$8,2,0)</f>
        <v>#N/A</v>
      </c>
      <c r="E164" s="18"/>
      <c r="F164" s="15"/>
      <c r="G164" s="19"/>
      <c r="H164" s="19"/>
      <c r="I164" s="19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</row>
    <row r="165" spans="2:39" ht="41.25" customHeight="1">
      <c r="B165" s="21"/>
      <c r="C165" s="57" t="str">
        <f t="shared" si="5"/>
        <v/>
      </c>
      <c r="D165" s="18" t="e">
        <f>VLOOKUP(F165,LOOKUP!$C$2:$C$8,2,0)</f>
        <v>#N/A</v>
      </c>
      <c r="E165" s="18"/>
      <c r="F165" s="15"/>
      <c r="G165" s="19"/>
      <c r="H165" s="19"/>
      <c r="I165" s="19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</row>
    <row r="166" spans="2:39" ht="41.25" customHeight="1">
      <c r="B166" s="21"/>
      <c r="C166" s="57" t="str">
        <f t="shared" si="5"/>
        <v/>
      </c>
      <c r="D166" s="18" t="e">
        <f>VLOOKUP(F166,LOOKUP!$C$2:$C$8,2,0)</f>
        <v>#N/A</v>
      </c>
      <c r="E166" s="18"/>
      <c r="F166" s="15"/>
      <c r="G166" s="19"/>
      <c r="H166" s="19"/>
      <c r="I166" s="19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</row>
    <row r="167" spans="2:39" ht="41.25" customHeight="1">
      <c r="B167" s="21"/>
      <c r="C167" s="57" t="str">
        <f t="shared" si="5"/>
        <v/>
      </c>
      <c r="D167" s="18"/>
      <c r="E167" s="18"/>
      <c r="F167" s="15"/>
      <c r="G167" s="19"/>
      <c r="H167" s="19"/>
      <c r="I167" s="19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</row>
    <row r="168" spans="2:39" ht="41.25" customHeight="1">
      <c r="B168" s="21"/>
      <c r="C168" s="57" t="str">
        <f t="shared" si="5"/>
        <v/>
      </c>
      <c r="D168" s="18"/>
      <c r="E168" s="18"/>
      <c r="F168" s="15"/>
      <c r="G168" s="19"/>
      <c r="H168" s="19"/>
      <c r="I168" s="19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</row>
    <row r="169" spans="2:39" ht="41.25" customHeight="1">
      <c r="B169" s="21"/>
      <c r="C169" s="57" t="str">
        <f t="shared" si="5"/>
        <v/>
      </c>
      <c r="D169" s="18"/>
      <c r="E169" s="18"/>
      <c r="F169" s="15"/>
      <c r="G169" s="19"/>
      <c r="H169" s="19"/>
      <c r="I169" s="19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</row>
    <row r="170" spans="2:39" ht="41.25" customHeight="1">
      <c r="B170" s="21"/>
      <c r="C170" s="57" t="str">
        <f t="shared" si="5"/>
        <v/>
      </c>
      <c r="D170" s="18"/>
      <c r="E170" s="18"/>
      <c r="F170" s="15"/>
      <c r="G170" s="19"/>
      <c r="H170" s="19"/>
      <c r="I170" s="19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</row>
    <row r="171" spans="2:39" ht="41.25" customHeight="1">
      <c r="B171" s="21"/>
      <c r="C171" s="57" t="str">
        <f t="shared" ref="C171:C234" si="6">IF(B171="","",MONTH(B171))</f>
        <v/>
      </c>
      <c r="D171" s="18"/>
      <c r="E171" s="18"/>
      <c r="F171" s="15"/>
      <c r="G171" s="19"/>
      <c r="H171" s="19"/>
      <c r="I171" s="19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</row>
    <row r="172" spans="2:39" ht="41.25" customHeight="1">
      <c r="B172" s="21"/>
      <c r="C172" s="57" t="str">
        <f t="shared" si="6"/>
        <v/>
      </c>
      <c r="D172" s="18"/>
      <c r="E172" s="18"/>
      <c r="F172" s="15"/>
      <c r="G172" s="19"/>
      <c r="H172" s="19"/>
      <c r="I172" s="19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</row>
    <row r="173" spans="2:39" ht="41.25" customHeight="1">
      <c r="B173" s="21"/>
      <c r="C173" s="57" t="str">
        <f t="shared" si="6"/>
        <v/>
      </c>
      <c r="D173" s="18"/>
      <c r="E173" s="18"/>
      <c r="F173" s="15"/>
      <c r="G173" s="19"/>
      <c r="H173" s="19"/>
      <c r="I173" s="19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</row>
    <row r="174" spans="2:39" ht="41.25" customHeight="1">
      <c r="B174" s="21"/>
      <c r="C174" s="57" t="str">
        <f t="shared" si="6"/>
        <v/>
      </c>
      <c r="D174" s="18"/>
      <c r="E174" s="18"/>
      <c r="F174" s="15"/>
      <c r="G174" s="19"/>
      <c r="H174" s="19"/>
      <c r="I174" s="19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</row>
    <row r="175" spans="2:39" ht="41.25" customHeight="1">
      <c r="B175" s="21"/>
      <c r="C175" s="57" t="str">
        <f t="shared" si="6"/>
        <v/>
      </c>
      <c r="D175" s="18"/>
      <c r="E175" s="18"/>
      <c r="F175" s="15"/>
      <c r="G175" s="19"/>
      <c r="H175" s="19"/>
      <c r="I175" s="19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</row>
    <row r="176" spans="2:39" ht="41.25" customHeight="1">
      <c r="B176" s="21"/>
      <c r="C176" s="57" t="str">
        <f t="shared" si="6"/>
        <v/>
      </c>
      <c r="D176" s="18"/>
      <c r="E176" s="18"/>
      <c r="F176" s="15"/>
      <c r="G176" s="19"/>
      <c r="H176" s="19"/>
      <c r="I176" s="19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</row>
    <row r="177" spans="2:39" ht="41.25" customHeight="1">
      <c r="B177" s="21"/>
      <c r="C177" s="57" t="str">
        <f t="shared" si="6"/>
        <v/>
      </c>
      <c r="D177" s="18"/>
      <c r="E177" s="18"/>
      <c r="F177" s="15"/>
      <c r="G177" s="19"/>
      <c r="H177" s="19"/>
      <c r="I177" s="19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</row>
    <row r="178" spans="2:39" ht="41.25" customHeight="1">
      <c r="B178" s="21"/>
      <c r="C178" s="57" t="str">
        <f t="shared" si="6"/>
        <v/>
      </c>
      <c r="D178" s="18"/>
      <c r="E178" s="18"/>
      <c r="F178" s="15"/>
      <c r="G178" s="19"/>
      <c r="H178" s="19"/>
      <c r="I178" s="19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</row>
    <row r="179" spans="2:39" ht="41.25" customHeight="1">
      <c r="B179" s="21"/>
      <c r="C179" s="57" t="str">
        <f t="shared" si="6"/>
        <v/>
      </c>
      <c r="D179" s="18"/>
      <c r="E179" s="18"/>
      <c r="F179" s="15"/>
      <c r="G179" s="19"/>
      <c r="H179" s="19"/>
      <c r="I179" s="19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</row>
    <row r="180" spans="2:39" ht="41.25" customHeight="1">
      <c r="B180" s="21"/>
      <c r="C180" s="57" t="str">
        <f t="shared" si="6"/>
        <v/>
      </c>
      <c r="D180" s="18"/>
      <c r="E180" s="18"/>
      <c r="F180" s="15"/>
      <c r="G180" s="19"/>
      <c r="H180" s="19"/>
      <c r="I180" s="19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</row>
    <row r="181" spans="2:39" ht="41.25" customHeight="1">
      <c r="B181" s="21"/>
      <c r="C181" s="57" t="str">
        <f t="shared" si="6"/>
        <v/>
      </c>
      <c r="D181" s="18"/>
      <c r="E181" s="18"/>
      <c r="F181" s="15"/>
      <c r="G181" s="19"/>
      <c r="H181" s="19"/>
      <c r="I181" s="19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</row>
    <row r="182" spans="2:39" ht="41.25" customHeight="1">
      <c r="B182" s="21"/>
      <c r="C182" s="57" t="str">
        <f t="shared" si="6"/>
        <v/>
      </c>
      <c r="D182" s="18"/>
      <c r="E182" s="18"/>
      <c r="F182" s="15"/>
      <c r="G182" s="19"/>
      <c r="H182" s="19"/>
      <c r="I182" s="19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</row>
    <row r="183" spans="2:39" ht="41.25" customHeight="1">
      <c r="B183" s="21"/>
      <c r="C183" s="57" t="str">
        <f t="shared" si="6"/>
        <v/>
      </c>
      <c r="D183" s="18"/>
      <c r="E183" s="18"/>
      <c r="F183" s="15"/>
      <c r="G183" s="19"/>
      <c r="H183" s="19"/>
      <c r="I183" s="19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</row>
    <row r="184" spans="2:39" ht="41.25" customHeight="1">
      <c r="B184" s="21"/>
      <c r="C184" s="57" t="str">
        <f t="shared" si="6"/>
        <v/>
      </c>
      <c r="D184" s="18"/>
      <c r="E184" s="18"/>
      <c r="F184" s="15"/>
      <c r="G184" s="19"/>
      <c r="H184" s="19"/>
      <c r="I184" s="19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</row>
    <row r="185" spans="2:39" ht="41.25" customHeight="1">
      <c r="B185" s="21"/>
      <c r="C185" s="57" t="str">
        <f t="shared" si="6"/>
        <v/>
      </c>
      <c r="D185" s="18"/>
      <c r="E185" s="18"/>
      <c r="F185" s="15"/>
      <c r="G185" s="19"/>
      <c r="H185" s="19"/>
      <c r="I185" s="19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</row>
    <row r="186" spans="2:39" ht="41.25" customHeight="1">
      <c r="B186" s="21"/>
      <c r="C186" s="57" t="str">
        <f t="shared" si="6"/>
        <v/>
      </c>
      <c r="D186" s="18"/>
      <c r="E186" s="18"/>
      <c r="F186" s="15"/>
      <c r="G186" s="19"/>
      <c r="H186" s="19"/>
      <c r="I186" s="19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</row>
    <row r="187" spans="2:39" ht="41.25" customHeight="1">
      <c r="B187" s="21"/>
      <c r="C187" s="57" t="str">
        <f t="shared" si="6"/>
        <v/>
      </c>
      <c r="D187" s="18"/>
      <c r="E187" s="18"/>
      <c r="F187" s="15"/>
      <c r="G187" s="19"/>
      <c r="H187" s="19"/>
      <c r="I187" s="19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</row>
    <row r="188" spans="2:39" ht="41.25" customHeight="1">
      <c r="B188" s="21"/>
      <c r="C188" s="57" t="str">
        <f t="shared" si="6"/>
        <v/>
      </c>
      <c r="D188" s="18"/>
      <c r="E188" s="18"/>
      <c r="F188" s="15"/>
      <c r="G188" s="19"/>
      <c r="H188" s="19"/>
      <c r="I188" s="19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</row>
    <row r="189" spans="2:39" ht="41.25" customHeight="1">
      <c r="B189" s="21"/>
      <c r="C189" s="57" t="str">
        <f t="shared" si="6"/>
        <v/>
      </c>
      <c r="D189" s="18"/>
      <c r="E189" s="18"/>
      <c r="F189" s="15"/>
      <c r="G189" s="19"/>
      <c r="H189" s="19"/>
      <c r="I189" s="19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</row>
    <row r="190" spans="2:39" ht="41.25" customHeight="1">
      <c r="B190" s="21"/>
      <c r="C190" s="57" t="str">
        <f t="shared" si="6"/>
        <v/>
      </c>
      <c r="D190" s="18"/>
      <c r="E190" s="18"/>
      <c r="F190" s="15"/>
      <c r="G190" s="19"/>
      <c r="H190" s="19"/>
      <c r="I190" s="19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</row>
    <row r="191" spans="2:39" ht="41.25" customHeight="1">
      <c r="B191" s="21"/>
      <c r="C191" s="57" t="str">
        <f t="shared" si="6"/>
        <v/>
      </c>
      <c r="D191" s="18"/>
      <c r="E191" s="18"/>
      <c r="F191" s="15"/>
      <c r="G191" s="19"/>
      <c r="H191" s="19"/>
      <c r="I191" s="19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</row>
    <row r="192" spans="2:39" ht="41.25" customHeight="1">
      <c r="B192" s="21"/>
      <c r="C192" s="57" t="str">
        <f t="shared" si="6"/>
        <v/>
      </c>
      <c r="D192" s="18"/>
      <c r="E192" s="18"/>
      <c r="F192" s="15"/>
      <c r="G192" s="19"/>
      <c r="H192" s="19"/>
      <c r="I192" s="19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</row>
    <row r="193" spans="2:39" ht="41.25" customHeight="1">
      <c r="B193" s="21"/>
      <c r="C193" s="57" t="str">
        <f t="shared" si="6"/>
        <v/>
      </c>
      <c r="D193" s="18"/>
      <c r="E193" s="18"/>
      <c r="F193" s="15"/>
      <c r="G193" s="19"/>
      <c r="H193" s="19"/>
      <c r="I193" s="19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</row>
    <row r="194" spans="2:39" ht="41.25" customHeight="1">
      <c r="B194" s="21"/>
      <c r="C194" s="57" t="str">
        <f t="shared" si="6"/>
        <v/>
      </c>
      <c r="D194" s="18"/>
      <c r="E194" s="18"/>
      <c r="F194" s="15"/>
      <c r="G194" s="19"/>
      <c r="H194" s="19"/>
      <c r="I194" s="19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</row>
    <row r="195" spans="2:39" ht="41.25" customHeight="1">
      <c r="B195" s="21"/>
      <c r="C195" s="57" t="str">
        <f t="shared" si="6"/>
        <v/>
      </c>
      <c r="D195" s="18"/>
      <c r="E195" s="18"/>
      <c r="F195" s="15"/>
      <c r="G195" s="19"/>
      <c r="H195" s="19"/>
      <c r="I195" s="19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</row>
    <row r="196" spans="2:39" ht="41.25" customHeight="1">
      <c r="B196" s="21"/>
      <c r="C196" s="57" t="str">
        <f t="shared" si="6"/>
        <v/>
      </c>
      <c r="D196" s="18"/>
      <c r="E196" s="18"/>
      <c r="F196" s="15"/>
      <c r="G196" s="19"/>
      <c r="H196" s="19"/>
      <c r="I196" s="19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</row>
    <row r="197" spans="2:39" ht="41.25" customHeight="1">
      <c r="B197" s="21"/>
      <c r="C197" s="57" t="str">
        <f t="shared" si="6"/>
        <v/>
      </c>
      <c r="D197" s="18"/>
      <c r="E197" s="18"/>
      <c r="F197" s="15"/>
      <c r="G197" s="19"/>
      <c r="H197" s="19"/>
      <c r="I197" s="19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</row>
    <row r="198" spans="2:39" ht="41.25" customHeight="1">
      <c r="B198" s="21"/>
      <c r="C198" s="57" t="str">
        <f t="shared" si="6"/>
        <v/>
      </c>
      <c r="D198" s="18"/>
      <c r="E198" s="18"/>
      <c r="F198" s="15"/>
      <c r="G198" s="19"/>
      <c r="H198" s="19"/>
      <c r="I198" s="19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</row>
    <row r="199" spans="2:39" ht="41.25" customHeight="1">
      <c r="B199" s="21"/>
      <c r="C199" s="57" t="str">
        <f t="shared" si="6"/>
        <v/>
      </c>
      <c r="D199" s="18"/>
      <c r="E199" s="18"/>
      <c r="F199" s="15"/>
      <c r="G199" s="19"/>
      <c r="H199" s="19"/>
      <c r="I199" s="19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</row>
    <row r="200" spans="2:39" ht="41.25" customHeight="1">
      <c r="B200" s="21"/>
      <c r="C200" s="57" t="str">
        <f t="shared" si="6"/>
        <v/>
      </c>
      <c r="D200" s="18"/>
      <c r="E200" s="18"/>
      <c r="F200" s="15"/>
      <c r="G200" s="19"/>
      <c r="H200" s="19"/>
      <c r="I200" s="19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</row>
    <row r="201" spans="2:39" ht="41.25" customHeight="1">
      <c r="B201" s="21"/>
      <c r="C201" s="57" t="str">
        <f t="shared" si="6"/>
        <v/>
      </c>
      <c r="D201" s="18"/>
      <c r="E201" s="18"/>
      <c r="F201" s="15"/>
      <c r="G201" s="19"/>
      <c r="H201" s="19"/>
      <c r="I201" s="19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</row>
    <row r="202" spans="2:39" ht="41.25" customHeight="1">
      <c r="B202" s="21"/>
      <c r="C202" s="57" t="str">
        <f t="shared" si="6"/>
        <v/>
      </c>
      <c r="D202" s="18"/>
      <c r="E202" s="18"/>
      <c r="F202" s="15"/>
      <c r="G202" s="19"/>
      <c r="H202" s="19"/>
      <c r="I202" s="19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</row>
    <row r="203" spans="2:39" ht="41.25" customHeight="1">
      <c r="B203" s="21"/>
      <c r="C203" s="57" t="str">
        <f t="shared" si="6"/>
        <v/>
      </c>
      <c r="D203" s="18"/>
      <c r="E203" s="18"/>
      <c r="F203" s="15"/>
      <c r="G203" s="19"/>
      <c r="H203" s="19"/>
      <c r="I203" s="19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</row>
    <row r="204" spans="2:39" ht="41.25" customHeight="1">
      <c r="B204" s="21"/>
      <c r="C204" s="57" t="str">
        <f t="shared" si="6"/>
        <v/>
      </c>
      <c r="D204" s="18"/>
      <c r="E204" s="18"/>
      <c r="F204" s="15"/>
      <c r="G204" s="19"/>
      <c r="H204" s="19"/>
      <c r="I204" s="19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</row>
    <row r="205" spans="2:39" ht="41.25" customHeight="1">
      <c r="B205" s="21"/>
      <c r="C205" s="57" t="str">
        <f t="shared" si="6"/>
        <v/>
      </c>
      <c r="D205" s="18"/>
      <c r="E205" s="18"/>
      <c r="F205" s="15"/>
      <c r="G205" s="19"/>
      <c r="H205" s="19"/>
      <c r="I205" s="19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</row>
    <row r="206" spans="2:39" ht="41.25" customHeight="1">
      <c r="B206" s="21"/>
      <c r="C206" s="57" t="str">
        <f t="shared" si="6"/>
        <v/>
      </c>
      <c r="D206" s="18"/>
      <c r="E206" s="18"/>
      <c r="F206" s="15"/>
      <c r="G206" s="19"/>
      <c r="H206" s="19"/>
      <c r="I206" s="19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</row>
    <row r="207" spans="2:39" ht="41.25" customHeight="1">
      <c r="B207" s="21"/>
      <c r="C207" s="57" t="str">
        <f t="shared" si="6"/>
        <v/>
      </c>
      <c r="D207" s="18"/>
      <c r="E207" s="18"/>
      <c r="F207" s="15"/>
      <c r="G207" s="19"/>
      <c r="H207" s="19"/>
      <c r="I207" s="19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</row>
    <row r="208" spans="2:39" ht="41.25" customHeight="1">
      <c r="B208" s="21"/>
      <c r="C208" s="57" t="str">
        <f t="shared" si="6"/>
        <v/>
      </c>
      <c r="D208" s="18"/>
      <c r="E208" s="18"/>
      <c r="F208" s="15"/>
      <c r="G208" s="19"/>
      <c r="H208" s="19"/>
      <c r="I208" s="19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</row>
    <row r="209" spans="1:39" ht="41.25" customHeight="1">
      <c r="B209" s="21"/>
      <c r="C209" s="57" t="str">
        <f t="shared" si="6"/>
        <v/>
      </c>
      <c r="D209" s="18"/>
      <c r="E209" s="18"/>
      <c r="F209" s="15"/>
      <c r="G209" s="19"/>
      <c r="H209" s="19"/>
      <c r="I209" s="19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</row>
    <row r="210" spans="1:39" ht="41.25" customHeight="1">
      <c r="B210" s="21"/>
      <c r="C210" s="57" t="str">
        <f t="shared" si="6"/>
        <v/>
      </c>
      <c r="D210" s="18"/>
      <c r="E210" s="18"/>
      <c r="F210" s="15"/>
      <c r="G210" s="19"/>
      <c r="H210" s="19"/>
      <c r="I210" s="19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</row>
    <row r="211" spans="1:39" ht="41.25" customHeight="1">
      <c r="B211" s="21"/>
      <c r="C211" s="57" t="str">
        <f t="shared" si="6"/>
        <v/>
      </c>
      <c r="D211" s="18"/>
      <c r="E211" s="18"/>
      <c r="F211" s="15"/>
      <c r="G211" s="19"/>
      <c r="H211" s="19"/>
      <c r="I211" s="19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</row>
    <row r="212" spans="1:39" s="9" customFormat="1" ht="41.25" customHeight="1">
      <c r="A212" s="13"/>
      <c r="B212" s="21"/>
      <c r="C212" s="57" t="str">
        <f t="shared" si="6"/>
        <v/>
      </c>
      <c r="D212" s="18"/>
      <c r="E212" s="18"/>
      <c r="F212" s="15"/>
      <c r="G212" s="19"/>
      <c r="H212" s="19"/>
      <c r="I212" s="19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</row>
    <row r="213" spans="1:39" ht="41.25" customHeight="1">
      <c r="B213" s="21"/>
      <c r="C213" s="57" t="str">
        <f t="shared" si="6"/>
        <v/>
      </c>
      <c r="D213" s="18"/>
      <c r="E213" s="18"/>
      <c r="F213" s="15"/>
      <c r="G213" s="19"/>
      <c r="H213" s="19"/>
      <c r="I213" s="19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</row>
    <row r="214" spans="1:39" ht="41.25" customHeight="1">
      <c r="B214" s="21"/>
      <c r="C214" s="57" t="str">
        <f t="shared" si="6"/>
        <v/>
      </c>
      <c r="D214" s="18"/>
      <c r="E214" s="18"/>
      <c r="F214" s="15"/>
      <c r="G214" s="19"/>
      <c r="H214" s="19"/>
      <c r="I214" s="19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</row>
    <row r="215" spans="1:39" ht="41.25" customHeight="1">
      <c r="B215" s="21"/>
      <c r="C215" s="57" t="str">
        <f t="shared" si="6"/>
        <v/>
      </c>
      <c r="D215" s="18"/>
      <c r="E215" s="18"/>
      <c r="F215" s="15"/>
      <c r="G215" s="19"/>
      <c r="H215" s="19"/>
      <c r="I215" s="19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</row>
    <row r="216" spans="1:39" ht="41.25" customHeight="1">
      <c r="B216" s="21"/>
      <c r="C216" s="57" t="str">
        <f t="shared" si="6"/>
        <v/>
      </c>
      <c r="D216" s="18"/>
      <c r="E216" s="18"/>
      <c r="F216" s="15"/>
      <c r="G216" s="19"/>
      <c r="H216" s="19"/>
      <c r="I216" s="19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</row>
    <row r="217" spans="1:39" ht="41.25" customHeight="1">
      <c r="B217" s="21"/>
      <c r="C217" s="57" t="str">
        <f t="shared" si="6"/>
        <v/>
      </c>
      <c r="D217" s="18"/>
      <c r="E217" s="18"/>
      <c r="F217" s="15"/>
      <c r="G217" s="19"/>
      <c r="H217" s="19"/>
      <c r="I217" s="19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</row>
    <row r="218" spans="1:39" ht="41.25" customHeight="1">
      <c r="B218" s="21"/>
      <c r="C218" s="57" t="str">
        <f t="shared" si="6"/>
        <v/>
      </c>
      <c r="D218" s="18"/>
      <c r="E218" s="18"/>
      <c r="F218" s="15"/>
      <c r="G218" s="19"/>
      <c r="H218" s="19"/>
      <c r="I218" s="19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</row>
    <row r="219" spans="1:39" ht="41.25" customHeight="1">
      <c r="B219" s="21"/>
      <c r="C219" s="57" t="str">
        <f t="shared" si="6"/>
        <v/>
      </c>
      <c r="D219" s="18"/>
      <c r="E219" s="18"/>
      <c r="F219" s="15"/>
      <c r="G219" s="19"/>
      <c r="H219" s="19"/>
      <c r="I219" s="19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</row>
    <row r="220" spans="1:39" ht="41.25" customHeight="1">
      <c r="B220" s="21"/>
      <c r="C220" s="57" t="str">
        <f t="shared" si="6"/>
        <v/>
      </c>
      <c r="D220" s="18"/>
      <c r="E220" s="18"/>
      <c r="F220" s="15"/>
      <c r="G220" s="19"/>
      <c r="H220" s="19"/>
      <c r="I220" s="19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</row>
    <row r="221" spans="1:39" ht="41.25" customHeight="1">
      <c r="B221" s="21"/>
      <c r="C221" s="57" t="str">
        <f t="shared" si="6"/>
        <v/>
      </c>
      <c r="D221" s="18"/>
      <c r="E221" s="18"/>
      <c r="F221" s="15"/>
      <c r="G221" s="19"/>
      <c r="H221" s="19"/>
      <c r="I221" s="19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</row>
    <row r="222" spans="1:39" ht="41.25" customHeight="1">
      <c r="B222" s="21"/>
      <c r="C222" s="57" t="str">
        <f t="shared" si="6"/>
        <v/>
      </c>
      <c r="D222" s="18"/>
      <c r="E222" s="18"/>
      <c r="F222" s="15"/>
      <c r="G222" s="19"/>
      <c r="H222" s="19"/>
      <c r="I222" s="19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</row>
    <row r="223" spans="1:39" ht="41.25" customHeight="1">
      <c r="B223" s="21"/>
      <c r="C223" s="57" t="str">
        <f t="shared" si="6"/>
        <v/>
      </c>
      <c r="D223" s="18"/>
      <c r="E223" s="18"/>
      <c r="F223" s="15"/>
      <c r="G223" s="19"/>
      <c r="H223" s="19"/>
      <c r="I223" s="19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</row>
    <row r="224" spans="1:39" ht="41.25" customHeight="1">
      <c r="B224" s="21"/>
      <c r="C224" s="57" t="str">
        <f t="shared" si="6"/>
        <v/>
      </c>
      <c r="D224" s="18"/>
      <c r="E224" s="18"/>
      <c r="F224" s="15"/>
      <c r="G224" s="19"/>
      <c r="H224" s="19"/>
      <c r="I224" s="19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</row>
    <row r="225" spans="2:39" ht="41.25" customHeight="1">
      <c r="B225" s="21"/>
      <c r="C225" s="57" t="str">
        <f t="shared" si="6"/>
        <v/>
      </c>
      <c r="D225" s="18"/>
      <c r="E225" s="18"/>
      <c r="F225" s="15"/>
      <c r="G225" s="19"/>
      <c r="H225" s="19"/>
      <c r="I225" s="19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</row>
    <row r="226" spans="2:39" ht="41.25" customHeight="1">
      <c r="B226" s="21"/>
      <c r="C226" s="57" t="str">
        <f t="shared" si="6"/>
        <v/>
      </c>
      <c r="D226" s="18"/>
      <c r="E226" s="18"/>
      <c r="F226" s="15"/>
      <c r="G226" s="19"/>
      <c r="H226" s="19"/>
      <c r="I226" s="19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</row>
    <row r="227" spans="2:39" ht="41.25" customHeight="1">
      <c r="B227" s="21"/>
      <c r="C227" s="57" t="str">
        <f t="shared" si="6"/>
        <v/>
      </c>
      <c r="D227" s="18"/>
      <c r="E227" s="18"/>
      <c r="F227" s="15"/>
      <c r="G227" s="19"/>
      <c r="H227" s="19"/>
      <c r="I227" s="19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</row>
    <row r="228" spans="2:39" ht="41.25" customHeight="1">
      <c r="B228" s="21"/>
      <c r="C228" s="57" t="str">
        <f t="shared" si="6"/>
        <v/>
      </c>
      <c r="D228" s="18"/>
      <c r="E228" s="18"/>
      <c r="F228" s="15"/>
      <c r="G228" s="19"/>
      <c r="H228" s="19"/>
      <c r="I228" s="19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</row>
    <row r="229" spans="2:39" ht="41.25" customHeight="1">
      <c r="B229" s="21"/>
      <c r="C229" s="57" t="str">
        <f t="shared" si="6"/>
        <v/>
      </c>
      <c r="D229" s="18"/>
      <c r="E229" s="18"/>
      <c r="F229" s="15"/>
      <c r="G229" s="19"/>
      <c r="H229" s="19"/>
      <c r="I229" s="19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</row>
    <row r="230" spans="2:39" ht="41.25" customHeight="1">
      <c r="B230" s="21"/>
      <c r="C230" s="57" t="str">
        <f t="shared" si="6"/>
        <v/>
      </c>
      <c r="D230" s="18"/>
      <c r="E230" s="18"/>
      <c r="F230" s="15"/>
      <c r="G230" s="19"/>
      <c r="H230" s="19"/>
      <c r="I230" s="19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</row>
    <row r="231" spans="2:39" ht="41.25" customHeight="1">
      <c r="B231" s="21"/>
      <c r="C231" s="57" t="str">
        <f t="shared" si="6"/>
        <v/>
      </c>
      <c r="D231" s="18"/>
      <c r="E231" s="18"/>
      <c r="F231" s="15"/>
      <c r="G231" s="19"/>
      <c r="H231" s="19"/>
      <c r="I231" s="19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</row>
    <row r="232" spans="2:39" ht="41.25" customHeight="1">
      <c r="B232" s="21"/>
      <c r="C232" s="57" t="str">
        <f t="shared" si="6"/>
        <v/>
      </c>
      <c r="D232" s="18"/>
      <c r="E232" s="18"/>
      <c r="F232" s="15"/>
      <c r="G232" s="19"/>
      <c r="H232" s="19"/>
      <c r="I232" s="19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</row>
    <row r="233" spans="2:39" ht="41.25" customHeight="1">
      <c r="B233" s="21"/>
      <c r="C233" s="57" t="str">
        <f t="shared" si="6"/>
        <v/>
      </c>
      <c r="D233" s="18"/>
      <c r="E233" s="18"/>
      <c r="F233" s="15"/>
      <c r="G233" s="19"/>
      <c r="H233" s="19"/>
      <c r="I233" s="19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</row>
    <row r="234" spans="2:39" ht="41.25" customHeight="1">
      <c r="B234" s="21"/>
      <c r="C234" s="57" t="str">
        <f t="shared" si="6"/>
        <v/>
      </c>
      <c r="D234" s="18"/>
      <c r="E234" s="18"/>
      <c r="F234" s="15"/>
      <c r="G234" s="19"/>
      <c r="H234" s="19"/>
      <c r="I234" s="19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</row>
    <row r="235" spans="2:39" ht="41.25" customHeight="1">
      <c r="B235" s="21"/>
      <c r="C235" s="57" t="str">
        <f t="shared" ref="C235:C298" si="7">IF(B235="","",MONTH(B235))</f>
        <v/>
      </c>
      <c r="D235" s="18"/>
      <c r="E235" s="18"/>
      <c r="F235" s="15"/>
      <c r="G235" s="19"/>
      <c r="H235" s="19"/>
      <c r="I235" s="19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</row>
    <row r="236" spans="2:39" ht="41.25" customHeight="1">
      <c r="B236" s="21"/>
      <c r="C236" s="57" t="str">
        <f t="shared" si="7"/>
        <v/>
      </c>
      <c r="D236" s="18"/>
      <c r="E236" s="18"/>
      <c r="F236" s="15"/>
      <c r="G236" s="19"/>
      <c r="H236" s="19"/>
      <c r="I236" s="19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</row>
    <row r="237" spans="2:39" ht="41.25" customHeight="1">
      <c r="B237" s="21"/>
      <c r="C237" s="57" t="str">
        <f t="shared" si="7"/>
        <v/>
      </c>
      <c r="D237" s="18"/>
      <c r="E237" s="18"/>
      <c r="F237" s="15"/>
      <c r="G237" s="19"/>
      <c r="H237" s="19"/>
      <c r="I237" s="19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</row>
    <row r="238" spans="2:39" ht="41.25" customHeight="1">
      <c r="B238" s="21"/>
      <c r="C238" s="57" t="str">
        <f t="shared" si="7"/>
        <v/>
      </c>
      <c r="D238" s="18"/>
      <c r="E238" s="18"/>
      <c r="F238" s="15"/>
      <c r="G238" s="19"/>
      <c r="H238" s="19"/>
      <c r="I238" s="19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</row>
    <row r="239" spans="2:39" ht="41.25" customHeight="1">
      <c r="B239" s="21"/>
      <c r="C239" s="57" t="str">
        <f t="shared" si="7"/>
        <v/>
      </c>
      <c r="D239" s="18"/>
      <c r="E239" s="18"/>
      <c r="F239" s="15"/>
      <c r="G239" s="19"/>
      <c r="H239" s="19"/>
      <c r="I239" s="19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</row>
    <row r="240" spans="2:39" ht="41.25" customHeight="1">
      <c r="B240" s="21"/>
      <c r="C240" s="57" t="str">
        <f t="shared" si="7"/>
        <v/>
      </c>
      <c r="D240" s="18"/>
      <c r="E240" s="18"/>
      <c r="F240" s="15"/>
      <c r="G240" s="19"/>
      <c r="H240" s="19"/>
      <c r="I240" s="19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</row>
    <row r="241" spans="2:39" ht="41.25" customHeight="1">
      <c r="B241" s="21"/>
      <c r="C241" s="57" t="str">
        <f t="shared" si="7"/>
        <v/>
      </c>
      <c r="D241" s="18"/>
      <c r="E241" s="18"/>
      <c r="F241" s="15"/>
      <c r="G241" s="19"/>
      <c r="H241" s="19"/>
      <c r="I241" s="19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</row>
    <row r="242" spans="2:39" ht="41.25" customHeight="1">
      <c r="B242" s="21"/>
      <c r="C242" s="57" t="str">
        <f t="shared" si="7"/>
        <v/>
      </c>
      <c r="D242" s="18"/>
      <c r="E242" s="18"/>
      <c r="F242" s="15"/>
      <c r="G242" s="19"/>
      <c r="H242" s="19"/>
      <c r="I242" s="19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</row>
    <row r="243" spans="2:39" ht="41.25" customHeight="1">
      <c r="B243" s="21"/>
      <c r="C243" s="57" t="str">
        <f t="shared" si="7"/>
        <v/>
      </c>
      <c r="D243" s="18"/>
      <c r="E243" s="18"/>
      <c r="F243" s="15"/>
      <c r="G243" s="19"/>
      <c r="H243" s="19"/>
      <c r="I243" s="19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</row>
    <row r="244" spans="2:39" ht="41.25" customHeight="1">
      <c r="B244" s="21"/>
      <c r="C244" s="57" t="str">
        <f t="shared" si="7"/>
        <v/>
      </c>
      <c r="D244" s="18"/>
      <c r="E244" s="18"/>
      <c r="F244" s="15"/>
      <c r="G244" s="19"/>
      <c r="H244" s="19"/>
      <c r="I244" s="19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</row>
    <row r="245" spans="2:39" ht="41.25" customHeight="1">
      <c r="B245" s="21"/>
      <c r="C245" s="57" t="str">
        <f t="shared" si="7"/>
        <v/>
      </c>
      <c r="D245" s="18"/>
      <c r="E245" s="18"/>
      <c r="F245" s="15"/>
      <c r="G245" s="19"/>
      <c r="H245" s="19"/>
      <c r="I245" s="19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</row>
    <row r="246" spans="2:39" ht="41.25" customHeight="1">
      <c r="B246" s="21"/>
      <c r="C246" s="57" t="str">
        <f t="shared" si="7"/>
        <v/>
      </c>
      <c r="D246" s="18"/>
      <c r="E246" s="18"/>
      <c r="F246" s="15"/>
      <c r="G246" s="19"/>
      <c r="H246" s="19"/>
      <c r="I246" s="19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</row>
    <row r="247" spans="2:39" ht="41.25" customHeight="1">
      <c r="B247" s="21"/>
      <c r="C247" s="57" t="str">
        <f t="shared" si="7"/>
        <v/>
      </c>
      <c r="D247" s="18"/>
      <c r="E247" s="18"/>
      <c r="F247" s="15"/>
      <c r="G247" s="19"/>
      <c r="H247" s="19"/>
      <c r="I247" s="19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</row>
    <row r="248" spans="2:39" ht="41.25" customHeight="1">
      <c r="B248" s="21"/>
      <c r="C248" s="57" t="str">
        <f t="shared" si="7"/>
        <v/>
      </c>
      <c r="D248" s="18"/>
      <c r="E248" s="18"/>
      <c r="F248" s="15"/>
      <c r="G248" s="19"/>
      <c r="H248" s="19"/>
      <c r="I248" s="19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</row>
    <row r="249" spans="2:39" ht="41.25" customHeight="1">
      <c r="B249" s="21"/>
      <c r="C249" s="57" t="str">
        <f t="shared" si="7"/>
        <v/>
      </c>
      <c r="D249" s="18"/>
      <c r="E249" s="18"/>
      <c r="F249" s="15"/>
      <c r="G249" s="19"/>
      <c r="H249" s="19"/>
      <c r="I249" s="19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</row>
    <row r="250" spans="2:39" ht="41.25" customHeight="1">
      <c r="B250" s="21"/>
      <c r="C250" s="57" t="str">
        <f t="shared" si="7"/>
        <v/>
      </c>
      <c r="D250" s="18"/>
      <c r="E250" s="18"/>
      <c r="F250" s="15"/>
      <c r="G250" s="19"/>
      <c r="H250" s="19"/>
      <c r="I250" s="19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</row>
    <row r="251" spans="2:39" ht="41.25" customHeight="1">
      <c r="B251" s="21"/>
      <c r="C251" s="57" t="str">
        <f t="shared" si="7"/>
        <v/>
      </c>
      <c r="D251" s="18"/>
      <c r="E251" s="18"/>
      <c r="F251" s="15"/>
      <c r="G251" s="19"/>
      <c r="H251" s="19"/>
      <c r="I251" s="19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</row>
    <row r="252" spans="2:39" ht="41.25" customHeight="1">
      <c r="B252" s="21"/>
      <c r="C252" s="57" t="str">
        <f t="shared" si="7"/>
        <v/>
      </c>
      <c r="D252" s="18"/>
      <c r="E252" s="18"/>
      <c r="F252" s="15"/>
      <c r="G252" s="19"/>
      <c r="H252" s="19"/>
      <c r="I252" s="19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</row>
    <row r="253" spans="2:39" ht="41.25" customHeight="1">
      <c r="B253" s="21"/>
      <c r="C253" s="57" t="str">
        <f t="shared" si="7"/>
        <v/>
      </c>
      <c r="D253" s="18"/>
      <c r="E253" s="18"/>
      <c r="F253" s="15"/>
      <c r="G253" s="19"/>
      <c r="H253" s="19"/>
      <c r="I253" s="19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</row>
    <row r="254" spans="2:39" ht="41.25" customHeight="1">
      <c r="B254" s="21"/>
      <c r="C254" s="57" t="str">
        <f t="shared" si="7"/>
        <v/>
      </c>
      <c r="D254" s="18"/>
      <c r="E254" s="18"/>
      <c r="F254" s="15"/>
      <c r="G254" s="19"/>
      <c r="H254" s="19"/>
      <c r="I254" s="19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</row>
    <row r="255" spans="2:39" ht="41.25" customHeight="1">
      <c r="B255" s="21"/>
      <c r="C255" s="57" t="str">
        <f t="shared" si="7"/>
        <v/>
      </c>
      <c r="D255" s="18"/>
      <c r="E255" s="18"/>
      <c r="F255" s="15"/>
      <c r="G255" s="19"/>
      <c r="H255" s="19"/>
      <c r="I255" s="19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</row>
    <row r="256" spans="2:39" ht="41.25" customHeight="1">
      <c r="B256" s="21"/>
      <c r="C256" s="57" t="str">
        <f t="shared" si="7"/>
        <v/>
      </c>
      <c r="D256" s="18"/>
      <c r="E256" s="18"/>
      <c r="F256" s="15"/>
      <c r="G256" s="19"/>
      <c r="H256" s="19"/>
      <c r="I256" s="19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</row>
    <row r="257" spans="2:39" ht="41.25" customHeight="1">
      <c r="B257" s="21"/>
      <c r="C257" s="57" t="str">
        <f t="shared" si="7"/>
        <v/>
      </c>
      <c r="D257" s="18"/>
      <c r="E257" s="18"/>
      <c r="F257" s="15"/>
      <c r="G257" s="19"/>
      <c r="H257" s="19"/>
      <c r="I257" s="19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</row>
    <row r="258" spans="2:39" ht="41.25" customHeight="1">
      <c r="B258" s="21"/>
      <c r="C258" s="57" t="str">
        <f t="shared" si="7"/>
        <v/>
      </c>
      <c r="D258" s="18"/>
      <c r="E258" s="18"/>
      <c r="F258" s="15"/>
      <c r="G258" s="19"/>
      <c r="H258" s="19"/>
      <c r="I258" s="19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</row>
    <row r="259" spans="2:39" ht="41.25" customHeight="1">
      <c r="B259" s="21"/>
      <c r="C259" s="57" t="str">
        <f t="shared" si="7"/>
        <v/>
      </c>
      <c r="D259" s="18"/>
      <c r="E259" s="18"/>
      <c r="F259" s="15"/>
      <c r="G259" s="19"/>
      <c r="H259" s="19"/>
      <c r="I259" s="19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</row>
    <row r="260" spans="2:39" ht="41.25" customHeight="1">
      <c r="B260" s="21"/>
      <c r="C260" s="57" t="str">
        <f t="shared" si="7"/>
        <v/>
      </c>
      <c r="D260" s="18"/>
      <c r="E260" s="18"/>
      <c r="F260" s="15"/>
      <c r="G260" s="19"/>
      <c r="H260" s="19"/>
      <c r="I260" s="19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</row>
    <row r="261" spans="2:39" ht="41.25" customHeight="1">
      <c r="B261" s="21"/>
      <c r="C261" s="57" t="str">
        <f t="shared" si="7"/>
        <v/>
      </c>
      <c r="D261" s="18"/>
      <c r="E261" s="18"/>
      <c r="F261" s="15"/>
      <c r="G261" s="19"/>
      <c r="H261" s="19"/>
      <c r="I261" s="19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</row>
    <row r="262" spans="2:39" ht="41.25" customHeight="1">
      <c r="B262" s="21"/>
      <c r="C262" s="57" t="str">
        <f t="shared" si="7"/>
        <v/>
      </c>
      <c r="D262" s="18"/>
      <c r="E262" s="18"/>
      <c r="F262" s="15"/>
      <c r="G262" s="19"/>
      <c r="H262" s="19"/>
      <c r="I262" s="19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</row>
    <row r="263" spans="2:39" ht="41.25" customHeight="1" outlineLevel="1">
      <c r="B263" s="21"/>
      <c r="C263" s="57" t="str">
        <f t="shared" si="7"/>
        <v/>
      </c>
      <c r="D263" s="18"/>
      <c r="E263" s="18"/>
      <c r="F263" s="15"/>
      <c r="G263" s="19"/>
      <c r="H263" s="19"/>
      <c r="I263" s="19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</row>
    <row r="264" spans="2:39" ht="41.25" customHeight="1" outlineLevel="1">
      <c r="B264" s="21"/>
      <c r="C264" s="57" t="str">
        <f t="shared" si="7"/>
        <v/>
      </c>
      <c r="D264" s="18"/>
      <c r="E264" s="18"/>
      <c r="F264" s="15"/>
      <c r="G264" s="19"/>
      <c r="H264" s="19"/>
      <c r="I264" s="19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</row>
    <row r="265" spans="2:39" ht="41.25" customHeight="1" outlineLevel="1">
      <c r="B265" s="21"/>
      <c r="C265" s="57" t="str">
        <f t="shared" si="7"/>
        <v/>
      </c>
      <c r="D265" s="18"/>
      <c r="E265" s="18"/>
      <c r="F265" s="15"/>
      <c r="G265" s="19"/>
      <c r="H265" s="19"/>
      <c r="I265" s="19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</row>
    <row r="266" spans="2:39" ht="41.25" customHeight="1" outlineLevel="1">
      <c r="B266" s="21"/>
      <c r="C266" s="57" t="str">
        <f t="shared" si="7"/>
        <v/>
      </c>
      <c r="D266" s="18"/>
      <c r="E266" s="18"/>
      <c r="F266" s="15"/>
      <c r="G266" s="19"/>
      <c r="H266" s="19"/>
      <c r="I266" s="19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</row>
    <row r="267" spans="2:39" ht="41.25" customHeight="1" outlineLevel="1">
      <c r="B267" s="21"/>
      <c r="C267" s="57" t="str">
        <f t="shared" si="7"/>
        <v/>
      </c>
      <c r="D267" s="18"/>
      <c r="E267" s="18"/>
      <c r="F267" s="15"/>
      <c r="G267" s="19"/>
      <c r="H267" s="19"/>
      <c r="I267" s="19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</row>
    <row r="268" spans="2:39" ht="41.25" customHeight="1" outlineLevel="1">
      <c r="B268" s="21"/>
      <c r="C268" s="57" t="str">
        <f t="shared" si="7"/>
        <v/>
      </c>
      <c r="D268" s="18"/>
      <c r="E268" s="18"/>
      <c r="F268" s="15"/>
      <c r="G268" s="19"/>
      <c r="H268" s="19"/>
      <c r="I268" s="19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</row>
    <row r="269" spans="2:39" ht="41.25" customHeight="1" outlineLevel="1">
      <c r="B269" s="21"/>
      <c r="C269" s="57" t="str">
        <f t="shared" si="7"/>
        <v/>
      </c>
      <c r="D269" s="18"/>
      <c r="E269" s="18"/>
      <c r="F269" s="15"/>
      <c r="G269" s="19"/>
      <c r="H269" s="19"/>
      <c r="I269" s="19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</row>
    <row r="270" spans="2:39" ht="41.25" customHeight="1" outlineLevel="1">
      <c r="B270" s="21"/>
      <c r="C270" s="57" t="str">
        <f t="shared" si="7"/>
        <v/>
      </c>
      <c r="D270" s="18"/>
      <c r="E270" s="18"/>
      <c r="F270" s="15"/>
      <c r="G270" s="19"/>
      <c r="H270" s="19"/>
      <c r="I270" s="19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</row>
    <row r="271" spans="2:39" ht="41.25" customHeight="1" outlineLevel="1">
      <c r="B271" s="21"/>
      <c r="C271" s="57" t="str">
        <f t="shared" si="7"/>
        <v/>
      </c>
      <c r="D271" s="18"/>
      <c r="E271" s="18"/>
      <c r="F271" s="15"/>
      <c r="G271" s="19"/>
      <c r="H271" s="19"/>
      <c r="I271" s="19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</row>
    <row r="272" spans="2:39" ht="41.25" customHeight="1" outlineLevel="1">
      <c r="B272" s="21"/>
      <c r="C272" s="57" t="str">
        <f t="shared" si="7"/>
        <v/>
      </c>
      <c r="D272" s="18"/>
      <c r="E272" s="18"/>
      <c r="F272" s="15"/>
      <c r="G272" s="19"/>
      <c r="H272" s="19"/>
      <c r="I272" s="19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</row>
    <row r="273" spans="2:39" ht="41.25" customHeight="1" outlineLevel="1">
      <c r="B273" s="21"/>
      <c r="C273" s="57" t="str">
        <f t="shared" si="7"/>
        <v/>
      </c>
      <c r="D273" s="18"/>
      <c r="E273" s="18"/>
      <c r="F273" s="15"/>
      <c r="G273" s="19"/>
      <c r="H273" s="19"/>
      <c r="I273" s="19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</row>
    <row r="274" spans="2:39" ht="41.25" customHeight="1" outlineLevel="1">
      <c r="B274" s="21"/>
      <c r="C274" s="57" t="str">
        <f t="shared" si="7"/>
        <v/>
      </c>
      <c r="D274" s="18"/>
      <c r="E274" s="18"/>
      <c r="F274" s="15"/>
      <c r="G274" s="19"/>
      <c r="H274" s="19"/>
      <c r="I274" s="19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</row>
    <row r="275" spans="2:39" ht="41.25" customHeight="1" outlineLevel="1">
      <c r="B275" s="21"/>
      <c r="C275" s="57" t="str">
        <f t="shared" si="7"/>
        <v/>
      </c>
      <c r="D275" s="18"/>
      <c r="E275" s="18"/>
      <c r="F275" s="15"/>
      <c r="G275" s="19"/>
      <c r="H275" s="19"/>
      <c r="I275" s="19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</row>
    <row r="276" spans="2:39" ht="41.25" customHeight="1" outlineLevel="1">
      <c r="B276" s="21"/>
      <c r="C276" s="57" t="str">
        <f t="shared" si="7"/>
        <v/>
      </c>
      <c r="D276" s="18"/>
      <c r="E276" s="18"/>
      <c r="F276" s="15"/>
      <c r="G276" s="19"/>
      <c r="H276" s="19"/>
      <c r="I276" s="19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</row>
    <row r="277" spans="2:39" ht="41.25" customHeight="1" outlineLevel="1">
      <c r="B277" s="21"/>
      <c r="C277" s="57" t="str">
        <f t="shared" si="7"/>
        <v/>
      </c>
      <c r="D277" s="18"/>
      <c r="E277" s="18"/>
      <c r="F277" s="15"/>
      <c r="G277" s="19"/>
      <c r="H277" s="19"/>
      <c r="I277" s="19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</row>
    <row r="278" spans="2:39" ht="41.25" customHeight="1" outlineLevel="1">
      <c r="B278" s="21"/>
      <c r="C278" s="57" t="str">
        <f t="shared" si="7"/>
        <v/>
      </c>
      <c r="D278" s="18"/>
      <c r="E278" s="18"/>
      <c r="F278" s="15"/>
      <c r="G278" s="19"/>
      <c r="H278" s="19"/>
      <c r="I278" s="19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</row>
    <row r="279" spans="2:39" ht="41.25" customHeight="1" outlineLevel="1">
      <c r="B279" s="21"/>
      <c r="C279" s="57" t="str">
        <f t="shared" si="7"/>
        <v/>
      </c>
      <c r="D279" s="18"/>
      <c r="E279" s="18"/>
      <c r="F279" s="15"/>
      <c r="G279" s="19"/>
      <c r="H279" s="19"/>
      <c r="I279" s="19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</row>
    <row r="280" spans="2:39" ht="41.25" customHeight="1" outlineLevel="1">
      <c r="B280" s="21"/>
      <c r="C280" s="57" t="str">
        <f t="shared" si="7"/>
        <v/>
      </c>
      <c r="D280" s="18"/>
      <c r="E280" s="18"/>
      <c r="F280" s="15"/>
      <c r="G280" s="19"/>
      <c r="H280" s="19"/>
      <c r="I280" s="19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</row>
    <row r="281" spans="2:39" ht="41.25" customHeight="1" outlineLevel="1">
      <c r="B281" s="21"/>
      <c r="C281" s="57" t="str">
        <f t="shared" si="7"/>
        <v/>
      </c>
      <c r="D281" s="18"/>
      <c r="E281" s="18"/>
      <c r="F281" s="15"/>
      <c r="G281" s="19"/>
      <c r="H281" s="19"/>
      <c r="I281" s="19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</row>
    <row r="282" spans="2:39" ht="41.25" customHeight="1" outlineLevel="1">
      <c r="B282" s="21"/>
      <c r="C282" s="57" t="str">
        <f t="shared" si="7"/>
        <v/>
      </c>
      <c r="D282" s="18"/>
      <c r="E282" s="18"/>
      <c r="F282" s="15"/>
      <c r="G282" s="19"/>
      <c r="H282" s="19"/>
      <c r="I282" s="19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</row>
    <row r="283" spans="2:39" ht="41.25" customHeight="1" outlineLevel="1">
      <c r="B283" s="21"/>
      <c r="C283" s="57" t="str">
        <f t="shared" si="7"/>
        <v/>
      </c>
      <c r="D283" s="18"/>
      <c r="E283" s="18"/>
      <c r="F283" s="15"/>
      <c r="G283" s="19"/>
      <c r="H283" s="19"/>
      <c r="I283" s="19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</row>
    <row r="284" spans="2:39" ht="41.25" customHeight="1" outlineLevel="1">
      <c r="B284" s="21"/>
      <c r="C284" s="57" t="str">
        <f t="shared" si="7"/>
        <v/>
      </c>
      <c r="D284" s="18"/>
      <c r="E284" s="18"/>
      <c r="F284" s="15"/>
      <c r="G284" s="19"/>
      <c r="H284" s="19"/>
      <c r="I284" s="19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</row>
    <row r="285" spans="2:39" ht="41.25" customHeight="1" outlineLevel="1">
      <c r="B285" s="21"/>
      <c r="C285" s="57" t="str">
        <f t="shared" si="7"/>
        <v/>
      </c>
      <c r="D285" s="18"/>
      <c r="E285" s="18"/>
      <c r="F285" s="15"/>
      <c r="G285" s="19"/>
      <c r="H285" s="19"/>
      <c r="I285" s="19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</row>
    <row r="286" spans="2:39" ht="41.25" customHeight="1" outlineLevel="1">
      <c r="B286" s="21"/>
      <c r="C286" s="57" t="str">
        <f t="shared" si="7"/>
        <v/>
      </c>
      <c r="D286" s="18"/>
      <c r="E286" s="18"/>
      <c r="F286" s="15"/>
      <c r="G286" s="19"/>
      <c r="H286" s="19"/>
      <c r="I286" s="19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</row>
    <row r="287" spans="2:39" ht="41.25" customHeight="1" outlineLevel="1">
      <c r="B287" s="21"/>
      <c r="C287" s="57" t="str">
        <f t="shared" si="7"/>
        <v/>
      </c>
      <c r="D287" s="18"/>
      <c r="E287" s="18"/>
      <c r="F287" s="15"/>
      <c r="G287" s="19"/>
      <c r="H287" s="19"/>
      <c r="I287" s="19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</row>
    <row r="288" spans="2:39" ht="41.25" customHeight="1" outlineLevel="1">
      <c r="B288" s="21"/>
      <c r="C288" s="57" t="str">
        <f t="shared" si="7"/>
        <v/>
      </c>
      <c r="D288" s="18"/>
      <c r="E288" s="18"/>
      <c r="F288" s="15"/>
      <c r="G288" s="19"/>
      <c r="H288" s="19"/>
      <c r="I288" s="19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</row>
    <row r="289" spans="2:39" ht="41.25" customHeight="1" outlineLevel="1">
      <c r="B289" s="21"/>
      <c r="C289" s="57" t="str">
        <f t="shared" si="7"/>
        <v/>
      </c>
      <c r="D289" s="18"/>
      <c r="E289" s="18"/>
      <c r="F289" s="15"/>
      <c r="G289" s="19"/>
      <c r="H289" s="19"/>
      <c r="I289" s="19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</row>
    <row r="290" spans="2:39" ht="41.25" customHeight="1" outlineLevel="1">
      <c r="B290" s="21"/>
      <c r="C290" s="57" t="str">
        <f t="shared" si="7"/>
        <v/>
      </c>
      <c r="D290" s="18"/>
      <c r="E290" s="18"/>
      <c r="F290" s="15"/>
      <c r="G290" s="19"/>
      <c r="H290" s="19"/>
      <c r="I290" s="19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</row>
    <row r="291" spans="2:39" ht="41.25" customHeight="1" outlineLevel="1">
      <c r="B291" s="21"/>
      <c r="C291" s="57" t="str">
        <f t="shared" si="7"/>
        <v/>
      </c>
      <c r="D291" s="18"/>
      <c r="E291" s="18"/>
      <c r="F291" s="15"/>
      <c r="G291" s="19"/>
      <c r="H291" s="19"/>
      <c r="I291" s="19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</row>
    <row r="292" spans="2:39" ht="41.25" customHeight="1" outlineLevel="1">
      <c r="B292" s="21"/>
      <c r="C292" s="57" t="str">
        <f t="shared" si="7"/>
        <v/>
      </c>
      <c r="D292" s="18"/>
      <c r="E292" s="18"/>
      <c r="F292" s="15"/>
      <c r="G292" s="19"/>
      <c r="H292" s="19"/>
      <c r="I292" s="19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</row>
    <row r="293" spans="2:39" ht="41.25" customHeight="1" outlineLevel="1">
      <c r="B293" s="21"/>
      <c r="C293" s="57" t="str">
        <f t="shared" si="7"/>
        <v/>
      </c>
      <c r="D293" s="18"/>
      <c r="E293" s="18"/>
      <c r="F293" s="15"/>
      <c r="G293" s="19"/>
      <c r="H293" s="19"/>
      <c r="I293" s="19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</row>
    <row r="294" spans="2:39" ht="41.25" customHeight="1" outlineLevel="1">
      <c r="B294" s="21"/>
      <c r="C294" s="57" t="str">
        <f t="shared" si="7"/>
        <v/>
      </c>
      <c r="D294" s="18"/>
      <c r="E294" s="18"/>
      <c r="F294" s="15"/>
      <c r="G294" s="19"/>
      <c r="H294" s="19"/>
      <c r="I294" s="19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</row>
    <row r="295" spans="2:39" ht="41.25" customHeight="1" outlineLevel="1">
      <c r="B295" s="21"/>
      <c r="C295" s="57" t="str">
        <f t="shared" si="7"/>
        <v/>
      </c>
      <c r="D295" s="18"/>
      <c r="E295" s="18"/>
      <c r="F295" s="15"/>
      <c r="G295" s="19"/>
      <c r="H295" s="19"/>
      <c r="I295" s="19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</row>
    <row r="296" spans="2:39" ht="41.25" customHeight="1" outlineLevel="1">
      <c r="B296" s="21"/>
      <c r="C296" s="57" t="str">
        <f t="shared" si="7"/>
        <v/>
      </c>
      <c r="D296" s="18"/>
      <c r="E296" s="18"/>
      <c r="F296" s="15"/>
      <c r="G296" s="19"/>
      <c r="H296" s="19"/>
      <c r="I296" s="19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</row>
    <row r="297" spans="2:39" ht="41.25" customHeight="1" outlineLevel="1">
      <c r="B297" s="21"/>
      <c r="C297" s="57" t="str">
        <f t="shared" si="7"/>
        <v/>
      </c>
      <c r="D297" s="18"/>
      <c r="E297" s="18"/>
      <c r="F297" s="15"/>
      <c r="G297" s="19"/>
      <c r="H297" s="19"/>
      <c r="I297" s="19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</row>
    <row r="298" spans="2:39" ht="41.25" customHeight="1" outlineLevel="1">
      <c r="B298" s="21"/>
      <c r="C298" s="57" t="str">
        <f t="shared" si="7"/>
        <v/>
      </c>
      <c r="D298" s="18"/>
      <c r="E298" s="18"/>
      <c r="F298" s="15"/>
      <c r="G298" s="19"/>
      <c r="H298" s="19"/>
      <c r="I298" s="19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</row>
    <row r="299" spans="2:39" ht="41.25" customHeight="1" outlineLevel="1">
      <c r="B299" s="21"/>
      <c r="C299" s="57" t="str">
        <f t="shared" ref="C299:C362" si="8">IF(B299="","",MONTH(B299))</f>
        <v/>
      </c>
      <c r="D299" s="18"/>
      <c r="E299" s="18"/>
      <c r="F299" s="15"/>
      <c r="G299" s="19"/>
      <c r="H299" s="19"/>
      <c r="I299" s="19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</row>
    <row r="300" spans="2:39" ht="41.25" customHeight="1" outlineLevel="1">
      <c r="B300" s="21"/>
      <c r="C300" s="57" t="str">
        <f t="shared" si="8"/>
        <v/>
      </c>
      <c r="D300" s="18"/>
      <c r="E300" s="18"/>
      <c r="F300" s="15"/>
      <c r="G300" s="19"/>
      <c r="H300" s="19"/>
      <c r="I300" s="19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</row>
    <row r="301" spans="2:39" ht="41.25" customHeight="1" outlineLevel="1">
      <c r="B301" s="21"/>
      <c r="C301" s="57" t="str">
        <f t="shared" si="8"/>
        <v/>
      </c>
      <c r="D301" s="18"/>
      <c r="E301" s="18"/>
      <c r="F301" s="15"/>
      <c r="G301" s="19"/>
      <c r="H301" s="19"/>
      <c r="I301" s="19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</row>
    <row r="302" spans="2:39" ht="41.25" customHeight="1" outlineLevel="1">
      <c r="B302" s="21"/>
      <c r="C302" s="57" t="str">
        <f t="shared" si="8"/>
        <v/>
      </c>
      <c r="D302" s="18"/>
      <c r="E302" s="18"/>
      <c r="F302" s="15"/>
      <c r="G302" s="19"/>
      <c r="H302" s="19"/>
      <c r="I302" s="19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</row>
    <row r="303" spans="2:39" ht="41.25" customHeight="1" outlineLevel="1">
      <c r="B303" s="21"/>
      <c r="C303" s="57" t="str">
        <f t="shared" si="8"/>
        <v/>
      </c>
      <c r="D303" s="18"/>
      <c r="E303" s="18"/>
      <c r="F303" s="15"/>
      <c r="G303" s="19"/>
      <c r="H303" s="19"/>
      <c r="I303" s="19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</row>
    <row r="304" spans="2:39" ht="41.25" customHeight="1" outlineLevel="1">
      <c r="B304" s="21"/>
      <c r="C304" s="57" t="str">
        <f t="shared" si="8"/>
        <v/>
      </c>
      <c r="D304" s="18"/>
      <c r="E304" s="18"/>
      <c r="F304" s="15"/>
      <c r="G304" s="19"/>
      <c r="H304" s="19"/>
      <c r="I304" s="19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</row>
    <row r="305" spans="2:39" ht="41.25" customHeight="1" outlineLevel="1">
      <c r="B305" s="21"/>
      <c r="C305" s="57" t="str">
        <f t="shared" si="8"/>
        <v/>
      </c>
      <c r="D305" s="18"/>
      <c r="E305" s="18"/>
      <c r="F305" s="15"/>
      <c r="G305" s="19"/>
      <c r="H305" s="19"/>
      <c r="I305" s="19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</row>
    <row r="306" spans="2:39" ht="41.25" customHeight="1" outlineLevel="1">
      <c r="B306" s="21"/>
      <c r="C306" s="57" t="str">
        <f t="shared" si="8"/>
        <v/>
      </c>
      <c r="D306" s="18"/>
      <c r="E306" s="18"/>
      <c r="F306" s="15"/>
      <c r="G306" s="19"/>
      <c r="H306" s="19"/>
      <c r="I306" s="19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</row>
    <row r="307" spans="2:39" ht="41.25" customHeight="1" outlineLevel="1">
      <c r="B307" s="21"/>
      <c r="C307" s="57" t="str">
        <f t="shared" si="8"/>
        <v/>
      </c>
      <c r="D307" s="18"/>
      <c r="E307" s="18"/>
      <c r="F307" s="15"/>
      <c r="G307" s="19"/>
      <c r="H307" s="19"/>
      <c r="I307" s="19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</row>
    <row r="308" spans="2:39" ht="41.25" customHeight="1" outlineLevel="1">
      <c r="B308" s="21"/>
      <c r="C308" s="57" t="str">
        <f t="shared" si="8"/>
        <v/>
      </c>
      <c r="D308" s="18"/>
      <c r="E308" s="18"/>
      <c r="F308" s="15"/>
      <c r="G308" s="19"/>
      <c r="H308" s="19"/>
      <c r="I308" s="19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</row>
    <row r="309" spans="2:39" ht="41.25" customHeight="1" outlineLevel="1">
      <c r="B309" s="21"/>
      <c r="C309" s="57" t="str">
        <f t="shared" si="8"/>
        <v/>
      </c>
      <c r="D309" s="18"/>
      <c r="E309" s="18"/>
      <c r="F309" s="15"/>
      <c r="G309" s="19"/>
      <c r="H309" s="19"/>
      <c r="I309" s="19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</row>
    <row r="310" spans="2:39" ht="41.25" customHeight="1" outlineLevel="1">
      <c r="B310" s="21"/>
      <c r="C310" s="57" t="str">
        <f t="shared" si="8"/>
        <v/>
      </c>
      <c r="D310" s="18"/>
      <c r="E310" s="18"/>
      <c r="F310" s="15"/>
      <c r="G310" s="19"/>
      <c r="H310" s="19"/>
      <c r="I310" s="19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</row>
    <row r="311" spans="2:39" ht="41.25" customHeight="1" outlineLevel="1">
      <c r="B311" s="21"/>
      <c r="C311" s="57" t="str">
        <f t="shared" si="8"/>
        <v/>
      </c>
      <c r="D311" s="18"/>
      <c r="E311" s="18"/>
      <c r="F311" s="15"/>
      <c r="G311" s="19"/>
      <c r="H311" s="19"/>
      <c r="I311" s="19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</row>
    <row r="312" spans="2:39" ht="41.25" customHeight="1" outlineLevel="1">
      <c r="B312" s="21"/>
      <c r="C312" s="57" t="str">
        <f t="shared" si="8"/>
        <v/>
      </c>
      <c r="D312" s="18"/>
      <c r="E312" s="18"/>
      <c r="F312" s="15"/>
      <c r="G312" s="19"/>
      <c r="H312" s="19"/>
      <c r="I312" s="19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</row>
    <row r="313" spans="2:39" ht="41.25" customHeight="1" outlineLevel="1">
      <c r="B313" s="21"/>
      <c r="C313" s="57" t="str">
        <f t="shared" si="8"/>
        <v/>
      </c>
      <c r="D313" s="18"/>
      <c r="E313" s="18"/>
      <c r="F313" s="15"/>
      <c r="G313" s="19"/>
      <c r="H313" s="19"/>
      <c r="I313" s="19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</row>
    <row r="314" spans="2:39" ht="41.25" customHeight="1" outlineLevel="1">
      <c r="B314" s="21"/>
      <c r="C314" s="57" t="str">
        <f t="shared" si="8"/>
        <v/>
      </c>
      <c r="D314" s="18"/>
      <c r="E314" s="18"/>
      <c r="F314" s="15"/>
      <c r="G314" s="19"/>
      <c r="H314" s="19"/>
      <c r="I314" s="19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</row>
    <row r="315" spans="2:39" ht="41.25" customHeight="1" outlineLevel="1">
      <c r="B315" s="21"/>
      <c r="C315" s="57" t="str">
        <f t="shared" si="8"/>
        <v/>
      </c>
      <c r="D315" s="18"/>
      <c r="E315" s="18"/>
      <c r="F315" s="15"/>
      <c r="G315" s="19"/>
      <c r="H315" s="19"/>
      <c r="I315" s="19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</row>
    <row r="316" spans="2:39" ht="41.25" customHeight="1" outlineLevel="1">
      <c r="B316" s="21"/>
      <c r="C316" s="57" t="str">
        <f t="shared" si="8"/>
        <v/>
      </c>
      <c r="D316" s="18"/>
      <c r="E316" s="18"/>
      <c r="F316" s="15"/>
      <c r="G316" s="19"/>
      <c r="H316" s="19"/>
      <c r="I316" s="19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</row>
    <row r="317" spans="2:39" ht="41.25" customHeight="1" outlineLevel="1">
      <c r="B317" s="21"/>
      <c r="C317" s="57" t="str">
        <f t="shared" si="8"/>
        <v/>
      </c>
      <c r="D317" s="18"/>
      <c r="E317" s="18"/>
      <c r="F317" s="15"/>
      <c r="G317" s="19"/>
      <c r="H317" s="19"/>
      <c r="I317" s="19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</row>
    <row r="318" spans="2:39" ht="41.25" customHeight="1" outlineLevel="1">
      <c r="B318" s="21"/>
      <c r="C318" s="57" t="str">
        <f t="shared" si="8"/>
        <v/>
      </c>
      <c r="D318" s="18"/>
      <c r="E318" s="18"/>
      <c r="F318" s="15"/>
      <c r="G318" s="19"/>
      <c r="H318" s="19"/>
      <c r="I318" s="19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</row>
    <row r="319" spans="2:39" ht="41.25" customHeight="1" outlineLevel="1">
      <c r="B319" s="21"/>
      <c r="C319" s="57" t="str">
        <f t="shared" si="8"/>
        <v/>
      </c>
      <c r="D319" s="18"/>
      <c r="E319" s="18"/>
      <c r="F319" s="15"/>
      <c r="G319" s="19"/>
      <c r="H319" s="19"/>
      <c r="I319" s="19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</row>
    <row r="320" spans="2:39" ht="41.25" customHeight="1" outlineLevel="1">
      <c r="B320" s="21"/>
      <c r="C320" s="57" t="str">
        <f t="shared" si="8"/>
        <v/>
      </c>
      <c r="D320" s="18"/>
      <c r="E320" s="18"/>
      <c r="F320" s="15"/>
      <c r="G320" s="19"/>
      <c r="H320" s="19"/>
      <c r="I320" s="19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</row>
    <row r="321" spans="2:39" ht="41.25" customHeight="1" outlineLevel="1">
      <c r="B321" s="21"/>
      <c r="C321" s="57" t="str">
        <f t="shared" si="8"/>
        <v/>
      </c>
      <c r="D321" s="18"/>
      <c r="E321" s="18"/>
      <c r="F321" s="15"/>
      <c r="G321" s="19"/>
      <c r="H321" s="19"/>
      <c r="I321" s="19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</row>
    <row r="322" spans="2:39" ht="41.25" customHeight="1" outlineLevel="1">
      <c r="B322" s="21"/>
      <c r="C322" s="57" t="str">
        <f t="shared" si="8"/>
        <v/>
      </c>
      <c r="D322" s="18"/>
      <c r="E322" s="18"/>
      <c r="F322" s="15"/>
      <c r="G322" s="19"/>
      <c r="H322" s="19"/>
      <c r="I322" s="19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</row>
    <row r="323" spans="2:39" ht="41.25" customHeight="1" outlineLevel="1">
      <c r="B323" s="21"/>
      <c r="C323" s="57" t="str">
        <f t="shared" si="8"/>
        <v/>
      </c>
      <c r="D323" s="18"/>
      <c r="E323" s="18"/>
      <c r="F323" s="15"/>
      <c r="G323" s="19"/>
      <c r="H323" s="19"/>
      <c r="I323" s="19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</row>
    <row r="324" spans="2:39" ht="41.25" customHeight="1" outlineLevel="1">
      <c r="B324" s="21"/>
      <c r="C324" s="57" t="str">
        <f t="shared" si="8"/>
        <v/>
      </c>
      <c r="D324" s="18"/>
      <c r="E324" s="18"/>
      <c r="F324" s="15"/>
      <c r="G324" s="19"/>
      <c r="H324" s="19"/>
      <c r="I324" s="19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</row>
    <row r="325" spans="2:39" ht="41.25" customHeight="1" outlineLevel="1">
      <c r="B325" s="21"/>
      <c r="C325" s="57" t="str">
        <f t="shared" si="8"/>
        <v/>
      </c>
      <c r="D325" s="18"/>
      <c r="E325" s="18"/>
      <c r="F325" s="15"/>
      <c r="G325" s="19"/>
      <c r="H325" s="19"/>
      <c r="I325" s="19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</row>
    <row r="326" spans="2:39" ht="41.25" customHeight="1" outlineLevel="1">
      <c r="B326" s="21"/>
      <c r="C326" s="57" t="str">
        <f t="shared" si="8"/>
        <v/>
      </c>
      <c r="D326" s="18"/>
      <c r="E326" s="18"/>
      <c r="F326" s="15"/>
      <c r="G326" s="19"/>
      <c r="H326" s="19"/>
      <c r="I326" s="19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</row>
    <row r="327" spans="2:39" ht="41.25" customHeight="1" outlineLevel="1">
      <c r="B327" s="21"/>
      <c r="C327" s="57" t="str">
        <f t="shared" si="8"/>
        <v/>
      </c>
      <c r="D327" s="18"/>
      <c r="E327" s="18"/>
      <c r="F327" s="15"/>
      <c r="G327" s="19"/>
      <c r="H327" s="19"/>
      <c r="I327" s="19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</row>
    <row r="328" spans="2:39" ht="41.25" customHeight="1" outlineLevel="1">
      <c r="B328" s="21"/>
      <c r="C328" s="57" t="str">
        <f t="shared" si="8"/>
        <v/>
      </c>
      <c r="D328" s="18"/>
      <c r="E328" s="18"/>
      <c r="F328" s="15"/>
      <c r="G328" s="19"/>
      <c r="H328" s="19"/>
      <c r="I328" s="19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</row>
    <row r="329" spans="2:39" ht="41.25" customHeight="1" outlineLevel="1">
      <c r="B329" s="21"/>
      <c r="C329" s="57" t="str">
        <f t="shared" si="8"/>
        <v/>
      </c>
      <c r="D329" s="18"/>
      <c r="E329" s="18"/>
      <c r="F329" s="15"/>
      <c r="G329" s="19"/>
      <c r="H329" s="19"/>
      <c r="I329" s="19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</row>
    <row r="330" spans="2:39" ht="41.25" customHeight="1" outlineLevel="1">
      <c r="B330" s="21"/>
      <c r="C330" s="57" t="str">
        <f t="shared" si="8"/>
        <v/>
      </c>
      <c r="D330" s="18"/>
      <c r="E330" s="18"/>
      <c r="F330" s="15"/>
      <c r="G330" s="19"/>
      <c r="H330" s="19"/>
      <c r="I330" s="19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</row>
    <row r="331" spans="2:39" ht="41.25" customHeight="1" outlineLevel="1">
      <c r="B331" s="21"/>
      <c r="C331" s="57" t="str">
        <f t="shared" si="8"/>
        <v/>
      </c>
      <c r="D331" s="18"/>
      <c r="E331" s="18"/>
      <c r="F331" s="15"/>
      <c r="G331" s="19"/>
      <c r="H331" s="19"/>
      <c r="I331" s="19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</row>
    <row r="332" spans="2:39" s="10" customFormat="1" ht="41.25" customHeight="1" outlineLevel="1">
      <c r="B332" s="21"/>
      <c r="C332" s="57" t="str">
        <f t="shared" si="8"/>
        <v/>
      </c>
      <c r="D332" s="18"/>
      <c r="E332" s="18"/>
      <c r="F332" s="15"/>
      <c r="G332" s="19"/>
      <c r="H332" s="19"/>
      <c r="I332" s="19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</row>
    <row r="333" spans="2:39" ht="41.25" customHeight="1" outlineLevel="1">
      <c r="B333" s="21"/>
      <c r="C333" s="57" t="str">
        <f t="shared" si="8"/>
        <v/>
      </c>
      <c r="D333" s="18"/>
      <c r="E333" s="18"/>
      <c r="F333" s="15"/>
      <c r="G333" s="19"/>
      <c r="H333" s="19"/>
      <c r="I333" s="19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</row>
    <row r="334" spans="2:39" ht="41.25" customHeight="1" outlineLevel="1">
      <c r="B334" s="21"/>
      <c r="C334" s="57" t="str">
        <f t="shared" si="8"/>
        <v/>
      </c>
      <c r="D334" s="18"/>
      <c r="E334" s="18"/>
      <c r="F334" s="15"/>
      <c r="G334" s="19"/>
      <c r="H334" s="19"/>
      <c r="I334" s="19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</row>
    <row r="335" spans="2:39" ht="41.25" customHeight="1" outlineLevel="1">
      <c r="B335" s="21"/>
      <c r="C335" s="57" t="str">
        <f t="shared" si="8"/>
        <v/>
      </c>
      <c r="D335" s="18"/>
      <c r="E335" s="18"/>
      <c r="F335" s="15"/>
      <c r="G335" s="19"/>
      <c r="H335" s="19"/>
      <c r="I335" s="19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</row>
    <row r="336" spans="2:39" ht="41.25" customHeight="1" outlineLevel="1">
      <c r="B336" s="21"/>
      <c r="C336" s="57" t="str">
        <f t="shared" si="8"/>
        <v/>
      </c>
      <c r="D336" s="18"/>
      <c r="E336" s="18"/>
      <c r="F336" s="15"/>
      <c r="G336" s="19"/>
      <c r="H336" s="19"/>
      <c r="I336" s="19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</row>
    <row r="337" spans="2:39" ht="41.25" customHeight="1" outlineLevel="1">
      <c r="B337" s="21"/>
      <c r="C337" s="57" t="str">
        <f t="shared" si="8"/>
        <v/>
      </c>
      <c r="D337" s="18"/>
      <c r="E337" s="18"/>
      <c r="F337" s="15"/>
      <c r="G337" s="19"/>
      <c r="H337" s="19"/>
      <c r="I337" s="19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</row>
    <row r="338" spans="2:39" ht="41.25" customHeight="1" outlineLevel="1">
      <c r="B338" s="18"/>
      <c r="C338" s="57" t="str">
        <f t="shared" si="8"/>
        <v/>
      </c>
      <c r="D338" s="18"/>
      <c r="E338" s="18"/>
      <c r="F338" s="15"/>
      <c r="G338" s="19"/>
      <c r="H338" s="19"/>
      <c r="I338" s="19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</row>
    <row r="339" spans="2:39" ht="41.25" customHeight="1" outlineLevel="1">
      <c r="B339" s="18"/>
      <c r="C339" s="57" t="str">
        <f t="shared" si="8"/>
        <v/>
      </c>
      <c r="D339" s="18"/>
      <c r="E339" s="18"/>
      <c r="F339" s="15"/>
      <c r="G339" s="19"/>
      <c r="H339" s="19"/>
      <c r="I339" s="19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</row>
    <row r="340" spans="2:39" s="11" customFormat="1" ht="41.25" customHeight="1" outlineLevel="1">
      <c r="B340" s="24"/>
      <c r="C340" s="57" t="str">
        <f t="shared" si="8"/>
        <v/>
      </c>
      <c r="D340" s="24"/>
      <c r="E340" s="24"/>
      <c r="F340" s="25"/>
      <c r="G340" s="26"/>
      <c r="H340" s="26"/>
      <c r="I340" s="26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2"/>
      <c r="AL340" s="27"/>
      <c r="AM340" s="27"/>
    </row>
    <row r="341" spans="2:39" ht="41.25" customHeight="1" outlineLevel="1">
      <c r="B341" s="18"/>
      <c r="C341" s="57" t="str">
        <f t="shared" si="8"/>
        <v/>
      </c>
      <c r="D341" s="18"/>
      <c r="E341" s="18"/>
      <c r="F341" s="15"/>
      <c r="G341" s="19"/>
      <c r="H341" s="19"/>
      <c r="I341" s="19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7"/>
      <c r="AL341" s="22"/>
      <c r="AM341" s="22"/>
    </row>
    <row r="342" spans="2:39" ht="41.25" customHeight="1" outlineLevel="1">
      <c r="B342" s="18"/>
      <c r="C342" s="57" t="str">
        <f t="shared" si="8"/>
        <v/>
      </c>
      <c r="D342" s="18"/>
      <c r="E342" s="18"/>
      <c r="F342" s="15"/>
      <c r="G342" s="19"/>
      <c r="H342" s="19"/>
      <c r="I342" s="19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</row>
    <row r="343" spans="2:39" ht="41.25" customHeight="1" outlineLevel="1">
      <c r="B343" s="18"/>
      <c r="C343" s="57" t="str">
        <f t="shared" si="8"/>
        <v/>
      </c>
      <c r="D343" s="18"/>
      <c r="E343" s="18"/>
      <c r="F343" s="15"/>
      <c r="G343" s="19"/>
      <c r="H343" s="19"/>
      <c r="I343" s="19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</row>
    <row r="344" spans="2:39" ht="41.25" customHeight="1" outlineLevel="1">
      <c r="B344" s="18"/>
      <c r="C344" s="57" t="str">
        <f t="shared" si="8"/>
        <v/>
      </c>
      <c r="D344" s="18"/>
      <c r="E344" s="18"/>
      <c r="F344" s="15"/>
      <c r="G344" s="19"/>
      <c r="H344" s="19"/>
      <c r="I344" s="19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</row>
    <row r="345" spans="2:39" ht="41.25" customHeight="1" outlineLevel="1">
      <c r="B345" s="18"/>
      <c r="C345" s="57" t="str">
        <f t="shared" si="8"/>
        <v/>
      </c>
      <c r="D345" s="18"/>
      <c r="E345" s="18"/>
      <c r="F345" s="15"/>
      <c r="G345" s="19"/>
      <c r="H345" s="19"/>
      <c r="I345" s="19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</row>
    <row r="346" spans="2:39" ht="41.25" customHeight="1" outlineLevel="1">
      <c r="B346" s="18"/>
      <c r="C346" s="57" t="str">
        <f t="shared" si="8"/>
        <v/>
      </c>
      <c r="D346" s="18"/>
      <c r="E346" s="18"/>
      <c r="F346" s="15"/>
      <c r="G346" s="19"/>
      <c r="H346" s="19"/>
      <c r="I346" s="19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</row>
    <row r="347" spans="2:39" ht="41.25" customHeight="1" outlineLevel="1">
      <c r="B347" s="18"/>
      <c r="C347" s="57" t="str">
        <f t="shared" si="8"/>
        <v/>
      </c>
      <c r="D347" s="18"/>
      <c r="E347" s="18"/>
      <c r="F347" s="15"/>
      <c r="G347" s="19"/>
      <c r="H347" s="19"/>
      <c r="I347" s="19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</row>
    <row r="348" spans="2:39" ht="41.25" customHeight="1" outlineLevel="1">
      <c r="B348" s="18"/>
      <c r="C348" s="57" t="str">
        <f t="shared" si="8"/>
        <v/>
      </c>
      <c r="D348" s="18"/>
      <c r="E348" s="18"/>
      <c r="F348" s="15"/>
      <c r="G348" s="19"/>
      <c r="H348" s="19"/>
      <c r="I348" s="19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</row>
    <row r="349" spans="2:39" ht="41.25" customHeight="1" outlineLevel="1">
      <c r="B349" s="18"/>
      <c r="C349" s="57" t="str">
        <f t="shared" si="8"/>
        <v/>
      </c>
      <c r="D349" s="18"/>
      <c r="E349" s="18"/>
      <c r="F349" s="15"/>
      <c r="G349" s="19"/>
      <c r="H349" s="19"/>
      <c r="I349" s="19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</row>
    <row r="350" spans="2:39" ht="41.25" customHeight="1" outlineLevel="1">
      <c r="B350" s="18"/>
      <c r="C350" s="57" t="str">
        <f t="shared" si="8"/>
        <v/>
      </c>
      <c r="D350" s="18"/>
      <c r="E350" s="18"/>
      <c r="F350" s="15"/>
      <c r="G350" s="19"/>
      <c r="H350" s="19"/>
      <c r="I350" s="19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</row>
    <row r="351" spans="2:39" ht="41.25" customHeight="1" outlineLevel="1">
      <c r="B351" s="18"/>
      <c r="C351" s="57" t="str">
        <f t="shared" si="8"/>
        <v/>
      </c>
      <c r="D351" s="18"/>
      <c r="E351" s="18"/>
      <c r="F351" s="15"/>
      <c r="G351" s="19"/>
      <c r="H351" s="19"/>
      <c r="I351" s="19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</row>
    <row r="352" spans="2:39" ht="41.25" customHeight="1" outlineLevel="1">
      <c r="B352" s="18"/>
      <c r="C352" s="57" t="str">
        <f t="shared" si="8"/>
        <v/>
      </c>
      <c r="D352" s="18"/>
      <c r="E352" s="18"/>
      <c r="F352" s="15"/>
      <c r="G352" s="19"/>
      <c r="H352" s="19"/>
      <c r="I352" s="19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</row>
    <row r="353" spans="2:39" ht="41.25" customHeight="1" outlineLevel="1">
      <c r="B353" s="18"/>
      <c r="C353" s="57" t="str">
        <f t="shared" si="8"/>
        <v/>
      </c>
      <c r="D353" s="18"/>
      <c r="E353" s="18"/>
      <c r="F353" s="15"/>
      <c r="G353" s="19"/>
      <c r="H353" s="19"/>
      <c r="I353" s="19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</row>
    <row r="354" spans="2:39" ht="41.25" customHeight="1" outlineLevel="1">
      <c r="B354" s="18"/>
      <c r="C354" s="57" t="str">
        <f t="shared" si="8"/>
        <v/>
      </c>
      <c r="D354" s="18"/>
      <c r="E354" s="18"/>
      <c r="F354" s="15"/>
      <c r="G354" s="19"/>
      <c r="H354" s="19"/>
      <c r="I354" s="19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</row>
    <row r="355" spans="2:39" ht="41.25" customHeight="1" outlineLevel="1">
      <c r="B355" s="18"/>
      <c r="C355" s="57" t="str">
        <f t="shared" si="8"/>
        <v/>
      </c>
      <c r="D355" s="18"/>
      <c r="E355" s="18"/>
      <c r="F355" s="15"/>
      <c r="G355" s="19"/>
      <c r="H355" s="19"/>
      <c r="I355" s="19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</row>
    <row r="356" spans="2:39" ht="41.25" customHeight="1" outlineLevel="1">
      <c r="B356" s="18"/>
      <c r="C356" s="57" t="str">
        <f t="shared" si="8"/>
        <v/>
      </c>
      <c r="D356" s="18"/>
      <c r="E356" s="18"/>
      <c r="F356" s="15"/>
      <c r="G356" s="19"/>
      <c r="H356" s="19"/>
      <c r="I356" s="19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</row>
    <row r="357" spans="2:39" ht="41.25" customHeight="1" outlineLevel="1">
      <c r="B357" s="18"/>
      <c r="C357" s="57" t="str">
        <f t="shared" si="8"/>
        <v/>
      </c>
      <c r="D357" s="18"/>
      <c r="E357" s="18"/>
      <c r="F357" s="15"/>
      <c r="G357" s="19"/>
      <c r="H357" s="19"/>
      <c r="I357" s="19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</row>
    <row r="358" spans="2:39" ht="41.25" customHeight="1" outlineLevel="1">
      <c r="B358" s="18"/>
      <c r="C358" s="57" t="str">
        <f t="shared" si="8"/>
        <v/>
      </c>
      <c r="D358" s="18"/>
      <c r="E358" s="18"/>
      <c r="F358" s="15"/>
      <c r="G358" s="19"/>
      <c r="H358" s="19"/>
      <c r="I358" s="19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</row>
    <row r="359" spans="2:39" ht="41.25" customHeight="1" outlineLevel="1">
      <c r="B359" s="18"/>
      <c r="C359" s="57" t="str">
        <f t="shared" si="8"/>
        <v/>
      </c>
      <c r="D359" s="18"/>
      <c r="E359" s="18"/>
      <c r="F359" s="15"/>
      <c r="G359" s="19"/>
      <c r="H359" s="19"/>
      <c r="I359" s="19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</row>
    <row r="360" spans="2:39" ht="41.25" customHeight="1" outlineLevel="1">
      <c r="B360" s="18"/>
      <c r="C360" s="57" t="str">
        <f t="shared" si="8"/>
        <v/>
      </c>
      <c r="D360" s="18"/>
      <c r="E360" s="18"/>
      <c r="F360" s="15"/>
      <c r="G360" s="19"/>
      <c r="H360" s="19"/>
      <c r="I360" s="19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</row>
    <row r="361" spans="2:39" ht="41.25" customHeight="1" outlineLevel="1">
      <c r="B361" s="18"/>
      <c r="C361" s="57" t="str">
        <f t="shared" si="8"/>
        <v/>
      </c>
      <c r="D361" s="18"/>
      <c r="E361" s="18"/>
      <c r="F361" s="15"/>
      <c r="G361" s="19"/>
      <c r="H361" s="19"/>
      <c r="I361" s="19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</row>
    <row r="362" spans="2:39" ht="41.25" customHeight="1" outlineLevel="1">
      <c r="B362" s="18"/>
      <c r="C362" s="57" t="str">
        <f t="shared" si="8"/>
        <v/>
      </c>
      <c r="D362" s="18"/>
      <c r="E362" s="18"/>
      <c r="F362" s="15"/>
      <c r="G362" s="19"/>
      <c r="H362" s="19"/>
      <c r="I362" s="19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</row>
    <row r="363" spans="2:39" ht="41.25" customHeight="1" outlineLevel="1">
      <c r="B363" s="18"/>
      <c r="C363" s="57" t="str">
        <f t="shared" ref="C363:C403" si="9">IF(B363="","",MONTH(B363))</f>
        <v/>
      </c>
      <c r="D363" s="18"/>
      <c r="E363" s="18"/>
      <c r="F363" s="15"/>
      <c r="G363" s="19"/>
      <c r="H363" s="19"/>
      <c r="I363" s="19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</row>
    <row r="364" spans="2:39" ht="41.25" customHeight="1" outlineLevel="1">
      <c r="B364" s="18"/>
      <c r="C364" s="57" t="str">
        <f t="shared" si="9"/>
        <v/>
      </c>
      <c r="D364" s="18"/>
      <c r="E364" s="18"/>
      <c r="F364" s="15"/>
      <c r="G364" s="19"/>
      <c r="H364" s="19"/>
      <c r="I364" s="19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</row>
    <row r="365" spans="2:39" ht="41.25" customHeight="1" outlineLevel="1">
      <c r="B365" s="18"/>
      <c r="C365" s="57" t="str">
        <f t="shared" si="9"/>
        <v/>
      </c>
      <c r="D365" s="18"/>
      <c r="E365" s="18"/>
      <c r="F365" s="15"/>
      <c r="G365" s="19"/>
      <c r="H365" s="19"/>
      <c r="I365" s="19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</row>
    <row r="366" spans="2:39" ht="41.25" customHeight="1" outlineLevel="1">
      <c r="B366" s="18"/>
      <c r="C366" s="57" t="str">
        <f t="shared" si="9"/>
        <v/>
      </c>
      <c r="D366" s="18"/>
      <c r="E366" s="18"/>
      <c r="F366" s="15"/>
      <c r="G366" s="19"/>
      <c r="H366" s="19"/>
      <c r="I366" s="19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</row>
    <row r="367" spans="2:39" ht="41.25" customHeight="1" outlineLevel="1">
      <c r="B367" s="18"/>
      <c r="C367" s="57" t="str">
        <f t="shared" si="9"/>
        <v/>
      </c>
      <c r="D367" s="18"/>
      <c r="E367" s="18"/>
      <c r="F367" s="15"/>
      <c r="G367" s="19"/>
      <c r="H367" s="19"/>
      <c r="I367" s="19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</row>
    <row r="368" spans="2:39" s="12" customFormat="1" ht="41.25" customHeight="1" outlineLevel="1">
      <c r="B368" s="28"/>
      <c r="C368" s="57" t="str">
        <f t="shared" si="9"/>
        <v/>
      </c>
      <c r="D368" s="28"/>
      <c r="E368" s="28"/>
      <c r="F368" s="29"/>
      <c r="G368" s="19"/>
      <c r="H368" s="19"/>
      <c r="I368" s="19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22"/>
      <c r="AL368" s="33"/>
      <c r="AM368" s="33"/>
    </row>
    <row r="369" spans="2:39" ht="41.25" customHeight="1" outlineLevel="1">
      <c r="B369" s="18"/>
      <c r="C369" s="57" t="str">
        <f t="shared" si="9"/>
        <v/>
      </c>
      <c r="D369" s="18"/>
      <c r="E369" s="18"/>
      <c r="F369" s="15"/>
      <c r="G369" s="19"/>
      <c r="H369" s="19"/>
      <c r="I369" s="19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33"/>
      <c r="AL369" s="22"/>
      <c r="AM369" s="22"/>
    </row>
    <row r="370" spans="2:39" ht="41.25" customHeight="1" outlineLevel="1">
      <c r="B370" s="18"/>
      <c r="C370" s="57" t="str">
        <f t="shared" si="9"/>
        <v/>
      </c>
      <c r="D370" s="18"/>
      <c r="E370" s="18"/>
      <c r="F370" s="15"/>
      <c r="G370" s="19"/>
      <c r="H370" s="19"/>
      <c r="I370" s="19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</row>
    <row r="371" spans="2:39" ht="41.25" customHeight="1" outlineLevel="1">
      <c r="B371" s="18"/>
      <c r="C371" s="57" t="str">
        <f t="shared" si="9"/>
        <v/>
      </c>
      <c r="D371" s="18"/>
      <c r="E371" s="18"/>
      <c r="F371" s="15"/>
      <c r="G371" s="19"/>
      <c r="H371" s="19"/>
      <c r="I371" s="19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</row>
    <row r="372" spans="2:39" ht="41.25" customHeight="1" outlineLevel="1">
      <c r="B372" s="18"/>
      <c r="C372" s="57" t="str">
        <f t="shared" si="9"/>
        <v/>
      </c>
      <c r="D372" s="18"/>
      <c r="E372" s="18"/>
      <c r="F372" s="15"/>
      <c r="G372" s="19"/>
      <c r="H372" s="19"/>
      <c r="I372" s="19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</row>
    <row r="373" spans="2:39" ht="41.25" customHeight="1" outlineLevel="1">
      <c r="B373" s="18"/>
      <c r="C373" s="57" t="str">
        <f t="shared" si="9"/>
        <v/>
      </c>
      <c r="D373" s="18"/>
      <c r="E373" s="18"/>
      <c r="F373" s="15"/>
      <c r="G373" s="19"/>
      <c r="H373" s="19"/>
      <c r="I373" s="19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</row>
    <row r="374" spans="2:39" ht="41.25" customHeight="1" outlineLevel="1">
      <c r="B374" s="18"/>
      <c r="C374" s="57" t="str">
        <f t="shared" si="9"/>
        <v/>
      </c>
      <c r="D374" s="18"/>
      <c r="E374" s="18"/>
      <c r="F374" s="15"/>
      <c r="G374" s="19"/>
      <c r="H374" s="19"/>
      <c r="I374" s="19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</row>
    <row r="375" spans="2:39" ht="41.25" customHeight="1" outlineLevel="1">
      <c r="B375" s="18"/>
      <c r="C375" s="57" t="str">
        <f t="shared" si="9"/>
        <v/>
      </c>
      <c r="D375" s="18"/>
      <c r="E375" s="18"/>
      <c r="F375" s="15"/>
      <c r="G375" s="19"/>
      <c r="H375" s="19"/>
      <c r="I375" s="19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</row>
    <row r="376" spans="2:39" ht="41.25" customHeight="1" outlineLevel="1">
      <c r="B376" s="18"/>
      <c r="C376" s="57" t="str">
        <f t="shared" si="9"/>
        <v/>
      </c>
      <c r="D376" s="18"/>
      <c r="E376" s="18"/>
      <c r="F376" s="15"/>
      <c r="G376" s="19"/>
      <c r="H376" s="19"/>
      <c r="I376" s="19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</row>
    <row r="377" spans="2:39" ht="41.25" customHeight="1" outlineLevel="1">
      <c r="B377" s="18"/>
      <c r="C377" s="57" t="str">
        <f t="shared" si="9"/>
        <v/>
      </c>
      <c r="D377" s="18"/>
      <c r="E377" s="18"/>
      <c r="F377" s="15"/>
      <c r="G377" s="19"/>
      <c r="H377" s="19"/>
      <c r="I377" s="19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</row>
    <row r="378" spans="2:39" ht="41.25" customHeight="1" outlineLevel="1">
      <c r="B378" s="18"/>
      <c r="C378" s="57" t="str">
        <f t="shared" si="9"/>
        <v/>
      </c>
      <c r="D378" s="18"/>
      <c r="E378" s="18"/>
      <c r="F378" s="15"/>
      <c r="G378" s="19"/>
      <c r="H378" s="19"/>
      <c r="I378" s="19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</row>
    <row r="379" spans="2:39" ht="41.25" customHeight="1" outlineLevel="1">
      <c r="B379" s="18"/>
      <c r="C379" s="57" t="str">
        <f t="shared" si="9"/>
        <v/>
      </c>
      <c r="D379" s="18"/>
      <c r="E379" s="18"/>
      <c r="F379" s="15"/>
      <c r="G379" s="19"/>
      <c r="H379" s="19"/>
      <c r="I379" s="19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</row>
    <row r="380" spans="2:39" ht="41.25" customHeight="1" outlineLevel="1">
      <c r="B380" s="18"/>
      <c r="C380" s="57" t="str">
        <f t="shared" si="9"/>
        <v/>
      </c>
      <c r="D380" s="18"/>
      <c r="E380" s="18"/>
      <c r="F380" s="15"/>
      <c r="G380" s="19"/>
      <c r="H380" s="19"/>
      <c r="I380" s="19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</row>
    <row r="381" spans="2:39" ht="41.25" customHeight="1" outlineLevel="1">
      <c r="B381" s="18"/>
      <c r="C381" s="57" t="str">
        <f t="shared" si="9"/>
        <v/>
      </c>
      <c r="D381" s="18"/>
      <c r="E381" s="18"/>
      <c r="F381" s="15"/>
      <c r="G381" s="19"/>
      <c r="H381" s="19"/>
      <c r="I381" s="19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</row>
    <row r="382" spans="2:39" ht="41.25" customHeight="1" outlineLevel="1">
      <c r="B382" s="18"/>
      <c r="C382" s="57" t="str">
        <f t="shared" si="9"/>
        <v/>
      </c>
      <c r="D382" s="18"/>
      <c r="E382" s="18"/>
      <c r="F382" s="15"/>
      <c r="G382" s="19"/>
      <c r="H382" s="19"/>
      <c r="I382" s="19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</row>
    <row r="383" spans="2:39" ht="41.25" customHeight="1" outlineLevel="1">
      <c r="B383" s="18"/>
      <c r="C383" s="57" t="str">
        <f t="shared" si="9"/>
        <v/>
      </c>
      <c r="D383" s="18"/>
      <c r="E383" s="18"/>
      <c r="F383" s="15"/>
      <c r="G383" s="19"/>
      <c r="H383" s="19"/>
      <c r="I383" s="19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</row>
    <row r="384" spans="2:39" ht="41.25" customHeight="1" outlineLevel="1">
      <c r="B384" s="18"/>
      <c r="C384" s="57" t="str">
        <f t="shared" si="9"/>
        <v/>
      </c>
      <c r="D384" s="18"/>
      <c r="E384" s="18"/>
      <c r="F384" s="15"/>
      <c r="G384" s="19"/>
      <c r="H384" s="19"/>
      <c r="I384" s="19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</row>
    <row r="385" spans="2:39" ht="41.25" customHeight="1" outlineLevel="1">
      <c r="B385" s="18"/>
      <c r="C385" s="57" t="str">
        <f t="shared" si="9"/>
        <v/>
      </c>
      <c r="D385" s="18"/>
      <c r="E385" s="18"/>
      <c r="F385" s="15"/>
      <c r="G385" s="19"/>
      <c r="H385" s="19"/>
      <c r="I385" s="19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</row>
    <row r="386" spans="2:39" ht="41.25" customHeight="1" outlineLevel="1">
      <c r="B386" s="18"/>
      <c r="C386" s="57" t="str">
        <f t="shared" si="9"/>
        <v/>
      </c>
      <c r="D386" s="18"/>
      <c r="E386" s="18"/>
      <c r="F386" s="15"/>
      <c r="G386" s="19"/>
      <c r="H386" s="19"/>
      <c r="I386" s="19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</row>
    <row r="387" spans="2:39" ht="41.25" customHeight="1" outlineLevel="1">
      <c r="B387" s="18"/>
      <c r="C387" s="57" t="str">
        <f t="shared" si="9"/>
        <v/>
      </c>
      <c r="D387" s="18"/>
      <c r="E387" s="18"/>
      <c r="F387" s="15"/>
      <c r="G387" s="19"/>
      <c r="H387" s="19"/>
      <c r="I387" s="19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</row>
    <row r="388" spans="2:39" ht="41.25" customHeight="1" outlineLevel="1">
      <c r="B388" s="18"/>
      <c r="C388" s="57" t="str">
        <f t="shared" si="9"/>
        <v/>
      </c>
      <c r="D388" s="18"/>
      <c r="E388" s="18"/>
      <c r="F388" s="15"/>
      <c r="G388" s="19"/>
      <c r="H388" s="19"/>
      <c r="I388" s="19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</row>
    <row r="389" spans="2:39" ht="41.25" customHeight="1" outlineLevel="1">
      <c r="B389" s="18"/>
      <c r="C389" s="57" t="str">
        <f t="shared" si="9"/>
        <v/>
      </c>
      <c r="D389" s="18"/>
      <c r="E389" s="18"/>
      <c r="F389" s="15"/>
      <c r="G389" s="19"/>
      <c r="H389" s="19"/>
      <c r="I389" s="19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</row>
    <row r="390" spans="2:39" ht="41.25" customHeight="1" outlineLevel="1">
      <c r="B390" s="18"/>
      <c r="C390" s="57" t="str">
        <f t="shared" si="9"/>
        <v/>
      </c>
      <c r="D390" s="18"/>
      <c r="E390" s="18"/>
      <c r="F390" s="15"/>
      <c r="G390" s="19"/>
      <c r="H390" s="19"/>
      <c r="I390" s="19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</row>
    <row r="391" spans="2:39" ht="41.25" customHeight="1" outlineLevel="1">
      <c r="B391" s="18"/>
      <c r="C391" s="57" t="str">
        <f t="shared" si="9"/>
        <v/>
      </c>
      <c r="D391" s="18"/>
      <c r="E391" s="18"/>
      <c r="F391" s="15"/>
      <c r="G391" s="19"/>
      <c r="H391" s="19"/>
      <c r="I391" s="19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</row>
    <row r="392" spans="2:39" ht="41.25" customHeight="1" outlineLevel="1">
      <c r="B392" s="18"/>
      <c r="C392" s="57" t="str">
        <f t="shared" si="9"/>
        <v/>
      </c>
      <c r="D392" s="18"/>
      <c r="E392" s="18"/>
      <c r="F392" s="15"/>
      <c r="G392" s="19"/>
      <c r="H392" s="19"/>
      <c r="I392" s="19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</row>
    <row r="393" spans="2:39" ht="41.25" customHeight="1" outlineLevel="1">
      <c r="B393" s="18"/>
      <c r="C393" s="57" t="str">
        <f t="shared" si="9"/>
        <v/>
      </c>
      <c r="D393" s="18"/>
      <c r="E393" s="18"/>
      <c r="F393" s="15"/>
      <c r="G393" s="19"/>
      <c r="H393" s="19"/>
      <c r="I393" s="19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</row>
    <row r="394" spans="2:39" ht="41.25" customHeight="1" outlineLevel="1">
      <c r="B394" s="18"/>
      <c r="C394" s="57" t="str">
        <f t="shared" si="9"/>
        <v/>
      </c>
      <c r="D394" s="18"/>
      <c r="E394" s="18"/>
      <c r="F394" s="15"/>
      <c r="G394" s="19"/>
      <c r="H394" s="19"/>
      <c r="I394" s="19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</row>
    <row r="395" spans="2:39" ht="41.25" customHeight="1" outlineLevel="1">
      <c r="B395" s="18"/>
      <c r="C395" s="57" t="str">
        <f t="shared" si="9"/>
        <v/>
      </c>
      <c r="D395" s="18"/>
      <c r="E395" s="18"/>
      <c r="F395" s="15"/>
      <c r="G395" s="19"/>
      <c r="H395" s="19"/>
      <c r="I395" s="19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</row>
    <row r="396" spans="2:39" ht="41.25" customHeight="1" outlineLevel="1">
      <c r="B396" s="18"/>
      <c r="C396" s="57" t="str">
        <f t="shared" si="9"/>
        <v/>
      </c>
      <c r="D396" s="18"/>
      <c r="E396" s="18"/>
      <c r="F396" s="15"/>
      <c r="G396" s="19"/>
      <c r="H396" s="19"/>
      <c r="I396" s="19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</row>
    <row r="397" spans="2:39" ht="41.25" customHeight="1" outlineLevel="1">
      <c r="B397" s="18"/>
      <c r="C397" s="57" t="str">
        <f t="shared" si="9"/>
        <v/>
      </c>
      <c r="D397" s="18"/>
      <c r="E397" s="18"/>
      <c r="F397" s="15"/>
      <c r="G397" s="19"/>
      <c r="H397" s="19"/>
      <c r="I397" s="19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</row>
    <row r="398" spans="2:39" ht="41.25" customHeight="1" outlineLevel="1">
      <c r="B398" s="18"/>
      <c r="C398" s="57" t="str">
        <f t="shared" si="9"/>
        <v/>
      </c>
      <c r="D398" s="18"/>
      <c r="E398" s="18"/>
      <c r="F398" s="15"/>
      <c r="G398" s="19"/>
      <c r="H398" s="19"/>
      <c r="I398" s="19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</row>
    <row r="399" spans="2:39" ht="41.25" customHeight="1" outlineLevel="1">
      <c r="B399" s="18"/>
      <c r="C399" s="57" t="str">
        <f t="shared" si="9"/>
        <v/>
      </c>
      <c r="D399" s="18"/>
      <c r="E399" s="18"/>
      <c r="F399" s="15"/>
      <c r="G399" s="19"/>
      <c r="H399" s="19"/>
      <c r="I399" s="19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</row>
    <row r="400" spans="2:39" ht="41.25" customHeight="1" outlineLevel="1">
      <c r="B400" s="18"/>
      <c r="C400" s="57" t="str">
        <f t="shared" si="9"/>
        <v/>
      </c>
      <c r="D400" s="18"/>
      <c r="E400" s="18"/>
      <c r="F400" s="15"/>
      <c r="G400" s="19"/>
      <c r="H400" s="19"/>
      <c r="I400" s="19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</row>
    <row r="401" spans="2:39" ht="41.25" customHeight="1" outlineLevel="1">
      <c r="B401" s="18"/>
      <c r="C401" s="57" t="str">
        <f t="shared" si="9"/>
        <v/>
      </c>
      <c r="D401" s="18"/>
      <c r="E401" s="18"/>
      <c r="F401" s="15"/>
      <c r="G401" s="19"/>
      <c r="H401" s="19"/>
      <c r="I401" s="19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</row>
    <row r="402" spans="2:39" ht="41.25" customHeight="1" outlineLevel="1">
      <c r="B402" s="18"/>
      <c r="C402" s="57" t="str">
        <f t="shared" si="9"/>
        <v/>
      </c>
      <c r="D402" s="18"/>
      <c r="E402" s="18"/>
      <c r="F402" s="15"/>
      <c r="G402" s="19"/>
      <c r="H402" s="19"/>
      <c r="I402" s="19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</row>
    <row r="403" spans="2:39" ht="41.25" customHeight="1" outlineLevel="1">
      <c r="B403" s="18"/>
      <c r="C403" s="57" t="str">
        <f t="shared" si="9"/>
        <v/>
      </c>
      <c r="D403" s="18"/>
      <c r="E403" s="18"/>
      <c r="F403" s="15"/>
      <c r="G403" s="19"/>
      <c r="H403" s="19"/>
      <c r="I403" s="19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</row>
    <row r="404" spans="2:39" ht="29.4" customHeight="1">
      <c r="B404" s="30"/>
      <c r="C404" s="30"/>
      <c r="D404" s="30"/>
      <c r="E404" s="30"/>
      <c r="F404" s="30"/>
      <c r="G404" s="31"/>
      <c r="H404" s="31"/>
      <c r="I404" s="31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</row>
    <row r="405" spans="2:39">
      <c r="B405"/>
      <c r="C405"/>
    </row>
    <row r="406" spans="2:39">
      <c r="B406"/>
      <c r="C406"/>
    </row>
    <row r="407" spans="2:39" ht="27" customHeight="1"/>
    <row r="408" spans="2:39">
      <c r="B408" t="s">
        <v>11</v>
      </c>
      <c r="C408" t="s">
        <v>12</v>
      </c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</row>
    <row r="409" spans="2:39">
      <c r="B409" s="7" t="s">
        <v>13</v>
      </c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</row>
    <row r="410" spans="2:39">
      <c r="B410" s="7" t="s">
        <v>6</v>
      </c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</row>
    <row r="411" spans="2:39">
      <c r="B411" s="7" t="s">
        <v>14</v>
      </c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</row>
    <row r="412" spans="2:39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</row>
    <row r="413" spans="2:39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</row>
    <row r="414" spans="2:39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</row>
    <row r="415" spans="2:39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</row>
    <row r="416" spans="2:39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</row>
    <row r="417" spans="2:19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</row>
    <row r="418" spans="2:19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</row>
    <row r="419" spans="2:19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</row>
    <row r="420" spans="2:19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</row>
    <row r="421" spans="2:19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</row>
    <row r="422" spans="2:19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</row>
    <row r="423" spans="2:19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</row>
    <row r="424" spans="2:19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</row>
    <row r="425" spans="2:19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</row>
    <row r="426" spans="2:19">
      <c r="B426"/>
      <c r="C426"/>
      <c r="D426"/>
      <c r="E426"/>
      <c r="F426" s="32"/>
      <c r="G426"/>
      <c r="H426"/>
      <c r="I426"/>
      <c r="J426"/>
      <c r="K426"/>
      <c r="L426"/>
      <c r="M426"/>
      <c r="N426"/>
      <c r="O426"/>
      <c r="P426"/>
      <c r="Q426"/>
      <c r="R426"/>
      <c r="S426"/>
    </row>
    <row r="427" spans="2:19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</row>
    <row r="428" spans="2:19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</row>
    <row r="429" spans="2:19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</row>
    <row r="430" spans="2:19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</row>
    <row r="431" spans="2:19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</row>
    <row r="432" spans="2:19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</row>
    <row r="433" spans="2:19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</row>
    <row r="434" spans="2:19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</row>
    <row r="435" spans="2:19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</row>
    <row r="436" spans="2:19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</row>
    <row r="437" spans="2:19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</row>
    <row r="438" spans="2:19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</row>
    <row r="439" spans="2:19">
      <c r="B439"/>
      <c r="C439"/>
      <c r="D439"/>
      <c r="E439"/>
      <c r="F439"/>
    </row>
  </sheetData>
  <autoFilter ref="B5:AM403" xr:uid="{00000000-0009-0000-0000-000026000000}"/>
  <mergeCells count="11">
    <mergeCell ref="E1:G1"/>
    <mergeCell ref="E2:G2"/>
    <mergeCell ref="L4:P4"/>
    <mergeCell ref="Q4:S4"/>
    <mergeCell ref="T4:W4"/>
    <mergeCell ref="AC4:AF4"/>
    <mergeCell ref="AG4:AH4"/>
    <mergeCell ref="AL4:AM4"/>
    <mergeCell ref="J4:K4"/>
    <mergeCell ref="AI4:AJ4"/>
    <mergeCell ref="Y4:AA4"/>
  </mergeCells>
  <phoneticPr fontId="18" type="noConversion"/>
  <conditionalFormatting sqref="C6:C403">
    <cfRule type="cellIs" dxfId="14" priority="1" operator="between">
      <formula>"B1"</formula>
      <formula>"B100"</formula>
    </cfRule>
    <cfRule type="cellIs" dxfId="13" priority="2" operator="equal">
      <formula>"HA"</formula>
    </cfRule>
    <cfRule type="cellIs" dxfId="12" priority="3" operator="equal">
      <formula>"LD"</formula>
    </cfRule>
  </conditionalFormatting>
  <pageMargins left="0.7" right="0.7" top="0.75" bottom="0.75" header="0.3" footer="0.3"/>
  <pageSetup paperSize="9" orientation="portrait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1151C8-EC61-4DB3-B7C7-BBEB9C80879C}">
          <x14:formula1>
            <xm:f>LOOKUP!$A$2:$A$3</xm:f>
          </x14:formula1>
          <xm:sqref>E6:E166</xm:sqref>
        </x14:dataValidation>
        <x14:dataValidation type="list" allowBlank="1" showInputMessage="1" showErrorMessage="1" xr:uid="{92D8D581-16E0-4D81-AE46-217AE2506213}">
          <x14:formula1>
            <xm:f>LOOKUP!$C$2:$C$6</xm:f>
          </x14:formula1>
          <xm:sqref>F6:F166</xm:sqref>
        </x14:dataValidation>
        <x14:dataValidation type="list" allowBlank="1" showInputMessage="1" showErrorMessage="1" xr:uid="{C04A4581-982C-4E43-BA82-B64B070D1251}">
          <x14:formula1>
            <xm:f>LOOKUP!$E$2:$E$9</xm:f>
          </x14:formula1>
          <xm:sqref>H6:H166</xm:sqref>
        </x14:dataValidation>
        <x14:dataValidation type="list" allowBlank="1" showInputMessage="1" showErrorMessage="1" xr:uid="{F85C798B-2219-4C6A-9145-FB66127251E3}">
          <x14:formula1>
            <xm:f>LOOKUP!$F$2:$F$9</xm:f>
          </x14:formula1>
          <xm:sqref>I6:I166</xm:sqref>
        </x14:dataValidation>
        <x14:dataValidation type="list" allowBlank="1" showInputMessage="1" showErrorMessage="1" xr:uid="{CB3813DD-8B17-436E-9FE0-0AB3784E94C0}">
          <x14:formula1>
            <xm:f>LOOKUP!$D$2:$D$20</xm:f>
          </x14:formula1>
          <xm:sqref>G6:G166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635CC-4920-4AEB-9910-0E3F04D2B6C1}">
  <dimension ref="A1:CU440"/>
  <sheetViews>
    <sheetView zoomScale="50" zoomScaleNormal="50" workbookViewId="0">
      <selection activeCell="H5" sqref="H5"/>
    </sheetView>
  </sheetViews>
  <sheetFormatPr defaultColWidth="8.88671875" defaultRowHeight="18" outlineLevelRow="1"/>
  <cols>
    <col min="1" max="1" width="8.88671875" style="13"/>
    <col min="2" max="2" width="32.33203125" style="14" bestFit="1" customWidth="1"/>
    <col min="3" max="3" width="31.5546875" style="14" customWidth="1"/>
    <col min="4" max="4" width="29.109375" style="14" customWidth="1"/>
    <col min="5" max="6" width="16.6640625" style="14" customWidth="1"/>
    <col min="7" max="7" width="32.5546875" style="14" customWidth="1"/>
    <col min="8" max="8" width="36.5546875" style="14" bestFit="1" customWidth="1"/>
    <col min="9" max="9" width="22.6640625" style="14" bestFit="1" customWidth="1"/>
    <col min="10" max="11" width="36.33203125" style="13" bestFit="1" customWidth="1"/>
    <col min="12" max="12" width="25.33203125" style="22" customWidth="1"/>
    <col min="13" max="23" width="25.33203125" style="13" customWidth="1"/>
    <col min="24" max="27" width="32.6640625" style="13" customWidth="1"/>
    <col min="28" max="30" width="34.109375" style="13" customWidth="1"/>
    <col min="31" max="34" width="25.33203125" style="13" customWidth="1"/>
    <col min="35" max="35" width="34.109375" style="13" bestFit="1" customWidth="1"/>
    <col min="36" max="37" width="34.109375" style="13" customWidth="1"/>
    <col min="38" max="39" width="25.33203125" style="13" customWidth="1"/>
    <col min="40" max="16384" width="8.88671875" style="13"/>
  </cols>
  <sheetData>
    <row r="1" spans="2:39" ht="27" customHeight="1">
      <c r="E1" s="108" t="s">
        <v>60</v>
      </c>
      <c r="F1" s="108"/>
      <c r="G1" s="108"/>
      <c r="H1" s="16"/>
      <c r="I1" s="50"/>
      <c r="J1" s="68">
        <v>308.10000000000002</v>
      </c>
      <c r="K1" s="67">
        <v>487.82742006132287</v>
      </c>
      <c r="L1" s="92">
        <v>45.12</v>
      </c>
      <c r="M1" s="59">
        <v>68</v>
      </c>
      <c r="N1" s="59">
        <v>61.09</v>
      </c>
      <c r="O1" s="59">
        <v>61.09</v>
      </c>
      <c r="P1" s="59">
        <v>61.09</v>
      </c>
      <c r="Q1" s="59">
        <v>498.85</v>
      </c>
      <c r="R1" s="59">
        <v>513.01</v>
      </c>
      <c r="S1" s="59">
        <v>639</v>
      </c>
      <c r="T1" s="59">
        <v>443.78</v>
      </c>
      <c r="U1" s="59">
        <v>317.43</v>
      </c>
      <c r="V1" s="59">
        <v>184.75</v>
      </c>
      <c r="W1" s="59">
        <v>276.63</v>
      </c>
      <c r="X1" s="59">
        <v>439.59</v>
      </c>
      <c r="Y1" s="59">
        <v>794.42</v>
      </c>
      <c r="Z1" s="59">
        <v>726.72</v>
      </c>
      <c r="AA1" s="59"/>
      <c r="AB1" s="59">
        <v>66.52</v>
      </c>
      <c r="AC1" s="59">
        <v>78.930000000000007</v>
      </c>
      <c r="AD1" s="59">
        <v>79.930000000000007</v>
      </c>
      <c r="AE1" s="59">
        <v>108.19</v>
      </c>
      <c r="AF1" s="59">
        <v>94.13</v>
      </c>
      <c r="AG1" s="59">
        <v>343.33</v>
      </c>
      <c r="AH1" s="59">
        <v>136.44</v>
      </c>
      <c r="AI1" s="67">
        <v>69.959999999999994</v>
      </c>
      <c r="AJ1" s="67">
        <v>168.67893123083664</v>
      </c>
      <c r="AK1" s="67">
        <v>390.14016644765661</v>
      </c>
      <c r="AL1" s="59">
        <v>96.3</v>
      </c>
      <c r="AM1" s="60">
        <v>96.3</v>
      </c>
    </row>
    <row r="2" spans="2:39" ht="27" customHeight="1">
      <c r="E2" s="108" t="s">
        <v>59</v>
      </c>
      <c r="F2" s="108"/>
      <c r="G2" s="108"/>
      <c r="H2" s="51">
        <f>SUM(J2:AM2)</f>
        <v>39411.023832676306</v>
      </c>
      <c r="I2" s="50"/>
      <c r="J2" s="69">
        <f>J1*J3</f>
        <v>308.10000000000002</v>
      </c>
      <c r="K2" s="63">
        <f>K1*K3</f>
        <v>2926.9645203679374</v>
      </c>
      <c r="L2" s="93">
        <f t="shared" ref="L2:AM2" si="0">L1*L3</f>
        <v>0</v>
      </c>
      <c r="M2" s="62">
        <f t="shared" si="0"/>
        <v>0</v>
      </c>
      <c r="N2" s="62">
        <f t="shared" si="0"/>
        <v>122.18</v>
      </c>
      <c r="O2" s="62">
        <f t="shared" si="0"/>
        <v>0</v>
      </c>
      <c r="P2" s="62">
        <f t="shared" si="0"/>
        <v>244.36</v>
      </c>
      <c r="Q2" s="62">
        <f t="shared" si="0"/>
        <v>498.85</v>
      </c>
      <c r="R2" s="62">
        <f t="shared" si="0"/>
        <v>0</v>
      </c>
      <c r="S2" s="62">
        <f t="shared" si="0"/>
        <v>1278</v>
      </c>
      <c r="T2" s="62">
        <f t="shared" si="0"/>
        <v>443.78</v>
      </c>
      <c r="U2" s="62">
        <f t="shared" si="0"/>
        <v>0</v>
      </c>
      <c r="V2" s="62">
        <f t="shared" si="0"/>
        <v>0</v>
      </c>
      <c r="W2" s="62">
        <f t="shared" si="0"/>
        <v>0</v>
      </c>
      <c r="X2" s="62">
        <f t="shared" si="0"/>
        <v>1758.36</v>
      </c>
      <c r="Y2" s="62">
        <f t="shared" si="0"/>
        <v>7944.2</v>
      </c>
      <c r="Z2" s="62">
        <f t="shared" si="0"/>
        <v>0</v>
      </c>
      <c r="AA2" s="62">
        <f t="shared" si="0"/>
        <v>0</v>
      </c>
      <c r="AB2" s="62">
        <f t="shared" si="0"/>
        <v>7317.2</v>
      </c>
      <c r="AC2" s="62">
        <f t="shared" si="0"/>
        <v>4893.6600000000008</v>
      </c>
      <c r="AD2" s="62">
        <f t="shared" si="0"/>
        <v>0</v>
      </c>
      <c r="AE2" s="62">
        <f t="shared" si="0"/>
        <v>1081.9000000000001</v>
      </c>
      <c r="AF2" s="62">
        <f t="shared" si="0"/>
        <v>753.04</v>
      </c>
      <c r="AG2" s="62">
        <f t="shared" si="0"/>
        <v>4119.96</v>
      </c>
      <c r="AH2" s="62">
        <f t="shared" si="0"/>
        <v>3683.88</v>
      </c>
      <c r="AI2" s="63">
        <f t="shared" si="0"/>
        <v>349.79999999999995</v>
      </c>
      <c r="AJ2" s="63">
        <f t="shared" si="0"/>
        <v>1686.7893123083663</v>
      </c>
      <c r="AK2" s="63">
        <f t="shared" si="0"/>
        <v>0</v>
      </c>
      <c r="AL2" s="63">
        <f t="shared" si="0"/>
        <v>0</v>
      </c>
      <c r="AM2" s="64">
        <f t="shared" si="0"/>
        <v>0</v>
      </c>
    </row>
    <row r="3" spans="2:39" s="8" customFormat="1" ht="36.6" customHeight="1">
      <c r="B3" s="16"/>
      <c r="C3" s="16"/>
      <c r="D3" s="16"/>
      <c r="E3" s="16"/>
      <c r="F3" s="16"/>
      <c r="G3" s="16"/>
      <c r="H3" s="16"/>
      <c r="I3" s="16"/>
      <c r="J3" s="70">
        <f t="shared" ref="J3:Z3" si="1">SUM(J6:J404)</f>
        <v>1</v>
      </c>
      <c r="K3" s="75">
        <f t="shared" si="1"/>
        <v>6</v>
      </c>
      <c r="L3" s="52">
        <f t="shared" si="1"/>
        <v>0</v>
      </c>
      <c r="M3" s="54">
        <f t="shared" si="1"/>
        <v>0</v>
      </c>
      <c r="N3" s="54">
        <f t="shared" si="1"/>
        <v>2</v>
      </c>
      <c r="O3" s="54">
        <f t="shared" si="1"/>
        <v>0</v>
      </c>
      <c r="P3" s="55">
        <f t="shared" si="1"/>
        <v>4</v>
      </c>
      <c r="Q3" s="53">
        <f t="shared" si="1"/>
        <v>1</v>
      </c>
      <c r="R3" s="54">
        <f t="shared" si="1"/>
        <v>0</v>
      </c>
      <c r="S3" s="55">
        <f t="shared" si="1"/>
        <v>2</v>
      </c>
      <c r="T3" s="53">
        <f t="shared" si="1"/>
        <v>1</v>
      </c>
      <c r="U3" s="54">
        <f t="shared" si="1"/>
        <v>0</v>
      </c>
      <c r="V3" s="54">
        <f t="shared" si="1"/>
        <v>0</v>
      </c>
      <c r="W3" s="55">
        <f t="shared" si="1"/>
        <v>0</v>
      </c>
      <c r="X3" s="56">
        <f t="shared" si="1"/>
        <v>4</v>
      </c>
      <c r="Y3" s="53">
        <f t="shared" si="1"/>
        <v>10</v>
      </c>
      <c r="Z3" s="55">
        <f t="shared" si="1"/>
        <v>0</v>
      </c>
      <c r="AA3" s="55"/>
      <c r="AB3" s="52">
        <f>SUM(AB6:AB404)</f>
        <v>110</v>
      </c>
      <c r="AC3" s="53">
        <f>SUM(AC6:AC404)</f>
        <v>62</v>
      </c>
      <c r="AD3" s="54"/>
      <c r="AE3" s="54">
        <f t="shared" ref="AE3:AM3" si="2">SUM(AE6:AE404)</f>
        <v>10</v>
      </c>
      <c r="AF3" s="55">
        <f t="shared" si="2"/>
        <v>8</v>
      </c>
      <c r="AG3" s="53">
        <f t="shared" si="2"/>
        <v>12</v>
      </c>
      <c r="AH3" s="55">
        <f t="shared" si="2"/>
        <v>27</v>
      </c>
      <c r="AI3" s="70">
        <f t="shared" si="2"/>
        <v>5</v>
      </c>
      <c r="AJ3" s="71">
        <f t="shared" si="2"/>
        <v>10</v>
      </c>
      <c r="AK3" s="54">
        <f t="shared" si="2"/>
        <v>0</v>
      </c>
      <c r="AL3" s="53">
        <f t="shared" si="2"/>
        <v>0</v>
      </c>
      <c r="AM3" s="55">
        <f t="shared" si="2"/>
        <v>0</v>
      </c>
    </row>
    <row r="4" spans="2:39" s="40" customFormat="1" ht="21">
      <c r="B4" s="38"/>
      <c r="C4" s="38"/>
      <c r="D4" s="38"/>
      <c r="E4" s="38"/>
      <c r="F4" s="38"/>
      <c r="G4" s="38"/>
      <c r="H4" s="38"/>
      <c r="I4" s="38"/>
      <c r="J4" s="109" t="s">
        <v>2</v>
      </c>
      <c r="K4" s="110"/>
      <c r="L4" s="105" t="s">
        <v>48</v>
      </c>
      <c r="M4" s="106"/>
      <c r="N4" s="106"/>
      <c r="O4" s="106"/>
      <c r="P4" s="107"/>
      <c r="Q4" s="109" t="s">
        <v>49</v>
      </c>
      <c r="R4" s="111"/>
      <c r="S4" s="110"/>
      <c r="T4" s="105" t="s">
        <v>51</v>
      </c>
      <c r="U4" s="106"/>
      <c r="V4" s="106"/>
      <c r="W4" s="107"/>
      <c r="X4" s="41" t="s">
        <v>50</v>
      </c>
      <c r="Y4" s="105" t="s">
        <v>52</v>
      </c>
      <c r="Z4" s="106"/>
      <c r="AA4" s="106"/>
      <c r="AB4" s="49" t="s">
        <v>53</v>
      </c>
      <c r="AC4" s="105" t="s">
        <v>54</v>
      </c>
      <c r="AD4" s="106"/>
      <c r="AE4" s="106"/>
      <c r="AF4" s="107"/>
      <c r="AG4" s="109" t="s">
        <v>55</v>
      </c>
      <c r="AH4" s="110"/>
      <c r="AI4" s="105" t="s">
        <v>3</v>
      </c>
      <c r="AJ4" s="107"/>
      <c r="AK4" s="49"/>
      <c r="AL4" s="105" t="s">
        <v>4</v>
      </c>
      <c r="AM4" s="107"/>
    </row>
    <row r="5" spans="2:39" ht="94.95" customHeight="1">
      <c r="B5" s="17" t="s">
        <v>0</v>
      </c>
      <c r="C5" s="17" t="s">
        <v>9</v>
      </c>
      <c r="D5" s="17" t="s">
        <v>10</v>
      </c>
      <c r="E5" s="17" t="s">
        <v>5</v>
      </c>
      <c r="F5" s="17" t="s">
        <v>1</v>
      </c>
      <c r="G5" s="17" t="s">
        <v>56</v>
      </c>
      <c r="H5" s="17" t="s">
        <v>57</v>
      </c>
      <c r="I5" s="36" t="s">
        <v>58</v>
      </c>
      <c r="J5" s="42" t="s">
        <v>20</v>
      </c>
      <c r="K5" s="76" t="s">
        <v>141</v>
      </c>
      <c r="L5" s="17" t="s">
        <v>42</v>
      </c>
      <c r="M5" s="37" t="s">
        <v>43</v>
      </c>
      <c r="N5" s="17" t="s">
        <v>44</v>
      </c>
      <c r="O5" s="17" t="s">
        <v>45</v>
      </c>
      <c r="P5" s="17" t="s">
        <v>46</v>
      </c>
      <c r="Q5" s="42" t="s">
        <v>29</v>
      </c>
      <c r="R5" s="42" t="s">
        <v>30</v>
      </c>
      <c r="S5" s="42" t="s">
        <v>31</v>
      </c>
      <c r="T5" s="17" t="s">
        <v>28</v>
      </c>
      <c r="U5" s="37" t="s">
        <v>68</v>
      </c>
      <c r="V5" s="37" t="s">
        <v>34</v>
      </c>
      <c r="W5" s="37" t="s">
        <v>35</v>
      </c>
      <c r="X5" s="42" t="s">
        <v>33</v>
      </c>
      <c r="Y5" s="17" t="s">
        <v>39</v>
      </c>
      <c r="Z5" s="17" t="s">
        <v>40</v>
      </c>
      <c r="AA5" s="37" t="s">
        <v>143</v>
      </c>
      <c r="AB5" s="45" t="s">
        <v>22</v>
      </c>
      <c r="AC5" s="37" t="s">
        <v>23</v>
      </c>
      <c r="AD5" s="37" t="s">
        <v>155</v>
      </c>
      <c r="AE5" s="37" t="s">
        <v>24</v>
      </c>
      <c r="AF5" s="37" t="s">
        <v>25</v>
      </c>
      <c r="AG5" s="45" t="s">
        <v>26</v>
      </c>
      <c r="AH5" s="45" t="s">
        <v>27</v>
      </c>
      <c r="AI5" s="17" t="s">
        <v>21</v>
      </c>
      <c r="AJ5" s="17" t="s">
        <v>142</v>
      </c>
      <c r="AK5" s="41"/>
      <c r="AL5" s="37" t="s">
        <v>36</v>
      </c>
      <c r="AM5" s="37" t="s">
        <v>37</v>
      </c>
    </row>
    <row r="6" spans="2:39" s="14" customFormat="1" ht="41.25" customHeight="1">
      <c r="B6" s="73">
        <v>46143</v>
      </c>
      <c r="C6" s="57">
        <f>IF(B6="","",MONTH(B6))</f>
        <v>5</v>
      </c>
      <c r="D6" s="18" t="s">
        <v>7</v>
      </c>
      <c r="E6" s="18" t="s">
        <v>78</v>
      </c>
      <c r="F6" s="15" t="s">
        <v>18</v>
      </c>
      <c r="G6" s="19" t="s">
        <v>156</v>
      </c>
      <c r="H6" s="19" t="s">
        <v>148</v>
      </c>
      <c r="I6" s="19" t="s">
        <v>150</v>
      </c>
      <c r="J6" s="43"/>
      <c r="K6" s="77"/>
      <c r="L6" s="15"/>
      <c r="M6" s="86"/>
      <c r="N6" s="15"/>
      <c r="O6" s="15"/>
      <c r="P6" s="15"/>
      <c r="Q6" s="43"/>
      <c r="R6" s="43"/>
      <c r="S6" s="43"/>
      <c r="T6" s="15"/>
      <c r="U6" s="15"/>
      <c r="V6" s="15"/>
      <c r="W6" s="15"/>
      <c r="X6" s="43"/>
      <c r="Y6" s="15">
        <v>1</v>
      </c>
      <c r="Z6" s="15"/>
      <c r="AA6" s="15">
        <v>1</v>
      </c>
      <c r="AB6" s="43"/>
      <c r="AC6" s="15"/>
      <c r="AD6" s="15"/>
      <c r="AE6" s="15"/>
      <c r="AF6" s="15"/>
      <c r="AG6" s="43"/>
      <c r="AH6" s="43">
        <v>1</v>
      </c>
      <c r="AI6" s="15"/>
      <c r="AJ6" s="15"/>
      <c r="AK6" s="44"/>
      <c r="AL6" s="15"/>
      <c r="AM6" s="15"/>
    </row>
    <row r="7" spans="2:39" s="14" customFormat="1" ht="41.25" customHeight="1">
      <c r="B7" s="73">
        <v>46144</v>
      </c>
      <c r="C7" s="57">
        <f t="shared" ref="C7:C48" si="3">IF(B7="","",MONTH(B7))</f>
        <v>5</v>
      </c>
      <c r="D7" s="18" t="s">
        <v>7</v>
      </c>
      <c r="E7" s="18" t="s">
        <v>78</v>
      </c>
      <c r="F7" s="15" t="s">
        <v>88</v>
      </c>
      <c r="G7" s="19" t="s">
        <v>91</v>
      </c>
      <c r="H7" s="19" t="s">
        <v>148</v>
      </c>
      <c r="I7" s="19" t="s">
        <v>149</v>
      </c>
      <c r="J7" s="43"/>
      <c r="K7" s="77"/>
      <c r="L7" s="15"/>
      <c r="M7" s="86"/>
      <c r="N7" s="15"/>
      <c r="O7" s="15"/>
      <c r="P7" s="15"/>
      <c r="Q7" s="43"/>
      <c r="R7" s="43"/>
      <c r="S7" s="43"/>
      <c r="T7" s="15"/>
      <c r="U7" s="15"/>
      <c r="V7" s="15"/>
      <c r="W7" s="15"/>
      <c r="X7" s="43"/>
      <c r="Y7" s="15"/>
      <c r="Z7" s="15"/>
      <c r="AA7" s="15"/>
      <c r="AB7" s="43">
        <v>10</v>
      </c>
      <c r="AC7" s="15">
        <v>10</v>
      </c>
      <c r="AD7" s="15"/>
      <c r="AE7" s="15"/>
      <c r="AF7" s="15"/>
      <c r="AG7" s="43"/>
      <c r="AH7" s="43"/>
      <c r="AI7" s="15"/>
      <c r="AJ7" s="15"/>
      <c r="AK7" s="44"/>
      <c r="AL7" s="15"/>
      <c r="AM7" s="15"/>
    </row>
    <row r="8" spans="2:39" s="14" customFormat="1" ht="41.25" customHeight="1">
      <c r="B8" s="73">
        <v>46145</v>
      </c>
      <c r="C8" s="57">
        <f t="shared" si="3"/>
        <v>5</v>
      </c>
      <c r="D8" s="18" t="s">
        <v>7</v>
      </c>
      <c r="E8" s="18" t="s">
        <v>78</v>
      </c>
      <c r="F8" s="15" t="s">
        <v>18</v>
      </c>
      <c r="G8" s="74" t="s">
        <v>156</v>
      </c>
      <c r="H8" s="19" t="s">
        <v>148</v>
      </c>
      <c r="I8" s="19" t="s">
        <v>150</v>
      </c>
      <c r="J8" s="43"/>
      <c r="K8" s="77"/>
      <c r="L8" s="15"/>
      <c r="M8" s="86"/>
      <c r="N8" s="15">
        <v>2</v>
      </c>
      <c r="O8" s="15"/>
      <c r="P8" s="15"/>
      <c r="Q8" s="43"/>
      <c r="R8" s="43"/>
      <c r="S8" s="43"/>
      <c r="T8" s="15"/>
      <c r="U8" s="15"/>
      <c r="V8" s="15"/>
      <c r="W8" s="15"/>
      <c r="X8" s="43"/>
      <c r="Y8" s="15"/>
      <c r="Z8" s="15"/>
      <c r="AA8" s="15">
        <v>2</v>
      </c>
      <c r="AB8" s="43"/>
      <c r="AC8" s="15"/>
      <c r="AD8" s="15">
        <v>10</v>
      </c>
      <c r="AE8" s="15"/>
      <c r="AF8" s="15"/>
      <c r="AG8" s="43"/>
      <c r="AH8" s="43"/>
      <c r="AI8" s="15"/>
      <c r="AJ8" s="15"/>
      <c r="AK8" s="44"/>
      <c r="AL8" s="15"/>
      <c r="AM8" s="15"/>
    </row>
    <row r="9" spans="2:39" s="14" customFormat="1" ht="41.25" customHeight="1">
      <c r="B9" s="73">
        <v>46145</v>
      </c>
      <c r="C9" s="57">
        <f t="shared" si="3"/>
        <v>5</v>
      </c>
      <c r="D9" s="18" t="s">
        <v>7</v>
      </c>
      <c r="E9" s="18" t="s">
        <v>140</v>
      </c>
      <c r="F9" s="15" t="s">
        <v>88</v>
      </c>
      <c r="G9" s="19" t="s">
        <v>74</v>
      </c>
      <c r="H9" s="19" t="s">
        <v>148</v>
      </c>
      <c r="I9" s="19" t="s">
        <v>149</v>
      </c>
      <c r="J9" s="43"/>
      <c r="K9" s="77"/>
      <c r="L9" s="15"/>
      <c r="M9" s="86"/>
      <c r="N9" s="15"/>
      <c r="O9" s="15"/>
      <c r="P9" s="15"/>
      <c r="Q9" s="43"/>
      <c r="R9" s="43"/>
      <c r="S9" s="43"/>
      <c r="T9" s="15"/>
      <c r="U9" s="15"/>
      <c r="V9" s="15"/>
      <c r="W9" s="15"/>
      <c r="X9" s="43"/>
      <c r="Y9" s="15">
        <v>1</v>
      </c>
      <c r="Z9" s="15"/>
      <c r="AA9" s="15"/>
      <c r="AB9" s="43">
        <v>10</v>
      </c>
      <c r="AC9" s="15">
        <v>10</v>
      </c>
      <c r="AD9" s="15"/>
      <c r="AE9" s="15"/>
      <c r="AF9" s="15"/>
      <c r="AG9" s="43"/>
      <c r="AH9" s="43"/>
      <c r="AI9" s="15"/>
      <c r="AJ9" s="15"/>
      <c r="AK9" s="44"/>
      <c r="AL9" s="15"/>
      <c r="AM9" s="15"/>
    </row>
    <row r="10" spans="2:39" s="14" customFormat="1" ht="41.25" customHeight="1">
      <c r="B10" s="73">
        <v>46147</v>
      </c>
      <c r="C10" s="57">
        <f t="shared" si="3"/>
        <v>5</v>
      </c>
      <c r="D10" s="18" t="s">
        <v>7</v>
      </c>
      <c r="E10" s="18" t="s">
        <v>140</v>
      </c>
      <c r="F10" s="15" t="s">
        <v>88</v>
      </c>
      <c r="G10" s="19" t="s">
        <v>116</v>
      </c>
      <c r="H10" s="19" t="s">
        <v>148</v>
      </c>
      <c r="I10" s="19" t="s">
        <v>149</v>
      </c>
      <c r="J10" s="43"/>
      <c r="K10" s="77"/>
      <c r="L10" s="15"/>
      <c r="M10" s="86"/>
      <c r="N10" s="15"/>
      <c r="O10" s="15"/>
      <c r="P10" s="15"/>
      <c r="Q10" s="43"/>
      <c r="R10" s="43"/>
      <c r="S10" s="43"/>
      <c r="T10" s="15"/>
      <c r="U10" s="15"/>
      <c r="V10" s="15"/>
      <c r="W10" s="15"/>
      <c r="X10" s="43">
        <v>2</v>
      </c>
      <c r="Y10" s="15"/>
      <c r="Z10" s="15"/>
      <c r="AA10" s="15"/>
      <c r="AB10" s="43"/>
      <c r="AC10" s="15">
        <v>2</v>
      </c>
      <c r="AD10" s="15"/>
      <c r="AE10" s="15"/>
      <c r="AF10" s="15"/>
      <c r="AG10" s="43"/>
      <c r="AH10" s="43"/>
      <c r="AI10" s="15"/>
      <c r="AJ10" s="15"/>
      <c r="AK10" s="44"/>
      <c r="AL10" s="15"/>
      <c r="AM10" s="15"/>
    </row>
    <row r="11" spans="2:39" s="14" customFormat="1" ht="41.25" customHeight="1">
      <c r="B11" s="73">
        <v>46147</v>
      </c>
      <c r="C11" s="57">
        <f t="shared" si="3"/>
        <v>5</v>
      </c>
      <c r="D11" s="18" t="s">
        <v>7</v>
      </c>
      <c r="E11" s="18" t="s">
        <v>78</v>
      </c>
      <c r="F11" s="15" t="s">
        <v>88</v>
      </c>
      <c r="G11" s="74" t="s">
        <v>156</v>
      </c>
      <c r="H11" s="19" t="s">
        <v>148</v>
      </c>
      <c r="I11" s="19" t="s">
        <v>149</v>
      </c>
      <c r="J11" s="43"/>
      <c r="K11" s="77"/>
      <c r="L11" s="15"/>
      <c r="M11" s="86"/>
      <c r="N11" s="15"/>
      <c r="O11" s="15"/>
      <c r="P11" s="15"/>
      <c r="Q11" s="43"/>
      <c r="R11" s="43"/>
      <c r="S11" s="43"/>
      <c r="T11" s="15"/>
      <c r="U11" s="15"/>
      <c r="V11" s="15"/>
      <c r="W11" s="15"/>
      <c r="X11" s="43"/>
      <c r="Y11" s="15"/>
      <c r="Z11" s="15"/>
      <c r="AA11" s="15"/>
      <c r="AB11" s="43"/>
      <c r="AC11" s="15"/>
      <c r="AD11" s="15"/>
      <c r="AE11" s="15"/>
      <c r="AF11" s="15"/>
      <c r="AG11" s="43">
        <v>4</v>
      </c>
      <c r="AH11" s="43"/>
      <c r="AI11" s="15"/>
      <c r="AJ11" s="15"/>
      <c r="AK11" s="44"/>
      <c r="AL11" s="15"/>
      <c r="AM11" s="15"/>
    </row>
    <row r="12" spans="2:39" s="14" customFormat="1" ht="41.25" customHeight="1">
      <c r="B12" s="73">
        <v>46147</v>
      </c>
      <c r="C12" s="57">
        <f t="shared" si="3"/>
        <v>5</v>
      </c>
      <c r="D12" s="18" t="s">
        <v>7</v>
      </c>
      <c r="E12" s="18" t="s">
        <v>140</v>
      </c>
      <c r="F12" s="15" t="s">
        <v>88</v>
      </c>
      <c r="G12" s="19" t="s">
        <v>74</v>
      </c>
      <c r="H12" s="19" t="s">
        <v>148</v>
      </c>
      <c r="I12" s="19" t="s">
        <v>149</v>
      </c>
      <c r="J12" s="43"/>
      <c r="K12" s="77"/>
      <c r="L12" s="15"/>
      <c r="M12" s="86"/>
      <c r="N12" s="15"/>
      <c r="O12" s="15"/>
      <c r="P12" s="15"/>
      <c r="Q12" s="43"/>
      <c r="R12" s="43"/>
      <c r="S12" s="43"/>
      <c r="T12" s="15"/>
      <c r="U12" s="15"/>
      <c r="V12" s="15"/>
      <c r="W12" s="15"/>
      <c r="X12" s="43"/>
      <c r="Y12" s="15"/>
      <c r="Z12" s="15"/>
      <c r="AA12" s="15"/>
      <c r="AB12" s="43"/>
      <c r="AC12" s="15"/>
      <c r="AD12" s="15"/>
      <c r="AE12" s="15"/>
      <c r="AF12" s="15"/>
      <c r="AG12" s="43"/>
      <c r="AH12" s="43">
        <v>2</v>
      </c>
      <c r="AI12" s="15"/>
      <c r="AJ12" s="15"/>
      <c r="AK12" s="44"/>
      <c r="AL12" s="15"/>
      <c r="AM12" s="15"/>
    </row>
    <row r="13" spans="2:39" s="14" customFormat="1" ht="41.25" customHeight="1">
      <c r="B13" s="73">
        <v>46150</v>
      </c>
      <c r="C13" s="57">
        <f t="shared" si="3"/>
        <v>5</v>
      </c>
      <c r="D13" s="18" t="s">
        <v>7</v>
      </c>
      <c r="E13" s="18" t="s">
        <v>140</v>
      </c>
      <c r="F13" s="15" t="s">
        <v>88</v>
      </c>
      <c r="G13" s="19" t="s">
        <v>74</v>
      </c>
      <c r="H13" s="19" t="s">
        <v>148</v>
      </c>
      <c r="I13" s="19" t="s">
        <v>149</v>
      </c>
      <c r="J13" s="43"/>
      <c r="K13" s="77"/>
      <c r="L13" s="15"/>
      <c r="M13" s="86"/>
      <c r="N13" s="15"/>
      <c r="O13" s="15"/>
      <c r="P13" s="15"/>
      <c r="Q13" s="43"/>
      <c r="R13" s="43"/>
      <c r="S13" s="43"/>
      <c r="T13" s="15"/>
      <c r="U13" s="15"/>
      <c r="V13" s="15"/>
      <c r="W13" s="15"/>
      <c r="X13" s="43"/>
      <c r="Y13" s="15"/>
      <c r="Z13" s="15"/>
      <c r="AA13" s="15"/>
      <c r="AB13" s="43">
        <v>10</v>
      </c>
      <c r="AC13" s="15">
        <v>10</v>
      </c>
      <c r="AD13" s="15">
        <v>10</v>
      </c>
      <c r="AE13" s="15"/>
      <c r="AF13" s="15">
        <v>3</v>
      </c>
      <c r="AG13" s="43"/>
      <c r="AH13" s="43"/>
      <c r="AI13" s="15"/>
      <c r="AJ13" s="15"/>
      <c r="AK13" s="44"/>
      <c r="AL13" s="15"/>
      <c r="AM13" s="15"/>
    </row>
    <row r="14" spans="2:39" s="14" customFormat="1" ht="41.25" customHeight="1">
      <c r="B14" s="73">
        <v>46150</v>
      </c>
      <c r="C14" s="57">
        <f t="shared" si="3"/>
        <v>5</v>
      </c>
      <c r="D14" s="18" t="s">
        <v>7</v>
      </c>
      <c r="E14" s="18" t="s">
        <v>140</v>
      </c>
      <c r="F14" s="15" t="s">
        <v>88</v>
      </c>
      <c r="G14" s="19" t="s">
        <v>157</v>
      </c>
      <c r="H14" s="19" t="s">
        <v>148</v>
      </c>
      <c r="I14" s="19" t="s">
        <v>150</v>
      </c>
      <c r="J14" s="43"/>
      <c r="K14" s="77">
        <v>2</v>
      </c>
      <c r="L14" s="15"/>
      <c r="M14" s="86"/>
      <c r="N14" s="15"/>
      <c r="O14" s="15"/>
      <c r="P14" s="15"/>
      <c r="Q14" s="43"/>
      <c r="R14" s="43"/>
      <c r="S14" s="43"/>
      <c r="T14" s="15"/>
      <c r="U14" s="15"/>
      <c r="V14" s="15"/>
      <c r="W14" s="15"/>
      <c r="X14" s="43"/>
      <c r="Y14" s="15"/>
      <c r="Z14" s="15"/>
      <c r="AA14" s="15"/>
      <c r="AB14" s="43"/>
      <c r="AC14" s="15"/>
      <c r="AD14" s="15"/>
      <c r="AE14" s="15"/>
      <c r="AF14" s="15"/>
      <c r="AG14" s="43"/>
      <c r="AH14" s="43"/>
      <c r="AI14" s="15"/>
      <c r="AJ14" s="15"/>
      <c r="AK14" s="44"/>
      <c r="AL14" s="15"/>
      <c r="AM14" s="15"/>
    </row>
    <row r="15" spans="2:39" s="14" customFormat="1" ht="41.25" customHeight="1">
      <c r="B15" s="73">
        <v>46152</v>
      </c>
      <c r="C15" s="57">
        <f t="shared" si="3"/>
        <v>5</v>
      </c>
      <c r="D15" s="18" t="s">
        <v>7</v>
      </c>
      <c r="E15" s="18" t="s">
        <v>140</v>
      </c>
      <c r="F15" s="15" t="s">
        <v>88</v>
      </c>
      <c r="G15" s="19" t="s">
        <v>74</v>
      </c>
      <c r="H15" s="19" t="s">
        <v>148</v>
      </c>
      <c r="I15" s="19" t="s">
        <v>150</v>
      </c>
      <c r="J15" s="43"/>
      <c r="K15" s="77"/>
      <c r="L15" s="15"/>
      <c r="M15" s="86"/>
      <c r="N15" s="15"/>
      <c r="O15" s="15"/>
      <c r="P15" s="15"/>
      <c r="Q15" s="43"/>
      <c r="R15" s="43"/>
      <c r="S15" s="43"/>
      <c r="T15" s="15"/>
      <c r="U15" s="15"/>
      <c r="V15" s="15"/>
      <c r="W15" s="15"/>
      <c r="X15" s="43"/>
      <c r="Y15" s="15"/>
      <c r="Z15" s="15"/>
      <c r="AA15" s="15"/>
      <c r="AB15" s="43">
        <v>10</v>
      </c>
      <c r="AC15" s="15">
        <v>10</v>
      </c>
      <c r="AD15" s="15"/>
      <c r="AE15" s="15"/>
      <c r="AF15" s="15"/>
      <c r="AG15" s="43"/>
      <c r="AH15" s="43"/>
      <c r="AI15" s="15"/>
      <c r="AJ15" s="15"/>
      <c r="AK15" s="44"/>
      <c r="AL15" s="15"/>
      <c r="AM15" s="15"/>
    </row>
    <row r="16" spans="2:39" s="14" customFormat="1" ht="41.25" customHeight="1">
      <c r="B16" s="18">
        <v>46154</v>
      </c>
      <c r="C16" s="57">
        <f>IF(B16="","",MONTH(B16))</f>
        <v>5</v>
      </c>
      <c r="D16" s="18" t="s">
        <v>7</v>
      </c>
      <c r="E16" s="18" t="s">
        <v>140</v>
      </c>
      <c r="F16" s="15" t="s">
        <v>18</v>
      </c>
      <c r="G16" s="19" t="s">
        <v>74</v>
      </c>
      <c r="H16" s="19" t="s">
        <v>148</v>
      </c>
      <c r="I16" s="19" t="s">
        <v>149</v>
      </c>
      <c r="J16" s="43"/>
      <c r="K16" s="77"/>
      <c r="L16" s="15"/>
      <c r="M16" s="86"/>
      <c r="N16" s="15"/>
      <c r="O16" s="15"/>
      <c r="P16" s="15">
        <v>2</v>
      </c>
      <c r="Q16" s="43"/>
      <c r="R16" s="43"/>
      <c r="S16" s="43"/>
      <c r="T16" s="15"/>
      <c r="U16" s="15"/>
      <c r="V16" s="15"/>
      <c r="W16" s="15"/>
      <c r="X16" s="43"/>
      <c r="Y16" s="15"/>
      <c r="Z16" s="15"/>
      <c r="AA16" s="15"/>
      <c r="AB16" s="43">
        <v>10</v>
      </c>
      <c r="AC16" s="15"/>
      <c r="AD16" s="15"/>
      <c r="AE16" s="15">
        <v>10</v>
      </c>
      <c r="AF16" s="15"/>
      <c r="AG16" s="43"/>
      <c r="AH16" s="43"/>
      <c r="AI16" s="15"/>
      <c r="AJ16" s="15"/>
      <c r="AK16" s="44"/>
      <c r="AL16" s="15"/>
      <c r="AM16" s="15"/>
    </row>
    <row r="17" spans="1:39" s="14" customFormat="1" ht="41.25" customHeight="1">
      <c r="B17" s="73">
        <v>46156</v>
      </c>
      <c r="C17" s="57">
        <f t="shared" si="3"/>
        <v>5</v>
      </c>
      <c r="D17" s="18" t="s">
        <v>7</v>
      </c>
      <c r="E17" s="18" t="s">
        <v>140</v>
      </c>
      <c r="F17" s="15" t="s">
        <v>18</v>
      </c>
      <c r="G17" s="19" t="s">
        <v>131</v>
      </c>
      <c r="H17" s="19" t="s">
        <v>148</v>
      </c>
      <c r="I17" s="19" t="s">
        <v>150</v>
      </c>
      <c r="J17" s="43"/>
      <c r="K17" s="77"/>
      <c r="L17" s="15"/>
      <c r="M17" s="86"/>
      <c r="N17" s="15"/>
      <c r="O17" s="15"/>
      <c r="P17" s="15"/>
      <c r="Q17" s="43"/>
      <c r="R17" s="43"/>
      <c r="S17" s="43"/>
      <c r="T17" s="15"/>
      <c r="U17" s="15"/>
      <c r="V17" s="15"/>
      <c r="W17" s="15"/>
      <c r="X17" s="43"/>
      <c r="Y17" s="15"/>
      <c r="Z17" s="15"/>
      <c r="AA17" s="15"/>
      <c r="AB17" s="43"/>
      <c r="AC17" s="15"/>
      <c r="AD17" s="15"/>
      <c r="AE17" s="15"/>
      <c r="AF17" s="15"/>
      <c r="AG17" s="43">
        <v>5</v>
      </c>
      <c r="AH17" s="43"/>
      <c r="AI17" s="15"/>
      <c r="AJ17" s="15"/>
      <c r="AK17" s="44"/>
      <c r="AL17" s="15"/>
      <c r="AM17" s="15"/>
    </row>
    <row r="18" spans="1:39" s="14" customFormat="1" ht="41.25" customHeight="1">
      <c r="B18" s="73">
        <v>46156</v>
      </c>
      <c r="C18" s="57">
        <f t="shared" si="3"/>
        <v>5</v>
      </c>
      <c r="D18" s="18" t="s">
        <v>7</v>
      </c>
      <c r="E18" s="18" t="s">
        <v>78</v>
      </c>
      <c r="F18" s="15" t="s">
        <v>88</v>
      </c>
      <c r="G18" s="19" t="s">
        <v>74</v>
      </c>
      <c r="H18" s="19" t="s">
        <v>148</v>
      </c>
      <c r="I18" s="19" t="s">
        <v>149</v>
      </c>
      <c r="J18" s="43"/>
      <c r="K18" s="77"/>
      <c r="L18" s="15"/>
      <c r="M18" s="86"/>
      <c r="N18" s="15"/>
      <c r="O18" s="15"/>
      <c r="P18" s="15"/>
      <c r="Q18" s="43"/>
      <c r="R18" s="43"/>
      <c r="S18" s="43"/>
      <c r="T18" s="15"/>
      <c r="U18" s="15"/>
      <c r="V18" s="15"/>
      <c r="W18" s="15"/>
      <c r="X18" s="43"/>
      <c r="Y18" s="15"/>
      <c r="Z18" s="15"/>
      <c r="AA18" s="15"/>
      <c r="AB18" s="43">
        <v>10</v>
      </c>
      <c r="AC18" s="15"/>
      <c r="AD18" s="15"/>
      <c r="AE18" s="15"/>
      <c r="AF18" s="15"/>
      <c r="AG18" s="43"/>
      <c r="AH18" s="43"/>
      <c r="AI18" s="15"/>
      <c r="AJ18" s="15">
        <v>2</v>
      </c>
      <c r="AK18" s="44"/>
      <c r="AL18" s="15"/>
      <c r="AM18" s="15"/>
    </row>
    <row r="19" spans="1:39" s="14" customFormat="1" ht="41.25" customHeight="1">
      <c r="B19" s="73">
        <v>46156</v>
      </c>
      <c r="C19" s="57">
        <f t="shared" si="3"/>
        <v>5</v>
      </c>
      <c r="D19" s="18" t="s">
        <v>7</v>
      </c>
      <c r="E19" s="18" t="s">
        <v>140</v>
      </c>
      <c r="F19" s="15" t="s">
        <v>88</v>
      </c>
      <c r="G19" s="19" t="s">
        <v>76</v>
      </c>
      <c r="H19" s="19" t="s">
        <v>148</v>
      </c>
      <c r="I19" s="19" t="s">
        <v>149</v>
      </c>
      <c r="J19" s="43"/>
      <c r="K19" s="77"/>
      <c r="L19" s="15"/>
      <c r="M19" s="86"/>
      <c r="N19" s="15"/>
      <c r="O19" s="15"/>
      <c r="P19" s="15"/>
      <c r="Q19" s="43"/>
      <c r="R19" s="43"/>
      <c r="S19" s="43"/>
      <c r="T19" s="15"/>
      <c r="U19" s="15"/>
      <c r="V19" s="15"/>
      <c r="W19" s="15"/>
      <c r="X19" s="43"/>
      <c r="Y19" s="15"/>
      <c r="Z19" s="15"/>
      <c r="AA19" s="15"/>
      <c r="AB19" s="43"/>
      <c r="AC19" s="15">
        <v>10</v>
      </c>
      <c r="AD19" s="15">
        <v>10</v>
      </c>
      <c r="AE19" s="15"/>
      <c r="AF19" s="15"/>
      <c r="AG19" s="43"/>
      <c r="AH19" s="43"/>
      <c r="AI19" s="15"/>
      <c r="AJ19" s="15"/>
      <c r="AK19" s="44"/>
      <c r="AL19" s="15"/>
      <c r="AM19" s="15"/>
    </row>
    <row r="20" spans="1:39" s="14" customFormat="1" ht="41.25" customHeight="1">
      <c r="B20" s="73">
        <v>46157</v>
      </c>
      <c r="C20" s="57">
        <f t="shared" ref="C20" si="4">IF(B20="","",MONTH(B20))</f>
        <v>5</v>
      </c>
      <c r="D20" s="18" t="s">
        <v>7</v>
      </c>
      <c r="E20" s="18" t="s">
        <v>140</v>
      </c>
      <c r="F20" s="15" t="s">
        <v>88</v>
      </c>
      <c r="G20" s="19" t="s">
        <v>76</v>
      </c>
      <c r="H20" s="19" t="s">
        <v>148</v>
      </c>
      <c r="I20" s="19" t="s">
        <v>149</v>
      </c>
      <c r="J20" s="43"/>
      <c r="K20" s="77"/>
      <c r="L20" s="15"/>
      <c r="M20" s="86"/>
      <c r="N20" s="15"/>
      <c r="O20" s="15"/>
      <c r="P20" s="15"/>
      <c r="Q20" s="43"/>
      <c r="R20" s="43"/>
      <c r="S20" s="43"/>
      <c r="T20" s="15"/>
      <c r="U20" s="15"/>
      <c r="V20" s="15"/>
      <c r="W20" s="15"/>
      <c r="X20" s="43"/>
      <c r="Y20" s="15">
        <v>2</v>
      </c>
      <c r="Z20" s="15"/>
      <c r="AA20" s="15">
        <v>2</v>
      </c>
      <c r="AB20" s="43"/>
      <c r="AC20" s="15"/>
      <c r="AD20" s="15"/>
      <c r="AE20" s="15"/>
      <c r="AF20" s="15"/>
      <c r="AG20" s="43"/>
      <c r="AH20" s="43"/>
      <c r="AI20" s="15"/>
      <c r="AJ20" s="15"/>
      <c r="AK20" s="44"/>
      <c r="AL20" s="15"/>
      <c r="AM20" s="15"/>
    </row>
    <row r="21" spans="1:39" s="14" customFormat="1" ht="41.25" customHeight="1">
      <c r="B21" s="73">
        <v>46157</v>
      </c>
      <c r="C21" s="57">
        <f t="shared" si="3"/>
        <v>5</v>
      </c>
      <c r="D21" s="18" t="s">
        <v>7</v>
      </c>
      <c r="E21" s="18" t="s">
        <v>140</v>
      </c>
      <c r="F21" s="15" t="s">
        <v>18</v>
      </c>
      <c r="G21" s="19" t="s">
        <v>76</v>
      </c>
      <c r="H21" s="19" t="s">
        <v>148</v>
      </c>
      <c r="I21" s="19" t="s">
        <v>150</v>
      </c>
      <c r="J21" s="43"/>
      <c r="K21" s="77"/>
      <c r="L21" s="15"/>
      <c r="M21" s="86"/>
      <c r="N21" s="15"/>
      <c r="O21" s="15"/>
      <c r="P21" s="15"/>
      <c r="Q21" s="43"/>
      <c r="R21" s="43"/>
      <c r="S21" s="43"/>
      <c r="T21" s="15"/>
      <c r="U21" s="15"/>
      <c r="V21" s="15"/>
      <c r="W21" s="15"/>
      <c r="X21" s="43"/>
      <c r="Y21" s="15"/>
      <c r="Z21" s="15"/>
      <c r="AA21" s="15"/>
      <c r="AB21" s="43">
        <v>10</v>
      </c>
      <c r="AC21" s="15"/>
      <c r="AD21" s="15"/>
      <c r="AE21" s="15"/>
      <c r="AF21" s="15">
        <v>5</v>
      </c>
      <c r="AG21" s="43"/>
      <c r="AH21" s="43"/>
      <c r="AI21" s="15"/>
      <c r="AJ21" s="15"/>
      <c r="AK21" s="44"/>
      <c r="AL21" s="15"/>
      <c r="AM21" s="15"/>
    </row>
    <row r="22" spans="1:39" s="14" customFormat="1" ht="41.25" customHeight="1">
      <c r="B22" s="73">
        <v>46158</v>
      </c>
      <c r="C22" s="57">
        <f t="shared" si="3"/>
        <v>5</v>
      </c>
      <c r="D22" s="18" t="s">
        <v>7</v>
      </c>
      <c r="E22" s="18" t="s">
        <v>78</v>
      </c>
      <c r="F22" s="15" t="s">
        <v>88</v>
      </c>
      <c r="G22" s="19" t="s">
        <v>74</v>
      </c>
      <c r="H22" s="19" t="s">
        <v>148</v>
      </c>
      <c r="I22" s="19" t="s">
        <v>149</v>
      </c>
      <c r="J22" s="43"/>
      <c r="K22" s="77"/>
      <c r="L22" s="15"/>
      <c r="M22" s="86"/>
      <c r="N22" s="15"/>
      <c r="O22" s="15"/>
      <c r="P22" s="15"/>
      <c r="Q22" s="43"/>
      <c r="R22" s="43"/>
      <c r="S22" s="43"/>
      <c r="T22" s="15"/>
      <c r="U22" s="15"/>
      <c r="V22" s="15"/>
      <c r="W22" s="15"/>
      <c r="X22" s="43"/>
      <c r="Y22" s="15"/>
      <c r="Z22" s="15"/>
      <c r="AA22" s="15"/>
      <c r="AB22" s="43"/>
      <c r="AC22" s="15"/>
      <c r="AD22" s="15"/>
      <c r="AE22" s="15"/>
      <c r="AF22" s="15"/>
      <c r="AG22" s="43"/>
      <c r="AH22" s="43">
        <v>10</v>
      </c>
      <c r="AI22" s="15"/>
      <c r="AJ22" s="15"/>
      <c r="AK22" s="44"/>
      <c r="AL22" s="15"/>
      <c r="AM22" s="15"/>
    </row>
    <row r="23" spans="1:39" s="14" customFormat="1" ht="41.25" customHeight="1">
      <c r="B23" s="73">
        <v>46159</v>
      </c>
      <c r="C23" s="57">
        <f t="shared" si="3"/>
        <v>5</v>
      </c>
      <c r="D23" s="18" t="s">
        <v>7</v>
      </c>
      <c r="E23" s="18" t="s">
        <v>140</v>
      </c>
      <c r="F23" s="15" t="s">
        <v>88</v>
      </c>
      <c r="G23" s="19" t="s">
        <v>76</v>
      </c>
      <c r="H23" s="19" t="s">
        <v>148</v>
      </c>
      <c r="I23" s="19" t="s">
        <v>149</v>
      </c>
      <c r="J23" s="43"/>
      <c r="K23" s="77"/>
      <c r="L23" s="15"/>
      <c r="M23" s="86"/>
      <c r="N23" s="15"/>
      <c r="O23" s="15"/>
      <c r="P23" s="15"/>
      <c r="Q23" s="43"/>
      <c r="R23" s="43"/>
      <c r="S23" s="43"/>
      <c r="T23" s="15"/>
      <c r="U23" s="15"/>
      <c r="V23" s="15"/>
      <c r="W23" s="15"/>
      <c r="X23" s="43"/>
      <c r="Y23" s="15"/>
      <c r="Z23" s="15"/>
      <c r="AA23" s="15"/>
      <c r="AB23" s="43">
        <v>20</v>
      </c>
      <c r="AC23" s="15">
        <v>10</v>
      </c>
      <c r="AD23" s="15">
        <v>10</v>
      </c>
      <c r="AE23" s="15"/>
      <c r="AF23" s="15"/>
      <c r="AG23" s="43">
        <v>3</v>
      </c>
      <c r="AH23" s="43"/>
      <c r="AI23" s="15"/>
      <c r="AJ23" s="15">
        <v>5</v>
      </c>
      <c r="AK23" s="44"/>
      <c r="AL23" s="15"/>
      <c r="AM23" s="15"/>
    </row>
    <row r="24" spans="1:39" s="14" customFormat="1" ht="41.25" customHeight="1">
      <c r="B24" s="18">
        <v>46162</v>
      </c>
      <c r="C24" s="57">
        <v>5</v>
      </c>
      <c r="D24" s="18" t="s">
        <v>7</v>
      </c>
      <c r="E24" s="18" t="s">
        <v>140</v>
      </c>
      <c r="F24" s="15" t="s">
        <v>18</v>
      </c>
      <c r="G24" s="19" t="s">
        <v>75</v>
      </c>
      <c r="H24" s="19" t="s">
        <v>148</v>
      </c>
      <c r="I24" s="19" t="s">
        <v>150</v>
      </c>
      <c r="J24" s="43">
        <v>1</v>
      </c>
      <c r="K24" s="77"/>
      <c r="L24" s="15"/>
      <c r="M24" s="86"/>
      <c r="N24" s="15"/>
      <c r="O24" s="15"/>
      <c r="P24" s="15"/>
      <c r="Q24" s="43"/>
      <c r="R24" s="43"/>
      <c r="S24" s="43"/>
      <c r="T24" s="15"/>
      <c r="U24" s="15"/>
      <c r="V24" s="15"/>
      <c r="W24" s="15"/>
      <c r="X24" s="43"/>
      <c r="Y24" s="15"/>
      <c r="Z24" s="15"/>
      <c r="AA24" s="15"/>
      <c r="AB24" s="43"/>
      <c r="AC24" s="15"/>
      <c r="AD24" s="15"/>
      <c r="AE24" s="15"/>
      <c r="AF24" s="15"/>
      <c r="AG24" s="43"/>
      <c r="AH24" s="43"/>
      <c r="AI24" s="15"/>
      <c r="AJ24" s="15"/>
      <c r="AK24" s="44"/>
      <c r="AL24" s="15"/>
      <c r="AM24" s="15"/>
    </row>
    <row r="25" spans="1:39" s="14" customFormat="1" ht="41.25" customHeight="1">
      <c r="B25" s="18">
        <v>46162</v>
      </c>
      <c r="C25" s="57">
        <f t="shared" si="3"/>
        <v>5</v>
      </c>
      <c r="D25" s="18" t="s">
        <v>7</v>
      </c>
      <c r="E25" s="18" t="s">
        <v>140</v>
      </c>
      <c r="F25" s="15" t="s">
        <v>88</v>
      </c>
      <c r="G25" s="19" t="s">
        <v>76</v>
      </c>
      <c r="H25" s="19" t="s">
        <v>148</v>
      </c>
      <c r="I25" s="19" t="s">
        <v>149</v>
      </c>
      <c r="J25" s="43"/>
      <c r="K25" s="77"/>
      <c r="L25" s="15"/>
      <c r="M25" s="86"/>
      <c r="N25" s="15"/>
      <c r="O25" s="15"/>
      <c r="P25" s="15"/>
      <c r="Q25" s="43"/>
      <c r="R25" s="43"/>
      <c r="S25" s="43"/>
      <c r="T25" s="15"/>
      <c r="U25" s="15"/>
      <c r="V25" s="15"/>
      <c r="W25" s="15"/>
      <c r="X25" s="43"/>
      <c r="Y25" s="15"/>
      <c r="Z25" s="15"/>
      <c r="AA25" s="15">
        <v>2</v>
      </c>
      <c r="AB25" s="43"/>
      <c r="AC25" s="15"/>
      <c r="AD25" s="15"/>
      <c r="AE25" s="15"/>
      <c r="AF25" s="15"/>
      <c r="AG25" s="43"/>
      <c r="AH25" s="43"/>
      <c r="AI25" s="15"/>
      <c r="AJ25" s="15"/>
      <c r="AK25" s="44"/>
      <c r="AL25" s="15"/>
      <c r="AM25" s="15"/>
    </row>
    <row r="26" spans="1:39" s="14" customFormat="1" ht="41.25" customHeight="1">
      <c r="A26" s="14" t="s">
        <v>159</v>
      </c>
      <c r="B26" s="18">
        <v>46162</v>
      </c>
      <c r="C26" s="57">
        <f t="shared" si="3"/>
        <v>5</v>
      </c>
      <c r="D26" s="18" t="s">
        <v>7</v>
      </c>
      <c r="E26" s="18" t="s">
        <v>140</v>
      </c>
      <c r="F26" s="15" t="s">
        <v>18</v>
      </c>
      <c r="G26" s="19" t="s">
        <v>158</v>
      </c>
      <c r="H26" s="19" t="s">
        <v>148</v>
      </c>
      <c r="I26" s="19" t="s">
        <v>150</v>
      </c>
      <c r="J26" s="43"/>
      <c r="K26" s="77"/>
      <c r="L26" s="15"/>
      <c r="M26" s="86"/>
      <c r="N26" s="15"/>
      <c r="O26" s="15"/>
      <c r="P26" s="15"/>
      <c r="Q26" s="43"/>
      <c r="R26" s="43"/>
      <c r="S26" s="43">
        <v>1</v>
      </c>
      <c r="T26" s="15"/>
      <c r="U26" s="15"/>
      <c r="V26" s="15"/>
      <c r="W26" s="15"/>
      <c r="X26" s="43"/>
      <c r="Y26" s="15"/>
      <c r="Z26" s="15"/>
      <c r="AA26" s="15"/>
      <c r="AB26" s="43"/>
      <c r="AC26" s="15"/>
      <c r="AD26" s="15"/>
      <c r="AE26" s="15"/>
      <c r="AF26" s="15"/>
      <c r="AG26" s="43"/>
      <c r="AH26" s="43"/>
      <c r="AI26" s="15"/>
      <c r="AJ26" s="15"/>
      <c r="AK26" s="44"/>
      <c r="AL26" s="15"/>
      <c r="AM26" s="15"/>
    </row>
    <row r="27" spans="1:39" s="14" customFormat="1" ht="41.25" customHeight="1">
      <c r="B27" s="18">
        <v>46163</v>
      </c>
      <c r="C27" s="57">
        <f t="shared" si="3"/>
        <v>5</v>
      </c>
      <c r="D27" s="18" t="s">
        <v>7</v>
      </c>
      <c r="E27" s="18" t="s">
        <v>140</v>
      </c>
      <c r="F27" s="15" t="s">
        <v>88</v>
      </c>
      <c r="G27" s="19" t="s">
        <v>76</v>
      </c>
      <c r="H27" s="19" t="s">
        <v>148</v>
      </c>
      <c r="I27" s="19" t="s">
        <v>150</v>
      </c>
      <c r="J27" s="43"/>
      <c r="K27" s="77">
        <v>1</v>
      </c>
      <c r="L27" s="15"/>
      <c r="M27" s="86"/>
      <c r="N27" s="15"/>
      <c r="O27" s="15"/>
      <c r="P27" s="15"/>
      <c r="Q27" s="43"/>
      <c r="R27" s="43"/>
      <c r="S27" s="43"/>
      <c r="T27" s="15"/>
      <c r="U27" s="15"/>
      <c r="V27" s="15"/>
      <c r="W27" s="15"/>
      <c r="X27" s="43"/>
      <c r="Y27" s="15"/>
      <c r="Z27" s="15"/>
      <c r="AA27" s="15"/>
      <c r="AB27" s="43"/>
      <c r="AC27" s="15"/>
      <c r="AD27" s="15"/>
      <c r="AE27" s="15"/>
      <c r="AF27" s="15"/>
      <c r="AG27" s="43"/>
      <c r="AH27" s="43"/>
      <c r="AI27" s="15"/>
      <c r="AJ27" s="15"/>
      <c r="AK27" s="44"/>
      <c r="AL27" s="15"/>
      <c r="AM27" s="15"/>
    </row>
    <row r="28" spans="1:39" s="14" customFormat="1" ht="41.25" customHeight="1">
      <c r="B28" s="18">
        <v>46163</v>
      </c>
      <c r="C28" s="57">
        <f t="shared" si="3"/>
        <v>5</v>
      </c>
      <c r="D28" s="18" t="s">
        <v>7</v>
      </c>
      <c r="E28" s="18" t="s">
        <v>140</v>
      </c>
      <c r="F28" s="15" t="s">
        <v>88</v>
      </c>
      <c r="G28" s="19" t="s">
        <v>76</v>
      </c>
      <c r="H28" s="19" t="s">
        <v>148</v>
      </c>
      <c r="I28" s="19" t="s">
        <v>150</v>
      </c>
      <c r="J28" s="43"/>
      <c r="K28" s="77"/>
      <c r="L28" s="15"/>
      <c r="M28" s="86"/>
      <c r="N28" s="15"/>
      <c r="O28" s="15"/>
      <c r="P28" s="15"/>
      <c r="Q28" s="43"/>
      <c r="R28" s="43"/>
      <c r="S28" s="43"/>
      <c r="T28" s="15"/>
      <c r="U28" s="15"/>
      <c r="V28" s="15"/>
      <c r="W28" s="15"/>
      <c r="X28" s="43"/>
      <c r="Y28" s="15"/>
      <c r="Z28" s="15"/>
      <c r="AA28" s="15"/>
      <c r="AB28" s="43"/>
      <c r="AC28" s="15"/>
      <c r="AD28" s="15"/>
      <c r="AE28" s="15"/>
      <c r="AF28" s="15"/>
      <c r="AG28" s="43"/>
      <c r="AH28" s="43">
        <v>5</v>
      </c>
      <c r="AI28" s="15"/>
      <c r="AJ28" s="15"/>
      <c r="AK28" s="44"/>
      <c r="AL28" s="15"/>
      <c r="AM28" s="15"/>
    </row>
    <row r="29" spans="1:39" s="14" customFormat="1" ht="41.25" customHeight="1">
      <c r="B29" s="18">
        <v>46163</v>
      </c>
      <c r="C29" s="57">
        <f t="shared" si="3"/>
        <v>5</v>
      </c>
      <c r="D29" s="18" t="s">
        <v>7</v>
      </c>
      <c r="E29" s="18" t="s">
        <v>78</v>
      </c>
      <c r="F29" s="15" t="s">
        <v>88</v>
      </c>
      <c r="G29" s="19" t="s">
        <v>91</v>
      </c>
      <c r="H29" s="19" t="s">
        <v>148</v>
      </c>
      <c r="I29" s="19" t="s">
        <v>149</v>
      </c>
      <c r="J29" s="43"/>
      <c r="K29" s="77"/>
      <c r="L29" s="15"/>
      <c r="M29" s="86"/>
      <c r="N29" s="15"/>
      <c r="O29" s="15"/>
      <c r="P29" s="15"/>
      <c r="Q29" s="43"/>
      <c r="R29" s="43"/>
      <c r="S29" s="43">
        <v>1</v>
      </c>
      <c r="T29" s="15">
        <v>1</v>
      </c>
      <c r="U29" s="15"/>
      <c r="V29" s="15"/>
      <c r="W29" s="15"/>
      <c r="X29" s="43"/>
      <c r="Y29" s="15"/>
      <c r="Z29" s="15"/>
      <c r="AA29" s="15"/>
      <c r="AB29" s="43"/>
      <c r="AC29" s="15"/>
      <c r="AD29" s="15"/>
      <c r="AE29" s="15"/>
      <c r="AF29" s="15"/>
      <c r="AG29" s="43"/>
      <c r="AH29" s="43"/>
      <c r="AI29" s="15"/>
      <c r="AJ29" s="15"/>
      <c r="AK29" s="44"/>
      <c r="AL29" s="15"/>
      <c r="AM29" s="15"/>
    </row>
    <row r="30" spans="1:39" s="14" customFormat="1" ht="41.25" customHeight="1">
      <c r="B30" s="18">
        <v>46163</v>
      </c>
      <c r="C30" s="57">
        <f t="shared" si="3"/>
        <v>5</v>
      </c>
      <c r="D30" s="18" t="s">
        <v>7</v>
      </c>
      <c r="E30" s="18" t="s">
        <v>140</v>
      </c>
      <c r="F30" s="15" t="s">
        <v>18</v>
      </c>
      <c r="G30" s="19" t="s">
        <v>75</v>
      </c>
      <c r="H30" s="19" t="s">
        <v>148</v>
      </c>
      <c r="I30" s="19" t="s">
        <v>150</v>
      </c>
      <c r="J30" s="43"/>
      <c r="K30" s="77"/>
      <c r="L30" s="15"/>
      <c r="M30" s="86"/>
      <c r="N30" s="15"/>
      <c r="O30" s="15"/>
      <c r="P30" s="15">
        <v>2</v>
      </c>
      <c r="Q30" s="43"/>
      <c r="R30" s="43"/>
      <c r="S30" s="43"/>
      <c r="T30" s="15"/>
      <c r="U30" s="15"/>
      <c r="V30" s="15"/>
      <c r="W30" s="15"/>
      <c r="X30" s="43"/>
      <c r="Y30" s="15"/>
      <c r="Z30" s="15"/>
      <c r="AA30" s="15"/>
      <c r="AB30" s="43"/>
      <c r="AC30" s="15"/>
      <c r="AD30" s="15"/>
      <c r="AE30" s="15"/>
      <c r="AF30" s="15"/>
      <c r="AG30" s="43"/>
      <c r="AH30" s="43"/>
      <c r="AI30" s="15"/>
      <c r="AJ30" s="15"/>
      <c r="AK30" s="44"/>
      <c r="AL30" s="15"/>
      <c r="AM30" s="15"/>
    </row>
    <row r="31" spans="1:39" s="14" customFormat="1" ht="41.25" customHeight="1">
      <c r="B31" s="18">
        <v>46164</v>
      </c>
      <c r="C31" s="57">
        <f t="shared" si="3"/>
        <v>5</v>
      </c>
      <c r="D31" s="18" t="s">
        <v>7</v>
      </c>
      <c r="E31" s="18" t="s">
        <v>140</v>
      </c>
      <c r="F31" s="15" t="s">
        <v>88</v>
      </c>
      <c r="G31" s="19" t="s">
        <v>76</v>
      </c>
      <c r="H31" s="19" t="s">
        <v>148</v>
      </c>
      <c r="I31" s="19" t="s">
        <v>149</v>
      </c>
      <c r="J31" s="43"/>
      <c r="K31" s="77"/>
      <c r="L31" s="15"/>
      <c r="M31" s="86"/>
      <c r="N31" s="15"/>
      <c r="O31" s="15"/>
      <c r="P31" s="15"/>
      <c r="Q31" s="43"/>
      <c r="R31" s="43"/>
      <c r="S31" s="43"/>
      <c r="T31" s="15"/>
      <c r="U31" s="15"/>
      <c r="V31" s="15"/>
      <c r="W31" s="15"/>
      <c r="X31" s="43"/>
      <c r="Y31" s="15"/>
      <c r="Z31" s="15"/>
      <c r="AA31" s="15"/>
      <c r="AB31" s="43"/>
      <c r="AC31" s="15"/>
      <c r="AD31" s="15"/>
      <c r="AE31" s="15"/>
      <c r="AF31" s="15"/>
      <c r="AG31" s="43"/>
      <c r="AH31" s="43">
        <v>5</v>
      </c>
      <c r="AI31" s="15"/>
      <c r="AJ31" s="15"/>
      <c r="AK31" s="44"/>
      <c r="AL31" s="15"/>
      <c r="AM31" s="15"/>
    </row>
    <row r="32" spans="1:39" s="14" customFormat="1" ht="41.25" customHeight="1">
      <c r="B32" s="18">
        <v>46164</v>
      </c>
      <c r="C32" s="57">
        <f t="shared" ref="C32" si="5">IF(B32="","",MONTH(B32))</f>
        <v>5</v>
      </c>
      <c r="D32" s="18" t="s">
        <v>7</v>
      </c>
      <c r="E32" s="18" t="s">
        <v>78</v>
      </c>
      <c r="F32" s="15" t="s">
        <v>18</v>
      </c>
      <c r="G32" s="19" t="s">
        <v>91</v>
      </c>
      <c r="H32" s="19" t="s">
        <v>148</v>
      </c>
      <c r="I32" s="19" t="s">
        <v>150</v>
      </c>
      <c r="J32" s="43"/>
      <c r="K32" s="77"/>
      <c r="L32" s="15"/>
      <c r="M32" s="86"/>
      <c r="N32" s="15"/>
      <c r="O32" s="15"/>
      <c r="P32" s="15"/>
      <c r="Q32" s="43">
        <v>1</v>
      </c>
      <c r="R32" s="43"/>
      <c r="S32" s="43"/>
      <c r="T32" s="15"/>
      <c r="U32" s="15"/>
      <c r="V32" s="15"/>
      <c r="W32" s="15"/>
      <c r="X32" s="43"/>
      <c r="Y32" s="15"/>
      <c r="Z32" s="15"/>
      <c r="AA32" s="15"/>
      <c r="AB32" s="43"/>
      <c r="AC32" s="15"/>
      <c r="AD32" s="15"/>
      <c r="AE32" s="15"/>
      <c r="AF32" s="15"/>
      <c r="AG32" s="43"/>
      <c r="AH32" s="43"/>
      <c r="AI32" s="15"/>
      <c r="AJ32" s="15"/>
      <c r="AK32" s="44"/>
      <c r="AL32" s="15"/>
      <c r="AM32" s="15"/>
    </row>
    <row r="33" spans="1:39" s="14" customFormat="1" ht="41.25" customHeight="1">
      <c r="B33" s="18">
        <v>46165</v>
      </c>
      <c r="C33" s="57">
        <f t="shared" si="3"/>
        <v>5</v>
      </c>
      <c r="D33" s="18" t="s">
        <v>7</v>
      </c>
      <c r="E33" s="18" t="s">
        <v>140</v>
      </c>
      <c r="F33" s="15" t="s">
        <v>88</v>
      </c>
      <c r="G33" s="19" t="s">
        <v>76</v>
      </c>
      <c r="H33" s="19" t="s">
        <v>148</v>
      </c>
      <c r="I33" s="19" t="s">
        <v>149</v>
      </c>
      <c r="J33" s="43"/>
      <c r="K33" s="77"/>
      <c r="L33" s="15"/>
      <c r="M33" s="86"/>
      <c r="N33" s="15"/>
      <c r="O33" s="15"/>
      <c r="P33" s="15"/>
      <c r="Q33" s="43"/>
      <c r="R33" s="43"/>
      <c r="S33" s="43"/>
      <c r="T33" s="15"/>
      <c r="U33" s="15"/>
      <c r="V33" s="15"/>
      <c r="W33" s="15"/>
      <c r="X33" s="43"/>
      <c r="Y33" s="15">
        <v>2</v>
      </c>
      <c r="Z33" s="15"/>
      <c r="AA33" s="15">
        <v>2</v>
      </c>
      <c r="AB33" s="43"/>
      <c r="AC33" s="15"/>
      <c r="AD33" s="15">
        <v>10</v>
      </c>
      <c r="AE33" s="15"/>
      <c r="AF33" s="15"/>
      <c r="AG33" s="43"/>
      <c r="AH33" s="43"/>
      <c r="AI33" s="15"/>
      <c r="AJ33" s="15"/>
      <c r="AK33" s="44"/>
      <c r="AL33" s="15"/>
      <c r="AM33" s="15"/>
    </row>
    <row r="34" spans="1:39" s="14" customFormat="1" ht="41.25" customHeight="1">
      <c r="B34" s="18">
        <v>46165</v>
      </c>
      <c r="C34" s="57">
        <f t="shared" si="3"/>
        <v>5</v>
      </c>
      <c r="D34" s="18" t="s">
        <v>7</v>
      </c>
      <c r="E34" s="18" t="s">
        <v>140</v>
      </c>
      <c r="F34" s="15" t="s">
        <v>88</v>
      </c>
      <c r="G34" s="19" t="s">
        <v>116</v>
      </c>
      <c r="H34" s="19" t="s">
        <v>148</v>
      </c>
      <c r="I34" s="19" t="s">
        <v>149</v>
      </c>
      <c r="J34" s="43"/>
      <c r="K34" s="77"/>
      <c r="L34" s="15"/>
      <c r="M34" s="86"/>
      <c r="N34" s="15"/>
      <c r="O34" s="15"/>
      <c r="P34" s="15"/>
      <c r="Q34" s="43"/>
      <c r="R34" s="43"/>
      <c r="S34" s="43"/>
      <c r="T34" s="15"/>
      <c r="U34" s="15"/>
      <c r="V34" s="15"/>
      <c r="W34" s="15"/>
      <c r="X34" s="43">
        <v>2</v>
      </c>
      <c r="Y34" s="15">
        <v>1</v>
      </c>
      <c r="Z34" s="15"/>
      <c r="AA34" s="15">
        <v>1</v>
      </c>
      <c r="AB34" s="43"/>
      <c r="AC34" s="15"/>
      <c r="AD34" s="15"/>
      <c r="AE34" s="15"/>
      <c r="AF34" s="15"/>
      <c r="AG34" s="43"/>
      <c r="AH34" s="43"/>
      <c r="AI34" s="15"/>
      <c r="AJ34" s="15"/>
      <c r="AK34" s="44"/>
      <c r="AL34" s="15"/>
      <c r="AM34" s="15"/>
    </row>
    <row r="35" spans="1:39" s="14" customFormat="1" ht="41.25" customHeight="1">
      <c r="B35" s="18">
        <v>46166</v>
      </c>
      <c r="C35" s="57">
        <f t="shared" si="3"/>
        <v>5</v>
      </c>
      <c r="D35" s="18" t="s">
        <v>7</v>
      </c>
      <c r="E35" s="18" t="s">
        <v>78</v>
      </c>
      <c r="F35" s="15" t="s">
        <v>18</v>
      </c>
      <c r="G35" s="19" t="s">
        <v>91</v>
      </c>
      <c r="H35" s="19" t="s">
        <v>148</v>
      </c>
      <c r="I35" s="19" t="s">
        <v>150</v>
      </c>
      <c r="J35" s="43"/>
      <c r="K35" s="77"/>
      <c r="L35" s="15"/>
      <c r="M35" s="86"/>
      <c r="N35" s="15"/>
      <c r="O35" s="15"/>
      <c r="P35" s="15"/>
      <c r="Q35" s="43"/>
      <c r="R35" s="43"/>
      <c r="S35" s="43"/>
      <c r="T35" s="15"/>
      <c r="U35" s="15"/>
      <c r="V35" s="15"/>
      <c r="W35" s="15"/>
      <c r="X35" s="43"/>
      <c r="Y35" s="15">
        <v>1</v>
      </c>
      <c r="Z35" s="15"/>
      <c r="AA35" s="15">
        <v>2</v>
      </c>
      <c r="AB35" s="43"/>
      <c r="AC35" s="15"/>
      <c r="AD35" s="15"/>
      <c r="AE35" s="15"/>
      <c r="AF35" s="15"/>
      <c r="AG35" s="43"/>
      <c r="AH35" s="43"/>
      <c r="AI35" s="15">
        <v>5</v>
      </c>
      <c r="AJ35" s="15">
        <v>2</v>
      </c>
      <c r="AK35" s="44"/>
      <c r="AL35" s="15"/>
      <c r="AM35" s="15"/>
    </row>
    <row r="36" spans="1:39" s="14" customFormat="1" ht="41.25" customHeight="1">
      <c r="B36" s="18">
        <v>46170</v>
      </c>
      <c r="C36" s="57">
        <f t="shared" si="3"/>
        <v>5</v>
      </c>
      <c r="D36" s="18" t="s">
        <v>7</v>
      </c>
      <c r="E36" s="18" t="s">
        <v>140</v>
      </c>
      <c r="F36" s="15" t="s">
        <v>88</v>
      </c>
      <c r="G36" s="19" t="s">
        <v>91</v>
      </c>
      <c r="H36" s="19"/>
      <c r="I36" s="19" t="s">
        <v>149</v>
      </c>
      <c r="J36" s="43"/>
      <c r="K36" s="77"/>
      <c r="L36" s="15"/>
      <c r="M36" s="86"/>
      <c r="N36" s="15"/>
      <c r="O36" s="15"/>
      <c r="P36" s="15"/>
      <c r="Q36" s="43"/>
      <c r="R36" s="43"/>
      <c r="S36" s="43"/>
      <c r="T36" s="15"/>
      <c r="U36" s="15"/>
      <c r="V36" s="15"/>
      <c r="W36" s="15"/>
      <c r="X36" s="43"/>
      <c r="Y36" s="15"/>
      <c r="Z36" s="15"/>
      <c r="AA36" s="15"/>
      <c r="AB36" s="43">
        <v>10</v>
      </c>
      <c r="AC36" s="15"/>
      <c r="AD36" s="15"/>
      <c r="AE36" s="15"/>
      <c r="AF36" s="15"/>
      <c r="AG36" s="43"/>
      <c r="AH36" s="43"/>
      <c r="AI36" s="15"/>
      <c r="AJ36" s="15"/>
      <c r="AK36" s="44"/>
      <c r="AL36" s="15"/>
      <c r="AM36" s="15"/>
    </row>
    <row r="37" spans="1:39" s="14" customFormat="1" ht="41.25" customHeight="1">
      <c r="B37" s="18">
        <v>46170</v>
      </c>
      <c r="C37" s="57">
        <f t="shared" si="3"/>
        <v>5</v>
      </c>
      <c r="D37" s="18" t="s">
        <v>7</v>
      </c>
      <c r="E37" s="18" t="s">
        <v>78</v>
      </c>
      <c r="F37" s="15" t="s">
        <v>18</v>
      </c>
      <c r="G37" s="19" t="s">
        <v>131</v>
      </c>
      <c r="H37" s="19"/>
      <c r="I37" s="19" t="s">
        <v>150</v>
      </c>
      <c r="J37" s="43"/>
      <c r="K37" s="77"/>
      <c r="L37" s="15"/>
      <c r="M37" s="86"/>
      <c r="N37" s="15"/>
      <c r="O37" s="15"/>
      <c r="P37" s="15"/>
      <c r="Q37" s="43"/>
      <c r="R37" s="43"/>
      <c r="S37" s="43"/>
      <c r="T37" s="15"/>
      <c r="U37" s="15"/>
      <c r="V37" s="15"/>
      <c r="W37" s="15"/>
      <c r="X37" s="43"/>
      <c r="Y37" s="15">
        <v>1</v>
      </c>
      <c r="Z37" s="15"/>
      <c r="AA37" s="15"/>
      <c r="AB37" s="43"/>
      <c r="AC37" s="15"/>
      <c r="AD37" s="15"/>
      <c r="AE37" s="15"/>
      <c r="AF37" s="15"/>
      <c r="AG37" s="43"/>
      <c r="AH37" s="43"/>
      <c r="AI37" s="15"/>
      <c r="AJ37" s="15"/>
      <c r="AK37" s="44"/>
      <c r="AL37" s="15"/>
      <c r="AM37" s="15"/>
    </row>
    <row r="38" spans="1:39" s="14" customFormat="1" ht="41.25" customHeight="1">
      <c r="B38" s="18">
        <v>46171</v>
      </c>
      <c r="C38" s="57">
        <f t="shared" si="3"/>
        <v>5</v>
      </c>
      <c r="D38" s="18" t="s">
        <v>7</v>
      </c>
      <c r="E38" s="18" t="s">
        <v>78</v>
      </c>
      <c r="F38" s="15" t="s">
        <v>18</v>
      </c>
      <c r="G38" s="19" t="s">
        <v>131</v>
      </c>
      <c r="H38" s="19"/>
      <c r="I38" s="19" t="s">
        <v>150</v>
      </c>
      <c r="J38" s="43"/>
      <c r="K38" s="77">
        <v>2</v>
      </c>
      <c r="L38" s="15"/>
      <c r="M38" s="86"/>
      <c r="N38" s="15"/>
      <c r="O38" s="15"/>
      <c r="P38" s="15"/>
      <c r="Q38" s="43"/>
      <c r="R38" s="43"/>
      <c r="S38" s="43"/>
      <c r="T38" s="15"/>
      <c r="U38" s="15"/>
      <c r="V38" s="15"/>
      <c r="W38" s="15"/>
      <c r="X38" s="43"/>
      <c r="Y38" s="15"/>
      <c r="Z38" s="15"/>
      <c r="AA38" s="15"/>
      <c r="AB38" s="43"/>
      <c r="AC38" s="15"/>
      <c r="AD38" s="15"/>
      <c r="AE38" s="15"/>
      <c r="AF38" s="15"/>
      <c r="AG38" s="43"/>
      <c r="AH38" s="43">
        <v>2</v>
      </c>
      <c r="AI38" s="15"/>
      <c r="AJ38" s="15">
        <v>1</v>
      </c>
      <c r="AK38" s="44"/>
      <c r="AL38" s="15"/>
      <c r="AM38" s="15"/>
    </row>
    <row r="39" spans="1:39" s="14" customFormat="1" ht="41.25" customHeight="1">
      <c r="B39" s="18">
        <v>46171</v>
      </c>
      <c r="C39" s="57">
        <f t="shared" ref="C39" si="6">IF(B39="","",MONTH(B39))</f>
        <v>5</v>
      </c>
      <c r="D39" s="18" t="s">
        <v>7</v>
      </c>
      <c r="E39" s="18" t="s">
        <v>78</v>
      </c>
      <c r="F39" s="15" t="s">
        <v>88</v>
      </c>
      <c r="G39" s="19" t="s">
        <v>131</v>
      </c>
      <c r="H39" s="19"/>
      <c r="I39" s="19" t="s">
        <v>149</v>
      </c>
      <c r="J39" s="43"/>
      <c r="K39" s="77"/>
      <c r="L39" s="15"/>
      <c r="M39" s="86"/>
      <c r="N39" s="15"/>
      <c r="O39" s="15"/>
      <c r="P39" s="15"/>
      <c r="Q39" s="43"/>
      <c r="R39" s="43"/>
      <c r="S39" s="43"/>
      <c r="T39" s="15"/>
      <c r="U39" s="15"/>
      <c r="V39" s="15"/>
      <c r="W39" s="15"/>
      <c r="X39" s="43"/>
      <c r="Y39" s="15"/>
      <c r="Z39" s="15"/>
      <c r="AA39" s="15"/>
      <c r="AB39" s="43"/>
      <c r="AC39" s="15"/>
      <c r="AD39" s="15"/>
      <c r="AE39" s="15"/>
      <c r="AF39" s="15"/>
      <c r="AG39" s="43"/>
      <c r="AH39" s="43">
        <v>2</v>
      </c>
      <c r="AI39" s="15"/>
      <c r="AJ39" s="15"/>
      <c r="AK39" s="44"/>
      <c r="AL39" s="15"/>
      <c r="AM39" s="15"/>
    </row>
    <row r="40" spans="1:39" s="14" customFormat="1" ht="41.25" customHeight="1">
      <c r="B40" s="18">
        <v>46173</v>
      </c>
      <c r="C40" s="57">
        <f t="shared" si="3"/>
        <v>5</v>
      </c>
      <c r="D40" s="18" t="s">
        <v>7</v>
      </c>
      <c r="E40" s="18" t="s">
        <v>78</v>
      </c>
      <c r="F40" s="15" t="s">
        <v>88</v>
      </c>
      <c r="G40" s="19" t="s">
        <v>131</v>
      </c>
      <c r="H40" s="19"/>
      <c r="I40" s="19" t="s">
        <v>149</v>
      </c>
      <c r="J40" s="43"/>
      <c r="K40" s="77"/>
      <c r="L40" s="15"/>
      <c r="M40" s="86"/>
      <c r="N40" s="15"/>
      <c r="O40" s="15"/>
      <c r="P40" s="15"/>
      <c r="Q40" s="43"/>
      <c r="R40" s="43"/>
      <c r="S40" s="43"/>
      <c r="T40" s="15"/>
      <c r="U40" s="15"/>
      <c r="V40" s="15"/>
      <c r="W40" s="15"/>
      <c r="X40" s="43"/>
      <c r="Y40" s="15">
        <v>1</v>
      </c>
      <c r="Z40" s="15"/>
      <c r="AA40" s="15"/>
      <c r="AB40" s="43"/>
      <c r="AC40" s="15"/>
      <c r="AD40" s="15"/>
      <c r="AE40" s="15"/>
      <c r="AF40" s="15"/>
      <c r="AG40" s="43"/>
      <c r="AH40" s="43"/>
      <c r="AI40" s="15"/>
      <c r="AJ40" s="15"/>
      <c r="AK40" s="44"/>
      <c r="AL40" s="15"/>
      <c r="AM40" s="15"/>
    </row>
    <row r="41" spans="1:39" s="14" customFormat="1" ht="41.25" customHeight="1">
      <c r="A41" s="35"/>
      <c r="B41" s="18">
        <v>46173</v>
      </c>
      <c r="C41" s="57">
        <f t="shared" si="3"/>
        <v>5</v>
      </c>
      <c r="D41" s="18" t="s">
        <v>7</v>
      </c>
      <c r="E41" s="18" t="s">
        <v>140</v>
      </c>
      <c r="F41" s="15" t="s">
        <v>88</v>
      </c>
      <c r="G41" s="19" t="s">
        <v>137</v>
      </c>
      <c r="H41" s="19"/>
      <c r="I41" s="19" t="s">
        <v>149</v>
      </c>
      <c r="J41" s="43"/>
      <c r="K41" s="77">
        <v>1</v>
      </c>
      <c r="L41" s="15"/>
      <c r="M41" s="86"/>
      <c r="N41" s="15"/>
      <c r="O41" s="15"/>
      <c r="P41" s="15"/>
      <c r="Q41" s="43"/>
      <c r="R41" s="43"/>
      <c r="S41" s="43"/>
      <c r="T41" s="15"/>
      <c r="U41" s="15"/>
      <c r="V41" s="15"/>
      <c r="W41" s="15"/>
      <c r="X41" s="43"/>
      <c r="Y41" s="15"/>
      <c r="Z41" s="15"/>
      <c r="AA41" s="15"/>
      <c r="AB41" s="43">
        <v>10</v>
      </c>
      <c r="AC41" s="15"/>
      <c r="AD41" s="15">
        <v>10</v>
      </c>
      <c r="AE41" s="15"/>
      <c r="AF41" s="15"/>
      <c r="AG41" s="43"/>
      <c r="AH41" s="43"/>
      <c r="AI41" s="15"/>
      <c r="AJ41" s="15"/>
      <c r="AK41" s="44"/>
      <c r="AL41" s="15"/>
      <c r="AM41" s="15"/>
    </row>
    <row r="42" spans="1:39" s="14" customFormat="1" ht="41.25" customHeight="1">
      <c r="B42" s="18"/>
      <c r="C42" s="57" t="str">
        <f t="shared" si="3"/>
        <v/>
      </c>
      <c r="D42" s="18" t="s">
        <v>7</v>
      </c>
      <c r="E42" s="18"/>
      <c r="F42" s="15"/>
      <c r="G42" s="19"/>
      <c r="H42" s="19"/>
      <c r="I42" s="19"/>
      <c r="J42" s="43"/>
      <c r="K42" s="77"/>
      <c r="L42" s="15"/>
      <c r="M42" s="86"/>
      <c r="N42" s="15"/>
      <c r="O42" s="15"/>
      <c r="P42" s="15"/>
      <c r="Q42" s="43"/>
      <c r="R42" s="43"/>
      <c r="S42" s="43"/>
      <c r="T42" s="15"/>
      <c r="U42" s="15"/>
      <c r="V42" s="15"/>
      <c r="W42" s="15"/>
      <c r="X42" s="43"/>
      <c r="Y42" s="15"/>
      <c r="Z42" s="15"/>
      <c r="AA42" s="15"/>
      <c r="AB42" s="43"/>
      <c r="AC42" s="15"/>
      <c r="AD42" s="15"/>
      <c r="AE42" s="15"/>
      <c r="AF42" s="15"/>
      <c r="AG42" s="43"/>
      <c r="AH42" s="43"/>
      <c r="AI42" s="15"/>
      <c r="AJ42" s="15"/>
      <c r="AK42" s="44"/>
      <c r="AL42" s="15"/>
      <c r="AM42" s="15"/>
    </row>
    <row r="43" spans="1:39" s="14" customFormat="1" ht="41.25" customHeight="1">
      <c r="B43" s="18"/>
      <c r="C43" s="57" t="str">
        <f t="shared" si="3"/>
        <v/>
      </c>
      <c r="D43" s="18" t="s">
        <v>7</v>
      </c>
      <c r="E43" s="18"/>
      <c r="F43" s="15"/>
      <c r="G43" s="19"/>
      <c r="H43" s="19"/>
      <c r="I43" s="19"/>
      <c r="J43" s="43"/>
      <c r="K43" s="77"/>
      <c r="L43" s="15"/>
      <c r="M43" s="86"/>
      <c r="N43" s="15"/>
      <c r="O43" s="15"/>
      <c r="P43" s="15"/>
      <c r="Q43" s="43"/>
      <c r="R43" s="43"/>
      <c r="S43" s="43"/>
      <c r="T43" s="15"/>
      <c r="U43" s="15"/>
      <c r="V43" s="15"/>
      <c r="W43" s="15"/>
      <c r="X43" s="43"/>
      <c r="Y43" s="15"/>
      <c r="Z43" s="15"/>
      <c r="AA43" s="15"/>
      <c r="AB43" s="43"/>
      <c r="AC43" s="15"/>
      <c r="AD43" s="15"/>
      <c r="AE43" s="15"/>
      <c r="AF43" s="15"/>
      <c r="AG43" s="43"/>
      <c r="AH43" s="43"/>
      <c r="AI43" s="15"/>
      <c r="AJ43" s="15"/>
      <c r="AK43" s="44"/>
      <c r="AL43" s="15"/>
      <c r="AM43" s="15"/>
    </row>
    <row r="44" spans="1:39" s="14" customFormat="1" ht="41.25" customHeight="1">
      <c r="B44" s="18"/>
      <c r="C44" s="57" t="str">
        <f t="shared" si="3"/>
        <v/>
      </c>
      <c r="D44" s="18" t="s">
        <v>7</v>
      </c>
      <c r="E44" s="18"/>
      <c r="F44" s="15"/>
      <c r="G44" s="19"/>
      <c r="H44" s="19"/>
      <c r="I44" s="19"/>
      <c r="J44" s="43"/>
      <c r="K44" s="77"/>
      <c r="L44" s="15"/>
      <c r="M44" s="86"/>
      <c r="N44" s="15"/>
      <c r="O44" s="15"/>
      <c r="P44" s="15"/>
      <c r="Q44" s="43"/>
      <c r="R44" s="43"/>
      <c r="S44" s="43"/>
      <c r="T44" s="15"/>
      <c r="U44" s="15"/>
      <c r="V44" s="15"/>
      <c r="W44" s="15"/>
      <c r="X44" s="43"/>
      <c r="Y44" s="15"/>
      <c r="Z44" s="15"/>
      <c r="AA44" s="15"/>
      <c r="AB44" s="43"/>
      <c r="AC44" s="15"/>
      <c r="AD44" s="15"/>
      <c r="AE44" s="15"/>
      <c r="AF44" s="15"/>
      <c r="AG44" s="43"/>
      <c r="AH44" s="43"/>
      <c r="AI44" s="15"/>
      <c r="AJ44" s="15"/>
      <c r="AK44" s="44"/>
      <c r="AL44" s="15"/>
      <c r="AM44" s="15"/>
    </row>
    <row r="45" spans="1:39" s="14" customFormat="1" ht="41.25" customHeight="1">
      <c r="B45" s="18"/>
      <c r="C45" s="57" t="str">
        <f t="shared" si="3"/>
        <v/>
      </c>
      <c r="D45" s="18" t="s">
        <v>7</v>
      </c>
      <c r="E45" s="18"/>
      <c r="F45" s="15"/>
      <c r="G45" s="19"/>
      <c r="H45" s="19"/>
      <c r="I45" s="19"/>
      <c r="J45" s="43"/>
      <c r="K45" s="77"/>
      <c r="L45" s="15"/>
      <c r="M45" s="86"/>
      <c r="N45" s="15"/>
      <c r="O45" s="15"/>
      <c r="P45" s="15"/>
      <c r="Q45" s="43"/>
      <c r="R45" s="43"/>
      <c r="S45" s="43"/>
      <c r="T45" s="15"/>
      <c r="U45" s="15"/>
      <c r="V45" s="15"/>
      <c r="W45" s="15"/>
      <c r="X45" s="43"/>
      <c r="Y45" s="15"/>
      <c r="Z45" s="15"/>
      <c r="AA45" s="15"/>
      <c r="AB45" s="43"/>
      <c r="AC45" s="15"/>
      <c r="AD45" s="15"/>
      <c r="AE45" s="15"/>
      <c r="AF45" s="15"/>
      <c r="AG45" s="43"/>
      <c r="AH45" s="43"/>
      <c r="AI45" s="15"/>
      <c r="AJ45" s="15"/>
      <c r="AK45" s="44"/>
      <c r="AL45" s="15"/>
      <c r="AM45" s="15"/>
    </row>
    <row r="46" spans="1:39" s="14" customFormat="1" ht="41.25" customHeight="1">
      <c r="B46" s="18"/>
      <c r="C46" s="57" t="str">
        <f t="shared" si="3"/>
        <v/>
      </c>
      <c r="D46" s="18" t="s">
        <v>7</v>
      </c>
      <c r="E46" s="18"/>
      <c r="F46" s="15"/>
      <c r="G46" s="19"/>
      <c r="H46" s="19"/>
      <c r="I46" s="19"/>
      <c r="J46" s="43"/>
      <c r="K46" s="77"/>
      <c r="L46" s="15"/>
      <c r="M46" s="86"/>
      <c r="N46" s="15"/>
      <c r="O46" s="15"/>
      <c r="P46" s="15"/>
      <c r="Q46" s="43"/>
      <c r="R46" s="43"/>
      <c r="S46" s="43"/>
      <c r="T46" s="15"/>
      <c r="U46" s="15"/>
      <c r="V46" s="15"/>
      <c r="W46" s="15"/>
      <c r="X46" s="43"/>
      <c r="Y46" s="15"/>
      <c r="Z46" s="15"/>
      <c r="AA46" s="15"/>
      <c r="AB46" s="43"/>
      <c r="AC46" s="15"/>
      <c r="AD46" s="15"/>
      <c r="AE46" s="15"/>
      <c r="AF46" s="15"/>
      <c r="AG46" s="43"/>
      <c r="AH46" s="43"/>
      <c r="AI46" s="15"/>
      <c r="AJ46" s="15"/>
      <c r="AK46" s="44"/>
      <c r="AL46" s="15"/>
      <c r="AM46" s="15"/>
    </row>
    <row r="47" spans="1:39" s="14" customFormat="1" ht="41.25" customHeight="1">
      <c r="B47" s="18"/>
      <c r="C47" s="57" t="str">
        <f t="shared" si="3"/>
        <v/>
      </c>
      <c r="D47" s="18" t="s">
        <v>7</v>
      </c>
      <c r="E47" s="18"/>
      <c r="F47" s="15"/>
      <c r="G47" s="19"/>
      <c r="H47" s="19"/>
      <c r="I47" s="19"/>
      <c r="J47" s="43"/>
      <c r="K47" s="77"/>
      <c r="L47" s="15"/>
      <c r="M47" s="86"/>
      <c r="N47" s="15"/>
      <c r="O47" s="15"/>
      <c r="P47" s="15"/>
      <c r="Q47" s="43"/>
      <c r="R47" s="43"/>
      <c r="S47" s="43"/>
      <c r="T47" s="15"/>
      <c r="U47" s="15"/>
      <c r="V47" s="15"/>
      <c r="W47" s="15"/>
      <c r="X47" s="43"/>
      <c r="Y47" s="15"/>
      <c r="Z47" s="15"/>
      <c r="AA47" s="15"/>
      <c r="AB47" s="43"/>
      <c r="AC47" s="15"/>
      <c r="AD47" s="15"/>
      <c r="AE47" s="15"/>
      <c r="AF47" s="15"/>
      <c r="AG47" s="43"/>
      <c r="AH47" s="43"/>
      <c r="AI47" s="15"/>
      <c r="AJ47" s="15"/>
      <c r="AK47" s="44"/>
      <c r="AL47" s="15"/>
      <c r="AM47" s="15"/>
    </row>
    <row r="48" spans="1:39" s="14" customFormat="1" ht="41.25" customHeight="1">
      <c r="B48" s="18"/>
      <c r="C48" s="57" t="str">
        <f t="shared" si="3"/>
        <v/>
      </c>
      <c r="D48" s="18" t="s">
        <v>7</v>
      </c>
      <c r="E48" s="18"/>
      <c r="F48" s="15"/>
      <c r="G48" s="19"/>
      <c r="H48" s="19"/>
      <c r="I48" s="19"/>
      <c r="J48" s="43"/>
      <c r="K48" s="77"/>
      <c r="L48" s="15"/>
      <c r="M48" s="86"/>
      <c r="N48" s="15"/>
      <c r="O48" s="15"/>
      <c r="P48" s="15"/>
      <c r="Q48" s="43"/>
      <c r="R48" s="43"/>
      <c r="S48" s="43"/>
      <c r="T48" s="15"/>
      <c r="U48" s="15"/>
      <c r="V48" s="15"/>
      <c r="W48" s="15"/>
      <c r="X48" s="43"/>
      <c r="Y48" s="15"/>
      <c r="Z48" s="15"/>
      <c r="AA48" s="15"/>
      <c r="AB48" s="43"/>
      <c r="AC48" s="15"/>
      <c r="AD48" s="15"/>
      <c r="AE48" s="15"/>
      <c r="AF48" s="15"/>
      <c r="AG48" s="43"/>
      <c r="AH48" s="43"/>
      <c r="AI48" s="15"/>
      <c r="AJ48" s="15"/>
      <c r="AK48" s="44"/>
      <c r="AL48" s="15"/>
      <c r="AM48" s="15"/>
    </row>
    <row r="49" spans="2:39" s="14" customFormat="1" ht="41.25" customHeight="1">
      <c r="B49" s="18"/>
      <c r="C49" s="57" t="str">
        <f t="shared" ref="C49:C112" si="7">IF(B49="","",MONTH(B49))</f>
        <v/>
      </c>
      <c r="D49" s="18" t="s">
        <v>7</v>
      </c>
      <c r="E49" s="18"/>
      <c r="F49" s="15"/>
      <c r="G49" s="19"/>
      <c r="H49" s="19"/>
      <c r="I49" s="19"/>
      <c r="J49" s="43"/>
      <c r="K49" s="77"/>
      <c r="L49" s="15"/>
      <c r="M49" s="86"/>
      <c r="N49" s="15"/>
      <c r="O49" s="15"/>
      <c r="P49" s="15"/>
      <c r="Q49" s="43"/>
      <c r="R49" s="43"/>
      <c r="S49" s="43"/>
      <c r="T49" s="15"/>
      <c r="U49" s="15"/>
      <c r="V49" s="15"/>
      <c r="W49" s="15"/>
      <c r="X49" s="43"/>
      <c r="Y49" s="15"/>
      <c r="Z49" s="15"/>
      <c r="AA49" s="15"/>
      <c r="AB49" s="43"/>
      <c r="AC49" s="15"/>
      <c r="AD49" s="15"/>
      <c r="AE49" s="15"/>
      <c r="AF49" s="15"/>
      <c r="AG49" s="43"/>
      <c r="AH49" s="43"/>
      <c r="AI49" s="15"/>
      <c r="AJ49" s="15"/>
      <c r="AK49" s="44"/>
      <c r="AL49" s="15"/>
      <c r="AM49" s="15"/>
    </row>
    <row r="50" spans="2:39" s="14" customFormat="1" ht="41.25" customHeight="1">
      <c r="B50" s="18"/>
      <c r="C50" s="57" t="str">
        <f t="shared" si="7"/>
        <v/>
      </c>
      <c r="D50" s="18" t="s">
        <v>7</v>
      </c>
      <c r="E50" s="18"/>
      <c r="F50" s="15"/>
      <c r="G50" s="19"/>
      <c r="H50" s="19"/>
      <c r="I50" s="19"/>
      <c r="J50" s="43"/>
      <c r="K50" s="77"/>
      <c r="L50" s="15"/>
      <c r="M50" s="86"/>
      <c r="N50" s="15"/>
      <c r="O50" s="15"/>
      <c r="P50" s="15"/>
      <c r="Q50" s="43"/>
      <c r="R50" s="43"/>
      <c r="S50" s="43"/>
      <c r="T50" s="15"/>
      <c r="U50" s="15"/>
      <c r="V50" s="15"/>
      <c r="W50" s="15"/>
      <c r="X50" s="43"/>
      <c r="Y50" s="15"/>
      <c r="Z50" s="15"/>
      <c r="AA50" s="15"/>
      <c r="AB50" s="43"/>
      <c r="AC50" s="15"/>
      <c r="AD50" s="15"/>
      <c r="AE50" s="15"/>
      <c r="AF50" s="15"/>
      <c r="AG50" s="43"/>
      <c r="AH50" s="43"/>
      <c r="AI50" s="15"/>
      <c r="AJ50" s="15"/>
      <c r="AK50" s="43"/>
      <c r="AL50" s="15"/>
      <c r="AM50" s="72"/>
    </row>
    <row r="51" spans="2:39" s="14" customFormat="1" ht="41.25" customHeight="1">
      <c r="B51" s="18"/>
      <c r="C51" s="57" t="str">
        <f t="shared" si="7"/>
        <v/>
      </c>
      <c r="D51" s="18" t="s">
        <v>7</v>
      </c>
      <c r="E51" s="18"/>
      <c r="F51" s="15"/>
      <c r="G51" s="19"/>
      <c r="H51" s="19"/>
      <c r="I51" s="19"/>
      <c r="J51" s="44"/>
      <c r="K51" s="78"/>
      <c r="L51" s="19"/>
      <c r="M51" s="87"/>
      <c r="N51" s="19"/>
      <c r="O51" s="19"/>
      <c r="P51" s="19"/>
      <c r="Q51" s="44"/>
      <c r="R51" s="44"/>
      <c r="S51" s="44"/>
      <c r="T51" s="19"/>
      <c r="U51" s="19"/>
      <c r="V51" s="19"/>
      <c r="W51" s="19"/>
      <c r="X51" s="44"/>
      <c r="Y51" s="19"/>
      <c r="Z51" s="19"/>
      <c r="AA51" s="19"/>
      <c r="AB51" s="44"/>
      <c r="AC51" s="19"/>
      <c r="AD51" s="19"/>
      <c r="AE51" s="19"/>
      <c r="AF51" s="19"/>
      <c r="AG51" s="44"/>
      <c r="AH51" s="44"/>
      <c r="AI51" s="19"/>
      <c r="AJ51" s="19"/>
      <c r="AK51" s="43"/>
      <c r="AL51" s="19"/>
      <c r="AM51" s="19"/>
    </row>
    <row r="52" spans="2:39" s="14" customFormat="1" ht="41.25" customHeight="1">
      <c r="B52" s="18"/>
      <c r="C52" s="57" t="str">
        <f t="shared" si="7"/>
        <v/>
      </c>
      <c r="D52" s="18" t="s">
        <v>7</v>
      </c>
      <c r="E52" s="18"/>
      <c r="F52" s="15"/>
      <c r="G52" s="19"/>
      <c r="H52" s="19"/>
      <c r="I52" s="19"/>
      <c r="J52" s="44"/>
      <c r="K52" s="78"/>
      <c r="L52" s="19"/>
      <c r="M52" s="87"/>
      <c r="N52" s="19"/>
      <c r="O52" s="19"/>
      <c r="P52" s="19"/>
      <c r="Q52" s="44"/>
      <c r="R52" s="44"/>
      <c r="S52" s="44"/>
      <c r="T52" s="19"/>
      <c r="U52" s="19"/>
      <c r="V52" s="19"/>
      <c r="W52" s="19"/>
      <c r="X52" s="44"/>
      <c r="Y52" s="19"/>
      <c r="Z52" s="19"/>
      <c r="AA52" s="19"/>
      <c r="AB52" s="44"/>
      <c r="AC52" s="19"/>
      <c r="AD52" s="19"/>
      <c r="AE52" s="19"/>
      <c r="AF52" s="19"/>
      <c r="AG52" s="44"/>
      <c r="AH52" s="44"/>
      <c r="AI52" s="19"/>
      <c r="AJ52" s="19"/>
      <c r="AK52" s="44"/>
      <c r="AL52" s="19"/>
      <c r="AM52" s="19"/>
    </row>
    <row r="53" spans="2:39" s="14" customFormat="1" ht="41.25" customHeight="1">
      <c r="B53" s="18"/>
      <c r="C53" s="57" t="str">
        <f t="shared" si="7"/>
        <v/>
      </c>
      <c r="D53" s="18" t="e">
        <f>VLOOKUP(F53,LOOKUP!$C$2:$C$8,2,0)</f>
        <v>#N/A</v>
      </c>
      <c r="E53" s="18"/>
      <c r="F53" s="15"/>
      <c r="G53" s="19"/>
      <c r="H53" s="19"/>
      <c r="I53" s="19"/>
      <c r="J53" s="43"/>
      <c r="K53" s="77"/>
      <c r="L53" s="15"/>
      <c r="M53" s="86"/>
      <c r="N53" s="15"/>
      <c r="O53" s="15"/>
      <c r="P53" s="15"/>
      <c r="Q53" s="43"/>
      <c r="R53" s="43"/>
      <c r="S53" s="43"/>
      <c r="T53" s="15"/>
      <c r="U53" s="15"/>
      <c r="V53" s="15"/>
      <c r="W53" s="15"/>
      <c r="X53" s="43"/>
      <c r="Y53" s="15"/>
      <c r="Z53" s="15"/>
      <c r="AA53" s="15"/>
      <c r="AB53" s="43"/>
      <c r="AC53" s="15"/>
      <c r="AD53" s="15"/>
      <c r="AE53" s="15"/>
      <c r="AF53" s="15"/>
      <c r="AG53" s="43"/>
      <c r="AH53" s="43"/>
      <c r="AI53" s="15"/>
      <c r="AJ53" s="15"/>
      <c r="AK53" s="44"/>
      <c r="AL53" s="15"/>
      <c r="AM53" s="15"/>
    </row>
    <row r="54" spans="2:39" s="14" customFormat="1" ht="41.25" customHeight="1">
      <c r="B54" s="18"/>
      <c r="C54" s="57" t="str">
        <f t="shared" si="7"/>
        <v/>
      </c>
      <c r="D54" s="18" t="e">
        <f>VLOOKUP(F54,LOOKUP!$C$2:$C$8,2,0)</f>
        <v>#N/A</v>
      </c>
      <c r="E54" s="18"/>
      <c r="F54" s="15"/>
      <c r="G54" s="19"/>
      <c r="H54" s="19"/>
      <c r="I54" s="19"/>
      <c r="J54" s="43"/>
      <c r="K54" s="77"/>
      <c r="L54" s="15"/>
      <c r="M54" s="86"/>
      <c r="N54" s="15"/>
      <c r="O54" s="15"/>
      <c r="P54" s="15"/>
      <c r="Q54" s="43"/>
      <c r="R54" s="43"/>
      <c r="S54" s="43"/>
      <c r="T54" s="15"/>
      <c r="U54" s="15"/>
      <c r="V54" s="15"/>
      <c r="W54" s="15"/>
      <c r="X54" s="43"/>
      <c r="Y54" s="15"/>
      <c r="Z54" s="15"/>
      <c r="AA54" s="15"/>
      <c r="AB54" s="43"/>
      <c r="AC54" s="15"/>
      <c r="AD54" s="15"/>
      <c r="AE54" s="15"/>
      <c r="AF54" s="15"/>
      <c r="AG54" s="43"/>
      <c r="AH54" s="43"/>
      <c r="AI54" s="15"/>
      <c r="AJ54" s="15"/>
      <c r="AK54" s="43"/>
      <c r="AL54" s="15"/>
      <c r="AM54" s="15"/>
    </row>
    <row r="55" spans="2:39" s="14" customFormat="1" ht="41.25" customHeight="1">
      <c r="B55" s="18"/>
      <c r="C55" s="57" t="str">
        <f t="shared" si="7"/>
        <v/>
      </c>
      <c r="D55" s="18" t="e">
        <f>VLOOKUP(F55,LOOKUP!$C$2:$C$8,2,0)</f>
        <v>#N/A</v>
      </c>
      <c r="E55" s="18"/>
      <c r="F55" s="15"/>
      <c r="G55" s="19"/>
      <c r="H55" s="19"/>
      <c r="I55" s="19"/>
      <c r="J55" s="44"/>
      <c r="K55" s="78"/>
      <c r="L55" s="19"/>
      <c r="M55" s="87"/>
      <c r="N55" s="19"/>
      <c r="O55" s="19"/>
      <c r="P55" s="19"/>
      <c r="Q55" s="44"/>
      <c r="R55" s="44"/>
      <c r="S55" s="44"/>
      <c r="T55" s="19"/>
      <c r="U55" s="19"/>
      <c r="V55" s="19"/>
      <c r="W55" s="19"/>
      <c r="X55" s="44"/>
      <c r="Y55" s="19"/>
      <c r="Z55" s="19"/>
      <c r="AA55" s="19"/>
      <c r="AB55" s="44"/>
      <c r="AC55" s="19"/>
      <c r="AD55" s="19"/>
      <c r="AE55" s="19"/>
      <c r="AF55" s="19"/>
      <c r="AG55" s="44"/>
      <c r="AH55" s="44"/>
      <c r="AI55" s="19"/>
      <c r="AJ55" s="19"/>
      <c r="AK55" s="43"/>
      <c r="AL55" s="19"/>
      <c r="AM55" s="19"/>
    </row>
    <row r="56" spans="2:39" s="14" customFormat="1" ht="41.25" customHeight="1">
      <c r="B56" s="18"/>
      <c r="C56" s="57" t="str">
        <f t="shared" si="7"/>
        <v/>
      </c>
      <c r="D56" s="18" t="e">
        <f>VLOOKUP(F56,LOOKUP!$C$2:$C$8,2,0)</f>
        <v>#N/A</v>
      </c>
      <c r="E56" s="18"/>
      <c r="F56" s="15"/>
      <c r="G56" s="19"/>
      <c r="H56" s="19"/>
      <c r="I56" s="19"/>
      <c r="J56" s="47"/>
      <c r="K56" s="79"/>
      <c r="L56" s="22"/>
      <c r="M56" s="88"/>
      <c r="N56" s="22"/>
      <c r="O56" s="22"/>
      <c r="P56" s="22"/>
      <c r="Q56" s="47"/>
      <c r="R56" s="47"/>
      <c r="S56" s="47"/>
      <c r="T56" s="22"/>
      <c r="U56" s="22"/>
      <c r="V56" s="22"/>
      <c r="W56" s="22"/>
      <c r="X56" s="47"/>
      <c r="Y56" s="22"/>
      <c r="Z56" s="22"/>
      <c r="AA56" s="22"/>
      <c r="AB56" s="47"/>
      <c r="AC56" s="22"/>
      <c r="AD56" s="22"/>
      <c r="AE56" s="22"/>
      <c r="AF56" s="22"/>
      <c r="AG56" s="47"/>
      <c r="AH56" s="47"/>
      <c r="AI56" s="22"/>
      <c r="AJ56" s="22"/>
      <c r="AK56" s="44"/>
      <c r="AL56" s="22"/>
      <c r="AM56" s="22"/>
    </row>
    <row r="57" spans="2:39" s="14" customFormat="1" ht="41.25" customHeight="1">
      <c r="B57" s="18"/>
      <c r="C57" s="57" t="str">
        <f t="shared" si="7"/>
        <v/>
      </c>
      <c r="D57" s="18" t="e">
        <f>VLOOKUP(F57,LOOKUP!$C$2:$C$8,2,0)</f>
        <v>#N/A</v>
      </c>
      <c r="E57" s="18"/>
      <c r="F57" s="15"/>
      <c r="G57" s="19"/>
      <c r="H57" s="19"/>
      <c r="I57" s="19"/>
      <c r="J57" s="47"/>
      <c r="K57" s="79"/>
      <c r="L57" s="22"/>
      <c r="M57" s="88"/>
      <c r="N57" s="22"/>
      <c r="O57" s="22"/>
      <c r="P57" s="22"/>
      <c r="Q57" s="47"/>
      <c r="R57" s="47"/>
      <c r="S57" s="47"/>
      <c r="T57" s="22"/>
      <c r="U57" s="22"/>
      <c r="V57" s="22"/>
      <c r="W57" s="22"/>
      <c r="X57" s="47"/>
      <c r="Y57" s="22"/>
      <c r="Z57" s="22"/>
      <c r="AA57" s="22"/>
      <c r="AB57" s="47"/>
      <c r="AC57" s="22"/>
      <c r="AD57" s="22"/>
      <c r="AE57" s="22"/>
      <c r="AF57" s="22"/>
      <c r="AG57" s="47"/>
      <c r="AH57" s="47"/>
      <c r="AI57" s="22"/>
      <c r="AJ57" s="22"/>
      <c r="AK57" s="47"/>
      <c r="AL57" s="22"/>
      <c r="AM57" s="22"/>
    </row>
    <row r="58" spans="2:39" s="14" customFormat="1" ht="41.25" customHeight="1">
      <c r="B58" s="18"/>
      <c r="C58" s="57" t="str">
        <f t="shared" si="7"/>
        <v/>
      </c>
      <c r="D58" s="18" t="e">
        <f>VLOOKUP(F58,LOOKUP!$C$2:$C$8,2,0)</f>
        <v>#N/A</v>
      </c>
      <c r="E58" s="18"/>
      <c r="F58" s="15"/>
      <c r="G58" s="19"/>
      <c r="H58" s="19"/>
      <c r="I58" s="19"/>
      <c r="J58" s="47"/>
      <c r="K58" s="79"/>
      <c r="L58" s="22"/>
      <c r="M58" s="88"/>
      <c r="N58" s="22"/>
      <c r="O58" s="22"/>
      <c r="P58" s="22"/>
      <c r="Q58" s="47"/>
      <c r="R58" s="47"/>
      <c r="S58" s="47"/>
      <c r="T58" s="22"/>
      <c r="U58" s="22"/>
      <c r="V58" s="22"/>
      <c r="W58" s="22"/>
      <c r="X58" s="47"/>
      <c r="Y58" s="22"/>
      <c r="Z58" s="22"/>
      <c r="AA58" s="22"/>
      <c r="AB58" s="47"/>
      <c r="AC58" s="22"/>
      <c r="AD58" s="22"/>
      <c r="AE58" s="22"/>
      <c r="AF58" s="22"/>
      <c r="AG58" s="47"/>
      <c r="AH58" s="47"/>
      <c r="AI58" s="22"/>
      <c r="AJ58" s="22"/>
      <c r="AK58" s="47"/>
      <c r="AL58" s="22"/>
      <c r="AM58" s="22"/>
    </row>
    <row r="59" spans="2:39" s="14" customFormat="1" ht="41.25" customHeight="1">
      <c r="B59" s="18"/>
      <c r="C59" s="57" t="str">
        <f t="shared" si="7"/>
        <v/>
      </c>
      <c r="D59" s="18" t="e">
        <f>VLOOKUP(F59,LOOKUP!$C$2:$C$8,2,0)</f>
        <v>#N/A</v>
      </c>
      <c r="E59" s="18"/>
      <c r="F59" s="15"/>
      <c r="G59" s="19"/>
      <c r="H59" s="19"/>
      <c r="I59" s="19"/>
      <c r="J59" s="47"/>
      <c r="K59" s="79"/>
      <c r="L59" s="22"/>
      <c r="M59" s="88"/>
      <c r="N59" s="22"/>
      <c r="O59" s="22"/>
      <c r="P59" s="22"/>
      <c r="Q59" s="47"/>
      <c r="R59" s="47"/>
      <c r="S59" s="47"/>
      <c r="T59" s="22"/>
      <c r="U59" s="22"/>
      <c r="V59" s="22"/>
      <c r="W59" s="22"/>
      <c r="X59" s="47"/>
      <c r="Y59" s="22"/>
      <c r="Z59" s="22"/>
      <c r="AA59" s="22"/>
      <c r="AB59" s="47"/>
      <c r="AC59" s="22"/>
      <c r="AD59" s="22"/>
      <c r="AE59" s="22"/>
      <c r="AF59" s="22"/>
      <c r="AG59" s="47"/>
      <c r="AH59" s="47"/>
      <c r="AI59" s="22"/>
      <c r="AJ59" s="22"/>
      <c r="AK59" s="47"/>
      <c r="AL59" s="22"/>
      <c r="AM59" s="22"/>
    </row>
    <row r="60" spans="2:39" s="14" customFormat="1" ht="41.25" customHeight="1">
      <c r="B60" s="18"/>
      <c r="C60" s="57" t="str">
        <f t="shared" si="7"/>
        <v/>
      </c>
      <c r="D60" s="18" t="e">
        <f>VLOOKUP(F60,LOOKUP!$C$2:$C$8,2,0)</f>
        <v>#N/A</v>
      </c>
      <c r="E60" s="18"/>
      <c r="F60" s="15"/>
      <c r="G60" s="19"/>
      <c r="H60" s="19"/>
      <c r="I60" s="19"/>
      <c r="J60" s="47"/>
      <c r="K60" s="79"/>
      <c r="L60" s="22"/>
      <c r="M60" s="88"/>
      <c r="N60" s="22"/>
      <c r="O60" s="22"/>
      <c r="P60" s="22"/>
      <c r="Q60" s="47"/>
      <c r="R60" s="47"/>
      <c r="S60" s="47"/>
      <c r="T60" s="22"/>
      <c r="U60" s="22"/>
      <c r="V60" s="22"/>
      <c r="W60" s="22"/>
      <c r="X60" s="47"/>
      <c r="Y60" s="22"/>
      <c r="Z60" s="22"/>
      <c r="AA60" s="22"/>
      <c r="AB60" s="47"/>
      <c r="AC60" s="22"/>
      <c r="AD60" s="22"/>
      <c r="AE60" s="22"/>
      <c r="AF60" s="22"/>
      <c r="AG60" s="47"/>
      <c r="AH60" s="47"/>
      <c r="AI60" s="22"/>
      <c r="AJ60" s="22"/>
      <c r="AK60" s="47"/>
      <c r="AL60" s="22"/>
      <c r="AM60" s="22"/>
    </row>
    <row r="61" spans="2:39" s="14" customFormat="1" ht="41.25" customHeight="1">
      <c r="B61" s="18"/>
      <c r="C61" s="57" t="str">
        <f t="shared" si="7"/>
        <v/>
      </c>
      <c r="D61" s="18" t="e">
        <f>VLOOKUP(F61,LOOKUP!$C$2:$C$8,2,0)</f>
        <v>#N/A</v>
      </c>
      <c r="E61" s="18"/>
      <c r="F61" s="15"/>
      <c r="G61" s="19"/>
      <c r="H61" s="19"/>
      <c r="I61" s="19"/>
      <c r="J61" s="43"/>
      <c r="K61" s="77"/>
      <c r="L61" s="15"/>
      <c r="M61" s="86"/>
      <c r="N61" s="15"/>
      <c r="O61" s="15"/>
      <c r="P61" s="15"/>
      <c r="Q61" s="43"/>
      <c r="R61" s="43"/>
      <c r="S61" s="43"/>
      <c r="T61" s="15"/>
      <c r="U61" s="15"/>
      <c r="V61" s="15"/>
      <c r="W61" s="15"/>
      <c r="X61" s="43"/>
      <c r="Y61" s="15"/>
      <c r="Z61" s="15"/>
      <c r="AA61" s="15"/>
      <c r="AB61" s="43"/>
      <c r="AC61" s="15"/>
      <c r="AD61" s="15"/>
      <c r="AE61" s="15"/>
      <c r="AF61" s="15"/>
      <c r="AG61" s="43"/>
      <c r="AH61" s="43"/>
      <c r="AI61" s="15"/>
      <c r="AJ61" s="15"/>
      <c r="AK61" s="47"/>
      <c r="AL61" s="15"/>
      <c r="AM61" s="15"/>
    </row>
    <row r="62" spans="2:39" s="14" customFormat="1" ht="41.25" customHeight="1">
      <c r="B62" s="18"/>
      <c r="C62" s="57" t="str">
        <f t="shared" si="7"/>
        <v/>
      </c>
      <c r="D62" s="18" t="e">
        <f>VLOOKUP(F62,LOOKUP!$C$2:$C$8,2,0)</f>
        <v>#N/A</v>
      </c>
      <c r="E62" s="18"/>
      <c r="F62" s="15"/>
      <c r="G62" s="19"/>
      <c r="H62" s="19"/>
      <c r="I62" s="19"/>
      <c r="J62" s="43"/>
      <c r="K62" s="77"/>
      <c r="L62" s="15"/>
      <c r="M62" s="86"/>
      <c r="N62" s="15"/>
      <c r="O62" s="15"/>
      <c r="P62" s="15"/>
      <c r="Q62" s="43"/>
      <c r="R62" s="43"/>
      <c r="S62" s="43"/>
      <c r="T62" s="15"/>
      <c r="U62" s="15"/>
      <c r="V62" s="15"/>
      <c r="W62" s="15"/>
      <c r="X62" s="43"/>
      <c r="Y62" s="15"/>
      <c r="Z62" s="15"/>
      <c r="AA62" s="15"/>
      <c r="AB62" s="43"/>
      <c r="AC62" s="15"/>
      <c r="AD62" s="15"/>
      <c r="AE62" s="15"/>
      <c r="AF62" s="15"/>
      <c r="AG62" s="43"/>
      <c r="AH62" s="43"/>
      <c r="AI62" s="15"/>
      <c r="AJ62" s="15"/>
      <c r="AK62" s="43"/>
      <c r="AL62" s="15"/>
      <c r="AM62" s="15"/>
    </row>
    <row r="63" spans="2:39" s="14" customFormat="1" ht="41.25" customHeight="1">
      <c r="B63" s="18"/>
      <c r="C63" s="57" t="str">
        <f t="shared" si="7"/>
        <v/>
      </c>
      <c r="D63" s="18" t="e">
        <f>VLOOKUP(F63,LOOKUP!$C$2:$C$8,2,0)</f>
        <v>#N/A</v>
      </c>
      <c r="E63" s="18"/>
      <c r="F63" s="15"/>
      <c r="G63" s="19"/>
      <c r="H63" s="19"/>
      <c r="I63" s="19"/>
      <c r="J63" s="43"/>
      <c r="K63" s="77"/>
      <c r="L63" s="15"/>
      <c r="M63" s="86"/>
      <c r="N63" s="15"/>
      <c r="O63" s="15"/>
      <c r="P63" s="15"/>
      <c r="Q63" s="43"/>
      <c r="R63" s="43"/>
      <c r="S63" s="43"/>
      <c r="T63" s="15"/>
      <c r="U63" s="15"/>
      <c r="V63" s="15"/>
      <c r="W63" s="15"/>
      <c r="X63" s="43"/>
      <c r="Y63" s="15"/>
      <c r="Z63" s="15"/>
      <c r="AA63" s="15"/>
      <c r="AB63" s="43"/>
      <c r="AC63" s="15"/>
      <c r="AD63" s="15"/>
      <c r="AE63" s="15"/>
      <c r="AF63" s="15"/>
      <c r="AG63" s="43"/>
      <c r="AH63" s="43"/>
      <c r="AI63" s="15"/>
      <c r="AJ63" s="15"/>
      <c r="AK63" s="43"/>
      <c r="AL63" s="15"/>
      <c r="AM63" s="15"/>
    </row>
    <row r="64" spans="2:39" s="14" customFormat="1" ht="41.25" customHeight="1">
      <c r="B64" s="18"/>
      <c r="C64" s="57" t="str">
        <f t="shared" si="7"/>
        <v/>
      </c>
      <c r="D64" s="18" t="e">
        <f>VLOOKUP(F64,LOOKUP!$C$2:$C$8,2,0)</f>
        <v>#N/A</v>
      </c>
      <c r="E64" s="18"/>
      <c r="F64" s="15"/>
      <c r="G64" s="19"/>
      <c r="H64" s="19"/>
      <c r="I64" s="19"/>
      <c r="J64" s="15"/>
      <c r="K64" s="80"/>
      <c r="L64" s="15"/>
      <c r="M64" s="86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43"/>
      <c r="AL64" s="15"/>
      <c r="AM64" s="15"/>
    </row>
    <row r="65" spans="2:39" s="14" customFormat="1" ht="41.25" customHeight="1">
      <c r="B65" s="18"/>
      <c r="C65" s="57" t="str">
        <f t="shared" si="7"/>
        <v/>
      </c>
      <c r="D65" s="18" t="e">
        <f>VLOOKUP(F65,LOOKUP!$C$2:$C$8,2,0)</f>
        <v>#N/A</v>
      </c>
      <c r="E65" s="18"/>
      <c r="F65" s="15"/>
      <c r="G65" s="19"/>
      <c r="H65" s="19"/>
      <c r="I65" s="19"/>
      <c r="J65" s="15"/>
      <c r="K65" s="80"/>
      <c r="L65" s="15"/>
      <c r="M65" s="8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</row>
    <row r="66" spans="2:39" s="14" customFormat="1" ht="41.25" customHeight="1">
      <c r="B66" s="18"/>
      <c r="C66" s="57" t="str">
        <f t="shared" si="7"/>
        <v/>
      </c>
      <c r="D66" s="18" t="e">
        <f>VLOOKUP(F66,LOOKUP!$C$2:$C$8,2,0)</f>
        <v>#N/A</v>
      </c>
      <c r="E66" s="18"/>
      <c r="F66" s="15"/>
      <c r="G66" s="19"/>
      <c r="H66" s="19"/>
      <c r="I66" s="19"/>
      <c r="J66" s="15"/>
      <c r="K66" s="80"/>
      <c r="L66" s="15"/>
      <c r="M66" s="86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</row>
    <row r="67" spans="2:39" s="14" customFormat="1" ht="41.25" customHeight="1">
      <c r="B67" s="18"/>
      <c r="C67" s="57" t="str">
        <f t="shared" si="7"/>
        <v/>
      </c>
      <c r="D67" s="18" t="e">
        <f>VLOOKUP(F67,LOOKUP!$C$2:$C$8,2,0)</f>
        <v>#N/A</v>
      </c>
      <c r="E67" s="18"/>
      <c r="F67" s="15"/>
      <c r="G67" s="19"/>
      <c r="H67" s="19"/>
      <c r="I67" s="19"/>
      <c r="J67" s="22"/>
      <c r="K67" s="81"/>
      <c r="L67" s="22"/>
      <c r="M67" s="88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15"/>
      <c r="AL67" s="22"/>
      <c r="AM67" s="22"/>
    </row>
    <row r="68" spans="2:39" s="14" customFormat="1" ht="41.25" customHeight="1">
      <c r="B68" s="18"/>
      <c r="C68" s="57" t="str">
        <f t="shared" si="7"/>
        <v/>
      </c>
      <c r="D68" s="18" t="e">
        <f>VLOOKUP(F68,LOOKUP!$C$2:$C$8,2,0)</f>
        <v>#N/A</v>
      </c>
      <c r="E68" s="18"/>
      <c r="F68" s="15"/>
      <c r="G68" s="19"/>
      <c r="H68" s="19"/>
      <c r="I68" s="19"/>
      <c r="J68" s="22"/>
      <c r="K68" s="81"/>
      <c r="L68" s="22"/>
      <c r="M68" s="88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</row>
    <row r="69" spans="2:39" s="14" customFormat="1" ht="41.25" customHeight="1">
      <c r="B69" s="18"/>
      <c r="C69" s="57" t="str">
        <f t="shared" si="7"/>
        <v/>
      </c>
      <c r="D69" s="18" t="e">
        <f>VLOOKUP(F69,LOOKUP!$C$2:$C$8,2,0)</f>
        <v>#N/A</v>
      </c>
      <c r="E69" s="18"/>
      <c r="F69" s="15"/>
      <c r="G69" s="19"/>
      <c r="H69" s="19"/>
      <c r="I69" s="19"/>
      <c r="J69" s="15"/>
      <c r="K69" s="80"/>
      <c r="L69" s="15"/>
      <c r="M69" s="86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22"/>
      <c r="AL69" s="15"/>
      <c r="AM69" s="15"/>
    </row>
    <row r="70" spans="2:39" s="14" customFormat="1" ht="41.25" customHeight="1">
      <c r="B70" s="18"/>
      <c r="C70" s="57" t="str">
        <f t="shared" si="7"/>
        <v/>
      </c>
      <c r="D70" s="18" t="e">
        <f>VLOOKUP(F70,LOOKUP!$C$2:$C$8,2,0)</f>
        <v>#N/A</v>
      </c>
      <c r="E70" s="18"/>
      <c r="F70" s="15"/>
      <c r="G70" s="19"/>
      <c r="H70" s="19"/>
      <c r="I70" s="19"/>
      <c r="J70" s="15"/>
      <c r="K70" s="80"/>
      <c r="L70" s="15"/>
      <c r="M70" s="86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</row>
    <row r="71" spans="2:39" s="14" customFormat="1" ht="41.25" customHeight="1">
      <c r="B71" s="18"/>
      <c r="C71" s="57" t="str">
        <f t="shared" si="7"/>
        <v/>
      </c>
      <c r="D71" s="18" t="e">
        <f>VLOOKUP(F71,LOOKUP!$C$2:$C$8,2,0)</f>
        <v>#N/A</v>
      </c>
      <c r="E71" s="18"/>
      <c r="F71" s="15"/>
      <c r="G71" s="19"/>
      <c r="H71" s="19"/>
      <c r="I71" s="19"/>
      <c r="J71" s="15"/>
      <c r="K71" s="80"/>
      <c r="L71" s="15"/>
      <c r="M71" s="86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</row>
    <row r="72" spans="2:39" s="14" customFormat="1" ht="41.25" customHeight="1">
      <c r="B72" s="18"/>
      <c r="C72" s="57" t="str">
        <f t="shared" si="7"/>
        <v/>
      </c>
      <c r="D72" s="18" t="e">
        <f>VLOOKUP(F72,LOOKUP!$C$2:$C$8,2,0)</f>
        <v>#N/A</v>
      </c>
      <c r="E72" s="18"/>
      <c r="F72" s="15"/>
      <c r="G72" s="19"/>
      <c r="H72" s="19"/>
      <c r="I72" s="19"/>
      <c r="J72" s="15"/>
      <c r="K72" s="80"/>
      <c r="L72" s="15"/>
      <c r="M72" s="86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</row>
    <row r="73" spans="2:39" ht="41.25" customHeight="1">
      <c r="B73" s="18"/>
      <c r="C73" s="57" t="str">
        <f t="shared" si="7"/>
        <v/>
      </c>
      <c r="D73" s="18" t="e">
        <f>VLOOKUP(F73,LOOKUP!$C$2:$C$8,2,0)</f>
        <v>#N/A</v>
      </c>
      <c r="E73" s="18"/>
      <c r="F73" s="15"/>
      <c r="G73" s="19"/>
      <c r="H73" s="19"/>
      <c r="I73" s="19"/>
      <c r="J73" s="15"/>
      <c r="K73" s="80"/>
      <c r="L73" s="15"/>
      <c r="M73" s="86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</row>
    <row r="74" spans="2:39" ht="41.25" customHeight="1">
      <c r="B74" s="18"/>
      <c r="C74" s="57" t="str">
        <f t="shared" si="7"/>
        <v/>
      </c>
      <c r="D74" s="18" t="e">
        <f>VLOOKUP(F74,LOOKUP!$C$2:$C$8,2,0)</f>
        <v>#N/A</v>
      </c>
      <c r="E74" s="18"/>
      <c r="F74" s="15"/>
      <c r="G74" s="19"/>
      <c r="H74" s="19"/>
      <c r="I74" s="19"/>
      <c r="J74" s="19"/>
      <c r="K74" s="82"/>
      <c r="L74" s="19"/>
      <c r="M74" s="87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5"/>
      <c r="AL74" s="19"/>
      <c r="AM74" s="19"/>
    </row>
    <row r="75" spans="2:39" ht="41.25" customHeight="1">
      <c r="B75" s="18"/>
      <c r="C75" s="57" t="str">
        <f t="shared" si="7"/>
        <v/>
      </c>
      <c r="D75" s="18" t="e">
        <f>VLOOKUP(F75,LOOKUP!$C$2:$C$8,2,0)</f>
        <v>#N/A</v>
      </c>
      <c r="E75" s="18"/>
      <c r="F75" s="15"/>
      <c r="G75" s="19"/>
      <c r="H75" s="19"/>
      <c r="I75" s="19"/>
      <c r="J75" s="15"/>
      <c r="K75" s="80"/>
      <c r="L75" s="15"/>
      <c r="M75" s="8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9"/>
      <c r="AL75" s="15"/>
      <c r="AM75" s="15"/>
    </row>
    <row r="76" spans="2:39" ht="41.25" customHeight="1">
      <c r="B76" s="18"/>
      <c r="C76" s="57" t="str">
        <f t="shared" si="7"/>
        <v/>
      </c>
      <c r="D76" s="18" t="e">
        <f>VLOOKUP(F76,LOOKUP!$C$2:$C$8,2,0)</f>
        <v>#N/A</v>
      </c>
      <c r="E76" s="18"/>
      <c r="F76" s="15"/>
      <c r="G76" s="19"/>
      <c r="H76" s="19"/>
      <c r="I76" s="19"/>
      <c r="J76" s="15"/>
      <c r="K76" s="80"/>
      <c r="L76" s="15"/>
      <c r="M76" s="86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</row>
    <row r="77" spans="2:39" ht="41.25" customHeight="1">
      <c r="B77" s="18"/>
      <c r="C77" s="57" t="str">
        <f t="shared" si="7"/>
        <v/>
      </c>
      <c r="D77" s="18" t="e">
        <f>VLOOKUP(F77,LOOKUP!$C$2:$C$8,2,0)</f>
        <v>#N/A</v>
      </c>
      <c r="E77" s="18"/>
      <c r="F77" s="15"/>
      <c r="G77" s="19"/>
      <c r="H77" s="19"/>
      <c r="I77" s="19"/>
      <c r="J77" s="15"/>
      <c r="K77" s="80"/>
      <c r="L77" s="15"/>
      <c r="M77" s="86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</row>
    <row r="78" spans="2:39" ht="41.25" customHeight="1">
      <c r="B78" s="18"/>
      <c r="C78" s="57" t="str">
        <f t="shared" si="7"/>
        <v/>
      </c>
      <c r="D78" s="18" t="e">
        <f>VLOOKUP(F78,LOOKUP!$C$2:$C$8,2,0)</f>
        <v>#N/A</v>
      </c>
      <c r="E78" s="18"/>
      <c r="F78" s="15"/>
      <c r="G78" s="19"/>
      <c r="H78" s="19"/>
      <c r="I78" s="19"/>
      <c r="J78" s="15"/>
      <c r="K78" s="80"/>
      <c r="L78" s="15"/>
      <c r="M78" s="86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</row>
    <row r="79" spans="2:39" ht="41.25" customHeight="1">
      <c r="B79" s="18"/>
      <c r="C79" s="57" t="str">
        <f t="shared" si="7"/>
        <v/>
      </c>
      <c r="D79" s="18" t="e">
        <f>VLOOKUP(F79,LOOKUP!$C$2:$C$8,2,0)</f>
        <v>#N/A</v>
      </c>
      <c r="E79" s="18"/>
      <c r="F79" s="15"/>
      <c r="G79" s="19"/>
      <c r="H79" s="19"/>
      <c r="I79" s="19"/>
      <c r="J79" s="15"/>
      <c r="K79" s="80"/>
      <c r="L79" s="15"/>
      <c r="M79" s="86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</row>
    <row r="80" spans="2:39" ht="41.25" customHeight="1">
      <c r="B80" s="21"/>
      <c r="C80" s="57" t="str">
        <f t="shared" si="7"/>
        <v/>
      </c>
      <c r="D80" s="18" t="e">
        <f>VLOOKUP(F80,LOOKUP!$C$2:$C$8,2,0)</f>
        <v>#N/A</v>
      </c>
      <c r="E80" s="18"/>
      <c r="F80" s="15"/>
      <c r="G80" s="19"/>
      <c r="H80" s="19"/>
      <c r="I80" s="19"/>
      <c r="J80" s="22"/>
      <c r="K80" s="81"/>
      <c r="M80" s="88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15"/>
      <c r="AL80" s="22"/>
      <c r="AM80" s="22"/>
    </row>
    <row r="81" spans="2:39" ht="41.25" customHeight="1">
      <c r="B81" s="21"/>
      <c r="C81" s="57" t="str">
        <f t="shared" si="7"/>
        <v/>
      </c>
      <c r="D81" s="18" t="e">
        <f>VLOOKUP(F81,LOOKUP!$C$2:$C$8,2,0)</f>
        <v>#N/A</v>
      </c>
      <c r="E81" s="18"/>
      <c r="F81" s="15"/>
      <c r="G81" s="19"/>
      <c r="H81" s="19"/>
      <c r="I81" s="19"/>
      <c r="J81" s="22"/>
      <c r="K81" s="81"/>
      <c r="M81" s="88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</row>
    <row r="82" spans="2:39" ht="41.25" customHeight="1">
      <c r="B82" s="21"/>
      <c r="C82" s="57" t="str">
        <f t="shared" si="7"/>
        <v/>
      </c>
      <c r="D82" s="18" t="e">
        <f>VLOOKUP(F82,LOOKUP!$C$2:$C$8,2,0)</f>
        <v>#N/A</v>
      </c>
      <c r="E82" s="18"/>
      <c r="F82" s="15"/>
      <c r="G82" s="19"/>
      <c r="H82" s="19"/>
      <c r="I82" s="19"/>
      <c r="J82" s="22"/>
      <c r="K82" s="81"/>
      <c r="M82" s="88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</row>
    <row r="83" spans="2:39" ht="41.25" customHeight="1">
      <c r="B83" s="21"/>
      <c r="C83" s="57" t="str">
        <f t="shared" si="7"/>
        <v/>
      </c>
      <c r="D83" s="18" t="e">
        <f>VLOOKUP(F83,LOOKUP!$C$2:$C$8,2,0)</f>
        <v>#N/A</v>
      </c>
      <c r="E83" s="18"/>
      <c r="F83" s="15"/>
      <c r="G83" s="19"/>
      <c r="H83" s="19"/>
      <c r="I83" s="19"/>
      <c r="J83" s="22"/>
      <c r="K83" s="81"/>
      <c r="M83" s="88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</row>
    <row r="84" spans="2:39" ht="41.25" customHeight="1">
      <c r="B84" s="18"/>
      <c r="C84" s="57" t="str">
        <f t="shared" si="7"/>
        <v/>
      </c>
      <c r="D84" s="18" t="e">
        <f>VLOOKUP(F84,LOOKUP!$C$2:$C$8,2,0)</f>
        <v>#N/A</v>
      </c>
      <c r="E84" s="18"/>
      <c r="F84" s="15"/>
      <c r="G84" s="19"/>
      <c r="H84" s="19"/>
      <c r="I84" s="19"/>
      <c r="J84" s="22"/>
      <c r="K84" s="81"/>
      <c r="M84" s="88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</row>
    <row r="85" spans="2:39" ht="41.25" customHeight="1">
      <c r="B85" s="18"/>
      <c r="C85" s="57" t="str">
        <f t="shared" si="7"/>
        <v/>
      </c>
      <c r="D85" s="18" t="e">
        <f>VLOOKUP(F85,LOOKUP!$C$2:$C$8,2,0)</f>
        <v>#N/A</v>
      </c>
      <c r="E85" s="18"/>
      <c r="F85" s="15"/>
      <c r="G85" s="19"/>
      <c r="H85" s="19"/>
      <c r="I85" s="19"/>
      <c r="J85" s="22"/>
      <c r="K85" s="81"/>
      <c r="M85" s="88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</row>
    <row r="86" spans="2:39" ht="41.25" customHeight="1">
      <c r="B86" s="18"/>
      <c r="C86" s="57" t="str">
        <f t="shared" si="7"/>
        <v/>
      </c>
      <c r="D86" s="18" t="e">
        <f>VLOOKUP(F86,LOOKUP!$C$2:$C$8,2,0)</f>
        <v>#N/A</v>
      </c>
      <c r="E86" s="18"/>
      <c r="F86" s="15"/>
      <c r="G86" s="19"/>
      <c r="H86" s="19"/>
      <c r="I86" s="19"/>
      <c r="J86" s="22"/>
      <c r="K86" s="81"/>
      <c r="M86" s="88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</row>
    <row r="87" spans="2:39" ht="41.25" customHeight="1">
      <c r="B87" s="18"/>
      <c r="C87" s="57" t="str">
        <f t="shared" si="7"/>
        <v/>
      </c>
      <c r="D87" s="18" t="e">
        <f>VLOOKUP(F87,LOOKUP!$C$2:$C$8,2,0)</f>
        <v>#N/A</v>
      </c>
      <c r="E87" s="18"/>
      <c r="F87" s="15"/>
      <c r="G87" s="19"/>
      <c r="H87" s="19"/>
      <c r="I87" s="19"/>
      <c r="J87" s="22"/>
      <c r="K87" s="81"/>
      <c r="M87" s="88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</row>
    <row r="88" spans="2:39" ht="41.25" customHeight="1">
      <c r="B88" s="18"/>
      <c r="C88" s="57" t="str">
        <f t="shared" si="7"/>
        <v/>
      </c>
      <c r="D88" s="18" t="e">
        <f>VLOOKUP(F88,LOOKUP!$C$2:$C$8,2,0)</f>
        <v>#N/A</v>
      </c>
      <c r="E88" s="18"/>
      <c r="F88" s="15"/>
      <c r="G88" s="19"/>
      <c r="H88" s="19"/>
      <c r="I88" s="19"/>
      <c r="J88" s="22"/>
      <c r="K88" s="81"/>
      <c r="M88" s="88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</row>
    <row r="89" spans="2:39" ht="41.25" customHeight="1">
      <c r="B89" s="21"/>
      <c r="C89" s="57" t="str">
        <f t="shared" si="7"/>
        <v/>
      </c>
      <c r="D89" s="18" t="e">
        <f>VLOOKUP(F89,LOOKUP!$C$2:$C$8,2,0)</f>
        <v>#N/A</v>
      </c>
      <c r="E89" s="18"/>
      <c r="F89" s="15"/>
      <c r="G89" s="19"/>
      <c r="H89" s="19"/>
      <c r="I89" s="19"/>
      <c r="J89" s="22"/>
      <c r="K89" s="81"/>
      <c r="M89" s="88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</row>
    <row r="90" spans="2:39" ht="41.25" customHeight="1">
      <c r="B90" s="21"/>
      <c r="C90" s="57" t="str">
        <f t="shared" si="7"/>
        <v/>
      </c>
      <c r="D90" s="18" t="e">
        <f>VLOOKUP(F90,LOOKUP!$C$2:$C$8,2,0)</f>
        <v>#N/A</v>
      </c>
      <c r="E90" s="18"/>
      <c r="F90" s="15"/>
      <c r="G90" s="19"/>
      <c r="H90" s="19"/>
      <c r="I90" s="19"/>
      <c r="J90" s="22"/>
      <c r="K90" s="81"/>
      <c r="M90" s="88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</row>
    <row r="91" spans="2:39" ht="41.25" customHeight="1">
      <c r="B91" s="21"/>
      <c r="C91" s="57" t="str">
        <f t="shared" si="7"/>
        <v/>
      </c>
      <c r="D91" s="18" t="e">
        <f>VLOOKUP(F91,LOOKUP!$C$2:$C$8,2,0)</f>
        <v>#N/A</v>
      </c>
      <c r="E91" s="18"/>
      <c r="F91" s="15"/>
      <c r="G91" s="19"/>
      <c r="H91" s="19"/>
      <c r="I91" s="19"/>
      <c r="J91" s="22"/>
      <c r="K91" s="81"/>
      <c r="M91" s="88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</row>
    <row r="92" spans="2:39" ht="41.25" customHeight="1">
      <c r="B92" s="21"/>
      <c r="C92" s="57" t="str">
        <f t="shared" si="7"/>
        <v/>
      </c>
      <c r="D92" s="18" t="e">
        <f>VLOOKUP(F92,LOOKUP!$C$2:$C$8,2,0)</f>
        <v>#N/A</v>
      </c>
      <c r="E92" s="18"/>
      <c r="F92" s="15"/>
      <c r="G92" s="19"/>
      <c r="H92" s="19"/>
      <c r="I92" s="19"/>
      <c r="J92" s="22"/>
      <c r="K92" s="81"/>
      <c r="M92" s="88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</row>
    <row r="93" spans="2:39" ht="41.25" customHeight="1">
      <c r="B93" s="21"/>
      <c r="C93" s="57" t="str">
        <f t="shared" si="7"/>
        <v/>
      </c>
      <c r="D93" s="18" t="e">
        <f>VLOOKUP(F93,LOOKUP!$C$2:$C$8,2,0)</f>
        <v>#N/A</v>
      </c>
      <c r="E93" s="18"/>
      <c r="F93" s="15"/>
      <c r="G93" s="19"/>
      <c r="H93" s="19"/>
      <c r="I93" s="19"/>
      <c r="J93" s="22"/>
      <c r="K93" s="81"/>
      <c r="M93" s="88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</row>
    <row r="94" spans="2:39" ht="41.25" customHeight="1">
      <c r="B94" s="21"/>
      <c r="C94" s="57" t="str">
        <f t="shared" si="7"/>
        <v/>
      </c>
      <c r="D94" s="18" t="e">
        <f>VLOOKUP(F94,LOOKUP!$C$2:$C$8,2,0)</f>
        <v>#N/A</v>
      </c>
      <c r="E94" s="18"/>
      <c r="F94" s="15"/>
      <c r="G94" s="19"/>
      <c r="H94" s="19"/>
      <c r="I94" s="19"/>
      <c r="J94" s="22"/>
      <c r="K94" s="81"/>
      <c r="M94" s="88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</row>
    <row r="95" spans="2:39" ht="41.25" customHeight="1">
      <c r="B95" s="21"/>
      <c r="C95" s="57" t="str">
        <f t="shared" si="7"/>
        <v/>
      </c>
      <c r="D95" s="18" t="e">
        <f>VLOOKUP(F95,LOOKUP!$C$2:$C$8,2,0)</f>
        <v>#N/A</v>
      </c>
      <c r="E95" s="18"/>
      <c r="F95" s="15"/>
      <c r="G95" s="19"/>
      <c r="H95" s="19"/>
      <c r="I95" s="19"/>
      <c r="J95" s="22"/>
      <c r="K95" s="81"/>
      <c r="M95" s="88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</row>
    <row r="96" spans="2:39" ht="41.25" customHeight="1">
      <c r="B96" s="21"/>
      <c r="C96" s="57" t="str">
        <f t="shared" si="7"/>
        <v/>
      </c>
      <c r="D96" s="18" t="e">
        <f>VLOOKUP(F96,LOOKUP!$C$2:$C$8,2,0)</f>
        <v>#N/A</v>
      </c>
      <c r="E96" s="18"/>
      <c r="F96" s="15"/>
      <c r="G96" s="19"/>
      <c r="H96" s="19"/>
      <c r="I96" s="19"/>
      <c r="J96" s="22"/>
      <c r="K96" s="81"/>
      <c r="M96" s="88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</row>
    <row r="97" spans="2:39" ht="41.25" customHeight="1">
      <c r="B97" s="21"/>
      <c r="C97" s="57" t="str">
        <f t="shared" si="7"/>
        <v/>
      </c>
      <c r="D97" s="18" t="e">
        <f>VLOOKUP(F97,LOOKUP!$C$2:$C$8,2,0)</f>
        <v>#N/A</v>
      </c>
      <c r="E97" s="18"/>
      <c r="F97" s="15"/>
      <c r="G97" s="19"/>
      <c r="H97" s="19"/>
      <c r="I97" s="19"/>
      <c r="J97" s="22"/>
      <c r="K97" s="81"/>
      <c r="M97" s="88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</row>
    <row r="98" spans="2:39" ht="41.25" customHeight="1">
      <c r="B98" s="18"/>
      <c r="C98" s="57" t="str">
        <f t="shared" si="7"/>
        <v/>
      </c>
      <c r="D98" s="18" t="e">
        <f>VLOOKUP(F98,LOOKUP!$C$2:$C$8,2,0)</f>
        <v>#N/A</v>
      </c>
      <c r="E98" s="18"/>
      <c r="F98" s="15"/>
      <c r="G98" s="19"/>
      <c r="H98" s="19"/>
      <c r="I98" s="19"/>
      <c r="J98" s="22"/>
      <c r="K98" s="81"/>
      <c r="M98" s="88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</row>
    <row r="99" spans="2:39" ht="41.25" customHeight="1">
      <c r="B99" s="18"/>
      <c r="C99" s="57" t="str">
        <f t="shared" si="7"/>
        <v/>
      </c>
      <c r="D99" s="18" t="e">
        <f>VLOOKUP(F99,LOOKUP!$C$2:$C$8,2,0)</f>
        <v>#N/A</v>
      </c>
      <c r="E99" s="18"/>
      <c r="F99" s="15"/>
      <c r="G99" s="19"/>
      <c r="H99" s="19"/>
      <c r="I99" s="19"/>
      <c r="J99" s="22"/>
      <c r="K99" s="81"/>
      <c r="M99" s="88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</row>
    <row r="100" spans="2:39" ht="41.25" customHeight="1">
      <c r="B100" s="21"/>
      <c r="C100" s="57" t="str">
        <f t="shared" si="7"/>
        <v/>
      </c>
      <c r="D100" s="18" t="e">
        <f>VLOOKUP(F100,LOOKUP!$C$2:$C$8,2,0)</f>
        <v>#N/A</v>
      </c>
      <c r="E100" s="18"/>
      <c r="F100" s="15"/>
      <c r="G100" s="19"/>
      <c r="H100" s="19"/>
      <c r="I100" s="19"/>
      <c r="J100" s="22"/>
      <c r="K100" s="81"/>
      <c r="M100" s="88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</row>
    <row r="101" spans="2:39" ht="41.25" customHeight="1">
      <c r="B101" s="21"/>
      <c r="C101" s="57" t="str">
        <f t="shared" si="7"/>
        <v/>
      </c>
      <c r="D101" s="18" t="e">
        <f>VLOOKUP(F101,LOOKUP!$C$2:$C$8,2,0)</f>
        <v>#N/A</v>
      </c>
      <c r="E101" s="18"/>
      <c r="F101" s="15"/>
      <c r="G101" s="19"/>
      <c r="H101" s="19"/>
      <c r="I101" s="19"/>
      <c r="J101" s="22"/>
      <c r="K101" s="81"/>
      <c r="M101" s="88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</row>
    <row r="102" spans="2:39" ht="41.25" customHeight="1">
      <c r="B102" s="21"/>
      <c r="C102" s="57" t="str">
        <f t="shared" si="7"/>
        <v/>
      </c>
      <c r="D102" s="18" t="e">
        <f>VLOOKUP(F102,LOOKUP!$C$2:$C$8,2,0)</f>
        <v>#N/A</v>
      </c>
      <c r="E102" s="18"/>
      <c r="F102" s="15"/>
      <c r="G102" s="19"/>
      <c r="H102" s="19"/>
      <c r="I102" s="19"/>
      <c r="J102" s="22"/>
      <c r="K102" s="81"/>
      <c r="M102" s="88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</row>
    <row r="103" spans="2:39" ht="41.25" customHeight="1">
      <c r="B103" s="21"/>
      <c r="C103" s="57" t="str">
        <f t="shared" si="7"/>
        <v/>
      </c>
      <c r="D103" s="18" t="e">
        <f>VLOOKUP(F103,LOOKUP!$C$2:$C$8,2,0)</f>
        <v>#N/A</v>
      </c>
      <c r="E103" s="18"/>
      <c r="F103" s="15"/>
      <c r="G103" s="19"/>
      <c r="H103" s="19"/>
      <c r="I103" s="19"/>
      <c r="J103" s="22"/>
      <c r="K103" s="81"/>
      <c r="M103" s="88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</row>
    <row r="104" spans="2:39" ht="41.25" customHeight="1">
      <c r="B104" s="21"/>
      <c r="C104" s="57" t="str">
        <f t="shared" si="7"/>
        <v/>
      </c>
      <c r="D104" s="18" t="e">
        <f>VLOOKUP(F104,LOOKUP!$C$2:$C$8,2,0)</f>
        <v>#N/A</v>
      </c>
      <c r="E104" s="18"/>
      <c r="F104" s="15"/>
      <c r="G104" s="19"/>
      <c r="H104" s="19"/>
      <c r="I104" s="19"/>
      <c r="J104" s="22"/>
      <c r="K104" s="81"/>
      <c r="M104" s="88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</row>
    <row r="105" spans="2:39" ht="41.25" customHeight="1">
      <c r="B105" s="18"/>
      <c r="C105" s="57" t="str">
        <f t="shared" si="7"/>
        <v/>
      </c>
      <c r="D105" s="18" t="e">
        <f>VLOOKUP(F105,LOOKUP!$C$2:$C$8,2,0)</f>
        <v>#N/A</v>
      </c>
      <c r="E105" s="18"/>
      <c r="F105" s="15"/>
      <c r="G105" s="19"/>
      <c r="H105" s="19"/>
      <c r="I105" s="19"/>
      <c r="J105" s="22"/>
      <c r="K105" s="81"/>
      <c r="M105" s="88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</row>
    <row r="106" spans="2:39" ht="41.25" customHeight="1">
      <c r="B106" s="18"/>
      <c r="C106" s="57" t="str">
        <f t="shared" si="7"/>
        <v/>
      </c>
      <c r="D106" s="18" t="e">
        <f>VLOOKUP(F106,LOOKUP!$C$2:$C$8,2,0)</f>
        <v>#N/A</v>
      </c>
      <c r="E106" s="18"/>
      <c r="F106" s="15"/>
      <c r="G106" s="19"/>
      <c r="H106" s="19"/>
      <c r="I106" s="19"/>
      <c r="J106" s="22"/>
      <c r="K106" s="81"/>
      <c r="M106" s="88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</row>
    <row r="107" spans="2:39" ht="41.25" customHeight="1">
      <c r="B107" s="21"/>
      <c r="C107" s="57" t="str">
        <f t="shared" si="7"/>
        <v/>
      </c>
      <c r="D107" s="18" t="e">
        <f>VLOOKUP(F107,LOOKUP!$C$2:$C$8,2,0)</f>
        <v>#N/A</v>
      </c>
      <c r="E107" s="18"/>
      <c r="F107" s="15"/>
      <c r="G107" s="19"/>
      <c r="H107" s="19"/>
      <c r="I107" s="19"/>
      <c r="J107" s="22"/>
      <c r="K107" s="81"/>
      <c r="M107" s="88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</row>
    <row r="108" spans="2:39" ht="41.25" customHeight="1">
      <c r="B108" s="21"/>
      <c r="C108" s="57" t="str">
        <f t="shared" si="7"/>
        <v/>
      </c>
      <c r="D108" s="18" t="e">
        <f>VLOOKUP(F108,LOOKUP!$C$2:$C$8,2,0)</f>
        <v>#N/A</v>
      </c>
      <c r="E108" s="18"/>
      <c r="F108" s="15"/>
      <c r="G108" s="19"/>
      <c r="H108" s="19"/>
      <c r="I108" s="19"/>
      <c r="J108" s="22"/>
      <c r="K108" s="81"/>
      <c r="M108" s="88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</row>
    <row r="109" spans="2:39" ht="41.25" customHeight="1">
      <c r="B109" s="18"/>
      <c r="C109" s="57" t="str">
        <f t="shared" si="7"/>
        <v/>
      </c>
      <c r="D109" s="18" t="e">
        <f>VLOOKUP(F109,LOOKUP!$C$2:$C$8,2,0)</f>
        <v>#N/A</v>
      </c>
      <c r="E109" s="18"/>
      <c r="F109" s="15"/>
      <c r="G109" s="19"/>
      <c r="H109" s="19"/>
      <c r="I109" s="19"/>
      <c r="J109" s="22"/>
      <c r="K109" s="81"/>
      <c r="M109" s="88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</row>
    <row r="110" spans="2:39" ht="41.25" customHeight="1">
      <c r="B110" s="18"/>
      <c r="C110" s="57" t="str">
        <f t="shared" si="7"/>
        <v/>
      </c>
      <c r="D110" s="18" t="e">
        <f>VLOOKUP(F110,LOOKUP!$C$2:$C$8,2,0)</f>
        <v>#N/A</v>
      </c>
      <c r="E110" s="18"/>
      <c r="F110" s="15"/>
      <c r="G110" s="19"/>
      <c r="H110" s="19"/>
      <c r="I110" s="19"/>
      <c r="J110" s="22"/>
      <c r="K110" s="81"/>
      <c r="M110" s="88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</row>
    <row r="111" spans="2:39" ht="41.25" customHeight="1">
      <c r="B111" s="18"/>
      <c r="C111" s="57" t="str">
        <f t="shared" si="7"/>
        <v/>
      </c>
      <c r="D111" s="18" t="e">
        <f>VLOOKUP(F111,LOOKUP!$C$2:$C$8,2,0)</f>
        <v>#N/A</v>
      </c>
      <c r="E111" s="18"/>
      <c r="F111" s="15"/>
      <c r="G111" s="19"/>
      <c r="H111" s="19"/>
      <c r="I111" s="19"/>
      <c r="J111" s="22"/>
      <c r="K111" s="81"/>
      <c r="M111" s="88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</row>
    <row r="112" spans="2:39" ht="41.25" customHeight="1">
      <c r="B112" s="18"/>
      <c r="C112" s="57" t="str">
        <f t="shared" si="7"/>
        <v/>
      </c>
      <c r="D112" s="18" t="e">
        <f>VLOOKUP(F112,LOOKUP!$C$2:$C$8,2,0)</f>
        <v>#N/A</v>
      </c>
      <c r="E112" s="18"/>
      <c r="F112" s="15"/>
      <c r="G112" s="19"/>
      <c r="H112" s="19"/>
      <c r="I112" s="19"/>
      <c r="J112" s="22"/>
      <c r="K112" s="81"/>
      <c r="M112" s="88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</row>
    <row r="113" spans="2:39" ht="41.25" customHeight="1">
      <c r="B113" s="18"/>
      <c r="C113" s="57" t="str">
        <f t="shared" ref="C113:C176" si="8">IF(B113="","",MONTH(B113))</f>
        <v/>
      </c>
      <c r="D113" s="18" t="e">
        <f>VLOOKUP(F113,LOOKUP!$C$2:$C$8,2,0)</f>
        <v>#N/A</v>
      </c>
      <c r="E113" s="18"/>
      <c r="F113" s="15"/>
      <c r="G113" s="19"/>
      <c r="H113" s="19"/>
      <c r="I113" s="19"/>
      <c r="J113" s="22"/>
      <c r="K113" s="81"/>
      <c r="M113" s="88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</row>
    <row r="114" spans="2:39" ht="41.25" customHeight="1">
      <c r="B114" s="18"/>
      <c r="C114" s="57" t="str">
        <f t="shared" si="8"/>
        <v/>
      </c>
      <c r="D114" s="18" t="e">
        <f>VLOOKUP(F114,LOOKUP!$C$2:$C$8,2,0)</f>
        <v>#N/A</v>
      </c>
      <c r="E114" s="18"/>
      <c r="F114" s="15"/>
      <c r="G114" s="19"/>
      <c r="H114" s="19"/>
      <c r="I114" s="19"/>
      <c r="J114" s="22"/>
      <c r="K114" s="81"/>
      <c r="M114" s="88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</row>
    <row r="115" spans="2:39" ht="41.25" customHeight="1">
      <c r="B115" s="18"/>
      <c r="C115" s="57" t="str">
        <f t="shared" si="8"/>
        <v/>
      </c>
      <c r="D115" s="18" t="e">
        <f>VLOOKUP(F115,LOOKUP!$C$2:$C$8,2,0)</f>
        <v>#N/A</v>
      </c>
      <c r="E115" s="18"/>
      <c r="F115" s="15"/>
      <c r="G115" s="19"/>
      <c r="H115" s="19"/>
      <c r="I115" s="19"/>
      <c r="J115" s="22"/>
      <c r="K115" s="81"/>
      <c r="M115" s="88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</row>
    <row r="116" spans="2:39" ht="41.25" customHeight="1">
      <c r="B116" s="18"/>
      <c r="C116" s="57" t="str">
        <f t="shared" si="8"/>
        <v/>
      </c>
      <c r="D116" s="18" t="e">
        <f>VLOOKUP(F116,LOOKUP!$C$2:$C$8,2,0)</f>
        <v>#N/A</v>
      </c>
      <c r="E116" s="18"/>
      <c r="F116" s="15"/>
      <c r="G116" s="19"/>
      <c r="H116" s="19"/>
      <c r="I116" s="19"/>
      <c r="J116" s="22"/>
      <c r="K116" s="81"/>
      <c r="M116" s="88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</row>
    <row r="117" spans="2:39" ht="41.25" customHeight="1">
      <c r="B117" s="18"/>
      <c r="C117" s="57" t="str">
        <f t="shared" si="8"/>
        <v/>
      </c>
      <c r="D117" s="18" t="e">
        <f>VLOOKUP(F117,LOOKUP!$C$2:$C$8,2,0)</f>
        <v>#N/A</v>
      </c>
      <c r="E117" s="18"/>
      <c r="F117" s="15"/>
      <c r="G117" s="19"/>
      <c r="H117" s="19"/>
      <c r="I117" s="19"/>
      <c r="J117" s="22"/>
      <c r="K117" s="81"/>
      <c r="M117" s="88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</row>
    <row r="118" spans="2:39" ht="41.25" customHeight="1">
      <c r="B118" s="18"/>
      <c r="C118" s="57" t="str">
        <f t="shared" si="8"/>
        <v/>
      </c>
      <c r="D118" s="18" t="e">
        <f>VLOOKUP(F118,LOOKUP!$C$2:$C$8,2,0)</f>
        <v>#N/A</v>
      </c>
      <c r="E118" s="18"/>
      <c r="F118" s="15"/>
      <c r="G118" s="19"/>
      <c r="H118" s="19"/>
      <c r="I118" s="19"/>
      <c r="J118" s="22"/>
      <c r="K118" s="81"/>
      <c r="M118" s="88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</row>
    <row r="119" spans="2:39" ht="41.25" customHeight="1">
      <c r="B119" s="18"/>
      <c r="C119" s="57" t="str">
        <f t="shared" si="8"/>
        <v/>
      </c>
      <c r="D119" s="18" t="e">
        <f>VLOOKUP(F119,LOOKUP!$C$2:$C$8,2,0)</f>
        <v>#N/A</v>
      </c>
      <c r="E119" s="18"/>
      <c r="F119" s="15"/>
      <c r="G119" s="19"/>
      <c r="H119" s="19"/>
      <c r="I119" s="19"/>
      <c r="J119" s="22"/>
      <c r="K119" s="81"/>
      <c r="M119" s="88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</row>
    <row r="120" spans="2:39" ht="41.25" customHeight="1">
      <c r="B120" s="18"/>
      <c r="C120" s="57" t="str">
        <f t="shared" si="8"/>
        <v/>
      </c>
      <c r="D120" s="18" t="e">
        <f>VLOOKUP(F120,LOOKUP!$C$2:$C$8,2,0)</f>
        <v>#N/A</v>
      </c>
      <c r="E120" s="18"/>
      <c r="F120" s="15"/>
      <c r="G120" s="19"/>
      <c r="H120" s="19"/>
      <c r="I120" s="19"/>
      <c r="J120" s="22"/>
      <c r="K120" s="81"/>
      <c r="M120" s="88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</row>
    <row r="121" spans="2:39" ht="41.25" customHeight="1">
      <c r="B121" s="21"/>
      <c r="C121" s="57" t="str">
        <f t="shared" si="8"/>
        <v/>
      </c>
      <c r="D121" s="18" t="e">
        <f>VLOOKUP(F121,LOOKUP!$C$2:$C$8,2,0)</f>
        <v>#N/A</v>
      </c>
      <c r="E121" s="18"/>
      <c r="F121" s="15"/>
      <c r="G121" s="19"/>
      <c r="H121" s="19"/>
      <c r="I121" s="19"/>
      <c r="J121" s="22"/>
      <c r="K121" s="81"/>
      <c r="M121" s="88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</row>
    <row r="122" spans="2:39" ht="41.25" customHeight="1">
      <c r="B122" s="21"/>
      <c r="C122" s="57" t="str">
        <f t="shared" si="8"/>
        <v/>
      </c>
      <c r="D122" s="18" t="e">
        <f>VLOOKUP(F122,LOOKUP!$C$2:$C$8,2,0)</f>
        <v>#N/A</v>
      </c>
      <c r="E122" s="18"/>
      <c r="F122" s="15"/>
      <c r="G122" s="19"/>
      <c r="H122" s="19"/>
      <c r="I122" s="19"/>
      <c r="J122" s="22"/>
      <c r="K122" s="81"/>
      <c r="M122" s="88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</row>
    <row r="123" spans="2:39" ht="41.25" customHeight="1">
      <c r="B123" s="21"/>
      <c r="C123" s="57" t="str">
        <f t="shared" si="8"/>
        <v/>
      </c>
      <c r="D123" s="18" t="e">
        <f>VLOOKUP(F123,LOOKUP!$C$2:$C$8,2,0)</f>
        <v>#N/A</v>
      </c>
      <c r="E123" s="18"/>
      <c r="F123" s="15"/>
      <c r="G123" s="19"/>
      <c r="H123" s="19"/>
      <c r="I123" s="19"/>
      <c r="J123" s="22"/>
      <c r="K123" s="81"/>
      <c r="M123" s="88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</row>
    <row r="124" spans="2:39" ht="41.25" customHeight="1">
      <c r="B124" s="18"/>
      <c r="C124" s="57" t="str">
        <f t="shared" si="8"/>
        <v/>
      </c>
      <c r="D124" s="18" t="e">
        <f>VLOOKUP(F124,LOOKUP!$C$2:$C$8,2,0)</f>
        <v>#N/A</v>
      </c>
      <c r="E124" s="18"/>
      <c r="F124" s="15"/>
      <c r="G124" s="19"/>
      <c r="H124" s="19"/>
      <c r="I124" s="19"/>
      <c r="J124" s="22"/>
      <c r="K124" s="81"/>
      <c r="M124" s="88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</row>
    <row r="125" spans="2:39" ht="41.25" customHeight="1">
      <c r="B125" s="18"/>
      <c r="C125" s="57" t="str">
        <f t="shared" si="8"/>
        <v/>
      </c>
      <c r="D125" s="18" t="e">
        <f>VLOOKUP(F125,LOOKUP!$C$2:$C$8,2,0)</f>
        <v>#N/A</v>
      </c>
      <c r="E125" s="18"/>
      <c r="F125" s="15"/>
      <c r="G125" s="19"/>
      <c r="H125" s="19"/>
      <c r="I125" s="19"/>
      <c r="J125" s="22"/>
      <c r="K125" s="81"/>
      <c r="M125" s="88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</row>
    <row r="126" spans="2:39" ht="41.25" customHeight="1">
      <c r="B126" s="21"/>
      <c r="C126" s="57" t="str">
        <f t="shared" si="8"/>
        <v/>
      </c>
      <c r="D126" s="18" t="e">
        <f>VLOOKUP(F126,LOOKUP!$C$2:$C$8,2,0)</f>
        <v>#N/A</v>
      </c>
      <c r="E126" s="18"/>
      <c r="F126" s="15"/>
      <c r="G126" s="19"/>
      <c r="H126" s="19"/>
      <c r="I126" s="19"/>
      <c r="J126" s="22"/>
      <c r="K126" s="81"/>
      <c r="M126" s="88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</row>
    <row r="127" spans="2:39" ht="41.25" customHeight="1">
      <c r="B127" s="21"/>
      <c r="C127" s="57" t="str">
        <f t="shared" si="8"/>
        <v/>
      </c>
      <c r="D127" s="18" t="e">
        <f>VLOOKUP(F127,LOOKUP!$C$2:$C$8,2,0)</f>
        <v>#N/A</v>
      </c>
      <c r="E127" s="18"/>
      <c r="F127" s="15"/>
      <c r="G127" s="19"/>
      <c r="H127" s="19"/>
      <c r="I127" s="19"/>
      <c r="J127" s="22"/>
      <c r="K127" s="81"/>
      <c r="M127" s="88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</row>
    <row r="128" spans="2:39" ht="41.25" customHeight="1">
      <c r="B128" s="21"/>
      <c r="C128" s="57" t="str">
        <f t="shared" si="8"/>
        <v/>
      </c>
      <c r="D128" s="18" t="e">
        <f>VLOOKUP(F128,LOOKUP!$C$2:$C$8,2,0)</f>
        <v>#N/A</v>
      </c>
      <c r="E128" s="18"/>
      <c r="F128" s="15"/>
      <c r="G128" s="19"/>
      <c r="H128" s="19"/>
      <c r="I128" s="19"/>
      <c r="J128" s="22"/>
      <c r="K128" s="81"/>
      <c r="M128" s="88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</row>
    <row r="129" spans="1:99" ht="41.25" customHeight="1">
      <c r="B129" s="21"/>
      <c r="C129" s="57" t="str">
        <f t="shared" si="8"/>
        <v/>
      </c>
      <c r="D129" s="18" t="e">
        <f>VLOOKUP(F129,LOOKUP!$C$2:$C$8,2,0)</f>
        <v>#N/A</v>
      </c>
      <c r="E129" s="18"/>
      <c r="F129" s="15"/>
      <c r="G129" s="19"/>
      <c r="H129" s="19"/>
      <c r="I129" s="19"/>
      <c r="J129" s="22"/>
      <c r="K129" s="81"/>
      <c r="M129" s="88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</row>
    <row r="130" spans="1:99" ht="41.25" customHeight="1">
      <c r="B130" s="21"/>
      <c r="C130" s="57" t="str">
        <f t="shared" si="8"/>
        <v/>
      </c>
      <c r="D130" s="18" t="e">
        <f>VLOOKUP(F130,LOOKUP!$C$2:$C$8,2,0)</f>
        <v>#N/A</v>
      </c>
      <c r="E130" s="18"/>
      <c r="F130" s="15"/>
      <c r="G130" s="19"/>
      <c r="H130" s="19"/>
      <c r="I130" s="19"/>
      <c r="J130" s="22"/>
      <c r="K130" s="81"/>
      <c r="M130" s="88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</row>
    <row r="131" spans="1:99" ht="41.25" customHeight="1">
      <c r="B131" s="18"/>
      <c r="C131" s="57" t="str">
        <f t="shared" si="8"/>
        <v/>
      </c>
      <c r="D131" s="18" t="e">
        <f>VLOOKUP(F131,LOOKUP!$C$2:$C$8,2,0)</f>
        <v>#N/A</v>
      </c>
      <c r="E131" s="18"/>
      <c r="F131" s="15"/>
      <c r="G131" s="19"/>
      <c r="H131" s="19"/>
      <c r="I131" s="19"/>
      <c r="J131" s="22"/>
      <c r="K131" s="81"/>
      <c r="M131" s="88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</row>
    <row r="132" spans="1:99" ht="41.25" customHeight="1">
      <c r="B132" s="18"/>
      <c r="C132" s="57" t="str">
        <f t="shared" si="8"/>
        <v/>
      </c>
      <c r="D132" s="18" t="e">
        <f>VLOOKUP(F132,LOOKUP!$C$2:$C$8,2,0)</f>
        <v>#N/A</v>
      </c>
      <c r="E132" s="18"/>
      <c r="F132" s="15"/>
      <c r="G132" s="19"/>
      <c r="H132" s="19"/>
      <c r="I132" s="19"/>
      <c r="J132" s="22"/>
      <c r="K132" s="81"/>
      <c r="M132" s="88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</row>
    <row r="133" spans="1:99" ht="41.25" customHeight="1">
      <c r="B133" s="18"/>
      <c r="C133" s="57" t="str">
        <f t="shared" si="8"/>
        <v/>
      </c>
      <c r="D133" s="18" t="e">
        <f>VLOOKUP(F133,LOOKUP!$C$2:$C$8,2,0)</f>
        <v>#N/A</v>
      </c>
      <c r="E133" s="18"/>
      <c r="F133" s="15"/>
      <c r="G133" s="19"/>
      <c r="H133" s="19"/>
      <c r="I133" s="19"/>
      <c r="J133" s="22"/>
      <c r="K133" s="81"/>
      <c r="M133" s="88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</row>
    <row r="134" spans="1:99" ht="41.25" customHeight="1">
      <c r="B134" s="18"/>
      <c r="C134" s="57" t="str">
        <f t="shared" si="8"/>
        <v/>
      </c>
      <c r="D134" s="18" t="e">
        <f>VLOOKUP(F134,LOOKUP!$C$2:$C$8,2,0)</f>
        <v>#N/A</v>
      </c>
      <c r="E134" s="18"/>
      <c r="F134" s="15"/>
      <c r="G134" s="19"/>
      <c r="H134" s="19"/>
      <c r="I134" s="19"/>
      <c r="J134" s="22"/>
      <c r="K134" s="81"/>
      <c r="M134" s="88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</row>
    <row r="135" spans="1:99" ht="41.25" customHeight="1">
      <c r="B135" s="18"/>
      <c r="C135" s="57" t="str">
        <f t="shared" si="8"/>
        <v/>
      </c>
      <c r="D135" s="18" t="e">
        <f>VLOOKUP(F135,LOOKUP!$C$2:$C$8,2,0)</f>
        <v>#N/A</v>
      </c>
      <c r="E135" s="18"/>
      <c r="F135" s="15"/>
      <c r="G135" s="19"/>
      <c r="H135" s="19"/>
      <c r="I135" s="19"/>
      <c r="J135" s="22"/>
      <c r="K135" s="81"/>
      <c r="M135" s="88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</row>
    <row r="136" spans="1:99" ht="41.25" customHeight="1">
      <c r="B136" s="18"/>
      <c r="C136" s="57" t="str">
        <f t="shared" si="8"/>
        <v/>
      </c>
      <c r="D136" s="18" t="e">
        <f>VLOOKUP(F136,LOOKUP!$C$2:$C$8,2,0)</f>
        <v>#N/A</v>
      </c>
      <c r="E136" s="18"/>
      <c r="F136" s="15"/>
      <c r="G136" s="19"/>
      <c r="H136" s="19"/>
      <c r="I136" s="19"/>
      <c r="J136" s="22"/>
      <c r="K136" s="81"/>
      <c r="M136" s="88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</row>
    <row r="137" spans="1:99" ht="41.25" customHeight="1">
      <c r="B137" s="18"/>
      <c r="C137" s="57" t="str">
        <f t="shared" si="8"/>
        <v/>
      </c>
      <c r="D137" s="18" t="e">
        <f>VLOOKUP(F137,LOOKUP!$C$2:$C$8,2,0)</f>
        <v>#N/A</v>
      </c>
      <c r="E137" s="18"/>
      <c r="F137" s="15"/>
      <c r="G137" s="19"/>
      <c r="H137" s="19"/>
      <c r="I137" s="19"/>
      <c r="J137" s="22"/>
      <c r="K137" s="81"/>
      <c r="M137" s="88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</row>
    <row r="138" spans="1:99" ht="41.25" customHeight="1">
      <c r="B138" s="18"/>
      <c r="C138" s="57" t="str">
        <f t="shared" si="8"/>
        <v/>
      </c>
      <c r="D138" s="18" t="e">
        <f>VLOOKUP(F138,LOOKUP!$C$2:$C$8,2,0)</f>
        <v>#N/A</v>
      </c>
      <c r="E138" s="18"/>
      <c r="F138" s="15"/>
      <c r="G138" s="19"/>
      <c r="H138" s="19"/>
      <c r="I138" s="19"/>
      <c r="J138" s="22"/>
      <c r="K138" s="81"/>
      <c r="M138" s="88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</row>
    <row r="139" spans="1:99" ht="41.25" customHeight="1">
      <c r="B139" s="18"/>
      <c r="C139" s="57" t="str">
        <f t="shared" si="8"/>
        <v/>
      </c>
      <c r="D139" s="18" t="e">
        <f>VLOOKUP(F139,LOOKUP!$C$2:$C$8,2,0)</f>
        <v>#N/A</v>
      </c>
      <c r="E139" s="18"/>
      <c r="F139" s="15"/>
      <c r="G139" s="19"/>
      <c r="H139" s="19"/>
      <c r="I139" s="19"/>
      <c r="J139" s="22"/>
      <c r="K139" s="81"/>
      <c r="M139" s="88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</row>
    <row r="140" spans="1:99" s="9" customFormat="1" ht="41.25" customHeight="1">
      <c r="A140" s="13"/>
      <c r="B140" s="21"/>
      <c r="C140" s="57" t="str">
        <f t="shared" si="8"/>
        <v/>
      </c>
      <c r="D140" s="18" t="e">
        <f>VLOOKUP(F140,LOOKUP!$C$2:$C$8,2,0)</f>
        <v>#N/A</v>
      </c>
      <c r="E140" s="18"/>
      <c r="F140" s="15"/>
      <c r="G140" s="19"/>
      <c r="H140" s="19"/>
      <c r="I140" s="19"/>
      <c r="J140" s="22"/>
      <c r="K140" s="81"/>
      <c r="L140" s="22"/>
      <c r="M140" s="88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</row>
    <row r="141" spans="1:99" ht="41.25" customHeight="1">
      <c r="B141" s="18"/>
      <c r="C141" s="57" t="str">
        <f t="shared" si="8"/>
        <v/>
      </c>
      <c r="D141" s="18" t="e">
        <f>VLOOKUP(F141,LOOKUP!$C$2:$C$8,2,0)</f>
        <v>#N/A</v>
      </c>
      <c r="E141" s="18"/>
      <c r="F141" s="15"/>
      <c r="G141" s="19"/>
      <c r="H141" s="19"/>
      <c r="I141" s="19"/>
      <c r="J141" s="22"/>
      <c r="K141" s="81"/>
      <c r="M141" s="88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</row>
    <row r="142" spans="1:99" ht="41.25" customHeight="1">
      <c r="B142" s="18"/>
      <c r="C142" s="57" t="str">
        <f t="shared" si="8"/>
        <v/>
      </c>
      <c r="D142" s="18" t="e">
        <f>VLOOKUP(F142,LOOKUP!$C$2:$C$8,2,0)</f>
        <v>#N/A</v>
      </c>
      <c r="E142" s="18"/>
      <c r="F142" s="15"/>
      <c r="G142" s="19"/>
      <c r="H142" s="19"/>
      <c r="I142" s="19"/>
      <c r="J142" s="22"/>
      <c r="K142" s="81"/>
      <c r="M142" s="88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</row>
    <row r="143" spans="1:99" ht="41.25" customHeight="1">
      <c r="B143" s="18"/>
      <c r="C143" s="57" t="str">
        <f t="shared" si="8"/>
        <v/>
      </c>
      <c r="D143" s="18" t="e">
        <f>VLOOKUP(F143,LOOKUP!$C$2:$C$8,2,0)</f>
        <v>#N/A</v>
      </c>
      <c r="E143" s="18"/>
      <c r="F143" s="15"/>
      <c r="G143" s="19"/>
      <c r="H143" s="19"/>
      <c r="I143" s="19"/>
      <c r="J143" s="22"/>
      <c r="K143" s="81"/>
      <c r="M143" s="88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</row>
    <row r="144" spans="1:99" ht="41.25" customHeight="1">
      <c r="B144" s="18"/>
      <c r="C144" s="57" t="str">
        <f t="shared" si="8"/>
        <v/>
      </c>
      <c r="D144" s="18" t="e">
        <f>VLOOKUP(F144,LOOKUP!$C$2:$C$8,2,0)</f>
        <v>#N/A</v>
      </c>
      <c r="E144" s="18"/>
      <c r="F144" s="15"/>
      <c r="G144" s="19"/>
      <c r="H144" s="19"/>
      <c r="I144" s="19"/>
      <c r="J144" s="22"/>
      <c r="K144" s="81"/>
      <c r="M144" s="88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</row>
    <row r="145" spans="2:39" ht="41.25" customHeight="1">
      <c r="B145" s="18"/>
      <c r="C145" s="57" t="str">
        <f t="shared" si="8"/>
        <v/>
      </c>
      <c r="D145" s="18" t="e">
        <f>VLOOKUP(F145,LOOKUP!$C$2:$C$8,2,0)</f>
        <v>#N/A</v>
      </c>
      <c r="E145" s="18"/>
      <c r="F145" s="15"/>
      <c r="G145" s="19"/>
      <c r="H145" s="19"/>
      <c r="I145" s="19"/>
      <c r="J145" s="22"/>
      <c r="K145" s="81"/>
      <c r="M145" s="88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</row>
    <row r="146" spans="2:39" ht="41.25" customHeight="1">
      <c r="B146" s="18"/>
      <c r="C146" s="57" t="str">
        <f t="shared" si="8"/>
        <v/>
      </c>
      <c r="D146" s="18" t="e">
        <f>VLOOKUP(F146,LOOKUP!$C$2:$C$8,2,0)</f>
        <v>#N/A</v>
      </c>
      <c r="E146" s="18"/>
      <c r="F146" s="15"/>
      <c r="G146" s="19"/>
      <c r="H146" s="19"/>
      <c r="I146" s="19"/>
      <c r="J146" s="22"/>
      <c r="K146" s="81"/>
      <c r="M146" s="88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</row>
    <row r="147" spans="2:39" ht="41.25" customHeight="1">
      <c r="B147" s="18"/>
      <c r="C147" s="57" t="str">
        <f t="shared" si="8"/>
        <v/>
      </c>
      <c r="D147" s="18" t="e">
        <f>VLOOKUP(F147,LOOKUP!$C$2:$C$8,2,0)</f>
        <v>#N/A</v>
      </c>
      <c r="E147" s="18"/>
      <c r="F147" s="15"/>
      <c r="G147" s="19"/>
      <c r="H147" s="19"/>
      <c r="I147" s="19"/>
      <c r="J147" s="22"/>
      <c r="K147" s="81"/>
      <c r="M147" s="88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</row>
    <row r="148" spans="2:39" ht="41.25" customHeight="1">
      <c r="B148" s="18"/>
      <c r="C148" s="57" t="str">
        <f t="shared" si="8"/>
        <v/>
      </c>
      <c r="D148" s="18" t="e">
        <f>VLOOKUP(F148,LOOKUP!$C$2:$C$8,2,0)</f>
        <v>#N/A</v>
      </c>
      <c r="E148" s="18"/>
      <c r="F148" s="15"/>
      <c r="G148" s="19"/>
      <c r="H148" s="19"/>
      <c r="I148" s="19"/>
      <c r="J148" s="22"/>
      <c r="K148" s="81"/>
      <c r="M148" s="88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</row>
    <row r="149" spans="2:39" ht="41.25" customHeight="1">
      <c r="B149" s="21"/>
      <c r="C149" s="57" t="str">
        <f t="shared" si="8"/>
        <v/>
      </c>
      <c r="D149" s="18" t="e">
        <f>VLOOKUP(F149,LOOKUP!$C$2:$C$8,2,0)</f>
        <v>#N/A</v>
      </c>
      <c r="E149" s="18"/>
      <c r="F149" s="15"/>
      <c r="G149" s="19"/>
      <c r="H149" s="19"/>
      <c r="I149" s="19"/>
      <c r="J149" s="22"/>
      <c r="K149" s="81"/>
      <c r="M149" s="88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</row>
    <row r="150" spans="2:39" ht="41.25" customHeight="1">
      <c r="B150" s="21"/>
      <c r="C150" s="57" t="str">
        <f t="shared" si="8"/>
        <v/>
      </c>
      <c r="D150" s="18" t="e">
        <f>VLOOKUP(F150,LOOKUP!$C$2:$C$8,2,0)</f>
        <v>#N/A</v>
      </c>
      <c r="E150" s="18"/>
      <c r="F150" s="15"/>
      <c r="G150" s="19"/>
      <c r="H150" s="19"/>
      <c r="I150" s="19"/>
      <c r="J150" s="22"/>
      <c r="K150" s="81"/>
      <c r="M150" s="88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</row>
    <row r="151" spans="2:39" ht="41.25" customHeight="1">
      <c r="B151" s="21"/>
      <c r="C151" s="57" t="str">
        <f t="shared" si="8"/>
        <v/>
      </c>
      <c r="D151" s="18" t="e">
        <f>VLOOKUP(F151,LOOKUP!$C$2:$C$8,2,0)</f>
        <v>#N/A</v>
      </c>
      <c r="E151" s="18"/>
      <c r="F151" s="15"/>
      <c r="G151" s="19"/>
      <c r="H151" s="19"/>
      <c r="I151" s="19"/>
      <c r="J151" s="22"/>
      <c r="K151" s="81"/>
      <c r="M151" s="88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</row>
    <row r="152" spans="2:39" ht="41.25" customHeight="1">
      <c r="B152" s="18"/>
      <c r="C152" s="57" t="str">
        <f t="shared" si="8"/>
        <v/>
      </c>
      <c r="D152" s="18" t="e">
        <f>VLOOKUP(F152,LOOKUP!$C$2:$C$8,2,0)</f>
        <v>#N/A</v>
      </c>
      <c r="E152" s="18"/>
      <c r="F152" s="15"/>
      <c r="G152" s="19"/>
      <c r="H152" s="19"/>
      <c r="I152" s="19"/>
      <c r="J152" s="22"/>
      <c r="K152" s="81"/>
      <c r="M152" s="88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</row>
    <row r="153" spans="2:39" ht="41.25" customHeight="1">
      <c r="B153" s="18"/>
      <c r="C153" s="57" t="str">
        <f t="shared" si="8"/>
        <v/>
      </c>
      <c r="D153" s="18" t="e">
        <f>VLOOKUP(F153,LOOKUP!$C$2:$C$8,2,0)</f>
        <v>#N/A</v>
      </c>
      <c r="E153" s="18"/>
      <c r="F153" s="15"/>
      <c r="G153" s="19"/>
      <c r="H153" s="19"/>
      <c r="I153" s="19"/>
      <c r="J153" s="22"/>
      <c r="K153" s="81"/>
      <c r="M153" s="88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</row>
    <row r="154" spans="2:39" ht="41.25" customHeight="1">
      <c r="B154" s="21"/>
      <c r="C154" s="57" t="str">
        <f t="shared" si="8"/>
        <v/>
      </c>
      <c r="D154" s="18" t="e">
        <f>VLOOKUP(F154,LOOKUP!$C$2:$C$8,2,0)</f>
        <v>#N/A</v>
      </c>
      <c r="E154" s="18"/>
      <c r="F154" s="15"/>
      <c r="G154" s="19"/>
      <c r="H154" s="19"/>
      <c r="I154" s="19"/>
      <c r="J154" s="22"/>
      <c r="K154" s="81"/>
      <c r="M154" s="88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</row>
    <row r="155" spans="2:39" ht="41.25" customHeight="1">
      <c r="B155" s="21"/>
      <c r="C155" s="57" t="str">
        <f t="shared" si="8"/>
        <v/>
      </c>
      <c r="D155" s="18" t="e">
        <f>VLOOKUP(F155,LOOKUP!$C$2:$C$8,2,0)</f>
        <v>#N/A</v>
      </c>
      <c r="E155" s="18"/>
      <c r="F155" s="15"/>
      <c r="G155" s="19"/>
      <c r="H155" s="19"/>
      <c r="I155" s="19"/>
      <c r="J155" s="22"/>
      <c r="K155" s="81"/>
      <c r="M155" s="88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</row>
    <row r="156" spans="2:39" ht="41.25" customHeight="1">
      <c r="B156" s="21"/>
      <c r="C156" s="57" t="str">
        <f t="shared" si="8"/>
        <v/>
      </c>
      <c r="D156" s="18" t="e">
        <f>VLOOKUP(F156,LOOKUP!$C$2:$C$8,2,0)</f>
        <v>#N/A</v>
      </c>
      <c r="E156" s="18"/>
      <c r="F156" s="15"/>
      <c r="G156" s="19"/>
      <c r="H156" s="19"/>
      <c r="I156" s="19"/>
      <c r="J156" s="22"/>
      <c r="K156" s="81"/>
      <c r="M156" s="88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</row>
    <row r="157" spans="2:39" ht="41.25" customHeight="1">
      <c r="B157" s="21"/>
      <c r="C157" s="57" t="str">
        <f t="shared" si="8"/>
        <v/>
      </c>
      <c r="D157" s="18" t="e">
        <f>VLOOKUP(F157,LOOKUP!$C$2:$C$8,2,0)</f>
        <v>#N/A</v>
      </c>
      <c r="E157" s="18"/>
      <c r="F157" s="15"/>
      <c r="G157" s="19"/>
      <c r="H157" s="19"/>
      <c r="I157" s="19"/>
      <c r="J157" s="22"/>
      <c r="K157" s="81"/>
      <c r="M157" s="88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</row>
    <row r="158" spans="2:39" ht="41.25" customHeight="1">
      <c r="B158" s="21"/>
      <c r="C158" s="57" t="str">
        <f t="shared" si="8"/>
        <v/>
      </c>
      <c r="D158" s="18" t="e">
        <f>VLOOKUP(F158,LOOKUP!$C$2:$C$8,2,0)</f>
        <v>#N/A</v>
      </c>
      <c r="E158" s="18"/>
      <c r="F158" s="15"/>
      <c r="G158" s="19"/>
      <c r="H158" s="19"/>
      <c r="I158" s="19"/>
      <c r="J158" s="22"/>
      <c r="K158" s="81"/>
      <c r="M158" s="88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</row>
    <row r="159" spans="2:39" ht="41.25" customHeight="1">
      <c r="B159" s="21"/>
      <c r="C159" s="57" t="str">
        <f t="shared" si="8"/>
        <v/>
      </c>
      <c r="D159" s="18" t="e">
        <f>VLOOKUP(F159,LOOKUP!$C$2:$C$8,2,0)</f>
        <v>#N/A</v>
      </c>
      <c r="E159" s="18"/>
      <c r="F159" s="15"/>
      <c r="G159" s="19"/>
      <c r="H159" s="19"/>
      <c r="I159" s="19"/>
      <c r="J159" s="22"/>
      <c r="K159" s="81"/>
      <c r="M159" s="88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</row>
    <row r="160" spans="2:39" ht="41.25" customHeight="1">
      <c r="B160" s="21"/>
      <c r="C160" s="57" t="str">
        <f t="shared" si="8"/>
        <v/>
      </c>
      <c r="D160" s="18" t="e">
        <f>VLOOKUP(F160,LOOKUP!$C$2:$C$8,2,0)</f>
        <v>#N/A</v>
      </c>
      <c r="E160" s="18"/>
      <c r="F160" s="15"/>
      <c r="G160" s="19"/>
      <c r="H160" s="19"/>
      <c r="I160" s="19"/>
      <c r="J160" s="22"/>
      <c r="K160" s="81"/>
      <c r="M160" s="88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</row>
    <row r="161" spans="2:39" ht="41.25" customHeight="1">
      <c r="B161" s="21"/>
      <c r="C161" s="57" t="str">
        <f t="shared" si="8"/>
        <v/>
      </c>
      <c r="D161" s="18" t="e">
        <f>VLOOKUP(F161,LOOKUP!$C$2:$C$8,2,0)</f>
        <v>#N/A</v>
      </c>
      <c r="E161" s="18"/>
      <c r="F161" s="15"/>
      <c r="G161" s="19"/>
      <c r="H161" s="19"/>
      <c r="I161" s="19"/>
      <c r="J161" s="22"/>
      <c r="K161" s="81"/>
      <c r="M161" s="88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</row>
    <row r="162" spans="2:39" ht="41.25" customHeight="1">
      <c r="B162" s="21"/>
      <c r="C162" s="57" t="str">
        <f t="shared" si="8"/>
        <v/>
      </c>
      <c r="D162" s="18" t="e">
        <f>VLOOKUP(F162,LOOKUP!$C$2:$C$8,2,0)</f>
        <v>#N/A</v>
      </c>
      <c r="E162" s="18"/>
      <c r="F162" s="15"/>
      <c r="G162" s="19"/>
      <c r="H162" s="19"/>
      <c r="I162" s="19"/>
      <c r="J162" s="22"/>
      <c r="K162" s="81"/>
      <c r="M162" s="88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</row>
    <row r="163" spans="2:39" ht="41.25" customHeight="1">
      <c r="B163" s="18"/>
      <c r="C163" s="57" t="str">
        <f t="shared" si="8"/>
        <v/>
      </c>
      <c r="D163" s="18" t="e">
        <f>VLOOKUP(F163,LOOKUP!$C$2:$C$8,2,0)</f>
        <v>#N/A</v>
      </c>
      <c r="E163" s="18"/>
      <c r="F163" s="15"/>
      <c r="G163" s="19"/>
      <c r="H163" s="19"/>
      <c r="I163" s="19"/>
      <c r="J163" s="22"/>
      <c r="K163" s="81"/>
      <c r="M163" s="88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</row>
    <row r="164" spans="2:39" ht="41.25" customHeight="1">
      <c r="B164" s="21"/>
      <c r="C164" s="57" t="str">
        <f t="shared" si="8"/>
        <v/>
      </c>
      <c r="D164" s="18" t="e">
        <f>VLOOKUP(F164,LOOKUP!$C$2:$C$8,2,0)</f>
        <v>#N/A</v>
      </c>
      <c r="E164" s="18"/>
      <c r="F164" s="15"/>
      <c r="G164" s="19"/>
      <c r="H164" s="19"/>
      <c r="I164" s="19"/>
      <c r="J164" s="22"/>
      <c r="K164" s="81"/>
      <c r="M164" s="88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</row>
    <row r="165" spans="2:39" ht="41.25" customHeight="1">
      <c r="B165" s="21"/>
      <c r="C165" s="57" t="str">
        <f t="shared" si="8"/>
        <v/>
      </c>
      <c r="D165" s="18" t="e">
        <f>VLOOKUP(F165,LOOKUP!$C$2:$C$8,2,0)</f>
        <v>#N/A</v>
      </c>
      <c r="E165" s="18"/>
      <c r="F165" s="15"/>
      <c r="G165" s="19"/>
      <c r="H165" s="19"/>
      <c r="I165" s="19"/>
      <c r="J165" s="22"/>
      <c r="K165" s="81"/>
      <c r="M165" s="88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</row>
    <row r="166" spans="2:39" ht="41.25" customHeight="1">
      <c r="B166" s="21"/>
      <c r="C166" s="57" t="str">
        <f t="shared" si="8"/>
        <v/>
      </c>
      <c r="D166" s="18" t="e">
        <f>VLOOKUP(F166,LOOKUP!$C$2:$C$8,2,0)</f>
        <v>#N/A</v>
      </c>
      <c r="E166" s="18"/>
      <c r="F166" s="15"/>
      <c r="G166" s="19"/>
      <c r="H166" s="19"/>
      <c r="I166" s="19"/>
      <c r="J166" s="22"/>
      <c r="K166" s="81"/>
      <c r="M166" s="88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</row>
    <row r="167" spans="2:39" ht="41.25" customHeight="1">
      <c r="B167" s="21"/>
      <c r="C167" s="57" t="str">
        <f t="shared" si="8"/>
        <v/>
      </c>
      <c r="D167" s="18" t="e">
        <f>VLOOKUP(F167,LOOKUP!$C$2:$C$8,2,0)</f>
        <v>#N/A</v>
      </c>
      <c r="E167" s="18"/>
      <c r="F167" s="15"/>
      <c r="G167" s="19"/>
      <c r="H167" s="19"/>
      <c r="I167" s="19"/>
      <c r="J167" s="22"/>
      <c r="K167" s="81"/>
      <c r="M167" s="88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</row>
    <row r="168" spans="2:39" ht="41.25" customHeight="1">
      <c r="B168" s="21"/>
      <c r="C168" s="57" t="str">
        <f t="shared" si="8"/>
        <v/>
      </c>
      <c r="D168" s="18"/>
      <c r="E168" s="18"/>
      <c r="F168" s="15"/>
      <c r="G168" s="19"/>
      <c r="H168" s="19"/>
      <c r="I168" s="19"/>
      <c r="J168" s="22"/>
      <c r="K168" s="81"/>
      <c r="M168" s="88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</row>
    <row r="169" spans="2:39" ht="41.25" customHeight="1">
      <c r="B169" s="21"/>
      <c r="C169" s="57" t="str">
        <f t="shared" si="8"/>
        <v/>
      </c>
      <c r="D169" s="18"/>
      <c r="E169" s="18"/>
      <c r="F169" s="15"/>
      <c r="G169" s="19"/>
      <c r="H169" s="19"/>
      <c r="I169" s="19"/>
      <c r="J169" s="22"/>
      <c r="K169" s="81"/>
      <c r="M169" s="88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</row>
    <row r="170" spans="2:39" ht="41.25" customHeight="1">
      <c r="B170" s="21"/>
      <c r="C170" s="57" t="str">
        <f t="shared" si="8"/>
        <v/>
      </c>
      <c r="D170" s="18"/>
      <c r="E170" s="18"/>
      <c r="F170" s="15"/>
      <c r="G170" s="19"/>
      <c r="H170" s="19"/>
      <c r="I170" s="19"/>
      <c r="J170" s="22"/>
      <c r="K170" s="81"/>
      <c r="M170" s="88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</row>
    <row r="171" spans="2:39" ht="41.25" customHeight="1">
      <c r="B171" s="21"/>
      <c r="C171" s="57" t="str">
        <f t="shared" si="8"/>
        <v/>
      </c>
      <c r="D171" s="18"/>
      <c r="E171" s="18"/>
      <c r="F171" s="15"/>
      <c r="G171" s="19"/>
      <c r="H171" s="19"/>
      <c r="I171" s="19"/>
      <c r="J171" s="22"/>
      <c r="K171" s="81"/>
      <c r="M171" s="88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</row>
    <row r="172" spans="2:39" ht="41.25" customHeight="1">
      <c r="B172" s="21"/>
      <c r="C172" s="57" t="str">
        <f t="shared" si="8"/>
        <v/>
      </c>
      <c r="D172" s="18"/>
      <c r="E172" s="18"/>
      <c r="F172" s="15"/>
      <c r="G172" s="19"/>
      <c r="H172" s="19"/>
      <c r="I172" s="19"/>
      <c r="J172" s="22"/>
      <c r="K172" s="81"/>
      <c r="M172" s="88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</row>
    <row r="173" spans="2:39" ht="41.25" customHeight="1">
      <c r="B173" s="21"/>
      <c r="C173" s="57" t="str">
        <f t="shared" si="8"/>
        <v/>
      </c>
      <c r="D173" s="18"/>
      <c r="E173" s="18"/>
      <c r="F173" s="15"/>
      <c r="G173" s="19"/>
      <c r="H173" s="19"/>
      <c r="I173" s="19"/>
      <c r="J173" s="22"/>
      <c r="K173" s="81"/>
      <c r="M173" s="88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</row>
    <row r="174" spans="2:39" ht="41.25" customHeight="1">
      <c r="B174" s="21"/>
      <c r="C174" s="57" t="str">
        <f t="shared" si="8"/>
        <v/>
      </c>
      <c r="D174" s="18"/>
      <c r="E174" s="18"/>
      <c r="F174" s="15"/>
      <c r="G174" s="19"/>
      <c r="H174" s="19"/>
      <c r="I174" s="19"/>
      <c r="J174" s="22"/>
      <c r="K174" s="81"/>
      <c r="M174" s="88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</row>
    <row r="175" spans="2:39" ht="41.25" customHeight="1">
      <c r="B175" s="21"/>
      <c r="C175" s="57" t="str">
        <f t="shared" si="8"/>
        <v/>
      </c>
      <c r="D175" s="18"/>
      <c r="E175" s="18"/>
      <c r="F175" s="15"/>
      <c r="G175" s="19"/>
      <c r="H175" s="19"/>
      <c r="I175" s="19"/>
      <c r="J175" s="22"/>
      <c r="K175" s="81"/>
      <c r="M175" s="88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</row>
    <row r="176" spans="2:39" ht="41.25" customHeight="1">
      <c r="B176" s="21"/>
      <c r="C176" s="57" t="str">
        <f t="shared" si="8"/>
        <v/>
      </c>
      <c r="D176" s="18"/>
      <c r="E176" s="18"/>
      <c r="F176" s="15"/>
      <c r="G176" s="19"/>
      <c r="H176" s="19"/>
      <c r="I176" s="19"/>
      <c r="J176" s="22"/>
      <c r="K176" s="81"/>
      <c r="M176" s="88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</row>
    <row r="177" spans="2:39" ht="41.25" customHeight="1">
      <c r="B177" s="21"/>
      <c r="C177" s="57" t="str">
        <f t="shared" ref="C177:C240" si="9">IF(B177="","",MONTH(B177))</f>
        <v/>
      </c>
      <c r="D177" s="18"/>
      <c r="E177" s="18"/>
      <c r="F177" s="15"/>
      <c r="G177" s="19"/>
      <c r="H177" s="19"/>
      <c r="I177" s="19"/>
      <c r="J177" s="22"/>
      <c r="K177" s="81"/>
      <c r="M177" s="88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</row>
    <row r="178" spans="2:39" ht="41.25" customHeight="1">
      <c r="B178" s="21"/>
      <c r="C178" s="57" t="str">
        <f t="shared" si="9"/>
        <v/>
      </c>
      <c r="D178" s="18"/>
      <c r="E178" s="18"/>
      <c r="F178" s="15"/>
      <c r="G178" s="19"/>
      <c r="H178" s="19"/>
      <c r="I178" s="19"/>
      <c r="J178" s="22"/>
      <c r="K178" s="81"/>
      <c r="M178" s="88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</row>
    <row r="179" spans="2:39" ht="41.25" customHeight="1">
      <c r="B179" s="21"/>
      <c r="C179" s="57" t="str">
        <f t="shared" si="9"/>
        <v/>
      </c>
      <c r="D179" s="18"/>
      <c r="E179" s="18"/>
      <c r="F179" s="15"/>
      <c r="G179" s="19"/>
      <c r="H179" s="19"/>
      <c r="I179" s="19"/>
      <c r="J179" s="22"/>
      <c r="K179" s="81"/>
      <c r="M179" s="88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</row>
    <row r="180" spans="2:39" ht="41.25" customHeight="1">
      <c r="B180" s="21"/>
      <c r="C180" s="57" t="str">
        <f t="shared" si="9"/>
        <v/>
      </c>
      <c r="D180" s="18"/>
      <c r="E180" s="18"/>
      <c r="F180" s="15"/>
      <c r="G180" s="19"/>
      <c r="H180" s="19"/>
      <c r="I180" s="19"/>
      <c r="J180" s="22"/>
      <c r="K180" s="81"/>
      <c r="M180" s="88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</row>
    <row r="181" spans="2:39" ht="41.25" customHeight="1">
      <c r="B181" s="21"/>
      <c r="C181" s="57" t="str">
        <f t="shared" si="9"/>
        <v/>
      </c>
      <c r="D181" s="18"/>
      <c r="E181" s="18"/>
      <c r="F181" s="15"/>
      <c r="G181" s="19"/>
      <c r="H181" s="19"/>
      <c r="I181" s="19"/>
      <c r="J181" s="22"/>
      <c r="K181" s="81"/>
      <c r="M181" s="88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</row>
    <row r="182" spans="2:39" ht="41.25" customHeight="1">
      <c r="B182" s="21"/>
      <c r="C182" s="57" t="str">
        <f t="shared" si="9"/>
        <v/>
      </c>
      <c r="D182" s="18"/>
      <c r="E182" s="18"/>
      <c r="F182" s="15"/>
      <c r="G182" s="19"/>
      <c r="H182" s="19"/>
      <c r="I182" s="19"/>
      <c r="J182" s="22"/>
      <c r="K182" s="81"/>
      <c r="M182" s="88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</row>
    <row r="183" spans="2:39" ht="41.25" customHeight="1">
      <c r="B183" s="21"/>
      <c r="C183" s="57" t="str">
        <f t="shared" si="9"/>
        <v/>
      </c>
      <c r="D183" s="18"/>
      <c r="E183" s="18"/>
      <c r="F183" s="15"/>
      <c r="G183" s="19"/>
      <c r="H183" s="19"/>
      <c r="I183" s="19"/>
      <c r="J183" s="22"/>
      <c r="K183" s="81"/>
      <c r="M183" s="88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</row>
    <row r="184" spans="2:39" ht="41.25" customHeight="1">
      <c r="B184" s="21"/>
      <c r="C184" s="57" t="str">
        <f t="shared" si="9"/>
        <v/>
      </c>
      <c r="D184" s="18"/>
      <c r="E184" s="18"/>
      <c r="F184" s="15"/>
      <c r="G184" s="19"/>
      <c r="H184" s="19"/>
      <c r="I184" s="19"/>
      <c r="J184" s="22"/>
      <c r="K184" s="81"/>
      <c r="M184" s="88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</row>
    <row r="185" spans="2:39" ht="41.25" customHeight="1">
      <c r="B185" s="21"/>
      <c r="C185" s="57" t="str">
        <f t="shared" si="9"/>
        <v/>
      </c>
      <c r="D185" s="18"/>
      <c r="E185" s="18"/>
      <c r="F185" s="15"/>
      <c r="G185" s="19"/>
      <c r="H185" s="19"/>
      <c r="I185" s="19"/>
      <c r="J185" s="22"/>
      <c r="K185" s="81"/>
      <c r="M185" s="88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</row>
    <row r="186" spans="2:39" ht="41.25" customHeight="1">
      <c r="B186" s="21"/>
      <c r="C186" s="57" t="str">
        <f t="shared" si="9"/>
        <v/>
      </c>
      <c r="D186" s="18"/>
      <c r="E186" s="18"/>
      <c r="F186" s="15"/>
      <c r="G186" s="19"/>
      <c r="H186" s="19"/>
      <c r="I186" s="19"/>
      <c r="J186" s="22"/>
      <c r="K186" s="81"/>
      <c r="M186" s="88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</row>
    <row r="187" spans="2:39" ht="41.25" customHeight="1">
      <c r="B187" s="21"/>
      <c r="C187" s="57" t="str">
        <f t="shared" si="9"/>
        <v/>
      </c>
      <c r="D187" s="18"/>
      <c r="E187" s="18"/>
      <c r="F187" s="15"/>
      <c r="G187" s="19"/>
      <c r="H187" s="19"/>
      <c r="I187" s="19"/>
      <c r="J187" s="22"/>
      <c r="K187" s="81"/>
      <c r="M187" s="88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</row>
    <row r="188" spans="2:39" ht="41.25" customHeight="1">
      <c r="B188" s="21"/>
      <c r="C188" s="57" t="str">
        <f t="shared" si="9"/>
        <v/>
      </c>
      <c r="D188" s="18"/>
      <c r="E188" s="18"/>
      <c r="F188" s="15"/>
      <c r="G188" s="19"/>
      <c r="H188" s="19"/>
      <c r="I188" s="19"/>
      <c r="J188" s="22"/>
      <c r="K188" s="81"/>
      <c r="M188" s="88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</row>
    <row r="189" spans="2:39" ht="41.25" customHeight="1">
      <c r="B189" s="21"/>
      <c r="C189" s="57" t="str">
        <f t="shared" si="9"/>
        <v/>
      </c>
      <c r="D189" s="18"/>
      <c r="E189" s="18"/>
      <c r="F189" s="15"/>
      <c r="G189" s="19"/>
      <c r="H189" s="19"/>
      <c r="I189" s="19"/>
      <c r="J189" s="22"/>
      <c r="K189" s="81"/>
      <c r="M189" s="88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</row>
    <row r="190" spans="2:39" ht="41.25" customHeight="1">
      <c r="B190" s="21"/>
      <c r="C190" s="57" t="str">
        <f t="shared" si="9"/>
        <v/>
      </c>
      <c r="D190" s="18"/>
      <c r="E190" s="18"/>
      <c r="F190" s="15"/>
      <c r="G190" s="19"/>
      <c r="H190" s="19"/>
      <c r="I190" s="19"/>
      <c r="J190" s="22"/>
      <c r="K190" s="81"/>
      <c r="M190" s="88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</row>
    <row r="191" spans="2:39" ht="41.25" customHeight="1">
      <c r="B191" s="21"/>
      <c r="C191" s="57" t="str">
        <f t="shared" si="9"/>
        <v/>
      </c>
      <c r="D191" s="18"/>
      <c r="E191" s="18"/>
      <c r="F191" s="15"/>
      <c r="G191" s="19"/>
      <c r="H191" s="19"/>
      <c r="I191" s="19"/>
      <c r="J191" s="22"/>
      <c r="K191" s="81"/>
      <c r="M191" s="88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</row>
    <row r="192" spans="2:39" ht="41.25" customHeight="1">
      <c r="B192" s="21"/>
      <c r="C192" s="57" t="str">
        <f t="shared" si="9"/>
        <v/>
      </c>
      <c r="D192" s="18"/>
      <c r="E192" s="18"/>
      <c r="F192" s="15"/>
      <c r="G192" s="19"/>
      <c r="H192" s="19"/>
      <c r="I192" s="19"/>
      <c r="J192" s="22"/>
      <c r="K192" s="81"/>
      <c r="M192" s="88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</row>
    <row r="193" spans="2:39" ht="41.25" customHeight="1">
      <c r="B193" s="21"/>
      <c r="C193" s="57" t="str">
        <f t="shared" si="9"/>
        <v/>
      </c>
      <c r="D193" s="18"/>
      <c r="E193" s="18"/>
      <c r="F193" s="15"/>
      <c r="G193" s="19"/>
      <c r="H193" s="19"/>
      <c r="I193" s="19"/>
      <c r="J193" s="22"/>
      <c r="K193" s="81"/>
      <c r="M193" s="88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</row>
    <row r="194" spans="2:39" ht="41.25" customHeight="1">
      <c r="B194" s="21"/>
      <c r="C194" s="57" t="str">
        <f t="shared" si="9"/>
        <v/>
      </c>
      <c r="D194" s="18"/>
      <c r="E194" s="18"/>
      <c r="F194" s="15"/>
      <c r="G194" s="19"/>
      <c r="H194" s="19"/>
      <c r="I194" s="19"/>
      <c r="J194" s="22"/>
      <c r="K194" s="81"/>
      <c r="M194" s="88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</row>
    <row r="195" spans="2:39" ht="41.25" customHeight="1">
      <c r="B195" s="21"/>
      <c r="C195" s="57" t="str">
        <f t="shared" si="9"/>
        <v/>
      </c>
      <c r="D195" s="18"/>
      <c r="E195" s="18"/>
      <c r="F195" s="15"/>
      <c r="G195" s="19"/>
      <c r="H195" s="19"/>
      <c r="I195" s="19"/>
      <c r="J195" s="22"/>
      <c r="K195" s="81"/>
      <c r="M195" s="88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</row>
    <row r="196" spans="2:39" ht="41.25" customHeight="1">
      <c r="B196" s="21"/>
      <c r="C196" s="57" t="str">
        <f t="shared" si="9"/>
        <v/>
      </c>
      <c r="D196" s="18"/>
      <c r="E196" s="18"/>
      <c r="F196" s="15"/>
      <c r="G196" s="19"/>
      <c r="H196" s="19"/>
      <c r="I196" s="19"/>
      <c r="J196" s="22"/>
      <c r="K196" s="81"/>
      <c r="M196" s="88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</row>
    <row r="197" spans="2:39" ht="41.25" customHeight="1">
      <c r="B197" s="21"/>
      <c r="C197" s="57" t="str">
        <f t="shared" si="9"/>
        <v/>
      </c>
      <c r="D197" s="18"/>
      <c r="E197" s="18"/>
      <c r="F197" s="15"/>
      <c r="G197" s="19"/>
      <c r="H197" s="19"/>
      <c r="I197" s="19"/>
      <c r="J197" s="22"/>
      <c r="K197" s="81"/>
      <c r="M197" s="88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</row>
    <row r="198" spans="2:39" ht="41.25" customHeight="1">
      <c r="B198" s="21"/>
      <c r="C198" s="57" t="str">
        <f t="shared" si="9"/>
        <v/>
      </c>
      <c r="D198" s="18"/>
      <c r="E198" s="18"/>
      <c r="F198" s="15"/>
      <c r="G198" s="19"/>
      <c r="H198" s="19"/>
      <c r="I198" s="19"/>
      <c r="J198" s="22"/>
      <c r="K198" s="81"/>
      <c r="M198" s="88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</row>
    <row r="199" spans="2:39" ht="41.25" customHeight="1">
      <c r="B199" s="21"/>
      <c r="C199" s="57" t="str">
        <f t="shared" si="9"/>
        <v/>
      </c>
      <c r="D199" s="18"/>
      <c r="E199" s="18"/>
      <c r="F199" s="15"/>
      <c r="G199" s="19"/>
      <c r="H199" s="19"/>
      <c r="I199" s="19"/>
      <c r="J199" s="22"/>
      <c r="K199" s="81"/>
      <c r="M199" s="88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</row>
    <row r="200" spans="2:39" ht="41.25" customHeight="1">
      <c r="B200" s="21"/>
      <c r="C200" s="57" t="str">
        <f t="shared" si="9"/>
        <v/>
      </c>
      <c r="D200" s="18"/>
      <c r="E200" s="18"/>
      <c r="F200" s="15"/>
      <c r="G200" s="19"/>
      <c r="H200" s="19"/>
      <c r="I200" s="19"/>
      <c r="J200" s="22"/>
      <c r="K200" s="81"/>
      <c r="M200" s="88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</row>
    <row r="201" spans="2:39" ht="41.25" customHeight="1">
      <c r="B201" s="21"/>
      <c r="C201" s="57" t="str">
        <f t="shared" si="9"/>
        <v/>
      </c>
      <c r="D201" s="18"/>
      <c r="E201" s="18"/>
      <c r="F201" s="15"/>
      <c r="G201" s="19"/>
      <c r="H201" s="19"/>
      <c r="I201" s="19"/>
      <c r="J201" s="22"/>
      <c r="K201" s="81"/>
      <c r="M201" s="88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</row>
    <row r="202" spans="2:39" ht="41.25" customHeight="1">
      <c r="B202" s="21"/>
      <c r="C202" s="57" t="str">
        <f t="shared" si="9"/>
        <v/>
      </c>
      <c r="D202" s="18"/>
      <c r="E202" s="18"/>
      <c r="F202" s="15"/>
      <c r="G202" s="19"/>
      <c r="H202" s="19"/>
      <c r="I202" s="19"/>
      <c r="J202" s="22"/>
      <c r="K202" s="81"/>
      <c r="M202" s="88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</row>
    <row r="203" spans="2:39" ht="41.25" customHeight="1">
      <c r="B203" s="21"/>
      <c r="C203" s="57" t="str">
        <f t="shared" si="9"/>
        <v/>
      </c>
      <c r="D203" s="18"/>
      <c r="E203" s="18"/>
      <c r="F203" s="15"/>
      <c r="G203" s="19"/>
      <c r="H203" s="19"/>
      <c r="I203" s="19"/>
      <c r="J203" s="22"/>
      <c r="K203" s="81"/>
      <c r="M203" s="88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</row>
    <row r="204" spans="2:39" ht="41.25" customHeight="1">
      <c r="B204" s="21"/>
      <c r="C204" s="57" t="str">
        <f t="shared" si="9"/>
        <v/>
      </c>
      <c r="D204" s="18"/>
      <c r="E204" s="18"/>
      <c r="F204" s="15"/>
      <c r="G204" s="19"/>
      <c r="H204" s="19"/>
      <c r="I204" s="19"/>
      <c r="J204" s="22"/>
      <c r="K204" s="81"/>
      <c r="M204" s="88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</row>
    <row r="205" spans="2:39" ht="41.25" customHeight="1">
      <c r="B205" s="21"/>
      <c r="C205" s="57" t="str">
        <f t="shared" si="9"/>
        <v/>
      </c>
      <c r="D205" s="18"/>
      <c r="E205" s="18"/>
      <c r="F205" s="15"/>
      <c r="G205" s="19"/>
      <c r="H205" s="19"/>
      <c r="I205" s="19"/>
      <c r="J205" s="22"/>
      <c r="K205" s="81"/>
      <c r="M205" s="88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</row>
    <row r="206" spans="2:39" ht="41.25" customHeight="1">
      <c r="B206" s="21"/>
      <c r="C206" s="57" t="str">
        <f t="shared" si="9"/>
        <v/>
      </c>
      <c r="D206" s="18"/>
      <c r="E206" s="18"/>
      <c r="F206" s="15"/>
      <c r="G206" s="19"/>
      <c r="H206" s="19"/>
      <c r="I206" s="19"/>
      <c r="J206" s="22"/>
      <c r="K206" s="81"/>
      <c r="M206" s="88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</row>
    <row r="207" spans="2:39" ht="41.25" customHeight="1">
      <c r="B207" s="21"/>
      <c r="C207" s="57" t="str">
        <f t="shared" si="9"/>
        <v/>
      </c>
      <c r="D207" s="18"/>
      <c r="E207" s="18"/>
      <c r="F207" s="15"/>
      <c r="G207" s="19"/>
      <c r="H207" s="19"/>
      <c r="I207" s="19"/>
      <c r="J207" s="22"/>
      <c r="K207" s="81"/>
      <c r="M207" s="88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</row>
    <row r="208" spans="2:39" ht="41.25" customHeight="1">
      <c r="B208" s="21"/>
      <c r="C208" s="57" t="str">
        <f t="shared" si="9"/>
        <v/>
      </c>
      <c r="D208" s="18"/>
      <c r="E208" s="18"/>
      <c r="F208" s="15"/>
      <c r="G208" s="19"/>
      <c r="H208" s="19"/>
      <c r="I208" s="19"/>
      <c r="J208" s="22"/>
      <c r="K208" s="81"/>
      <c r="M208" s="88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</row>
    <row r="209" spans="1:39" ht="41.25" customHeight="1">
      <c r="B209" s="21"/>
      <c r="C209" s="57" t="str">
        <f t="shared" si="9"/>
        <v/>
      </c>
      <c r="D209" s="18"/>
      <c r="E209" s="18"/>
      <c r="F209" s="15"/>
      <c r="G209" s="19"/>
      <c r="H209" s="19"/>
      <c r="I209" s="19"/>
      <c r="J209" s="22"/>
      <c r="K209" s="81"/>
      <c r="M209" s="88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</row>
    <row r="210" spans="1:39" ht="41.25" customHeight="1">
      <c r="B210" s="21"/>
      <c r="C210" s="57" t="str">
        <f t="shared" si="9"/>
        <v/>
      </c>
      <c r="D210" s="18"/>
      <c r="E210" s="18"/>
      <c r="F210" s="15"/>
      <c r="G210" s="19"/>
      <c r="H210" s="19"/>
      <c r="I210" s="19"/>
      <c r="J210" s="22"/>
      <c r="K210" s="81"/>
      <c r="M210" s="88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</row>
    <row r="211" spans="1:39" ht="41.25" customHeight="1">
      <c r="B211" s="21"/>
      <c r="C211" s="57" t="str">
        <f t="shared" si="9"/>
        <v/>
      </c>
      <c r="D211" s="18"/>
      <c r="E211" s="18"/>
      <c r="F211" s="15"/>
      <c r="G211" s="19"/>
      <c r="H211" s="19"/>
      <c r="I211" s="19"/>
      <c r="J211" s="22"/>
      <c r="K211" s="81"/>
      <c r="M211" s="88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</row>
    <row r="212" spans="1:39" ht="41.25" customHeight="1">
      <c r="B212" s="21"/>
      <c r="C212" s="57" t="str">
        <f t="shared" si="9"/>
        <v/>
      </c>
      <c r="D212" s="18"/>
      <c r="E212" s="18"/>
      <c r="F212" s="15"/>
      <c r="G212" s="19"/>
      <c r="H212" s="19"/>
      <c r="I212" s="19"/>
      <c r="J212" s="22"/>
      <c r="K212" s="81"/>
      <c r="M212" s="88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</row>
    <row r="213" spans="1:39" s="9" customFormat="1" ht="41.25" customHeight="1">
      <c r="A213" s="13"/>
      <c r="B213" s="21"/>
      <c r="C213" s="57" t="str">
        <f t="shared" si="9"/>
        <v/>
      </c>
      <c r="D213" s="18"/>
      <c r="E213" s="18"/>
      <c r="F213" s="15"/>
      <c r="G213" s="19"/>
      <c r="H213" s="19"/>
      <c r="I213" s="19"/>
      <c r="J213" s="22"/>
      <c r="K213" s="81"/>
      <c r="L213" s="22"/>
      <c r="M213" s="88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</row>
    <row r="214" spans="1:39" ht="41.25" customHeight="1">
      <c r="B214" s="21"/>
      <c r="C214" s="57" t="str">
        <f t="shared" si="9"/>
        <v/>
      </c>
      <c r="D214" s="18"/>
      <c r="E214" s="18"/>
      <c r="F214" s="15"/>
      <c r="G214" s="19"/>
      <c r="H214" s="19"/>
      <c r="I214" s="19"/>
      <c r="J214" s="22"/>
      <c r="K214" s="81"/>
      <c r="M214" s="88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</row>
    <row r="215" spans="1:39" ht="41.25" customHeight="1">
      <c r="B215" s="21"/>
      <c r="C215" s="57" t="str">
        <f t="shared" si="9"/>
        <v/>
      </c>
      <c r="D215" s="18"/>
      <c r="E215" s="18"/>
      <c r="F215" s="15"/>
      <c r="G215" s="19"/>
      <c r="H215" s="19"/>
      <c r="I215" s="19"/>
      <c r="J215" s="22"/>
      <c r="K215" s="81"/>
      <c r="M215" s="88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</row>
    <row r="216" spans="1:39" ht="41.25" customHeight="1">
      <c r="B216" s="21"/>
      <c r="C216" s="57" t="str">
        <f t="shared" si="9"/>
        <v/>
      </c>
      <c r="D216" s="18"/>
      <c r="E216" s="18"/>
      <c r="F216" s="15"/>
      <c r="G216" s="19"/>
      <c r="H216" s="19"/>
      <c r="I216" s="19"/>
      <c r="J216" s="22"/>
      <c r="K216" s="81"/>
      <c r="M216" s="88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</row>
    <row r="217" spans="1:39" ht="41.25" customHeight="1">
      <c r="B217" s="21"/>
      <c r="C217" s="57" t="str">
        <f t="shared" si="9"/>
        <v/>
      </c>
      <c r="D217" s="18"/>
      <c r="E217" s="18"/>
      <c r="F217" s="15"/>
      <c r="G217" s="19"/>
      <c r="H217" s="19"/>
      <c r="I217" s="19"/>
      <c r="J217" s="22"/>
      <c r="K217" s="81"/>
      <c r="M217" s="88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</row>
    <row r="218" spans="1:39" ht="41.25" customHeight="1">
      <c r="B218" s="21"/>
      <c r="C218" s="57" t="str">
        <f t="shared" si="9"/>
        <v/>
      </c>
      <c r="D218" s="18"/>
      <c r="E218" s="18"/>
      <c r="F218" s="15"/>
      <c r="G218" s="19"/>
      <c r="H218" s="19"/>
      <c r="I218" s="19"/>
      <c r="J218" s="22"/>
      <c r="K218" s="81"/>
      <c r="M218" s="88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</row>
    <row r="219" spans="1:39" ht="41.25" customHeight="1">
      <c r="B219" s="21"/>
      <c r="C219" s="57" t="str">
        <f t="shared" si="9"/>
        <v/>
      </c>
      <c r="D219" s="18"/>
      <c r="E219" s="18"/>
      <c r="F219" s="15"/>
      <c r="G219" s="19"/>
      <c r="H219" s="19"/>
      <c r="I219" s="19"/>
      <c r="J219" s="22"/>
      <c r="K219" s="81"/>
      <c r="M219" s="88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</row>
    <row r="220" spans="1:39" ht="41.25" customHeight="1">
      <c r="B220" s="21"/>
      <c r="C220" s="57" t="str">
        <f t="shared" si="9"/>
        <v/>
      </c>
      <c r="D220" s="18"/>
      <c r="E220" s="18"/>
      <c r="F220" s="15"/>
      <c r="G220" s="19"/>
      <c r="H220" s="19"/>
      <c r="I220" s="19"/>
      <c r="J220" s="22"/>
      <c r="K220" s="81"/>
      <c r="M220" s="88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</row>
    <row r="221" spans="1:39" ht="41.25" customHeight="1">
      <c r="B221" s="21"/>
      <c r="C221" s="57" t="str">
        <f t="shared" si="9"/>
        <v/>
      </c>
      <c r="D221" s="18"/>
      <c r="E221" s="18"/>
      <c r="F221" s="15"/>
      <c r="G221" s="19"/>
      <c r="H221" s="19"/>
      <c r="I221" s="19"/>
      <c r="J221" s="22"/>
      <c r="K221" s="81"/>
      <c r="M221" s="88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</row>
    <row r="222" spans="1:39" ht="41.25" customHeight="1">
      <c r="B222" s="21"/>
      <c r="C222" s="57" t="str">
        <f t="shared" si="9"/>
        <v/>
      </c>
      <c r="D222" s="18"/>
      <c r="E222" s="18"/>
      <c r="F222" s="15"/>
      <c r="G222" s="19"/>
      <c r="H222" s="19"/>
      <c r="I222" s="19"/>
      <c r="J222" s="22"/>
      <c r="K222" s="81"/>
      <c r="M222" s="88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</row>
    <row r="223" spans="1:39" ht="41.25" customHeight="1">
      <c r="B223" s="21"/>
      <c r="C223" s="57" t="str">
        <f t="shared" si="9"/>
        <v/>
      </c>
      <c r="D223" s="18"/>
      <c r="E223" s="18"/>
      <c r="F223" s="15"/>
      <c r="G223" s="19"/>
      <c r="H223" s="19"/>
      <c r="I223" s="19"/>
      <c r="J223" s="22"/>
      <c r="K223" s="81"/>
      <c r="M223" s="88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</row>
    <row r="224" spans="1:39" ht="41.25" customHeight="1">
      <c r="B224" s="21"/>
      <c r="C224" s="57" t="str">
        <f t="shared" si="9"/>
        <v/>
      </c>
      <c r="D224" s="18"/>
      <c r="E224" s="18"/>
      <c r="F224" s="15"/>
      <c r="G224" s="19"/>
      <c r="H224" s="19"/>
      <c r="I224" s="19"/>
      <c r="J224" s="22"/>
      <c r="K224" s="81"/>
      <c r="M224" s="88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</row>
    <row r="225" spans="2:39" ht="41.25" customHeight="1">
      <c r="B225" s="21"/>
      <c r="C225" s="57" t="str">
        <f t="shared" si="9"/>
        <v/>
      </c>
      <c r="D225" s="18"/>
      <c r="E225" s="18"/>
      <c r="F225" s="15"/>
      <c r="G225" s="19"/>
      <c r="H225" s="19"/>
      <c r="I225" s="19"/>
      <c r="J225" s="22"/>
      <c r="K225" s="81"/>
      <c r="M225" s="88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</row>
    <row r="226" spans="2:39" ht="41.25" customHeight="1">
      <c r="B226" s="21"/>
      <c r="C226" s="57" t="str">
        <f t="shared" si="9"/>
        <v/>
      </c>
      <c r="D226" s="18"/>
      <c r="E226" s="18"/>
      <c r="F226" s="15"/>
      <c r="G226" s="19"/>
      <c r="H226" s="19"/>
      <c r="I226" s="19"/>
      <c r="J226" s="22"/>
      <c r="K226" s="81"/>
      <c r="M226" s="88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</row>
    <row r="227" spans="2:39" ht="41.25" customHeight="1">
      <c r="B227" s="21"/>
      <c r="C227" s="57" t="str">
        <f t="shared" si="9"/>
        <v/>
      </c>
      <c r="D227" s="18"/>
      <c r="E227" s="18"/>
      <c r="F227" s="15"/>
      <c r="G227" s="19"/>
      <c r="H227" s="19"/>
      <c r="I227" s="19"/>
      <c r="J227" s="22"/>
      <c r="K227" s="81"/>
      <c r="M227" s="88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</row>
    <row r="228" spans="2:39" ht="41.25" customHeight="1">
      <c r="B228" s="21"/>
      <c r="C228" s="57" t="str">
        <f t="shared" si="9"/>
        <v/>
      </c>
      <c r="D228" s="18"/>
      <c r="E228" s="18"/>
      <c r="F228" s="15"/>
      <c r="G228" s="19"/>
      <c r="H228" s="19"/>
      <c r="I228" s="19"/>
      <c r="J228" s="22"/>
      <c r="K228" s="81"/>
      <c r="M228" s="88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</row>
    <row r="229" spans="2:39" ht="41.25" customHeight="1">
      <c r="B229" s="21"/>
      <c r="C229" s="57" t="str">
        <f t="shared" si="9"/>
        <v/>
      </c>
      <c r="D229" s="18"/>
      <c r="E229" s="18"/>
      <c r="F229" s="15"/>
      <c r="G229" s="19"/>
      <c r="H229" s="19"/>
      <c r="I229" s="19"/>
      <c r="J229" s="22"/>
      <c r="K229" s="81"/>
      <c r="M229" s="88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</row>
    <row r="230" spans="2:39" ht="41.25" customHeight="1">
      <c r="B230" s="21"/>
      <c r="C230" s="57" t="str">
        <f t="shared" si="9"/>
        <v/>
      </c>
      <c r="D230" s="18"/>
      <c r="E230" s="18"/>
      <c r="F230" s="15"/>
      <c r="G230" s="19"/>
      <c r="H230" s="19"/>
      <c r="I230" s="19"/>
      <c r="J230" s="22"/>
      <c r="K230" s="81"/>
      <c r="M230" s="88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</row>
    <row r="231" spans="2:39" ht="41.25" customHeight="1">
      <c r="B231" s="21"/>
      <c r="C231" s="57" t="str">
        <f t="shared" si="9"/>
        <v/>
      </c>
      <c r="D231" s="18"/>
      <c r="E231" s="18"/>
      <c r="F231" s="15"/>
      <c r="G231" s="19"/>
      <c r="H231" s="19"/>
      <c r="I231" s="19"/>
      <c r="J231" s="22"/>
      <c r="K231" s="81"/>
      <c r="M231" s="88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</row>
    <row r="232" spans="2:39" ht="41.25" customHeight="1">
      <c r="B232" s="21"/>
      <c r="C232" s="57" t="str">
        <f t="shared" si="9"/>
        <v/>
      </c>
      <c r="D232" s="18"/>
      <c r="E232" s="18"/>
      <c r="F232" s="15"/>
      <c r="G232" s="19"/>
      <c r="H232" s="19"/>
      <c r="I232" s="19"/>
      <c r="J232" s="22"/>
      <c r="K232" s="81"/>
      <c r="M232" s="88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</row>
    <row r="233" spans="2:39" ht="41.25" customHeight="1">
      <c r="B233" s="21"/>
      <c r="C233" s="57" t="str">
        <f t="shared" si="9"/>
        <v/>
      </c>
      <c r="D233" s="18"/>
      <c r="E233" s="18"/>
      <c r="F233" s="15"/>
      <c r="G233" s="19"/>
      <c r="H233" s="19"/>
      <c r="I233" s="19"/>
      <c r="J233" s="22"/>
      <c r="K233" s="81"/>
      <c r="M233" s="88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</row>
    <row r="234" spans="2:39" ht="41.25" customHeight="1">
      <c r="B234" s="21"/>
      <c r="C234" s="57" t="str">
        <f t="shared" si="9"/>
        <v/>
      </c>
      <c r="D234" s="18"/>
      <c r="E234" s="18"/>
      <c r="F234" s="15"/>
      <c r="G234" s="19"/>
      <c r="H234" s="19"/>
      <c r="I234" s="19"/>
      <c r="J234" s="22"/>
      <c r="K234" s="81"/>
      <c r="M234" s="88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</row>
    <row r="235" spans="2:39" ht="41.25" customHeight="1">
      <c r="B235" s="21"/>
      <c r="C235" s="57" t="str">
        <f t="shared" si="9"/>
        <v/>
      </c>
      <c r="D235" s="18"/>
      <c r="E235" s="18"/>
      <c r="F235" s="15"/>
      <c r="G235" s="19"/>
      <c r="H235" s="19"/>
      <c r="I235" s="19"/>
      <c r="J235" s="22"/>
      <c r="K235" s="81"/>
      <c r="M235" s="88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</row>
    <row r="236" spans="2:39" ht="41.25" customHeight="1">
      <c r="B236" s="21"/>
      <c r="C236" s="57" t="str">
        <f t="shared" si="9"/>
        <v/>
      </c>
      <c r="D236" s="18"/>
      <c r="E236" s="18"/>
      <c r="F236" s="15"/>
      <c r="G236" s="19"/>
      <c r="H236" s="19"/>
      <c r="I236" s="19"/>
      <c r="J236" s="22"/>
      <c r="K236" s="81"/>
      <c r="M236" s="88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</row>
    <row r="237" spans="2:39" ht="41.25" customHeight="1">
      <c r="B237" s="21"/>
      <c r="C237" s="57" t="str">
        <f t="shared" si="9"/>
        <v/>
      </c>
      <c r="D237" s="18"/>
      <c r="E237" s="18"/>
      <c r="F237" s="15"/>
      <c r="G237" s="19"/>
      <c r="H237" s="19"/>
      <c r="I237" s="19"/>
      <c r="J237" s="22"/>
      <c r="K237" s="81"/>
      <c r="M237" s="88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</row>
    <row r="238" spans="2:39" ht="41.25" customHeight="1">
      <c r="B238" s="21"/>
      <c r="C238" s="57" t="str">
        <f t="shared" si="9"/>
        <v/>
      </c>
      <c r="D238" s="18"/>
      <c r="E238" s="18"/>
      <c r="F238" s="15"/>
      <c r="G238" s="19"/>
      <c r="H238" s="19"/>
      <c r="I238" s="19"/>
      <c r="J238" s="22"/>
      <c r="K238" s="81"/>
      <c r="M238" s="88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</row>
    <row r="239" spans="2:39" ht="41.25" customHeight="1">
      <c r="B239" s="21"/>
      <c r="C239" s="57" t="str">
        <f t="shared" si="9"/>
        <v/>
      </c>
      <c r="D239" s="18"/>
      <c r="E239" s="18"/>
      <c r="F239" s="15"/>
      <c r="G239" s="19"/>
      <c r="H239" s="19"/>
      <c r="I239" s="19"/>
      <c r="J239" s="22"/>
      <c r="K239" s="81"/>
      <c r="M239" s="88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</row>
    <row r="240" spans="2:39" ht="41.25" customHeight="1">
      <c r="B240" s="21"/>
      <c r="C240" s="57" t="str">
        <f t="shared" si="9"/>
        <v/>
      </c>
      <c r="D240" s="18"/>
      <c r="E240" s="18"/>
      <c r="F240" s="15"/>
      <c r="G240" s="19"/>
      <c r="H240" s="19"/>
      <c r="I240" s="19"/>
      <c r="J240" s="22"/>
      <c r="K240" s="81"/>
      <c r="M240" s="88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</row>
    <row r="241" spans="2:39" ht="41.25" customHeight="1">
      <c r="B241" s="21"/>
      <c r="C241" s="57" t="str">
        <f t="shared" ref="C241:C304" si="10">IF(B241="","",MONTH(B241))</f>
        <v/>
      </c>
      <c r="D241" s="18"/>
      <c r="E241" s="18"/>
      <c r="F241" s="15"/>
      <c r="G241" s="19"/>
      <c r="H241" s="19"/>
      <c r="I241" s="19"/>
      <c r="J241" s="22"/>
      <c r="K241" s="81"/>
      <c r="M241" s="88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</row>
    <row r="242" spans="2:39" ht="41.25" customHeight="1">
      <c r="B242" s="21"/>
      <c r="C242" s="57" t="str">
        <f t="shared" si="10"/>
        <v/>
      </c>
      <c r="D242" s="18"/>
      <c r="E242" s="18"/>
      <c r="F242" s="15"/>
      <c r="G242" s="19"/>
      <c r="H242" s="19"/>
      <c r="I242" s="19"/>
      <c r="J242" s="22"/>
      <c r="K242" s="81"/>
      <c r="M242" s="88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</row>
    <row r="243" spans="2:39" ht="41.25" customHeight="1">
      <c r="B243" s="21"/>
      <c r="C243" s="57" t="str">
        <f t="shared" si="10"/>
        <v/>
      </c>
      <c r="D243" s="18"/>
      <c r="E243" s="18"/>
      <c r="F243" s="15"/>
      <c r="G243" s="19"/>
      <c r="H243" s="19"/>
      <c r="I243" s="19"/>
      <c r="J243" s="22"/>
      <c r="K243" s="81"/>
      <c r="M243" s="88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</row>
    <row r="244" spans="2:39" ht="41.25" customHeight="1">
      <c r="B244" s="21"/>
      <c r="C244" s="57" t="str">
        <f t="shared" si="10"/>
        <v/>
      </c>
      <c r="D244" s="18"/>
      <c r="E244" s="18"/>
      <c r="F244" s="15"/>
      <c r="G244" s="19"/>
      <c r="H244" s="19"/>
      <c r="I244" s="19"/>
      <c r="J244" s="22"/>
      <c r="K244" s="81"/>
      <c r="M244" s="88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</row>
    <row r="245" spans="2:39" ht="41.25" customHeight="1">
      <c r="B245" s="21"/>
      <c r="C245" s="57" t="str">
        <f t="shared" si="10"/>
        <v/>
      </c>
      <c r="D245" s="18"/>
      <c r="E245" s="18"/>
      <c r="F245" s="15"/>
      <c r="G245" s="19"/>
      <c r="H245" s="19"/>
      <c r="I245" s="19"/>
      <c r="J245" s="22"/>
      <c r="K245" s="81"/>
      <c r="M245" s="88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</row>
    <row r="246" spans="2:39" ht="41.25" customHeight="1">
      <c r="B246" s="21"/>
      <c r="C246" s="57" t="str">
        <f t="shared" si="10"/>
        <v/>
      </c>
      <c r="D246" s="18"/>
      <c r="E246" s="18"/>
      <c r="F246" s="15"/>
      <c r="G246" s="19"/>
      <c r="H246" s="19"/>
      <c r="I246" s="19"/>
      <c r="J246" s="22"/>
      <c r="K246" s="81"/>
      <c r="M246" s="88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</row>
    <row r="247" spans="2:39" ht="41.25" customHeight="1">
      <c r="B247" s="21"/>
      <c r="C247" s="57" t="str">
        <f t="shared" si="10"/>
        <v/>
      </c>
      <c r="D247" s="18"/>
      <c r="E247" s="18"/>
      <c r="F247" s="15"/>
      <c r="G247" s="19"/>
      <c r="H247" s="19"/>
      <c r="I247" s="19"/>
      <c r="J247" s="22"/>
      <c r="K247" s="81"/>
      <c r="M247" s="88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</row>
    <row r="248" spans="2:39" ht="41.25" customHeight="1">
      <c r="B248" s="21"/>
      <c r="C248" s="57" t="str">
        <f t="shared" si="10"/>
        <v/>
      </c>
      <c r="D248" s="18"/>
      <c r="E248" s="18"/>
      <c r="F248" s="15"/>
      <c r="G248" s="19"/>
      <c r="H248" s="19"/>
      <c r="I248" s="19"/>
      <c r="J248" s="22"/>
      <c r="K248" s="81"/>
      <c r="M248" s="88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</row>
    <row r="249" spans="2:39" ht="41.25" customHeight="1">
      <c r="B249" s="21"/>
      <c r="C249" s="57" t="str">
        <f t="shared" si="10"/>
        <v/>
      </c>
      <c r="D249" s="18"/>
      <c r="E249" s="18"/>
      <c r="F249" s="15"/>
      <c r="G249" s="19"/>
      <c r="H249" s="19"/>
      <c r="I249" s="19"/>
      <c r="J249" s="22"/>
      <c r="K249" s="81"/>
      <c r="M249" s="88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</row>
    <row r="250" spans="2:39" ht="41.25" customHeight="1">
      <c r="B250" s="21"/>
      <c r="C250" s="57" t="str">
        <f t="shared" si="10"/>
        <v/>
      </c>
      <c r="D250" s="18"/>
      <c r="E250" s="18"/>
      <c r="F250" s="15"/>
      <c r="G250" s="19"/>
      <c r="H250" s="19"/>
      <c r="I250" s="19"/>
      <c r="J250" s="22"/>
      <c r="K250" s="81"/>
      <c r="M250" s="88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</row>
    <row r="251" spans="2:39" ht="41.25" customHeight="1">
      <c r="B251" s="21"/>
      <c r="C251" s="57" t="str">
        <f t="shared" si="10"/>
        <v/>
      </c>
      <c r="D251" s="18"/>
      <c r="E251" s="18"/>
      <c r="F251" s="15"/>
      <c r="G251" s="19"/>
      <c r="H251" s="19"/>
      <c r="I251" s="19"/>
      <c r="J251" s="22"/>
      <c r="K251" s="81"/>
      <c r="M251" s="88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</row>
    <row r="252" spans="2:39" ht="41.25" customHeight="1">
      <c r="B252" s="21"/>
      <c r="C252" s="57" t="str">
        <f t="shared" si="10"/>
        <v/>
      </c>
      <c r="D252" s="18"/>
      <c r="E252" s="18"/>
      <c r="F252" s="15"/>
      <c r="G252" s="19"/>
      <c r="H252" s="19"/>
      <c r="I252" s="19"/>
      <c r="J252" s="22"/>
      <c r="K252" s="81"/>
      <c r="M252" s="88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</row>
    <row r="253" spans="2:39" ht="41.25" customHeight="1">
      <c r="B253" s="21"/>
      <c r="C253" s="57" t="str">
        <f t="shared" si="10"/>
        <v/>
      </c>
      <c r="D253" s="18"/>
      <c r="E253" s="18"/>
      <c r="F253" s="15"/>
      <c r="G253" s="19"/>
      <c r="H253" s="19"/>
      <c r="I253" s="19"/>
      <c r="J253" s="22"/>
      <c r="K253" s="81"/>
      <c r="M253" s="88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</row>
    <row r="254" spans="2:39" ht="41.25" customHeight="1">
      <c r="B254" s="21"/>
      <c r="C254" s="57" t="str">
        <f t="shared" si="10"/>
        <v/>
      </c>
      <c r="D254" s="18"/>
      <c r="E254" s="18"/>
      <c r="F254" s="15"/>
      <c r="G254" s="19"/>
      <c r="H254" s="19"/>
      <c r="I254" s="19"/>
      <c r="J254" s="22"/>
      <c r="K254" s="81"/>
      <c r="M254" s="88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</row>
    <row r="255" spans="2:39" ht="41.25" customHeight="1">
      <c r="B255" s="21"/>
      <c r="C255" s="57" t="str">
        <f t="shared" si="10"/>
        <v/>
      </c>
      <c r="D255" s="18"/>
      <c r="E255" s="18"/>
      <c r="F255" s="15"/>
      <c r="G255" s="19"/>
      <c r="H255" s="19"/>
      <c r="I255" s="19"/>
      <c r="J255" s="22"/>
      <c r="K255" s="81"/>
      <c r="M255" s="88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</row>
    <row r="256" spans="2:39" ht="41.25" customHeight="1">
      <c r="B256" s="21"/>
      <c r="C256" s="57" t="str">
        <f t="shared" si="10"/>
        <v/>
      </c>
      <c r="D256" s="18"/>
      <c r="E256" s="18"/>
      <c r="F256" s="15"/>
      <c r="G256" s="19"/>
      <c r="H256" s="19"/>
      <c r="I256" s="19"/>
      <c r="J256" s="22"/>
      <c r="K256" s="81"/>
      <c r="M256" s="88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</row>
    <row r="257" spans="2:39" ht="41.25" customHeight="1">
      <c r="B257" s="21"/>
      <c r="C257" s="57" t="str">
        <f t="shared" si="10"/>
        <v/>
      </c>
      <c r="D257" s="18"/>
      <c r="E257" s="18"/>
      <c r="F257" s="15"/>
      <c r="G257" s="19"/>
      <c r="H257" s="19"/>
      <c r="I257" s="19"/>
      <c r="J257" s="22"/>
      <c r="K257" s="81"/>
      <c r="M257" s="88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</row>
    <row r="258" spans="2:39" ht="41.25" customHeight="1">
      <c r="B258" s="21"/>
      <c r="C258" s="57" t="str">
        <f t="shared" si="10"/>
        <v/>
      </c>
      <c r="D258" s="18"/>
      <c r="E258" s="18"/>
      <c r="F258" s="15"/>
      <c r="G258" s="19"/>
      <c r="H258" s="19"/>
      <c r="I258" s="19"/>
      <c r="J258" s="22"/>
      <c r="K258" s="81"/>
      <c r="M258" s="88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</row>
    <row r="259" spans="2:39" ht="41.25" customHeight="1">
      <c r="B259" s="21"/>
      <c r="C259" s="57" t="str">
        <f t="shared" si="10"/>
        <v/>
      </c>
      <c r="D259" s="18"/>
      <c r="E259" s="18"/>
      <c r="F259" s="15"/>
      <c r="G259" s="19"/>
      <c r="H259" s="19"/>
      <c r="I259" s="19"/>
      <c r="J259" s="22"/>
      <c r="K259" s="81"/>
      <c r="M259" s="88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</row>
    <row r="260" spans="2:39" ht="41.25" customHeight="1">
      <c r="B260" s="21"/>
      <c r="C260" s="57" t="str">
        <f t="shared" si="10"/>
        <v/>
      </c>
      <c r="D260" s="18"/>
      <c r="E260" s="18"/>
      <c r="F260" s="15"/>
      <c r="G260" s="19"/>
      <c r="H260" s="19"/>
      <c r="I260" s="19"/>
      <c r="J260" s="22"/>
      <c r="K260" s="81"/>
      <c r="M260" s="88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</row>
    <row r="261" spans="2:39" ht="41.25" customHeight="1">
      <c r="B261" s="21"/>
      <c r="C261" s="57" t="str">
        <f t="shared" si="10"/>
        <v/>
      </c>
      <c r="D261" s="18"/>
      <c r="E261" s="18"/>
      <c r="F261" s="15"/>
      <c r="G261" s="19"/>
      <c r="H261" s="19"/>
      <c r="I261" s="19"/>
      <c r="J261" s="22"/>
      <c r="K261" s="81"/>
      <c r="M261" s="88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</row>
    <row r="262" spans="2:39" ht="41.25" customHeight="1">
      <c r="B262" s="21"/>
      <c r="C262" s="57" t="str">
        <f t="shared" si="10"/>
        <v/>
      </c>
      <c r="D262" s="18"/>
      <c r="E262" s="18"/>
      <c r="F262" s="15"/>
      <c r="G262" s="19"/>
      <c r="H262" s="19"/>
      <c r="I262" s="19"/>
      <c r="J262" s="22"/>
      <c r="K262" s="81"/>
      <c r="M262" s="88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</row>
    <row r="263" spans="2:39" ht="41.25" customHeight="1">
      <c r="B263" s="21"/>
      <c r="C263" s="57" t="str">
        <f t="shared" si="10"/>
        <v/>
      </c>
      <c r="D263" s="18"/>
      <c r="E263" s="18"/>
      <c r="F263" s="15"/>
      <c r="G263" s="19"/>
      <c r="H263" s="19"/>
      <c r="I263" s="19"/>
      <c r="J263" s="22"/>
      <c r="K263" s="81"/>
      <c r="M263" s="88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</row>
    <row r="264" spans="2:39" ht="41.25" customHeight="1" outlineLevel="1">
      <c r="B264" s="21"/>
      <c r="C264" s="57" t="str">
        <f t="shared" si="10"/>
        <v/>
      </c>
      <c r="D264" s="18"/>
      <c r="E264" s="18"/>
      <c r="F264" s="15"/>
      <c r="G264" s="19"/>
      <c r="H264" s="19"/>
      <c r="I264" s="19"/>
      <c r="J264" s="22"/>
      <c r="K264" s="81"/>
      <c r="M264" s="88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</row>
    <row r="265" spans="2:39" ht="41.25" customHeight="1" outlineLevel="1">
      <c r="B265" s="21"/>
      <c r="C265" s="57" t="str">
        <f t="shared" si="10"/>
        <v/>
      </c>
      <c r="D265" s="18"/>
      <c r="E265" s="18"/>
      <c r="F265" s="15"/>
      <c r="G265" s="19"/>
      <c r="H265" s="19"/>
      <c r="I265" s="19"/>
      <c r="J265" s="22"/>
      <c r="K265" s="81"/>
      <c r="M265" s="88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</row>
    <row r="266" spans="2:39" ht="41.25" customHeight="1" outlineLevel="1">
      <c r="B266" s="21"/>
      <c r="C266" s="57" t="str">
        <f t="shared" si="10"/>
        <v/>
      </c>
      <c r="D266" s="18"/>
      <c r="E266" s="18"/>
      <c r="F266" s="15"/>
      <c r="G266" s="19"/>
      <c r="H266" s="19"/>
      <c r="I266" s="19"/>
      <c r="J266" s="22"/>
      <c r="K266" s="81"/>
      <c r="M266" s="88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</row>
    <row r="267" spans="2:39" ht="41.25" customHeight="1" outlineLevel="1">
      <c r="B267" s="21"/>
      <c r="C267" s="57" t="str">
        <f t="shared" si="10"/>
        <v/>
      </c>
      <c r="D267" s="18"/>
      <c r="E267" s="18"/>
      <c r="F267" s="15"/>
      <c r="G267" s="19"/>
      <c r="H267" s="19"/>
      <c r="I267" s="19"/>
      <c r="J267" s="22"/>
      <c r="K267" s="81"/>
      <c r="M267" s="88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</row>
    <row r="268" spans="2:39" ht="41.25" customHeight="1" outlineLevel="1">
      <c r="B268" s="21"/>
      <c r="C268" s="57" t="str">
        <f t="shared" si="10"/>
        <v/>
      </c>
      <c r="D268" s="18"/>
      <c r="E268" s="18"/>
      <c r="F268" s="15"/>
      <c r="G268" s="19"/>
      <c r="H268" s="19"/>
      <c r="I268" s="19"/>
      <c r="J268" s="22"/>
      <c r="K268" s="81"/>
      <c r="M268" s="88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</row>
    <row r="269" spans="2:39" ht="41.25" customHeight="1" outlineLevel="1">
      <c r="B269" s="21"/>
      <c r="C269" s="57" t="str">
        <f t="shared" si="10"/>
        <v/>
      </c>
      <c r="D269" s="18"/>
      <c r="E269" s="18"/>
      <c r="F269" s="15"/>
      <c r="G269" s="19"/>
      <c r="H269" s="19"/>
      <c r="I269" s="19"/>
      <c r="J269" s="22"/>
      <c r="K269" s="81"/>
      <c r="M269" s="88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</row>
    <row r="270" spans="2:39" ht="41.25" customHeight="1" outlineLevel="1">
      <c r="B270" s="21"/>
      <c r="C270" s="57" t="str">
        <f t="shared" si="10"/>
        <v/>
      </c>
      <c r="D270" s="18"/>
      <c r="E270" s="18"/>
      <c r="F270" s="15"/>
      <c r="G270" s="19"/>
      <c r="H270" s="19"/>
      <c r="I270" s="19"/>
      <c r="J270" s="22"/>
      <c r="K270" s="81"/>
      <c r="M270" s="88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</row>
    <row r="271" spans="2:39" ht="41.25" customHeight="1" outlineLevel="1">
      <c r="B271" s="21"/>
      <c r="C271" s="57" t="str">
        <f t="shared" si="10"/>
        <v/>
      </c>
      <c r="D271" s="18"/>
      <c r="E271" s="18"/>
      <c r="F271" s="15"/>
      <c r="G271" s="19"/>
      <c r="H271" s="19"/>
      <c r="I271" s="19"/>
      <c r="J271" s="22"/>
      <c r="K271" s="81"/>
      <c r="M271" s="88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</row>
    <row r="272" spans="2:39" ht="41.25" customHeight="1" outlineLevel="1">
      <c r="B272" s="21"/>
      <c r="C272" s="57" t="str">
        <f t="shared" si="10"/>
        <v/>
      </c>
      <c r="D272" s="18"/>
      <c r="E272" s="18"/>
      <c r="F272" s="15"/>
      <c r="G272" s="19"/>
      <c r="H272" s="19"/>
      <c r="I272" s="19"/>
      <c r="J272" s="22"/>
      <c r="K272" s="81"/>
      <c r="M272" s="88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</row>
    <row r="273" spans="2:39" ht="41.25" customHeight="1" outlineLevel="1">
      <c r="B273" s="21"/>
      <c r="C273" s="57" t="str">
        <f t="shared" si="10"/>
        <v/>
      </c>
      <c r="D273" s="18"/>
      <c r="E273" s="18"/>
      <c r="F273" s="15"/>
      <c r="G273" s="19"/>
      <c r="H273" s="19"/>
      <c r="I273" s="19"/>
      <c r="J273" s="22"/>
      <c r="K273" s="81"/>
      <c r="M273" s="88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</row>
    <row r="274" spans="2:39" ht="41.25" customHeight="1" outlineLevel="1">
      <c r="B274" s="21"/>
      <c r="C274" s="57" t="str">
        <f t="shared" si="10"/>
        <v/>
      </c>
      <c r="D274" s="18"/>
      <c r="E274" s="18"/>
      <c r="F274" s="15"/>
      <c r="G274" s="19"/>
      <c r="H274" s="19"/>
      <c r="I274" s="19"/>
      <c r="J274" s="22"/>
      <c r="K274" s="81"/>
      <c r="M274" s="88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</row>
    <row r="275" spans="2:39" ht="41.25" customHeight="1" outlineLevel="1">
      <c r="B275" s="21"/>
      <c r="C275" s="57" t="str">
        <f t="shared" si="10"/>
        <v/>
      </c>
      <c r="D275" s="18"/>
      <c r="E275" s="18"/>
      <c r="F275" s="15"/>
      <c r="G275" s="19"/>
      <c r="H275" s="19"/>
      <c r="I275" s="19"/>
      <c r="J275" s="22"/>
      <c r="K275" s="81"/>
      <c r="M275" s="88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</row>
    <row r="276" spans="2:39" ht="41.25" customHeight="1" outlineLevel="1">
      <c r="B276" s="21"/>
      <c r="C276" s="57" t="str">
        <f t="shared" si="10"/>
        <v/>
      </c>
      <c r="D276" s="18"/>
      <c r="E276" s="18"/>
      <c r="F276" s="15"/>
      <c r="G276" s="19"/>
      <c r="H276" s="19"/>
      <c r="I276" s="19"/>
      <c r="J276" s="22"/>
      <c r="K276" s="81"/>
      <c r="M276" s="88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</row>
    <row r="277" spans="2:39" ht="41.25" customHeight="1" outlineLevel="1">
      <c r="B277" s="21"/>
      <c r="C277" s="57" t="str">
        <f t="shared" si="10"/>
        <v/>
      </c>
      <c r="D277" s="18"/>
      <c r="E277" s="18"/>
      <c r="F277" s="15"/>
      <c r="G277" s="19"/>
      <c r="H277" s="19"/>
      <c r="I277" s="19"/>
      <c r="J277" s="22"/>
      <c r="K277" s="81"/>
      <c r="M277" s="88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</row>
    <row r="278" spans="2:39" ht="41.25" customHeight="1" outlineLevel="1">
      <c r="B278" s="21"/>
      <c r="C278" s="57" t="str">
        <f t="shared" si="10"/>
        <v/>
      </c>
      <c r="D278" s="18"/>
      <c r="E278" s="18"/>
      <c r="F278" s="15"/>
      <c r="G278" s="19"/>
      <c r="H278" s="19"/>
      <c r="I278" s="19"/>
      <c r="J278" s="22"/>
      <c r="K278" s="81"/>
      <c r="M278" s="88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</row>
    <row r="279" spans="2:39" ht="41.25" customHeight="1" outlineLevel="1">
      <c r="B279" s="21"/>
      <c r="C279" s="57" t="str">
        <f t="shared" si="10"/>
        <v/>
      </c>
      <c r="D279" s="18"/>
      <c r="E279" s="18"/>
      <c r="F279" s="15"/>
      <c r="G279" s="19"/>
      <c r="H279" s="19"/>
      <c r="I279" s="19"/>
      <c r="J279" s="22"/>
      <c r="K279" s="81"/>
      <c r="M279" s="88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</row>
    <row r="280" spans="2:39" ht="41.25" customHeight="1" outlineLevel="1">
      <c r="B280" s="21"/>
      <c r="C280" s="57" t="str">
        <f t="shared" si="10"/>
        <v/>
      </c>
      <c r="D280" s="18"/>
      <c r="E280" s="18"/>
      <c r="F280" s="15"/>
      <c r="G280" s="19"/>
      <c r="H280" s="19"/>
      <c r="I280" s="19"/>
      <c r="J280" s="22"/>
      <c r="K280" s="81"/>
      <c r="M280" s="88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</row>
    <row r="281" spans="2:39" ht="41.25" customHeight="1" outlineLevel="1">
      <c r="B281" s="21"/>
      <c r="C281" s="57" t="str">
        <f t="shared" si="10"/>
        <v/>
      </c>
      <c r="D281" s="18"/>
      <c r="E281" s="18"/>
      <c r="F281" s="15"/>
      <c r="G281" s="19"/>
      <c r="H281" s="19"/>
      <c r="I281" s="19"/>
      <c r="J281" s="22"/>
      <c r="K281" s="81"/>
      <c r="M281" s="88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</row>
    <row r="282" spans="2:39" ht="41.25" customHeight="1" outlineLevel="1">
      <c r="B282" s="21"/>
      <c r="C282" s="57" t="str">
        <f t="shared" si="10"/>
        <v/>
      </c>
      <c r="D282" s="18"/>
      <c r="E282" s="18"/>
      <c r="F282" s="15"/>
      <c r="G282" s="19"/>
      <c r="H282" s="19"/>
      <c r="I282" s="19"/>
      <c r="J282" s="22"/>
      <c r="K282" s="81"/>
      <c r="M282" s="88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</row>
    <row r="283" spans="2:39" ht="41.25" customHeight="1" outlineLevel="1">
      <c r="B283" s="21"/>
      <c r="C283" s="57" t="str">
        <f t="shared" si="10"/>
        <v/>
      </c>
      <c r="D283" s="18"/>
      <c r="E283" s="18"/>
      <c r="F283" s="15"/>
      <c r="G283" s="19"/>
      <c r="H283" s="19"/>
      <c r="I283" s="19"/>
      <c r="J283" s="22"/>
      <c r="K283" s="81"/>
      <c r="M283" s="88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</row>
    <row r="284" spans="2:39" ht="41.25" customHeight="1" outlineLevel="1">
      <c r="B284" s="21"/>
      <c r="C284" s="57" t="str">
        <f t="shared" si="10"/>
        <v/>
      </c>
      <c r="D284" s="18"/>
      <c r="E284" s="18"/>
      <c r="F284" s="15"/>
      <c r="G284" s="19"/>
      <c r="H284" s="19"/>
      <c r="I284" s="19"/>
      <c r="J284" s="22"/>
      <c r="K284" s="81"/>
      <c r="M284" s="88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</row>
    <row r="285" spans="2:39" ht="41.25" customHeight="1" outlineLevel="1">
      <c r="B285" s="21"/>
      <c r="C285" s="57" t="str">
        <f t="shared" si="10"/>
        <v/>
      </c>
      <c r="D285" s="18"/>
      <c r="E285" s="18"/>
      <c r="F285" s="15"/>
      <c r="G285" s="19"/>
      <c r="H285" s="19"/>
      <c r="I285" s="19"/>
      <c r="J285" s="22"/>
      <c r="K285" s="81"/>
      <c r="M285" s="88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</row>
    <row r="286" spans="2:39" ht="41.25" customHeight="1" outlineLevel="1">
      <c r="B286" s="21"/>
      <c r="C286" s="57" t="str">
        <f t="shared" si="10"/>
        <v/>
      </c>
      <c r="D286" s="18"/>
      <c r="E286" s="18"/>
      <c r="F286" s="15"/>
      <c r="G286" s="19"/>
      <c r="H286" s="19"/>
      <c r="I286" s="19"/>
      <c r="J286" s="22"/>
      <c r="K286" s="81"/>
      <c r="M286" s="88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</row>
    <row r="287" spans="2:39" ht="41.25" customHeight="1" outlineLevel="1">
      <c r="B287" s="21"/>
      <c r="C287" s="57" t="str">
        <f t="shared" si="10"/>
        <v/>
      </c>
      <c r="D287" s="18"/>
      <c r="E287" s="18"/>
      <c r="F287" s="15"/>
      <c r="G287" s="19"/>
      <c r="H287" s="19"/>
      <c r="I287" s="19"/>
      <c r="J287" s="22"/>
      <c r="K287" s="81"/>
      <c r="M287" s="88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</row>
    <row r="288" spans="2:39" ht="41.25" customHeight="1" outlineLevel="1">
      <c r="B288" s="21"/>
      <c r="C288" s="57" t="str">
        <f t="shared" si="10"/>
        <v/>
      </c>
      <c r="D288" s="18"/>
      <c r="E288" s="18"/>
      <c r="F288" s="15"/>
      <c r="G288" s="19"/>
      <c r="H288" s="19"/>
      <c r="I288" s="19"/>
      <c r="J288" s="22"/>
      <c r="K288" s="81"/>
      <c r="M288" s="88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</row>
    <row r="289" spans="2:39" ht="41.25" customHeight="1" outlineLevel="1">
      <c r="B289" s="21"/>
      <c r="C289" s="57" t="str">
        <f t="shared" si="10"/>
        <v/>
      </c>
      <c r="D289" s="18"/>
      <c r="E289" s="18"/>
      <c r="F289" s="15"/>
      <c r="G289" s="19"/>
      <c r="H289" s="19"/>
      <c r="I289" s="19"/>
      <c r="J289" s="22"/>
      <c r="K289" s="81"/>
      <c r="M289" s="88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</row>
    <row r="290" spans="2:39" ht="41.25" customHeight="1" outlineLevel="1">
      <c r="B290" s="21"/>
      <c r="C290" s="57" t="str">
        <f t="shared" si="10"/>
        <v/>
      </c>
      <c r="D290" s="18"/>
      <c r="E290" s="18"/>
      <c r="F290" s="15"/>
      <c r="G290" s="19"/>
      <c r="H290" s="19"/>
      <c r="I290" s="19"/>
      <c r="J290" s="22"/>
      <c r="K290" s="81"/>
      <c r="M290" s="88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</row>
    <row r="291" spans="2:39" ht="41.25" customHeight="1" outlineLevel="1">
      <c r="B291" s="21"/>
      <c r="C291" s="57" t="str">
        <f t="shared" si="10"/>
        <v/>
      </c>
      <c r="D291" s="18"/>
      <c r="E291" s="18"/>
      <c r="F291" s="15"/>
      <c r="G291" s="19"/>
      <c r="H291" s="19"/>
      <c r="I291" s="19"/>
      <c r="J291" s="22"/>
      <c r="K291" s="81"/>
      <c r="M291" s="88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</row>
    <row r="292" spans="2:39" ht="41.25" customHeight="1" outlineLevel="1">
      <c r="B292" s="21"/>
      <c r="C292" s="57" t="str">
        <f t="shared" si="10"/>
        <v/>
      </c>
      <c r="D292" s="18"/>
      <c r="E292" s="18"/>
      <c r="F292" s="15"/>
      <c r="G292" s="19"/>
      <c r="H292" s="19"/>
      <c r="I292" s="19"/>
      <c r="J292" s="22"/>
      <c r="K292" s="81"/>
      <c r="M292" s="88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</row>
    <row r="293" spans="2:39" ht="41.25" customHeight="1" outlineLevel="1">
      <c r="B293" s="21"/>
      <c r="C293" s="57" t="str">
        <f t="shared" si="10"/>
        <v/>
      </c>
      <c r="D293" s="18"/>
      <c r="E293" s="18"/>
      <c r="F293" s="15"/>
      <c r="G293" s="19"/>
      <c r="H293" s="19"/>
      <c r="I293" s="19"/>
      <c r="J293" s="22"/>
      <c r="K293" s="81"/>
      <c r="M293" s="88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</row>
    <row r="294" spans="2:39" ht="41.25" customHeight="1" outlineLevel="1">
      <c r="B294" s="21"/>
      <c r="C294" s="57" t="str">
        <f t="shared" si="10"/>
        <v/>
      </c>
      <c r="D294" s="18"/>
      <c r="E294" s="18"/>
      <c r="F294" s="15"/>
      <c r="G294" s="19"/>
      <c r="H294" s="19"/>
      <c r="I294" s="19"/>
      <c r="J294" s="22"/>
      <c r="K294" s="81"/>
      <c r="M294" s="88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</row>
    <row r="295" spans="2:39" ht="41.25" customHeight="1" outlineLevel="1">
      <c r="B295" s="21"/>
      <c r="C295" s="57" t="str">
        <f t="shared" si="10"/>
        <v/>
      </c>
      <c r="D295" s="18"/>
      <c r="E295" s="18"/>
      <c r="F295" s="15"/>
      <c r="G295" s="19"/>
      <c r="H295" s="19"/>
      <c r="I295" s="19"/>
      <c r="J295" s="22"/>
      <c r="K295" s="81"/>
      <c r="M295" s="88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</row>
    <row r="296" spans="2:39" ht="41.25" customHeight="1" outlineLevel="1">
      <c r="B296" s="21"/>
      <c r="C296" s="57" t="str">
        <f t="shared" si="10"/>
        <v/>
      </c>
      <c r="D296" s="18"/>
      <c r="E296" s="18"/>
      <c r="F296" s="15"/>
      <c r="G296" s="19"/>
      <c r="H296" s="19"/>
      <c r="I296" s="19"/>
      <c r="J296" s="22"/>
      <c r="K296" s="81"/>
      <c r="M296" s="88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</row>
    <row r="297" spans="2:39" ht="41.25" customHeight="1" outlineLevel="1">
      <c r="B297" s="21"/>
      <c r="C297" s="57" t="str">
        <f t="shared" si="10"/>
        <v/>
      </c>
      <c r="D297" s="18"/>
      <c r="E297" s="18"/>
      <c r="F297" s="15"/>
      <c r="G297" s="19"/>
      <c r="H297" s="19"/>
      <c r="I297" s="19"/>
      <c r="J297" s="22"/>
      <c r="K297" s="81"/>
      <c r="M297" s="88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</row>
    <row r="298" spans="2:39" ht="41.25" customHeight="1" outlineLevel="1">
      <c r="B298" s="21"/>
      <c r="C298" s="57" t="str">
        <f t="shared" si="10"/>
        <v/>
      </c>
      <c r="D298" s="18"/>
      <c r="E298" s="18"/>
      <c r="F298" s="15"/>
      <c r="G298" s="19"/>
      <c r="H298" s="19"/>
      <c r="I298" s="19"/>
      <c r="J298" s="22"/>
      <c r="K298" s="81"/>
      <c r="M298" s="88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</row>
    <row r="299" spans="2:39" ht="41.25" customHeight="1" outlineLevel="1">
      <c r="B299" s="21"/>
      <c r="C299" s="57" t="str">
        <f t="shared" si="10"/>
        <v/>
      </c>
      <c r="D299" s="18"/>
      <c r="E299" s="18"/>
      <c r="F299" s="15"/>
      <c r="G299" s="19"/>
      <c r="H299" s="19"/>
      <c r="I299" s="19"/>
      <c r="J299" s="22"/>
      <c r="K299" s="81"/>
      <c r="M299" s="88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</row>
    <row r="300" spans="2:39" ht="41.25" customHeight="1" outlineLevel="1">
      <c r="B300" s="21"/>
      <c r="C300" s="57" t="str">
        <f t="shared" si="10"/>
        <v/>
      </c>
      <c r="D300" s="18"/>
      <c r="E300" s="18"/>
      <c r="F300" s="15"/>
      <c r="G300" s="19"/>
      <c r="H300" s="19"/>
      <c r="I300" s="19"/>
      <c r="J300" s="22"/>
      <c r="K300" s="81"/>
      <c r="M300" s="88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</row>
    <row r="301" spans="2:39" ht="41.25" customHeight="1" outlineLevel="1">
      <c r="B301" s="21"/>
      <c r="C301" s="57" t="str">
        <f t="shared" si="10"/>
        <v/>
      </c>
      <c r="D301" s="18"/>
      <c r="E301" s="18"/>
      <c r="F301" s="15"/>
      <c r="G301" s="19"/>
      <c r="H301" s="19"/>
      <c r="I301" s="19"/>
      <c r="J301" s="22"/>
      <c r="K301" s="81"/>
      <c r="M301" s="88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</row>
    <row r="302" spans="2:39" ht="41.25" customHeight="1" outlineLevel="1">
      <c r="B302" s="21"/>
      <c r="C302" s="57" t="str">
        <f t="shared" si="10"/>
        <v/>
      </c>
      <c r="D302" s="18"/>
      <c r="E302" s="18"/>
      <c r="F302" s="15"/>
      <c r="G302" s="19"/>
      <c r="H302" s="19"/>
      <c r="I302" s="19"/>
      <c r="J302" s="22"/>
      <c r="K302" s="81"/>
      <c r="M302" s="88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</row>
    <row r="303" spans="2:39" ht="41.25" customHeight="1" outlineLevel="1">
      <c r="B303" s="21"/>
      <c r="C303" s="57" t="str">
        <f t="shared" si="10"/>
        <v/>
      </c>
      <c r="D303" s="18"/>
      <c r="E303" s="18"/>
      <c r="F303" s="15"/>
      <c r="G303" s="19"/>
      <c r="H303" s="19"/>
      <c r="I303" s="19"/>
      <c r="J303" s="22"/>
      <c r="K303" s="81"/>
      <c r="M303" s="88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</row>
    <row r="304" spans="2:39" ht="41.25" customHeight="1" outlineLevel="1">
      <c r="B304" s="21"/>
      <c r="C304" s="57" t="str">
        <f t="shared" si="10"/>
        <v/>
      </c>
      <c r="D304" s="18"/>
      <c r="E304" s="18"/>
      <c r="F304" s="15"/>
      <c r="G304" s="19"/>
      <c r="H304" s="19"/>
      <c r="I304" s="19"/>
      <c r="J304" s="22"/>
      <c r="K304" s="81"/>
      <c r="M304" s="88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</row>
    <row r="305" spans="2:39" ht="41.25" customHeight="1" outlineLevel="1">
      <c r="B305" s="21"/>
      <c r="C305" s="57" t="str">
        <f t="shared" ref="C305:C368" si="11">IF(B305="","",MONTH(B305))</f>
        <v/>
      </c>
      <c r="D305" s="18"/>
      <c r="E305" s="18"/>
      <c r="F305" s="15"/>
      <c r="G305" s="19"/>
      <c r="H305" s="19"/>
      <c r="I305" s="19"/>
      <c r="J305" s="22"/>
      <c r="K305" s="81"/>
      <c r="M305" s="88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</row>
    <row r="306" spans="2:39" ht="41.25" customHeight="1" outlineLevel="1">
      <c r="B306" s="21"/>
      <c r="C306" s="57" t="str">
        <f t="shared" si="11"/>
        <v/>
      </c>
      <c r="D306" s="18"/>
      <c r="E306" s="18"/>
      <c r="F306" s="15"/>
      <c r="G306" s="19"/>
      <c r="H306" s="19"/>
      <c r="I306" s="19"/>
      <c r="J306" s="22"/>
      <c r="K306" s="81"/>
      <c r="M306" s="88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</row>
    <row r="307" spans="2:39" ht="41.25" customHeight="1" outlineLevel="1">
      <c r="B307" s="21"/>
      <c r="C307" s="57" t="str">
        <f t="shared" si="11"/>
        <v/>
      </c>
      <c r="D307" s="18"/>
      <c r="E307" s="18"/>
      <c r="F307" s="15"/>
      <c r="G307" s="19"/>
      <c r="H307" s="19"/>
      <c r="I307" s="19"/>
      <c r="J307" s="22"/>
      <c r="K307" s="81"/>
      <c r="M307" s="88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</row>
    <row r="308" spans="2:39" ht="41.25" customHeight="1" outlineLevel="1">
      <c r="B308" s="21"/>
      <c r="C308" s="57" t="str">
        <f t="shared" si="11"/>
        <v/>
      </c>
      <c r="D308" s="18"/>
      <c r="E308" s="18"/>
      <c r="F308" s="15"/>
      <c r="G308" s="19"/>
      <c r="H308" s="19"/>
      <c r="I308" s="19"/>
      <c r="J308" s="22"/>
      <c r="K308" s="81"/>
      <c r="M308" s="88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</row>
    <row r="309" spans="2:39" ht="41.25" customHeight="1" outlineLevel="1">
      <c r="B309" s="21"/>
      <c r="C309" s="57" t="str">
        <f t="shared" si="11"/>
        <v/>
      </c>
      <c r="D309" s="18"/>
      <c r="E309" s="18"/>
      <c r="F309" s="15"/>
      <c r="G309" s="19"/>
      <c r="H309" s="19"/>
      <c r="I309" s="19"/>
      <c r="J309" s="22"/>
      <c r="K309" s="81"/>
      <c r="M309" s="88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</row>
    <row r="310" spans="2:39" ht="41.25" customHeight="1" outlineLevel="1">
      <c r="B310" s="21"/>
      <c r="C310" s="57" t="str">
        <f t="shared" si="11"/>
        <v/>
      </c>
      <c r="D310" s="18"/>
      <c r="E310" s="18"/>
      <c r="F310" s="15"/>
      <c r="G310" s="19"/>
      <c r="H310" s="19"/>
      <c r="I310" s="19"/>
      <c r="J310" s="22"/>
      <c r="K310" s="81"/>
      <c r="M310" s="88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</row>
    <row r="311" spans="2:39" ht="41.25" customHeight="1" outlineLevel="1">
      <c r="B311" s="21"/>
      <c r="C311" s="57" t="str">
        <f t="shared" si="11"/>
        <v/>
      </c>
      <c r="D311" s="18"/>
      <c r="E311" s="18"/>
      <c r="F311" s="15"/>
      <c r="G311" s="19"/>
      <c r="H311" s="19"/>
      <c r="I311" s="19"/>
      <c r="J311" s="22"/>
      <c r="K311" s="81"/>
      <c r="M311" s="88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</row>
    <row r="312" spans="2:39" ht="41.25" customHeight="1" outlineLevel="1">
      <c r="B312" s="21"/>
      <c r="C312" s="57" t="str">
        <f t="shared" si="11"/>
        <v/>
      </c>
      <c r="D312" s="18"/>
      <c r="E312" s="18"/>
      <c r="F312" s="15"/>
      <c r="G312" s="19"/>
      <c r="H312" s="19"/>
      <c r="I312" s="19"/>
      <c r="J312" s="22"/>
      <c r="K312" s="81"/>
      <c r="M312" s="88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</row>
    <row r="313" spans="2:39" ht="41.25" customHeight="1" outlineLevel="1">
      <c r="B313" s="21"/>
      <c r="C313" s="57" t="str">
        <f t="shared" si="11"/>
        <v/>
      </c>
      <c r="D313" s="18"/>
      <c r="E313" s="18"/>
      <c r="F313" s="15"/>
      <c r="G313" s="19"/>
      <c r="H313" s="19"/>
      <c r="I313" s="19"/>
      <c r="J313" s="22"/>
      <c r="K313" s="81"/>
      <c r="M313" s="88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</row>
    <row r="314" spans="2:39" ht="41.25" customHeight="1" outlineLevel="1">
      <c r="B314" s="21"/>
      <c r="C314" s="57" t="str">
        <f t="shared" si="11"/>
        <v/>
      </c>
      <c r="D314" s="18"/>
      <c r="E314" s="18"/>
      <c r="F314" s="15"/>
      <c r="G314" s="19"/>
      <c r="H314" s="19"/>
      <c r="I314" s="19"/>
      <c r="J314" s="22"/>
      <c r="K314" s="81"/>
      <c r="M314" s="88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</row>
    <row r="315" spans="2:39" ht="41.25" customHeight="1" outlineLevel="1">
      <c r="B315" s="21"/>
      <c r="C315" s="57" t="str">
        <f t="shared" si="11"/>
        <v/>
      </c>
      <c r="D315" s="18"/>
      <c r="E315" s="18"/>
      <c r="F315" s="15"/>
      <c r="G315" s="19"/>
      <c r="H315" s="19"/>
      <c r="I315" s="19"/>
      <c r="J315" s="22"/>
      <c r="K315" s="81"/>
      <c r="M315" s="88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</row>
    <row r="316" spans="2:39" ht="41.25" customHeight="1" outlineLevel="1">
      <c r="B316" s="21"/>
      <c r="C316" s="57" t="str">
        <f t="shared" si="11"/>
        <v/>
      </c>
      <c r="D316" s="18"/>
      <c r="E316" s="18"/>
      <c r="F316" s="15"/>
      <c r="G316" s="19"/>
      <c r="H316" s="19"/>
      <c r="I316" s="19"/>
      <c r="J316" s="22"/>
      <c r="K316" s="81"/>
      <c r="M316" s="88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</row>
    <row r="317" spans="2:39" ht="41.25" customHeight="1" outlineLevel="1">
      <c r="B317" s="21"/>
      <c r="C317" s="57" t="str">
        <f t="shared" si="11"/>
        <v/>
      </c>
      <c r="D317" s="18"/>
      <c r="E317" s="18"/>
      <c r="F317" s="15"/>
      <c r="G317" s="19"/>
      <c r="H317" s="19"/>
      <c r="I317" s="19"/>
      <c r="J317" s="22"/>
      <c r="K317" s="81"/>
      <c r="M317" s="88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</row>
    <row r="318" spans="2:39" ht="41.25" customHeight="1" outlineLevel="1">
      <c r="B318" s="21"/>
      <c r="C318" s="57" t="str">
        <f t="shared" si="11"/>
        <v/>
      </c>
      <c r="D318" s="18"/>
      <c r="E318" s="18"/>
      <c r="F318" s="15"/>
      <c r="G318" s="19"/>
      <c r="H318" s="19"/>
      <c r="I318" s="19"/>
      <c r="J318" s="22"/>
      <c r="K318" s="81"/>
      <c r="M318" s="88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</row>
    <row r="319" spans="2:39" ht="41.25" customHeight="1" outlineLevel="1">
      <c r="B319" s="21"/>
      <c r="C319" s="57" t="str">
        <f t="shared" si="11"/>
        <v/>
      </c>
      <c r="D319" s="18"/>
      <c r="E319" s="18"/>
      <c r="F319" s="15"/>
      <c r="G319" s="19"/>
      <c r="H319" s="19"/>
      <c r="I319" s="19"/>
      <c r="J319" s="22"/>
      <c r="K319" s="81"/>
      <c r="M319" s="88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</row>
    <row r="320" spans="2:39" ht="41.25" customHeight="1" outlineLevel="1">
      <c r="B320" s="21"/>
      <c r="C320" s="57" t="str">
        <f t="shared" si="11"/>
        <v/>
      </c>
      <c r="D320" s="18"/>
      <c r="E320" s="18"/>
      <c r="F320" s="15"/>
      <c r="G320" s="19"/>
      <c r="H320" s="19"/>
      <c r="I320" s="19"/>
      <c r="J320" s="22"/>
      <c r="K320" s="81"/>
      <c r="M320" s="88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</row>
    <row r="321" spans="2:39" ht="41.25" customHeight="1" outlineLevel="1">
      <c r="B321" s="21"/>
      <c r="C321" s="57" t="str">
        <f t="shared" si="11"/>
        <v/>
      </c>
      <c r="D321" s="18"/>
      <c r="E321" s="18"/>
      <c r="F321" s="15"/>
      <c r="G321" s="19"/>
      <c r="H321" s="19"/>
      <c r="I321" s="19"/>
      <c r="J321" s="22"/>
      <c r="K321" s="81"/>
      <c r="M321" s="88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</row>
    <row r="322" spans="2:39" ht="41.25" customHeight="1" outlineLevel="1">
      <c r="B322" s="21"/>
      <c r="C322" s="57" t="str">
        <f t="shared" si="11"/>
        <v/>
      </c>
      <c r="D322" s="18"/>
      <c r="E322" s="18"/>
      <c r="F322" s="15"/>
      <c r="G322" s="19"/>
      <c r="H322" s="19"/>
      <c r="I322" s="19"/>
      <c r="J322" s="22"/>
      <c r="K322" s="81"/>
      <c r="M322" s="88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</row>
    <row r="323" spans="2:39" ht="41.25" customHeight="1" outlineLevel="1">
      <c r="B323" s="21"/>
      <c r="C323" s="57" t="str">
        <f t="shared" si="11"/>
        <v/>
      </c>
      <c r="D323" s="18"/>
      <c r="E323" s="18"/>
      <c r="F323" s="15"/>
      <c r="G323" s="19"/>
      <c r="H323" s="19"/>
      <c r="I323" s="19"/>
      <c r="J323" s="22"/>
      <c r="K323" s="81"/>
      <c r="M323" s="88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</row>
    <row r="324" spans="2:39" ht="41.25" customHeight="1" outlineLevel="1">
      <c r="B324" s="21"/>
      <c r="C324" s="57" t="str">
        <f t="shared" si="11"/>
        <v/>
      </c>
      <c r="D324" s="18"/>
      <c r="E324" s="18"/>
      <c r="F324" s="15"/>
      <c r="G324" s="19"/>
      <c r="H324" s="19"/>
      <c r="I324" s="19"/>
      <c r="J324" s="22"/>
      <c r="K324" s="81"/>
      <c r="M324" s="88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</row>
    <row r="325" spans="2:39" ht="41.25" customHeight="1" outlineLevel="1">
      <c r="B325" s="21"/>
      <c r="C325" s="57" t="str">
        <f t="shared" si="11"/>
        <v/>
      </c>
      <c r="D325" s="18"/>
      <c r="E325" s="18"/>
      <c r="F325" s="15"/>
      <c r="G325" s="19"/>
      <c r="H325" s="19"/>
      <c r="I325" s="19"/>
      <c r="J325" s="22"/>
      <c r="K325" s="81"/>
      <c r="M325" s="88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</row>
    <row r="326" spans="2:39" ht="41.25" customHeight="1" outlineLevel="1">
      <c r="B326" s="21"/>
      <c r="C326" s="57" t="str">
        <f t="shared" si="11"/>
        <v/>
      </c>
      <c r="D326" s="18"/>
      <c r="E326" s="18"/>
      <c r="F326" s="15"/>
      <c r="G326" s="19"/>
      <c r="H326" s="19"/>
      <c r="I326" s="19"/>
      <c r="J326" s="22"/>
      <c r="K326" s="81"/>
      <c r="M326" s="88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</row>
    <row r="327" spans="2:39" ht="41.25" customHeight="1" outlineLevel="1">
      <c r="B327" s="21"/>
      <c r="C327" s="57" t="str">
        <f t="shared" si="11"/>
        <v/>
      </c>
      <c r="D327" s="18"/>
      <c r="E327" s="18"/>
      <c r="F327" s="15"/>
      <c r="G327" s="19"/>
      <c r="H327" s="19"/>
      <c r="I327" s="19"/>
      <c r="J327" s="22"/>
      <c r="K327" s="81"/>
      <c r="M327" s="88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</row>
    <row r="328" spans="2:39" ht="41.25" customHeight="1" outlineLevel="1">
      <c r="B328" s="21"/>
      <c r="C328" s="57" t="str">
        <f t="shared" si="11"/>
        <v/>
      </c>
      <c r="D328" s="18"/>
      <c r="E328" s="18"/>
      <c r="F328" s="15"/>
      <c r="G328" s="19"/>
      <c r="H328" s="19"/>
      <c r="I328" s="19"/>
      <c r="J328" s="22"/>
      <c r="K328" s="81"/>
      <c r="M328" s="88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</row>
    <row r="329" spans="2:39" ht="41.25" customHeight="1" outlineLevel="1">
      <c r="B329" s="21"/>
      <c r="C329" s="57" t="str">
        <f t="shared" si="11"/>
        <v/>
      </c>
      <c r="D329" s="18"/>
      <c r="E329" s="18"/>
      <c r="F329" s="15"/>
      <c r="G329" s="19"/>
      <c r="H329" s="19"/>
      <c r="I329" s="19"/>
      <c r="J329" s="22"/>
      <c r="K329" s="81"/>
      <c r="M329" s="88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</row>
    <row r="330" spans="2:39" ht="41.25" customHeight="1" outlineLevel="1">
      <c r="B330" s="21"/>
      <c r="C330" s="57" t="str">
        <f t="shared" si="11"/>
        <v/>
      </c>
      <c r="D330" s="18"/>
      <c r="E330" s="18"/>
      <c r="F330" s="15"/>
      <c r="G330" s="19"/>
      <c r="H330" s="19"/>
      <c r="I330" s="19"/>
      <c r="J330" s="22"/>
      <c r="K330" s="81"/>
      <c r="M330" s="88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</row>
    <row r="331" spans="2:39" ht="41.25" customHeight="1" outlineLevel="1">
      <c r="B331" s="21"/>
      <c r="C331" s="57" t="str">
        <f t="shared" si="11"/>
        <v/>
      </c>
      <c r="D331" s="18"/>
      <c r="E331" s="18"/>
      <c r="F331" s="15"/>
      <c r="G331" s="19"/>
      <c r="H331" s="19"/>
      <c r="I331" s="19"/>
      <c r="J331" s="22"/>
      <c r="K331" s="81"/>
      <c r="M331" s="88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</row>
    <row r="332" spans="2:39" ht="41.25" customHeight="1" outlineLevel="1">
      <c r="B332" s="21"/>
      <c r="C332" s="57" t="str">
        <f t="shared" si="11"/>
        <v/>
      </c>
      <c r="D332" s="18"/>
      <c r="E332" s="18"/>
      <c r="F332" s="15"/>
      <c r="G332" s="19"/>
      <c r="H332" s="19"/>
      <c r="I332" s="19"/>
      <c r="J332" s="22"/>
      <c r="K332" s="81"/>
      <c r="M332" s="88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</row>
    <row r="333" spans="2:39" s="10" customFormat="1" ht="41.25" customHeight="1" outlineLevel="1">
      <c r="B333" s="21"/>
      <c r="C333" s="57" t="str">
        <f t="shared" si="11"/>
        <v/>
      </c>
      <c r="D333" s="18"/>
      <c r="E333" s="18"/>
      <c r="F333" s="15"/>
      <c r="G333" s="19"/>
      <c r="H333" s="19"/>
      <c r="I333" s="19"/>
      <c r="J333" s="22"/>
      <c r="K333" s="81"/>
      <c r="L333" s="22"/>
      <c r="M333" s="88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</row>
    <row r="334" spans="2:39" ht="41.25" customHeight="1" outlineLevel="1">
      <c r="B334" s="21"/>
      <c r="C334" s="57" t="str">
        <f t="shared" si="11"/>
        <v/>
      </c>
      <c r="D334" s="18"/>
      <c r="E334" s="18"/>
      <c r="F334" s="15"/>
      <c r="G334" s="19"/>
      <c r="H334" s="19"/>
      <c r="I334" s="19"/>
      <c r="J334" s="22"/>
      <c r="K334" s="81"/>
      <c r="M334" s="88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</row>
    <row r="335" spans="2:39" ht="41.25" customHeight="1" outlineLevel="1">
      <c r="B335" s="21"/>
      <c r="C335" s="57" t="str">
        <f t="shared" si="11"/>
        <v/>
      </c>
      <c r="D335" s="18"/>
      <c r="E335" s="18"/>
      <c r="F335" s="15"/>
      <c r="G335" s="19"/>
      <c r="H335" s="19"/>
      <c r="I335" s="19"/>
      <c r="J335" s="22"/>
      <c r="K335" s="81"/>
      <c r="M335" s="88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</row>
    <row r="336" spans="2:39" ht="41.25" customHeight="1" outlineLevel="1">
      <c r="B336" s="21"/>
      <c r="C336" s="57" t="str">
        <f t="shared" si="11"/>
        <v/>
      </c>
      <c r="D336" s="18"/>
      <c r="E336" s="18"/>
      <c r="F336" s="15"/>
      <c r="G336" s="19"/>
      <c r="H336" s="19"/>
      <c r="I336" s="19"/>
      <c r="J336" s="22"/>
      <c r="K336" s="81"/>
      <c r="M336" s="88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</row>
    <row r="337" spans="2:39" ht="41.25" customHeight="1" outlineLevel="1">
      <c r="B337" s="21"/>
      <c r="C337" s="57" t="str">
        <f t="shared" si="11"/>
        <v/>
      </c>
      <c r="D337" s="18"/>
      <c r="E337" s="18"/>
      <c r="F337" s="15"/>
      <c r="G337" s="19"/>
      <c r="H337" s="19"/>
      <c r="I337" s="19"/>
      <c r="J337" s="22"/>
      <c r="K337" s="81"/>
      <c r="M337" s="88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</row>
    <row r="338" spans="2:39" ht="41.25" customHeight="1" outlineLevel="1">
      <c r="B338" s="21"/>
      <c r="C338" s="57" t="str">
        <f t="shared" si="11"/>
        <v/>
      </c>
      <c r="D338" s="18"/>
      <c r="E338" s="18"/>
      <c r="F338" s="15"/>
      <c r="G338" s="19"/>
      <c r="H338" s="19"/>
      <c r="I338" s="19"/>
      <c r="J338" s="22"/>
      <c r="K338" s="81"/>
      <c r="M338" s="88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</row>
    <row r="339" spans="2:39" ht="41.25" customHeight="1" outlineLevel="1">
      <c r="B339" s="18"/>
      <c r="C339" s="57" t="str">
        <f t="shared" si="11"/>
        <v/>
      </c>
      <c r="D339" s="18"/>
      <c r="E339" s="18"/>
      <c r="F339" s="15"/>
      <c r="G339" s="19"/>
      <c r="H339" s="19"/>
      <c r="I339" s="19"/>
      <c r="J339" s="22"/>
      <c r="K339" s="81"/>
      <c r="M339" s="88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</row>
    <row r="340" spans="2:39" ht="41.25" customHeight="1" outlineLevel="1">
      <c r="B340" s="18"/>
      <c r="C340" s="57" t="str">
        <f t="shared" si="11"/>
        <v/>
      </c>
      <c r="D340" s="18"/>
      <c r="E340" s="18"/>
      <c r="F340" s="15"/>
      <c r="G340" s="19"/>
      <c r="H340" s="19"/>
      <c r="I340" s="19"/>
      <c r="J340" s="22"/>
      <c r="K340" s="81"/>
      <c r="M340" s="88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</row>
    <row r="341" spans="2:39" s="11" customFormat="1" ht="41.25" customHeight="1" outlineLevel="1">
      <c r="B341" s="24"/>
      <c r="C341" s="57" t="str">
        <f t="shared" si="11"/>
        <v/>
      </c>
      <c r="D341" s="24"/>
      <c r="E341" s="24"/>
      <c r="F341" s="25"/>
      <c r="G341" s="26"/>
      <c r="H341" s="26"/>
      <c r="I341" s="26"/>
      <c r="J341" s="27"/>
      <c r="K341" s="83"/>
      <c r="L341" s="27"/>
      <c r="M341" s="89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2"/>
      <c r="AL341" s="27"/>
      <c r="AM341" s="27"/>
    </row>
    <row r="342" spans="2:39" ht="41.25" customHeight="1" outlineLevel="1">
      <c r="B342" s="18"/>
      <c r="C342" s="57" t="str">
        <f t="shared" si="11"/>
        <v/>
      </c>
      <c r="D342" s="18"/>
      <c r="E342" s="18"/>
      <c r="F342" s="15"/>
      <c r="G342" s="19"/>
      <c r="H342" s="19"/>
      <c r="I342" s="19"/>
      <c r="J342" s="22"/>
      <c r="K342" s="81"/>
      <c r="M342" s="88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7"/>
      <c r="AL342" s="22"/>
      <c r="AM342" s="22"/>
    </row>
    <row r="343" spans="2:39" ht="41.25" customHeight="1" outlineLevel="1">
      <c r="B343" s="18"/>
      <c r="C343" s="57" t="str">
        <f t="shared" si="11"/>
        <v/>
      </c>
      <c r="D343" s="18"/>
      <c r="E343" s="18"/>
      <c r="F343" s="15"/>
      <c r="G343" s="19"/>
      <c r="H343" s="19"/>
      <c r="I343" s="19"/>
      <c r="J343" s="22"/>
      <c r="K343" s="81"/>
      <c r="M343" s="88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</row>
    <row r="344" spans="2:39" ht="41.25" customHeight="1" outlineLevel="1">
      <c r="B344" s="18"/>
      <c r="C344" s="57" t="str">
        <f t="shared" si="11"/>
        <v/>
      </c>
      <c r="D344" s="18"/>
      <c r="E344" s="18"/>
      <c r="F344" s="15"/>
      <c r="G344" s="19"/>
      <c r="H344" s="19"/>
      <c r="I344" s="19"/>
      <c r="J344" s="22"/>
      <c r="K344" s="81"/>
      <c r="M344" s="88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</row>
    <row r="345" spans="2:39" ht="41.25" customHeight="1" outlineLevel="1">
      <c r="B345" s="18"/>
      <c r="C345" s="57" t="str">
        <f t="shared" si="11"/>
        <v/>
      </c>
      <c r="D345" s="18"/>
      <c r="E345" s="18"/>
      <c r="F345" s="15"/>
      <c r="G345" s="19"/>
      <c r="H345" s="19"/>
      <c r="I345" s="19"/>
      <c r="J345" s="22"/>
      <c r="K345" s="81"/>
      <c r="M345" s="88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</row>
    <row r="346" spans="2:39" ht="41.25" customHeight="1" outlineLevel="1">
      <c r="B346" s="18"/>
      <c r="C346" s="57" t="str">
        <f t="shared" si="11"/>
        <v/>
      </c>
      <c r="D346" s="18"/>
      <c r="E346" s="18"/>
      <c r="F346" s="15"/>
      <c r="G346" s="19"/>
      <c r="H346" s="19"/>
      <c r="I346" s="19"/>
      <c r="J346" s="22"/>
      <c r="K346" s="81"/>
      <c r="M346" s="88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</row>
    <row r="347" spans="2:39" ht="41.25" customHeight="1" outlineLevel="1">
      <c r="B347" s="18"/>
      <c r="C347" s="57" t="str">
        <f t="shared" si="11"/>
        <v/>
      </c>
      <c r="D347" s="18"/>
      <c r="E347" s="18"/>
      <c r="F347" s="15"/>
      <c r="G347" s="19"/>
      <c r="H347" s="19"/>
      <c r="I347" s="19"/>
      <c r="J347" s="22"/>
      <c r="K347" s="81"/>
      <c r="M347" s="88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</row>
    <row r="348" spans="2:39" ht="41.25" customHeight="1" outlineLevel="1">
      <c r="B348" s="18"/>
      <c r="C348" s="57" t="str">
        <f t="shared" si="11"/>
        <v/>
      </c>
      <c r="D348" s="18"/>
      <c r="E348" s="18"/>
      <c r="F348" s="15"/>
      <c r="G348" s="19"/>
      <c r="H348" s="19"/>
      <c r="I348" s="19"/>
      <c r="J348" s="22"/>
      <c r="K348" s="81"/>
      <c r="M348" s="88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</row>
    <row r="349" spans="2:39" ht="41.25" customHeight="1" outlineLevel="1">
      <c r="B349" s="18"/>
      <c r="C349" s="57" t="str">
        <f t="shared" si="11"/>
        <v/>
      </c>
      <c r="D349" s="18"/>
      <c r="E349" s="18"/>
      <c r="F349" s="15"/>
      <c r="G349" s="19"/>
      <c r="H349" s="19"/>
      <c r="I349" s="19"/>
      <c r="J349" s="22"/>
      <c r="K349" s="81"/>
      <c r="M349" s="88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</row>
    <row r="350" spans="2:39" ht="41.25" customHeight="1" outlineLevel="1">
      <c r="B350" s="18"/>
      <c r="C350" s="57" t="str">
        <f t="shared" si="11"/>
        <v/>
      </c>
      <c r="D350" s="18"/>
      <c r="E350" s="18"/>
      <c r="F350" s="15"/>
      <c r="G350" s="19"/>
      <c r="H350" s="19"/>
      <c r="I350" s="19"/>
      <c r="J350" s="22"/>
      <c r="K350" s="81"/>
      <c r="M350" s="88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</row>
    <row r="351" spans="2:39" ht="41.25" customHeight="1" outlineLevel="1">
      <c r="B351" s="18"/>
      <c r="C351" s="57" t="str">
        <f t="shared" si="11"/>
        <v/>
      </c>
      <c r="D351" s="18"/>
      <c r="E351" s="18"/>
      <c r="F351" s="15"/>
      <c r="G351" s="19"/>
      <c r="H351" s="19"/>
      <c r="I351" s="19"/>
      <c r="J351" s="22"/>
      <c r="K351" s="81"/>
      <c r="M351" s="88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</row>
    <row r="352" spans="2:39" ht="41.25" customHeight="1" outlineLevel="1">
      <c r="B352" s="18"/>
      <c r="C352" s="57" t="str">
        <f t="shared" si="11"/>
        <v/>
      </c>
      <c r="D352" s="18"/>
      <c r="E352" s="18"/>
      <c r="F352" s="15"/>
      <c r="G352" s="19"/>
      <c r="H352" s="19"/>
      <c r="I352" s="19"/>
      <c r="J352" s="22"/>
      <c r="K352" s="81"/>
      <c r="M352" s="88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</row>
    <row r="353" spans="2:39" ht="41.25" customHeight="1" outlineLevel="1">
      <c r="B353" s="18"/>
      <c r="C353" s="57" t="str">
        <f t="shared" si="11"/>
        <v/>
      </c>
      <c r="D353" s="18"/>
      <c r="E353" s="18"/>
      <c r="F353" s="15"/>
      <c r="G353" s="19"/>
      <c r="H353" s="19"/>
      <c r="I353" s="19"/>
      <c r="J353" s="22"/>
      <c r="K353" s="81"/>
      <c r="M353" s="88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</row>
    <row r="354" spans="2:39" ht="41.25" customHeight="1" outlineLevel="1">
      <c r="B354" s="18"/>
      <c r="C354" s="57" t="str">
        <f t="shared" si="11"/>
        <v/>
      </c>
      <c r="D354" s="18"/>
      <c r="E354" s="18"/>
      <c r="F354" s="15"/>
      <c r="G354" s="19"/>
      <c r="H354" s="19"/>
      <c r="I354" s="19"/>
      <c r="J354" s="22"/>
      <c r="K354" s="81"/>
      <c r="M354" s="88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</row>
    <row r="355" spans="2:39" ht="41.25" customHeight="1" outlineLevel="1">
      <c r="B355" s="18"/>
      <c r="C355" s="57" t="str">
        <f t="shared" si="11"/>
        <v/>
      </c>
      <c r="D355" s="18"/>
      <c r="E355" s="18"/>
      <c r="F355" s="15"/>
      <c r="G355" s="19"/>
      <c r="H355" s="19"/>
      <c r="I355" s="19"/>
      <c r="J355" s="22"/>
      <c r="K355" s="81"/>
      <c r="M355" s="88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</row>
    <row r="356" spans="2:39" ht="41.25" customHeight="1" outlineLevel="1">
      <c r="B356" s="18"/>
      <c r="C356" s="57" t="str">
        <f t="shared" si="11"/>
        <v/>
      </c>
      <c r="D356" s="18"/>
      <c r="E356" s="18"/>
      <c r="F356" s="15"/>
      <c r="G356" s="19"/>
      <c r="H356" s="19"/>
      <c r="I356" s="19"/>
      <c r="J356" s="22"/>
      <c r="K356" s="81"/>
      <c r="M356" s="88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</row>
    <row r="357" spans="2:39" ht="41.25" customHeight="1" outlineLevel="1">
      <c r="B357" s="18"/>
      <c r="C357" s="57" t="str">
        <f t="shared" si="11"/>
        <v/>
      </c>
      <c r="D357" s="18"/>
      <c r="E357" s="18"/>
      <c r="F357" s="15"/>
      <c r="G357" s="19"/>
      <c r="H357" s="19"/>
      <c r="I357" s="19"/>
      <c r="J357" s="22"/>
      <c r="K357" s="81"/>
      <c r="M357" s="88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</row>
    <row r="358" spans="2:39" ht="41.25" customHeight="1" outlineLevel="1">
      <c r="B358" s="18"/>
      <c r="C358" s="57" t="str">
        <f t="shared" si="11"/>
        <v/>
      </c>
      <c r="D358" s="18"/>
      <c r="E358" s="18"/>
      <c r="F358" s="15"/>
      <c r="G358" s="19"/>
      <c r="H358" s="19"/>
      <c r="I358" s="19"/>
      <c r="J358" s="22"/>
      <c r="K358" s="81"/>
      <c r="M358" s="88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</row>
    <row r="359" spans="2:39" ht="41.25" customHeight="1" outlineLevel="1">
      <c r="B359" s="18"/>
      <c r="C359" s="57" t="str">
        <f t="shared" si="11"/>
        <v/>
      </c>
      <c r="D359" s="18"/>
      <c r="E359" s="18"/>
      <c r="F359" s="15"/>
      <c r="G359" s="19"/>
      <c r="H359" s="19"/>
      <c r="I359" s="19"/>
      <c r="J359" s="22"/>
      <c r="K359" s="81"/>
      <c r="M359" s="88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</row>
    <row r="360" spans="2:39" ht="41.25" customHeight="1" outlineLevel="1">
      <c r="B360" s="18"/>
      <c r="C360" s="57" t="str">
        <f t="shared" si="11"/>
        <v/>
      </c>
      <c r="D360" s="18"/>
      <c r="E360" s="18"/>
      <c r="F360" s="15"/>
      <c r="G360" s="19"/>
      <c r="H360" s="19"/>
      <c r="I360" s="19"/>
      <c r="J360" s="22"/>
      <c r="K360" s="81"/>
      <c r="M360" s="88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</row>
    <row r="361" spans="2:39" ht="41.25" customHeight="1" outlineLevel="1">
      <c r="B361" s="18"/>
      <c r="C361" s="57" t="str">
        <f t="shared" si="11"/>
        <v/>
      </c>
      <c r="D361" s="18"/>
      <c r="E361" s="18"/>
      <c r="F361" s="15"/>
      <c r="G361" s="19"/>
      <c r="H361" s="19"/>
      <c r="I361" s="19"/>
      <c r="J361" s="22"/>
      <c r="K361" s="81"/>
      <c r="M361" s="88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</row>
    <row r="362" spans="2:39" ht="41.25" customHeight="1" outlineLevel="1">
      <c r="B362" s="18"/>
      <c r="C362" s="57" t="str">
        <f t="shared" si="11"/>
        <v/>
      </c>
      <c r="D362" s="18"/>
      <c r="E362" s="18"/>
      <c r="F362" s="15"/>
      <c r="G362" s="19"/>
      <c r="H362" s="19"/>
      <c r="I362" s="19"/>
      <c r="J362" s="22"/>
      <c r="K362" s="81"/>
      <c r="M362" s="88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</row>
    <row r="363" spans="2:39" ht="41.25" customHeight="1" outlineLevel="1">
      <c r="B363" s="18"/>
      <c r="C363" s="57" t="str">
        <f t="shared" si="11"/>
        <v/>
      </c>
      <c r="D363" s="18"/>
      <c r="E363" s="18"/>
      <c r="F363" s="15"/>
      <c r="G363" s="19"/>
      <c r="H363" s="19"/>
      <c r="I363" s="19"/>
      <c r="J363" s="22"/>
      <c r="K363" s="81"/>
      <c r="M363" s="88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</row>
    <row r="364" spans="2:39" ht="41.25" customHeight="1" outlineLevel="1">
      <c r="B364" s="18"/>
      <c r="C364" s="57" t="str">
        <f t="shared" si="11"/>
        <v/>
      </c>
      <c r="D364" s="18"/>
      <c r="E364" s="18"/>
      <c r="F364" s="15"/>
      <c r="G364" s="19"/>
      <c r="H364" s="19"/>
      <c r="I364" s="19"/>
      <c r="J364" s="22"/>
      <c r="K364" s="81"/>
      <c r="M364" s="88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</row>
    <row r="365" spans="2:39" ht="41.25" customHeight="1" outlineLevel="1">
      <c r="B365" s="18"/>
      <c r="C365" s="57" t="str">
        <f t="shared" si="11"/>
        <v/>
      </c>
      <c r="D365" s="18"/>
      <c r="E365" s="18"/>
      <c r="F365" s="15"/>
      <c r="G365" s="19"/>
      <c r="H365" s="19"/>
      <c r="I365" s="19"/>
      <c r="J365" s="22"/>
      <c r="K365" s="81"/>
      <c r="M365" s="88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</row>
    <row r="366" spans="2:39" ht="41.25" customHeight="1" outlineLevel="1">
      <c r="B366" s="18"/>
      <c r="C366" s="57" t="str">
        <f t="shared" si="11"/>
        <v/>
      </c>
      <c r="D366" s="18"/>
      <c r="E366" s="18"/>
      <c r="F366" s="15"/>
      <c r="G366" s="19"/>
      <c r="H366" s="19"/>
      <c r="I366" s="19"/>
      <c r="J366" s="22"/>
      <c r="K366" s="81"/>
      <c r="M366" s="88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</row>
    <row r="367" spans="2:39" ht="41.25" customHeight="1" outlineLevel="1">
      <c r="B367" s="18"/>
      <c r="C367" s="57" t="str">
        <f t="shared" si="11"/>
        <v/>
      </c>
      <c r="D367" s="18"/>
      <c r="E367" s="18"/>
      <c r="F367" s="15"/>
      <c r="G367" s="19"/>
      <c r="H367" s="19"/>
      <c r="I367" s="19"/>
      <c r="J367" s="22"/>
      <c r="K367" s="81"/>
      <c r="M367" s="88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</row>
    <row r="368" spans="2:39" ht="41.25" customHeight="1" outlineLevel="1">
      <c r="B368" s="18"/>
      <c r="C368" s="57" t="str">
        <f t="shared" si="11"/>
        <v/>
      </c>
      <c r="D368" s="18"/>
      <c r="E368" s="18"/>
      <c r="F368" s="15"/>
      <c r="G368" s="19"/>
      <c r="H368" s="19"/>
      <c r="I368" s="19"/>
      <c r="J368" s="22"/>
      <c r="K368" s="81"/>
      <c r="M368" s="88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</row>
    <row r="369" spans="2:39" s="12" customFormat="1" ht="41.25" customHeight="1" outlineLevel="1">
      <c r="B369" s="28"/>
      <c r="C369" s="57" t="str">
        <f t="shared" ref="C369:C404" si="12">IF(B369="","",MONTH(B369))</f>
        <v/>
      </c>
      <c r="D369" s="28"/>
      <c r="E369" s="28"/>
      <c r="F369" s="29"/>
      <c r="G369" s="19"/>
      <c r="H369" s="19"/>
      <c r="I369" s="19"/>
      <c r="J369" s="33"/>
      <c r="K369" s="84"/>
      <c r="L369" s="33"/>
      <c r="M369" s="90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22"/>
      <c r="AL369" s="33"/>
      <c r="AM369" s="33"/>
    </row>
    <row r="370" spans="2:39" ht="41.25" customHeight="1" outlineLevel="1">
      <c r="B370" s="18"/>
      <c r="C370" s="57" t="str">
        <f t="shared" si="12"/>
        <v/>
      </c>
      <c r="D370" s="18"/>
      <c r="E370" s="18"/>
      <c r="F370" s="15"/>
      <c r="G370" s="19"/>
      <c r="H370" s="19"/>
      <c r="I370" s="19"/>
      <c r="J370" s="22"/>
      <c r="K370" s="81"/>
      <c r="M370" s="88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33"/>
      <c r="AL370" s="22"/>
      <c r="AM370" s="22"/>
    </row>
    <row r="371" spans="2:39" ht="41.25" customHeight="1" outlineLevel="1">
      <c r="B371" s="18"/>
      <c r="C371" s="57" t="str">
        <f t="shared" si="12"/>
        <v/>
      </c>
      <c r="D371" s="18"/>
      <c r="E371" s="18"/>
      <c r="F371" s="15"/>
      <c r="G371" s="19"/>
      <c r="H371" s="19"/>
      <c r="I371" s="19"/>
      <c r="J371" s="22"/>
      <c r="K371" s="81"/>
      <c r="M371" s="88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</row>
    <row r="372" spans="2:39" ht="41.25" customHeight="1" outlineLevel="1">
      <c r="B372" s="18"/>
      <c r="C372" s="57" t="str">
        <f t="shared" si="12"/>
        <v/>
      </c>
      <c r="D372" s="18"/>
      <c r="E372" s="18"/>
      <c r="F372" s="15"/>
      <c r="G372" s="19"/>
      <c r="H372" s="19"/>
      <c r="I372" s="19"/>
      <c r="J372" s="22"/>
      <c r="K372" s="81"/>
      <c r="M372" s="88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</row>
    <row r="373" spans="2:39" ht="41.25" customHeight="1" outlineLevel="1">
      <c r="B373" s="18"/>
      <c r="C373" s="57" t="str">
        <f t="shared" si="12"/>
        <v/>
      </c>
      <c r="D373" s="18"/>
      <c r="E373" s="18"/>
      <c r="F373" s="15"/>
      <c r="G373" s="19"/>
      <c r="H373" s="19"/>
      <c r="I373" s="19"/>
      <c r="J373" s="22"/>
      <c r="K373" s="81"/>
      <c r="M373" s="88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</row>
    <row r="374" spans="2:39" ht="41.25" customHeight="1" outlineLevel="1">
      <c r="B374" s="18"/>
      <c r="C374" s="57" t="str">
        <f t="shared" si="12"/>
        <v/>
      </c>
      <c r="D374" s="18"/>
      <c r="E374" s="18"/>
      <c r="F374" s="15"/>
      <c r="G374" s="19"/>
      <c r="H374" s="19"/>
      <c r="I374" s="19"/>
      <c r="J374" s="22"/>
      <c r="K374" s="81"/>
      <c r="M374" s="88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</row>
    <row r="375" spans="2:39" ht="41.25" customHeight="1" outlineLevel="1">
      <c r="B375" s="18"/>
      <c r="C375" s="57" t="str">
        <f t="shared" si="12"/>
        <v/>
      </c>
      <c r="D375" s="18"/>
      <c r="E375" s="18"/>
      <c r="F375" s="15"/>
      <c r="G375" s="19"/>
      <c r="H375" s="19"/>
      <c r="I375" s="19"/>
      <c r="J375" s="22"/>
      <c r="K375" s="81"/>
      <c r="M375" s="88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</row>
    <row r="376" spans="2:39" ht="41.25" customHeight="1" outlineLevel="1">
      <c r="B376" s="18"/>
      <c r="C376" s="57" t="str">
        <f t="shared" si="12"/>
        <v/>
      </c>
      <c r="D376" s="18"/>
      <c r="E376" s="18"/>
      <c r="F376" s="15"/>
      <c r="G376" s="19"/>
      <c r="H376" s="19"/>
      <c r="I376" s="19"/>
      <c r="J376" s="22"/>
      <c r="K376" s="81"/>
      <c r="M376" s="88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</row>
    <row r="377" spans="2:39" ht="41.25" customHeight="1" outlineLevel="1">
      <c r="B377" s="18"/>
      <c r="C377" s="57" t="str">
        <f t="shared" si="12"/>
        <v/>
      </c>
      <c r="D377" s="18"/>
      <c r="E377" s="18"/>
      <c r="F377" s="15"/>
      <c r="G377" s="19"/>
      <c r="H377" s="19"/>
      <c r="I377" s="19"/>
      <c r="J377" s="22"/>
      <c r="K377" s="81"/>
      <c r="M377" s="88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</row>
    <row r="378" spans="2:39" ht="41.25" customHeight="1" outlineLevel="1">
      <c r="B378" s="18"/>
      <c r="C378" s="57" t="str">
        <f t="shared" si="12"/>
        <v/>
      </c>
      <c r="D378" s="18"/>
      <c r="E378" s="18"/>
      <c r="F378" s="15"/>
      <c r="G378" s="19"/>
      <c r="H378" s="19"/>
      <c r="I378" s="19"/>
      <c r="J378" s="22"/>
      <c r="K378" s="81"/>
      <c r="M378" s="88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</row>
    <row r="379" spans="2:39" ht="41.25" customHeight="1" outlineLevel="1">
      <c r="B379" s="18"/>
      <c r="C379" s="57" t="str">
        <f t="shared" si="12"/>
        <v/>
      </c>
      <c r="D379" s="18"/>
      <c r="E379" s="18"/>
      <c r="F379" s="15"/>
      <c r="G379" s="19"/>
      <c r="H379" s="19"/>
      <c r="I379" s="19"/>
      <c r="J379" s="22"/>
      <c r="K379" s="81"/>
      <c r="M379" s="88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</row>
    <row r="380" spans="2:39" ht="41.25" customHeight="1" outlineLevel="1">
      <c r="B380" s="18"/>
      <c r="C380" s="57" t="str">
        <f t="shared" si="12"/>
        <v/>
      </c>
      <c r="D380" s="18"/>
      <c r="E380" s="18"/>
      <c r="F380" s="15"/>
      <c r="G380" s="19"/>
      <c r="H380" s="19"/>
      <c r="I380" s="19"/>
      <c r="J380" s="22"/>
      <c r="K380" s="81"/>
      <c r="M380" s="88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</row>
    <row r="381" spans="2:39" ht="41.25" customHeight="1" outlineLevel="1">
      <c r="B381" s="18"/>
      <c r="C381" s="57" t="str">
        <f t="shared" si="12"/>
        <v/>
      </c>
      <c r="D381" s="18"/>
      <c r="E381" s="18"/>
      <c r="F381" s="15"/>
      <c r="G381" s="19"/>
      <c r="H381" s="19"/>
      <c r="I381" s="19"/>
      <c r="J381" s="22"/>
      <c r="K381" s="81"/>
      <c r="M381" s="88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</row>
    <row r="382" spans="2:39" ht="41.25" customHeight="1" outlineLevel="1">
      <c r="B382" s="18"/>
      <c r="C382" s="57" t="str">
        <f t="shared" si="12"/>
        <v/>
      </c>
      <c r="D382" s="18"/>
      <c r="E382" s="18"/>
      <c r="F382" s="15"/>
      <c r="G382" s="19"/>
      <c r="H382" s="19"/>
      <c r="I382" s="19"/>
      <c r="J382" s="22"/>
      <c r="K382" s="81"/>
      <c r="M382" s="88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</row>
    <row r="383" spans="2:39" ht="41.25" customHeight="1" outlineLevel="1">
      <c r="B383" s="18"/>
      <c r="C383" s="57" t="str">
        <f t="shared" si="12"/>
        <v/>
      </c>
      <c r="D383" s="18"/>
      <c r="E383" s="18"/>
      <c r="F383" s="15"/>
      <c r="G383" s="19"/>
      <c r="H383" s="19"/>
      <c r="I383" s="19"/>
      <c r="J383" s="22"/>
      <c r="K383" s="81"/>
      <c r="M383" s="88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</row>
    <row r="384" spans="2:39" ht="41.25" customHeight="1" outlineLevel="1">
      <c r="B384" s="18"/>
      <c r="C384" s="57" t="str">
        <f t="shared" si="12"/>
        <v/>
      </c>
      <c r="D384" s="18"/>
      <c r="E384" s="18"/>
      <c r="F384" s="15"/>
      <c r="G384" s="19"/>
      <c r="H384" s="19"/>
      <c r="I384" s="19"/>
      <c r="J384" s="22"/>
      <c r="K384" s="81"/>
      <c r="M384" s="88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</row>
    <row r="385" spans="2:39" ht="41.25" customHeight="1" outlineLevel="1">
      <c r="B385" s="18"/>
      <c r="C385" s="57" t="str">
        <f t="shared" si="12"/>
        <v/>
      </c>
      <c r="D385" s="18"/>
      <c r="E385" s="18"/>
      <c r="F385" s="15"/>
      <c r="G385" s="19"/>
      <c r="H385" s="19"/>
      <c r="I385" s="19"/>
      <c r="J385" s="22"/>
      <c r="K385" s="81"/>
      <c r="M385" s="88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</row>
    <row r="386" spans="2:39" ht="41.25" customHeight="1" outlineLevel="1">
      <c r="B386" s="18"/>
      <c r="C386" s="57" t="str">
        <f t="shared" si="12"/>
        <v/>
      </c>
      <c r="D386" s="18"/>
      <c r="E386" s="18"/>
      <c r="F386" s="15"/>
      <c r="G386" s="19"/>
      <c r="H386" s="19"/>
      <c r="I386" s="19"/>
      <c r="J386" s="22"/>
      <c r="K386" s="81"/>
      <c r="M386" s="88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</row>
    <row r="387" spans="2:39" ht="41.25" customHeight="1" outlineLevel="1">
      <c r="B387" s="18"/>
      <c r="C387" s="57" t="str">
        <f t="shared" si="12"/>
        <v/>
      </c>
      <c r="D387" s="18"/>
      <c r="E387" s="18"/>
      <c r="F387" s="15"/>
      <c r="G387" s="19"/>
      <c r="H387" s="19"/>
      <c r="I387" s="19"/>
      <c r="J387" s="22"/>
      <c r="K387" s="81"/>
      <c r="M387" s="88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</row>
    <row r="388" spans="2:39" ht="41.25" customHeight="1" outlineLevel="1">
      <c r="B388" s="18"/>
      <c r="C388" s="57" t="str">
        <f t="shared" si="12"/>
        <v/>
      </c>
      <c r="D388" s="18"/>
      <c r="E388" s="18"/>
      <c r="F388" s="15"/>
      <c r="G388" s="19"/>
      <c r="H388" s="19"/>
      <c r="I388" s="19"/>
      <c r="J388" s="22"/>
      <c r="K388" s="81"/>
      <c r="M388" s="88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</row>
    <row r="389" spans="2:39" ht="41.25" customHeight="1" outlineLevel="1">
      <c r="B389" s="18"/>
      <c r="C389" s="57" t="str">
        <f t="shared" si="12"/>
        <v/>
      </c>
      <c r="D389" s="18"/>
      <c r="E389" s="18"/>
      <c r="F389" s="15"/>
      <c r="G389" s="19"/>
      <c r="H389" s="19"/>
      <c r="I389" s="19"/>
      <c r="J389" s="22"/>
      <c r="K389" s="81"/>
      <c r="M389" s="88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</row>
    <row r="390" spans="2:39" ht="41.25" customHeight="1" outlineLevel="1">
      <c r="B390" s="18"/>
      <c r="C390" s="57" t="str">
        <f t="shared" si="12"/>
        <v/>
      </c>
      <c r="D390" s="18"/>
      <c r="E390" s="18"/>
      <c r="F390" s="15"/>
      <c r="G390" s="19"/>
      <c r="H390" s="19"/>
      <c r="I390" s="19"/>
      <c r="J390" s="22"/>
      <c r="K390" s="81"/>
      <c r="M390" s="88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</row>
    <row r="391" spans="2:39" ht="41.25" customHeight="1" outlineLevel="1">
      <c r="B391" s="18"/>
      <c r="C391" s="57" t="str">
        <f t="shared" si="12"/>
        <v/>
      </c>
      <c r="D391" s="18"/>
      <c r="E391" s="18"/>
      <c r="F391" s="15"/>
      <c r="G391" s="19"/>
      <c r="H391" s="19"/>
      <c r="I391" s="19"/>
      <c r="J391" s="22"/>
      <c r="K391" s="81"/>
      <c r="M391" s="88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</row>
    <row r="392" spans="2:39" ht="41.25" customHeight="1" outlineLevel="1">
      <c r="B392" s="18"/>
      <c r="C392" s="57" t="str">
        <f t="shared" si="12"/>
        <v/>
      </c>
      <c r="D392" s="18"/>
      <c r="E392" s="18"/>
      <c r="F392" s="15"/>
      <c r="G392" s="19"/>
      <c r="H392" s="19"/>
      <c r="I392" s="19"/>
      <c r="J392" s="22"/>
      <c r="K392" s="81"/>
      <c r="M392" s="88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</row>
    <row r="393" spans="2:39" ht="41.25" customHeight="1" outlineLevel="1">
      <c r="B393" s="18"/>
      <c r="C393" s="57" t="str">
        <f t="shared" si="12"/>
        <v/>
      </c>
      <c r="D393" s="18"/>
      <c r="E393" s="18"/>
      <c r="F393" s="15"/>
      <c r="G393" s="19"/>
      <c r="H393" s="19"/>
      <c r="I393" s="19"/>
      <c r="J393" s="22"/>
      <c r="K393" s="81"/>
      <c r="M393" s="88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</row>
    <row r="394" spans="2:39" ht="41.25" customHeight="1" outlineLevel="1">
      <c r="B394" s="18"/>
      <c r="C394" s="57" t="str">
        <f t="shared" si="12"/>
        <v/>
      </c>
      <c r="D394" s="18"/>
      <c r="E394" s="18"/>
      <c r="F394" s="15"/>
      <c r="G394" s="19"/>
      <c r="H394" s="19"/>
      <c r="I394" s="19"/>
      <c r="J394" s="22"/>
      <c r="K394" s="81"/>
      <c r="M394" s="88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</row>
    <row r="395" spans="2:39" ht="41.25" customHeight="1" outlineLevel="1">
      <c r="B395" s="18"/>
      <c r="C395" s="57" t="str">
        <f t="shared" si="12"/>
        <v/>
      </c>
      <c r="D395" s="18"/>
      <c r="E395" s="18"/>
      <c r="F395" s="15"/>
      <c r="G395" s="19"/>
      <c r="H395" s="19"/>
      <c r="I395" s="19"/>
      <c r="J395" s="22"/>
      <c r="K395" s="81"/>
      <c r="M395" s="88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</row>
    <row r="396" spans="2:39" ht="41.25" customHeight="1" outlineLevel="1">
      <c r="B396" s="18"/>
      <c r="C396" s="57" t="str">
        <f t="shared" si="12"/>
        <v/>
      </c>
      <c r="D396" s="18"/>
      <c r="E396" s="18"/>
      <c r="F396" s="15"/>
      <c r="G396" s="19"/>
      <c r="H396" s="19"/>
      <c r="I396" s="19"/>
      <c r="J396" s="22"/>
      <c r="K396" s="81"/>
      <c r="M396" s="88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</row>
    <row r="397" spans="2:39" ht="41.25" customHeight="1" outlineLevel="1">
      <c r="B397" s="18"/>
      <c r="C397" s="57" t="str">
        <f t="shared" si="12"/>
        <v/>
      </c>
      <c r="D397" s="18"/>
      <c r="E397" s="18"/>
      <c r="F397" s="15"/>
      <c r="G397" s="19"/>
      <c r="H397" s="19"/>
      <c r="I397" s="19"/>
      <c r="J397" s="22"/>
      <c r="K397" s="81"/>
      <c r="M397" s="88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</row>
    <row r="398" spans="2:39" ht="41.25" customHeight="1" outlineLevel="1">
      <c r="B398" s="18"/>
      <c r="C398" s="57" t="str">
        <f t="shared" si="12"/>
        <v/>
      </c>
      <c r="D398" s="18"/>
      <c r="E398" s="18"/>
      <c r="F398" s="15"/>
      <c r="G398" s="19"/>
      <c r="H398" s="19"/>
      <c r="I398" s="19"/>
      <c r="J398" s="22"/>
      <c r="K398" s="81"/>
      <c r="M398" s="88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</row>
    <row r="399" spans="2:39" ht="41.25" customHeight="1" outlineLevel="1">
      <c r="B399" s="18"/>
      <c r="C399" s="57" t="str">
        <f t="shared" si="12"/>
        <v/>
      </c>
      <c r="D399" s="18"/>
      <c r="E399" s="18"/>
      <c r="F399" s="15"/>
      <c r="G399" s="19"/>
      <c r="H399" s="19"/>
      <c r="I399" s="19"/>
      <c r="J399" s="22"/>
      <c r="K399" s="81"/>
      <c r="M399" s="88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</row>
    <row r="400" spans="2:39" ht="41.25" customHeight="1" outlineLevel="1">
      <c r="B400" s="18"/>
      <c r="C400" s="57" t="str">
        <f t="shared" si="12"/>
        <v/>
      </c>
      <c r="D400" s="18"/>
      <c r="E400" s="18"/>
      <c r="F400" s="15"/>
      <c r="G400" s="19"/>
      <c r="H400" s="19"/>
      <c r="I400" s="19"/>
      <c r="J400" s="22"/>
      <c r="K400" s="81"/>
      <c r="M400" s="88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</row>
    <row r="401" spans="2:39" ht="41.25" customHeight="1" outlineLevel="1">
      <c r="B401" s="18"/>
      <c r="C401" s="57" t="str">
        <f t="shared" si="12"/>
        <v/>
      </c>
      <c r="D401" s="18"/>
      <c r="E401" s="18"/>
      <c r="F401" s="15"/>
      <c r="G401" s="19"/>
      <c r="H401" s="19"/>
      <c r="I401" s="19"/>
      <c r="J401" s="22"/>
      <c r="K401" s="81"/>
      <c r="M401" s="88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</row>
    <row r="402" spans="2:39" ht="41.25" customHeight="1" outlineLevel="1">
      <c r="B402" s="18"/>
      <c r="C402" s="57" t="str">
        <f t="shared" si="12"/>
        <v/>
      </c>
      <c r="D402" s="18"/>
      <c r="E402" s="18"/>
      <c r="F402" s="15"/>
      <c r="G402" s="19"/>
      <c r="H402" s="19"/>
      <c r="I402" s="19"/>
      <c r="J402" s="22"/>
      <c r="K402" s="81"/>
      <c r="M402" s="88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</row>
    <row r="403" spans="2:39" ht="41.25" customHeight="1" outlineLevel="1">
      <c r="B403" s="18"/>
      <c r="C403" s="57" t="str">
        <f t="shared" si="12"/>
        <v/>
      </c>
      <c r="D403" s="18"/>
      <c r="E403" s="18"/>
      <c r="F403" s="15"/>
      <c r="G403" s="19"/>
      <c r="H403" s="19"/>
      <c r="I403" s="19"/>
      <c r="J403" s="22"/>
      <c r="K403" s="81"/>
      <c r="M403" s="88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</row>
    <row r="404" spans="2:39" ht="41.25" customHeight="1" outlineLevel="1">
      <c r="B404" s="18"/>
      <c r="C404" s="57" t="str">
        <f t="shared" si="12"/>
        <v/>
      </c>
      <c r="D404" s="18"/>
      <c r="E404" s="18"/>
      <c r="F404" s="15"/>
      <c r="G404" s="19"/>
      <c r="H404" s="19"/>
      <c r="I404" s="19"/>
      <c r="J404" s="22"/>
      <c r="K404" s="81"/>
      <c r="M404" s="88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</row>
    <row r="405" spans="2:39" ht="29.4" customHeight="1">
      <c r="B405" s="30"/>
      <c r="C405" s="30"/>
      <c r="D405" s="30"/>
      <c r="E405" s="30"/>
      <c r="F405" s="30"/>
      <c r="G405" s="31"/>
      <c r="H405" s="31"/>
      <c r="I405" s="31"/>
      <c r="J405" s="34"/>
      <c r="K405" s="85"/>
      <c r="L405" s="34"/>
      <c r="M405" s="91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</row>
    <row r="406" spans="2:39">
      <c r="B406"/>
      <c r="C406"/>
    </row>
    <row r="407" spans="2:39">
      <c r="B407"/>
      <c r="C407"/>
    </row>
    <row r="408" spans="2:39" ht="27" customHeight="1"/>
    <row r="409" spans="2:39">
      <c r="B409" t="s">
        <v>11</v>
      </c>
      <c r="C409" t="s">
        <v>12</v>
      </c>
      <c r="D409"/>
      <c r="E409"/>
      <c r="F409"/>
      <c r="G409"/>
      <c r="H409"/>
      <c r="I409"/>
      <c r="J409"/>
      <c r="K409"/>
      <c r="L409" s="94"/>
      <c r="M409"/>
      <c r="N409"/>
      <c r="O409"/>
      <c r="P409"/>
      <c r="Q409"/>
      <c r="R409"/>
      <c r="S409"/>
    </row>
    <row r="410" spans="2:39">
      <c r="B410" s="7" t="s">
        <v>13</v>
      </c>
      <c r="C410"/>
      <c r="D410"/>
      <c r="E410"/>
      <c r="F410"/>
      <c r="G410"/>
      <c r="H410"/>
      <c r="I410"/>
      <c r="J410"/>
      <c r="K410"/>
      <c r="L410" s="94"/>
      <c r="M410"/>
      <c r="N410"/>
      <c r="O410"/>
      <c r="P410"/>
      <c r="Q410"/>
      <c r="R410"/>
      <c r="S410"/>
    </row>
    <row r="411" spans="2:39">
      <c r="B411" s="7" t="s">
        <v>6</v>
      </c>
      <c r="C411"/>
      <c r="D411"/>
      <c r="E411"/>
      <c r="F411"/>
      <c r="G411"/>
      <c r="H411"/>
      <c r="I411"/>
      <c r="J411"/>
      <c r="K411"/>
      <c r="L411" s="94"/>
      <c r="M411"/>
      <c r="N411"/>
      <c r="O411"/>
      <c r="P411"/>
      <c r="Q411"/>
      <c r="R411"/>
      <c r="S411"/>
    </row>
    <row r="412" spans="2:39">
      <c r="B412" s="7" t="s">
        <v>14</v>
      </c>
      <c r="C412"/>
      <c r="D412"/>
      <c r="E412"/>
      <c r="F412"/>
      <c r="G412"/>
      <c r="H412"/>
      <c r="I412"/>
      <c r="J412"/>
      <c r="K412"/>
      <c r="L412" s="94"/>
      <c r="M412"/>
      <c r="N412"/>
      <c r="O412"/>
      <c r="P412"/>
      <c r="Q412"/>
      <c r="R412"/>
      <c r="S412"/>
    </row>
    <row r="413" spans="2:39">
      <c r="B413"/>
      <c r="C413"/>
      <c r="D413"/>
      <c r="E413"/>
      <c r="F413"/>
      <c r="G413"/>
      <c r="H413"/>
      <c r="I413"/>
      <c r="J413"/>
      <c r="K413"/>
      <c r="L413" s="94"/>
      <c r="M413"/>
      <c r="N413"/>
      <c r="O413"/>
      <c r="P413"/>
      <c r="Q413"/>
      <c r="R413"/>
      <c r="S413"/>
    </row>
    <row r="414" spans="2:39">
      <c r="B414"/>
      <c r="C414"/>
      <c r="D414"/>
      <c r="E414"/>
      <c r="F414"/>
      <c r="G414"/>
      <c r="H414"/>
      <c r="I414"/>
      <c r="J414"/>
      <c r="K414"/>
      <c r="L414" s="94"/>
      <c r="M414"/>
      <c r="N414"/>
      <c r="O414"/>
      <c r="P414"/>
      <c r="Q414"/>
      <c r="R414"/>
      <c r="S414"/>
    </row>
    <row r="415" spans="2:39">
      <c r="B415"/>
      <c r="C415"/>
      <c r="D415"/>
      <c r="E415"/>
      <c r="F415"/>
      <c r="G415"/>
      <c r="H415"/>
      <c r="I415"/>
      <c r="J415"/>
      <c r="K415"/>
      <c r="L415" s="94"/>
      <c r="M415"/>
      <c r="N415"/>
      <c r="O415"/>
      <c r="P415"/>
      <c r="Q415"/>
      <c r="R415"/>
      <c r="S415"/>
    </row>
    <row r="416" spans="2:39">
      <c r="B416"/>
      <c r="C416"/>
      <c r="D416"/>
      <c r="E416"/>
      <c r="F416"/>
      <c r="G416"/>
      <c r="H416"/>
      <c r="I416"/>
      <c r="J416"/>
      <c r="K416"/>
      <c r="L416" s="94"/>
      <c r="M416"/>
      <c r="N416"/>
      <c r="O416"/>
      <c r="P416"/>
      <c r="Q416"/>
      <c r="R416"/>
      <c r="S416"/>
    </row>
    <row r="417" spans="2:19">
      <c r="B417"/>
      <c r="C417"/>
      <c r="D417"/>
      <c r="E417"/>
      <c r="F417"/>
      <c r="G417"/>
      <c r="H417"/>
      <c r="I417"/>
      <c r="J417"/>
      <c r="K417"/>
      <c r="L417" s="94"/>
      <c r="M417"/>
      <c r="N417"/>
      <c r="O417"/>
      <c r="P417"/>
      <c r="Q417"/>
      <c r="R417"/>
      <c r="S417"/>
    </row>
    <row r="418" spans="2:19">
      <c r="B418"/>
      <c r="C418"/>
      <c r="D418"/>
      <c r="E418"/>
      <c r="F418"/>
      <c r="G418"/>
      <c r="H418"/>
      <c r="I418"/>
      <c r="J418"/>
      <c r="K418"/>
      <c r="L418" s="94"/>
      <c r="M418"/>
      <c r="N418"/>
      <c r="O418"/>
      <c r="P418"/>
      <c r="Q418"/>
      <c r="R418"/>
      <c r="S418"/>
    </row>
    <row r="419" spans="2:19">
      <c r="B419"/>
      <c r="C419"/>
      <c r="D419"/>
      <c r="E419"/>
      <c r="F419"/>
      <c r="G419"/>
      <c r="H419"/>
      <c r="I419"/>
      <c r="J419"/>
      <c r="K419"/>
      <c r="L419" s="94"/>
      <c r="M419"/>
      <c r="N419"/>
      <c r="O419"/>
      <c r="P419"/>
      <c r="Q419"/>
      <c r="R419"/>
      <c r="S419"/>
    </row>
    <row r="420" spans="2:19">
      <c r="B420"/>
      <c r="C420"/>
      <c r="D420"/>
      <c r="E420"/>
      <c r="F420"/>
      <c r="G420"/>
      <c r="H420"/>
      <c r="I420"/>
      <c r="J420"/>
      <c r="K420"/>
      <c r="L420" s="94"/>
      <c r="M420"/>
      <c r="N420"/>
      <c r="O420"/>
      <c r="P420"/>
      <c r="Q420"/>
      <c r="R420"/>
      <c r="S420"/>
    </row>
    <row r="421" spans="2:19">
      <c r="B421"/>
      <c r="C421"/>
      <c r="D421"/>
      <c r="E421"/>
      <c r="F421"/>
      <c r="G421"/>
      <c r="H421"/>
      <c r="I421"/>
      <c r="J421"/>
      <c r="K421"/>
      <c r="L421" s="94"/>
      <c r="M421"/>
      <c r="N421"/>
      <c r="O421"/>
      <c r="P421"/>
      <c r="Q421"/>
      <c r="R421"/>
      <c r="S421"/>
    </row>
    <row r="422" spans="2:19">
      <c r="B422"/>
      <c r="C422"/>
      <c r="D422"/>
      <c r="E422"/>
      <c r="F422"/>
      <c r="G422"/>
      <c r="H422"/>
      <c r="I422"/>
      <c r="J422"/>
      <c r="K422"/>
      <c r="L422" s="94"/>
      <c r="M422"/>
      <c r="N422"/>
      <c r="O422"/>
      <c r="P422"/>
      <c r="Q422"/>
      <c r="R422"/>
      <c r="S422"/>
    </row>
    <row r="423" spans="2:19">
      <c r="B423"/>
      <c r="C423"/>
      <c r="D423"/>
      <c r="E423"/>
      <c r="F423"/>
      <c r="G423"/>
      <c r="H423"/>
      <c r="I423"/>
      <c r="J423"/>
      <c r="K423"/>
      <c r="L423" s="94"/>
      <c r="M423"/>
      <c r="N423"/>
      <c r="O423"/>
      <c r="P423"/>
      <c r="Q423"/>
      <c r="R423"/>
      <c r="S423"/>
    </row>
    <row r="424" spans="2:19">
      <c r="B424"/>
      <c r="C424"/>
      <c r="D424"/>
      <c r="E424"/>
      <c r="F424"/>
      <c r="G424"/>
      <c r="H424"/>
      <c r="I424"/>
      <c r="J424"/>
      <c r="K424"/>
      <c r="L424" s="94"/>
      <c r="M424"/>
      <c r="N424"/>
      <c r="O424"/>
      <c r="P424"/>
      <c r="Q424"/>
      <c r="R424"/>
      <c r="S424"/>
    </row>
    <row r="425" spans="2:19">
      <c r="B425"/>
      <c r="C425"/>
      <c r="D425"/>
      <c r="E425"/>
      <c r="F425"/>
      <c r="G425"/>
      <c r="H425"/>
      <c r="I425"/>
      <c r="J425"/>
      <c r="K425"/>
      <c r="L425" s="94"/>
      <c r="M425"/>
      <c r="N425"/>
      <c r="O425"/>
      <c r="P425"/>
      <c r="Q425"/>
      <c r="R425"/>
      <c r="S425"/>
    </row>
    <row r="426" spans="2:19">
      <c r="B426"/>
      <c r="C426"/>
      <c r="D426"/>
      <c r="E426"/>
      <c r="F426"/>
      <c r="G426"/>
      <c r="H426"/>
      <c r="I426"/>
      <c r="J426"/>
      <c r="K426"/>
      <c r="L426" s="94"/>
      <c r="M426"/>
      <c r="N426"/>
      <c r="O426"/>
      <c r="P426"/>
      <c r="Q426"/>
      <c r="R426"/>
      <c r="S426"/>
    </row>
    <row r="427" spans="2:19">
      <c r="B427"/>
      <c r="C427"/>
      <c r="D427"/>
      <c r="E427"/>
      <c r="F427" s="32"/>
      <c r="G427"/>
      <c r="H427"/>
      <c r="I427"/>
      <c r="J427"/>
      <c r="K427"/>
      <c r="L427" s="94"/>
      <c r="M427"/>
      <c r="N427"/>
      <c r="O427"/>
      <c r="P427"/>
      <c r="Q427"/>
      <c r="R427"/>
      <c r="S427"/>
    </row>
    <row r="428" spans="2:19">
      <c r="B428"/>
      <c r="C428"/>
      <c r="D428"/>
      <c r="E428"/>
      <c r="F428"/>
      <c r="G428"/>
      <c r="H428"/>
      <c r="I428"/>
      <c r="J428"/>
      <c r="K428"/>
      <c r="L428" s="94"/>
      <c r="M428"/>
      <c r="N428"/>
      <c r="O428"/>
      <c r="P428"/>
      <c r="Q428"/>
      <c r="R428"/>
      <c r="S428"/>
    </row>
    <row r="429" spans="2:19">
      <c r="B429"/>
      <c r="C429"/>
      <c r="D429"/>
      <c r="E429"/>
      <c r="F429"/>
      <c r="G429"/>
      <c r="H429"/>
      <c r="I429"/>
      <c r="J429"/>
      <c r="K429"/>
      <c r="L429" s="94"/>
      <c r="M429"/>
      <c r="N429"/>
      <c r="O429"/>
      <c r="P429"/>
      <c r="Q429"/>
      <c r="R429"/>
      <c r="S429"/>
    </row>
    <row r="430" spans="2:19">
      <c r="B430"/>
      <c r="C430"/>
      <c r="D430"/>
      <c r="E430"/>
      <c r="F430"/>
      <c r="G430"/>
      <c r="H430"/>
      <c r="I430"/>
      <c r="J430"/>
      <c r="K430"/>
      <c r="L430" s="94"/>
      <c r="M430"/>
      <c r="N430"/>
      <c r="O430"/>
      <c r="P430"/>
      <c r="Q430"/>
      <c r="R430"/>
      <c r="S430"/>
    </row>
    <row r="431" spans="2:19">
      <c r="B431"/>
      <c r="C431"/>
      <c r="D431"/>
      <c r="E431"/>
      <c r="F431"/>
      <c r="G431"/>
      <c r="H431"/>
      <c r="I431"/>
      <c r="J431"/>
      <c r="K431"/>
      <c r="L431" s="94"/>
      <c r="M431"/>
      <c r="N431"/>
      <c r="O431"/>
      <c r="P431"/>
      <c r="Q431"/>
      <c r="R431"/>
      <c r="S431"/>
    </row>
    <row r="432" spans="2:19">
      <c r="B432"/>
      <c r="C432"/>
      <c r="D432"/>
      <c r="E432"/>
      <c r="F432"/>
      <c r="G432"/>
      <c r="H432"/>
      <c r="I432"/>
      <c r="J432"/>
      <c r="K432"/>
      <c r="L432" s="94"/>
      <c r="M432"/>
      <c r="N432"/>
      <c r="O432"/>
      <c r="P432"/>
      <c r="Q432"/>
      <c r="R432"/>
      <c r="S432"/>
    </row>
    <row r="433" spans="2:19">
      <c r="B433"/>
      <c r="C433"/>
      <c r="D433"/>
      <c r="E433"/>
      <c r="F433"/>
      <c r="G433"/>
      <c r="H433"/>
      <c r="I433"/>
      <c r="J433"/>
      <c r="K433"/>
      <c r="L433" s="94"/>
      <c r="M433"/>
      <c r="N433"/>
      <c r="O433"/>
      <c r="P433"/>
      <c r="Q433"/>
      <c r="R433"/>
      <c r="S433"/>
    </row>
    <row r="434" spans="2:19">
      <c r="B434"/>
      <c r="C434"/>
      <c r="D434"/>
      <c r="E434"/>
      <c r="F434"/>
      <c r="G434"/>
      <c r="H434"/>
      <c r="I434"/>
      <c r="J434"/>
      <c r="K434"/>
      <c r="L434" s="94"/>
      <c r="M434"/>
      <c r="N434"/>
      <c r="O434"/>
      <c r="P434"/>
      <c r="Q434"/>
      <c r="R434"/>
      <c r="S434"/>
    </row>
    <row r="435" spans="2:19">
      <c r="B435"/>
      <c r="C435"/>
      <c r="D435"/>
      <c r="E435"/>
      <c r="F435"/>
      <c r="G435"/>
      <c r="H435"/>
      <c r="I435"/>
      <c r="J435"/>
      <c r="K435"/>
      <c r="L435" s="94"/>
      <c r="M435"/>
      <c r="N435"/>
      <c r="O435"/>
      <c r="P435"/>
      <c r="Q435"/>
      <c r="R435"/>
      <c r="S435"/>
    </row>
    <row r="436" spans="2:19">
      <c r="B436"/>
      <c r="C436"/>
      <c r="D436"/>
      <c r="E436"/>
      <c r="F436"/>
      <c r="G436"/>
      <c r="H436"/>
      <c r="I436"/>
      <c r="J436"/>
      <c r="K436"/>
      <c r="L436" s="94"/>
      <c r="M436"/>
      <c r="N436"/>
      <c r="O436"/>
      <c r="P436"/>
      <c r="Q436"/>
      <c r="R436"/>
      <c r="S436"/>
    </row>
    <row r="437" spans="2:19">
      <c r="B437"/>
      <c r="C437"/>
      <c r="D437"/>
      <c r="E437"/>
      <c r="F437"/>
      <c r="G437"/>
      <c r="H437"/>
      <c r="I437"/>
      <c r="J437"/>
      <c r="K437"/>
      <c r="L437" s="94"/>
      <c r="M437"/>
      <c r="N437"/>
      <c r="O437"/>
      <c r="P437"/>
      <c r="Q437"/>
      <c r="R437"/>
      <c r="S437"/>
    </row>
    <row r="438" spans="2:19">
      <c r="B438"/>
      <c r="C438"/>
      <c r="D438"/>
      <c r="E438"/>
      <c r="F438"/>
      <c r="G438"/>
      <c r="H438"/>
      <c r="I438"/>
      <c r="J438"/>
      <c r="K438"/>
      <c r="L438" s="94"/>
      <c r="M438"/>
      <c r="N438"/>
      <c r="O438"/>
      <c r="P438"/>
      <c r="Q438"/>
      <c r="R438"/>
      <c r="S438"/>
    </row>
    <row r="439" spans="2:19">
      <c r="B439"/>
      <c r="C439"/>
      <c r="D439"/>
      <c r="E439"/>
      <c r="F439"/>
      <c r="G439"/>
      <c r="H439"/>
      <c r="I439"/>
      <c r="J439"/>
      <c r="K439"/>
      <c r="L439" s="94"/>
      <c r="M439"/>
      <c r="N439"/>
      <c r="O439"/>
      <c r="P439"/>
      <c r="Q439"/>
      <c r="R439"/>
      <c r="S439"/>
    </row>
    <row r="440" spans="2:19">
      <c r="B440"/>
      <c r="C440"/>
      <c r="D440"/>
      <c r="E440"/>
      <c r="F440"/>
    </row>
  </sheetData>
  <mergeCells count="11">
    <mergeCell ref="T4:W4"/>
    <mergeCell ref="E1:G1"/>
    <mergeCell ref="E2:G2"/>
    <mergeCell ref="J4:K4"/>
    <mergeCell ref="L4:P4"/>
    <mergeCell ref="Q4:S4"/>
    <mergeCell ref="Y4:AA4"/>
    <mergeCell ref="AC4:AF4"/>
    <mergeCell ref="AG4:AH4"/>
    <mergeCell ref="AI4:AJ4"/>
    <mergeCell ref="AL4:AM4"/>
  </mergeCells>
  <phoneticPr fontId="18" type="noConversion"/>
  <conditionalFormatting sqref="C6:C404">
    <cfRule type="cellIs" dxfId="11" priority="1" operator="between">
      <formula>"B1"</formula>
      <formula>"B100"</formula>
    </cfRule>
    <cfRule type="cellIs" dxfId="10" priority="2" operator="equal">
      <formula>"HA"</formula>
    </cfRule>
    <cfRule type="cellIs" dxfId="9" priority="3" operator="equal">
      <formula>"LD"</formula>
    </cfRule>
  </conditionalFormatting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C568813-09B0-4ED5-A799-CF0D1B6ADABE}">
          <x14:formula1>
            <xm:f>LOOKUP!$F$2:$F$9</xm:f>
          </x14:formula1>
          <xm:sqref>I6:I167</xm:sqref>
        </x14:dataValidation>
        <x14:dataValidation type="list" allowBlank="1" showInputMessage="1" showErrorMessage="1" xr:uid="{602C385E-F7DA-4D75-AC7A-0A3E0528DE9C}">
          <x14:formula1>
            <xm:f>LOOKUP!$E$2:$E$9</xm:f>
          </x14:formula1>
          <xm:sqref>H6:H167</xm:sqref>
        </x14:dataValidation>
        <x14:dataValidation type="list" allowBlank="1" showInputMessage="1" showErrorMessage="1" xr:uid="{66298B9B-FFBC-4CA3-AB29-84209B1D59F4}">
          <x14:formula1>
            <xm:f>LOOKUP!$C$2:$C$6</xm:f>
          </x14:formula1>
          <xm:sqref>F6:F167</xm:sqref>
        </x14:dataValidation>
        <x14:dataValidation type="list" allowBlank="1" showInputMessage="1" showErrorMessage="1" xr:uid="{C1AA4EB8-9639-4283-A9E3-9B04E2DF1505}">
          <x14:formula1>
            <xm:f>LOOKUP!$A$2:$A$3</xm:f>
          </x14:formula1>
          <xm:sqref>E6:E167</xm:sqref>
        </x14:dataValidation>
        <x14:dataValidation type="list" allowBlank="1" showInputMessage="1" showErrorMessage="1" xr:uid="{A97A1CA8-E341-4191-8DDD-F391EA879662}">
          <x14:formula1>
            <xm:f>LOOKUP!$D$2:$D$20</xm:f>
          </x14:formula1>
          <xm:sqref>G6:G167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A8D4E-D26E-43CD-90A0-CCF4755F04B7}">
  <dimension ref="A1:CU440"/>
  <sheetViews>
    <sheetView zoomScale="50" zoomScaleNormal="50" workbookViewId="0">
      <selection activeCell="D47" sqref="D47"/>
    </sheetView>
  </sheetViews>
  <sheetFormatPr defaultColWidth="8.88671875" defaultRowHeight="18" outlineLevelRow="1"/>
  <cols>
    <col min="1" max="1" width="8.88671875" style="13"/>
    <col min="2" max="2" width="32.33203125" style="14" bestFit="1" customWidth="1"/>
    <col min="3" max="3" width="31.5546875" style="14" customWidth="1"/>
    <col min="4" max="4" width="29.109375" style="14" customWidth="1"/>
    <col min="5" max="6" width="16.6640625" style="14" customWidth="1"/>
    <col min="7" max="7" width="32.5546875" style="14" customWidth="1"/>
    <col min="8" max="8" width="36.5546875" style="14" bestFit="1" customWidth="1"/>
    <col min="9" max="9" width="22.6640625" style="14" bestFit="1" customWidth="1"/>
    <col min="10" max="11" width="36.33203125" style="13" bestFit="1" customWidth="1"/>
    <col min="12" max="12" width="25.33203125" style="22" customWidth="1"/>
    <col min="13" max="23" width="25.33203125" style="13" customWidth="1"/>
    <col min="24" max="27" width="32.6640625" style="13" customWidth="1"/>
    <col min="28" max="30" width="34.109375" style="13" customWidth="1"/>
    <col min="31" max="34" width="25.33203125" style="13" customWidth="1"/>
    <col min="35" max="35" width="34.109375" style="13" bestFit="1" customWidth="1"/>
    <col min="36" max="37" width="34.109375" style="13" customWidth="1"/>
    <col min="38" max="39" width="25.33203125" style="13" customWidth="1"/>
    <col min="40" max="16384" width="8.88671875" style="13"/>
  </cols>
  <sheetData>
    <row r="1" spans="2:39" ht="27" customHeight="1">
      <c r="E1" s="108" t="s">
        <v>60</v>
      </c>
      <c r="F1" s="108"/>
      <c r="G1" s="108"/>
      <c r="H1" s="16"/>
      <c r="I1" s="50"/>
      <c r="J1" s="68">
        <v>308.10000000000002</v>
      </c>
      <c r="K1" s="67">
        <v>487.82742006132287</v>
      </c>
      <c r="L1" s="92">
        <v>45.12</v>
      </c>
      <c r="M1" s="59">
        <v>68</v>
      </c>
      <c r="N1" s="59">
        <v>61.09</v>
      </c>
      <c r="O1" s="59">
        <v>61.09</v>
      </c>
      <c r="P1" s="59">
        <v>61.09</v>
      </c>
      <c r="Q1" s="59">
        <v>498.85</v>
      </c>
      <c r="R1" s="59">
        <v>513.01</v>
      </c>
      <c r="S1" s="59">
        <v>639</v>
      </c>
      <c r="T1" s="59">
        <v>443.78</v>
      </c>
      <c r="U1" s="59">
        <v>317.43</v>
      </c>
      <c r="V1" s="59">
        <v>184.75</v>
      </c>
      <c r="W1" s="59">
        <v>276.63</v>
      </c>
      <c r="X1" s="59">
        <v>439.59</v>
      </c>
      <c r="Y1" s="59">
        <v>794.42</v>
      </c>
      <c r="Z1" s="59">
        <v>726.72</v>
      </c>
      <c r="AA1" s="59"/>
      <c r="AB1" s="59">
        <v>66.52</v>
      </c>
      <c r="AC1" s="59">
        <v>78.930000000000007</v>
      </c>
      <c r="AD1" s="59">
        <v>79.930000000000007</v>
      </c>
      <c r="AE1" s="59">
        <v>108.19</v>
      </c>
      <c r="AF1" s="59">
        <v>94.13</v>
      </c>
      <c r="AG1" s="59">
        <v>343.33</v>
      </c>
      <c r="AH1" s="59">
        <v>136.44</v>
      </c>
      <c r="AI1" s="67">
        <v>69.959999999999994</v>
      </c>
      <c r="AJ1" s="67">
        <v>168.67893123083664</v>
      </c>
      <c r="AK1" s="67">
        <v>390.14016644765661</v>
      </c>
      <c r="AL1" s="59">
        <v>96.3</v>
      </c>
      <c r="AM1" s="60">
        <v>96.3</v>
      </c>
    </row>
    <row r="2" spans="2:39" ht="27" customHeight="1">
      <c r="E2" s="108" t="s">
        <v>59</v>
      </c>
      <c r="F2" s="108"/>
      <c r="G2" s="108"/>
      <c r="H2" s="51">
        <f>SUM(J2:AM2)</f>
        <v>34691.511362242672</v>
      </c>
      <c r="I2" s="50"/>
      <c r="J2" s="69">
        <f>J1*J3</f>
        <v>2156.7000000000003</v>
      </c>
      <c r="K2" s="63">
        <f>K1*K3</f>
        <v>9268.7209811651337</v>
      </c>
      <c r="L2" s="93">
        <f t="shared" ref="L2:AM2" si="0">L1*L3</f>
        <v>406.08</v>
      </c>
      <c r="M2" s="62">
        <f t="shared" si="0"/>
        <v>0</v>
      </c>
      <c r="N2" s="62">
        <f t="shared" si="0"/>
        <v>488.72</v>
      </c>
      <c r="O2" s="62">
        <f t="shared" si="0"/>
        <v>244.36</v>
      </c>
      <c r="P2" s="62">
        <f t="shared" si="0"/>
        <v>0</v>
      </c>
      <c r="Q2" s="62">
        <f t="shared" si="0"/>
        <v>0</v>
      </c>
      <c r="R2" s="62">
        <f t="shared" si="0"/>
        <v>1026.02</v>
      </c>
      <c r="S2" s="62">
        <f t="shared" si="0"/>
        <v>1917</v>
      </c>
      <c r="T2" s="62">
        <f t="shared" si="0"/>
        <v>887.56</v>
      </c>
      <c r="U2" s="62">
        <f t="shared" si="0"/>
        <v>0</v>
      </c>
      <c r="V2" s="62">
        <f t="shared" si="0"/>
        <v>739</v>
      </c>
      <c r="W2" s="62">
        <f t="shared" si="0"/>
        <v>829.89</v>
      </c>
      <c r="X2" s="62">
        <f t="shared" si="0"/>
        <v>1758.36</v>
      </c>
      <c r="Y2" s="62">
        <f t="shared" si="0"/>
        <v>3177.68</v>
      </c>
      <c r="Z2" s="62">
        <f t="shared" si="0"/>
        <v>5087.04</v>
      </c>
      <c r="AA2" s="62">
        <f t="shared" si="0"/>
        <v>0</v>
      </c>
      <c r="AB2" s="62">
        <f t="shared" si="0"/>
        <v>0</v>
      </c>
      <c r="AC2" s="62">
        <f t="shared" si="0"/>
        <v>0</v>
      </c>
      <c r="AD2" s="62">
        <f t="shared" si="0"/>
        <v>0</v>
      </c>
      <c r="AE2" s="62">
        <f t="shared" si="0"/>
        <v>0</v>
      </c>
      <c r="AF2" s="62">
        <f t="shared" si="0"/>
        <v>1411.9499999999998</v>
      </c>
      <c r="AG2" s="62">
        <f t="shared" si="0"/>
        <v>686.66</v>
      </c>
      <c r="AH2" s="62">
        <f t="shared" si="0"/>
        <v>2728.8</v>
      </c>
      <c r="AI2" s="63">
        <f t="shared" si="0"/>
        <v>69.959999999999994</v>
      </c>
      <c r="AJ2" s="63">
        <f t="shared" si="0"/>
        <v>1518.1103810775298</v>
      </c>
      <c r="AK2" s="63">
        <f t="shared" si="0"/>
        <v>0</v>
      </c>
      <c r="AL2" s="63">
        <f t="shared" si="0"/>
        <v>96.3</v>
      </c>
      <c r="AM2" s="64">
        <f t="shared" si="0"/>
        <v>192.6</v>
      </c>
    </row>
    <row r="3" spans="2:39" s="8" customFormat="1" ht="36.6" customHeight="1">
      <c r="B3" s="16"/>
      <c r="C3" s="16"/>
      <c r="D3" s="16"/>
      <c r="E3" s="16"/>
      <c r="F3" s="16"/>
      <c r="G3" s="16"/>
      <c r="H3" s="16"/>
      <c r="I3" s="16"/>
      <c r="J3" s="70">
        <f t="shared" ref="J3:Z3" si="1">SUM(J6:J404)</f>
        <v>7</v>
      </c>
      <c r="K3" s="75">
        <f t="shared" si="1"/>
        <v>19</v>
      </c>
      <c r="L3" s="52">
        <f t="shared" si="1"/>
        <v>9</v>
      </c>
      <c r="M3" s="54">
        <f t="shared" si="1"/>
        <v>0</v>
      </c>
      <c r="N3" s="54">
        <f t="shared" si="1"/>
        <v>8</v>
      </c>
      <c r="O3" s="54">
        <f t="shared" si="1"/>
        <v>4</v>
      </c>
      <c r="P3" s="55">
        <f t="shared" si="1"/>
        <v>0</v>
      </c>
      <c r="Q3" s="53">
        <f t="shared" si="1"/>
        <v>0</v>
      </c>
      <c r="R3" s="54">
        <f t="shared" si="1"/>
        <v>2</v>
      </c>
      <c r="S3" s="55">
        <f t="shared" si="1"/>
        <v>3</v>
      </c>
      <c r="T3" s="53">
        <f t="shared" si="1"/>
        <v>2</v>
      </c>
      <c r="U3" s="54">
        <f t="shared" si="1"/>
        <v>0</v>
      </c>
      <c r="V3" s="54">
        <f t="shared" si="1"/>
        <v>4</v>
      </c>
      <c r="W3" s="55">
        <f t="shared" si="1"/>
        <v>3</v>
      </c>
      <c r="X3" s="56">
        <f t="shared" si="1"/>
        <v>4</v>
      </c>
      <c r="Y3" s="53">
        <f t="shared" si="1"/>
        <v>4</v>
      </c>
      <c r="Z3" s="55">
        <f t="shared" si="1"/>
        <v>7</v>
      </c>
      <c r="AA3" s="55"/>
      <c r="AB3" s="52">
        <f>SUM(AB6:AB404)</f>
        <v>0</v>
      </c>
      <c r="AC3" s="53">
        <f>SUM(AC6:AC404)</f>
        <v>0</v>
      </c>
      <c r="AD3" s="54"/>
      <c r="AE3" s="54">
        <f t="shared" ref="AE3:AM3" si="2">SUM(AE6:AE404)</f>
        <v>0</v>
      </c>
      <c r="AF3" s="55">
        <f t="shared" si="2"/>
        <v>15</v>
      </c>
      <c r="AG3" s="53">
        <f t="shared" si="2"/>
        <v>2</v>
      </c>
      <c r="AH3" s="55">
        <f t="shared" si="2"/>
        <v>20</v>
      </c>
      <c r="AI3" s="70">
        <f t="shared" si="2"/>
        <v>1</v>
      </c>
      <c r="AJ3" s="71">
        <f t="shared" si="2"/>
        <v>9</v>
      </c>
      <c r="AK3" s="54">
        <f t="shared" si="2"/>
        <v>0</v>
      </c>
      <c r="AL3" s="53">
        <f t="shared" si="2"/>
        <v>1</v>
      </c>
      <c r="AM3" s="55">
        <f t="shared" si="2"/>
        <v>2</v>
      </c>
    </row>
    <row r="4" spans="2:39" s="40" customFormat="1" ht="21">
      <c r="B4" s="38"/>
      <c r="C4" s="38"/>
      <c r="D4" s="38"/>
      <c r="E4" s="38"/>
      <c r="F4" s="38"/>
      <c r="G4" s="38"/>
      <c r="H4" s="38"/>
      <c r="I4" s="38"/>
      <c r="J4" s="109" t="s">
        <v>2</v>
      </c>
      <c r="K4" s="110"/>
      <c r="L4" s="105" t="s">
        <v>48</v>
      </c>
      <c r="M4" s="106"/>
      <c r="N4" s="106"/>
      <c r="O4" s="106"/>
      <c r="P4" s="107"/>
      <c r="Q4" s="109" t="s">
        <v>49</v>
      </c>
      <c r="R4" s="111"/>
      <c r="S4" s="110"/>
      <c r="T4" s="105" t="s">
        <v>51</v>
      </c>
      <c r="U4" s="106"/>
      <c r="V4" s="106"/>
      <c r="W4" s="107"/>
      <c r="X4" s="41" t="s">
        <v>50</v>
      </c>
      <c r="Y4" s="105" t="s">
        <v>52</v>
      </c>
      <c r="Z4" s="106"/>
      <c r="AA4" s="106"/>
      <c r="AB4" s="49" t="s">
        <v>53</v>
      </c>
      <c r="AC4" s="105" t="s">
        <v>54</v>
      </c>
      <c r="AD4" s="106"/>
      <c r="AE4" s="106"/>
      <c r="AF4" s="107"/>
      <c r="AG4" s="109" t="s">
        <v>55</v>
      </c>
      <c r="AH4" s="110"/>
      <c r="AI4" s="105" t="s">
        <v>3</v>
      </c>
      <c r="AJ4" s="107"/>
      <c r="AK4" s="49"/>
      <c r="AL4" s="105" t="s">
        <v>4</v>
      </c>
      <c r="AM4" s="107"/>
    </row>
    <row r="5" spans="2:39" ht="94.95" customHeight="1">
      <c r="B5" s="17" t="s">
        <v>0</v>
      </c>
      <c r="C5" s="17" t="s">
        <v>9</v>
      </c>
      <c r="D5" s="17" t="s">
        <v>10</v>
      </c>
      <c r="E5" s="17" t="s">
        <v>5</v>
      </c>
      <c r="F5" s="17" t="s">
        <v>1</v>
      </c>
      <c r="G5" s="17" t="s">
        <v>56</v>
      </c>
      <c r="H5" s="17" t="s">
        <v>57</v>
      </c>
      <c r="I5" s="36" t="s">
        <v>58</v>
      </c>
      <c r="J5" s="42" t="s">
        <v>20</v>
      </c>
      <c r="K5" s="76" t="s">
        <v>141</v>
      </c>
      <c r="L5" s="17" t="s">
        <v>42</v>
      </c>
      <c r="M5" s="37" t="s">
        <v>43</v>
      </c>
      <c r="N5" s="17" t="s">
        <v>44</v>
      </c>
      <c r="O5" s="17" t="s">
        <v>45</v>
      </c>
      <c r="P5" s="17" t="s">
        <v>46</v>
      </c>
      <c r="Q5" s="42" t="s">
        <v>29</v>
      </c>
      <c r="R5" s="42" t="s">
        <v>30</v>
      </c>
      <c r="S5" s="42" t="s">
        <v>31</v>
      </c>
      <c r="T5" s="17" t="s">
        <v>28</v>
      </c>
      <c r="U5" s="37" t="s">
        <v>68</v>
      </c>
      <c r="V5" s="37" t="s">
        <v>34</v>
      </c>
      <c r="W5" s="37" t="s">
        <v>35</v>
      </c>
      <c r="X5" s="42" t="s">
        <v>33</v>
      </c>
      <c r="Y5" s="17" t="s">
        <v>39</v>
      </c>
      <c r="Z5" s="17" t="s">
        <v>40</v>
      </c>
      <c r="AA5" s="37" t="s">
        <v>143</v>
      </c>
      <c r="AB5" s="45" t="s">
        <v>22</v>
      </c>
      <c r="AC5" s="37" t="s">
        <v>23</v>
      </c>
      <c r="AD5" s="37" t="s">
        <v>155</v>
      </c>
      <c r="AE5" s="37" t="s">
        <v>24</v>
      </c>
      <c r="AF5" s="37" t="s">
        <v>25</v>
      </c>
      <c r="AG5" s="45" t="s">
        <v>26</v>
      </c>
      <c r="AH5" s="45" t="s">
        <v>27</v>
      </c>
      <c r="AI5" s="17" t="s">
        <v>21</v>
      </c>
      <c r="AJ5" s="17" t="s">
        <v>142</v>
      </c>
      <c r="AK5" s="41"/>
      <c r="AL5" s="37" t="s">
        <v>36</v>
      </c>
      <c r="AM5" s="37" t="s">
        <v>37</v>
      </c>
    </row>
    <row r="6" spans="2:39" s="14" customFormat="1" ht="41.25" customHeight="1">
      <c r="B6" s="73">
        <v>46174</v>
      </c>
      <c r="C6" s="57">
        <v>6</v>
      </c>
      <c r="D6" s="18" t="s">
        <v>7</v>
      </c>
      <c r="E6" s="18" t="s">
        <v>140</v>
      </c>
      <c r="F6" s="15" t="s">
        <v>18</v>
      </c>
      <c r="G6" s="19" t="s">
        <v>91</v>
      </c>
      <c r="H6" s="19"/>
      <c r="I6" s="19" t="s">
        <v>149</v>
      </c>
      <c r="J6" s="43"/>
      <c r="K6" s="77"/>
      <c r="L6" s="15"/>
      <c r="M6" s="86"/>
      <c r="N6" s="15"/>
      <c r="O6" s="15"/>
      <c r="P6" s="15"/>
      <c r="Q6" s="43"/>
      <c r="R6" s="43"/>
      <c r="S6" s="43">
        <v>1</v>
      </c>
      <c r="T6" s="15"/>
      <c r="U6" s="15"/>
      <c r="V6" s="15"/>
      <c r="W6" s="15"/>
      <c r="X6" s="43">
        <v>1</v>
      </c>
      <c r="Y6" s="15"/>
      <c r="Z6" s="15"/>
      <c r="AA6" s="15"/>
      <c r="AB6" s="43"/>
      <c r="AC6" s="15"/>
      <c r="AD6" s="15"/>
      <c r="AE6" s="15"/>
      <c r="AF6" s="15">
        <v>5</v>
      </c>
      <c r="AG6" s="43"/>
      <c r="AH6" s="43"/>
      <c r="AI6" s="15"/>
      <c r="AJ6" s="15">
        <v>2</v>
      </c>
      <c r="AK6" s="44"/>
      <c r="AL6" s="15"/>
      <c r="AM6" s="15"/>
    </row>
    <row r="7" spans="2:39" s="14" customFormat="1" ht="41.25" customHeight="1">
      <c r="B7" s="73">
        <v>46174</v>
      </c>
      <c r="C7" s="57">
        <v>6</v>
      </c>
      <c r="D7" s="18" t="s">
        <v>7</v>
      </c>
      <c r="E7" s="18" t="s">
        <v>78</v>
      </c>
      <c r="F7" s="15" t="s">
        <v>18</v>
      </c>
      <c r="G7" s="19" t="s">
        <v>131</v>
      </c>
      <c r="H7" s="19"/>
      <c r="I7" s="19" t="s">
        <v>150</v>
      </c>
      <c r="J7" s="43"/>
      <c r="K7" s="77"/>
      <c r="L7" s="15"/>
      <c r="M7" s="86"/>
      <c r="N7" s="15"/>
      <c r="O7" s="15"/>
      <c r="P7" s="15"/>
      <c r="Q7" s="43"/>
      <c r="R7" s="43"/>
      <c r="S7" s="43"/>
      <c r="T7" s="15"/>
      <c r="U7" s="15"/>
      <c r="V7" s="15"/>
      <c r="W7" s="15"/>
      <c r="X7" s="43"/>
      <c r="Y7" s="15">
        <v>1</v>
      </c>
      <c r="Z7" s="15"/>
      <c r="AA7" s="15"/>
      <c r="AB7" s="43"/>
      <c r="AC7" s="15"/>
      <c r="AD7" s="15"/>
      <c r="AE7" s="15"/>
      <c r="AF7" s="15"/>
      <c r="AG7" s="43"/>
      <c r="AH7" s="43"/>
      <c r="AI7" s="15"/>
      <c r="AJ7" s="15"/>
      <c r="AK7" s="44"/>
      <c r="AL7" s="15"/>
      <c r="AM7" s="15"/>
    </row>
    <row r="8" spans="2:39" s="14" customFormat="1" ht="41.25" customHeight="1">
      <c r="B8" s="73">
        <v>46176</v>
      </c>
      <c r="C8" s="57">
        <v>6</v>
      </c>
      <c r="D8" s="18" t="s">
        <v>7</v>
      </c>
      <c r="E8" s="18" t="s">
        <v>78</v>
      </c>
      <c r="F8" s="15" t="s">
        <v>18</v>
      </c>
      <c r="G8" s="74" t="s">
        <v>116</v>
      </c>
      <c r="H8" s="19"/>
      <c r="I8" s="19" t="s">
        <v>150</v>
      </c>
      <c r="J8" s="43"/>
      <c r="K8" s="77">
        <v>1</v>
      </c>
      <c r="L8" s="15"/>
      <c r="M8" s="86"/>
      <c r="N8" s="15"/>
      <c r="O8" s="15"/>
      <c r="P8" s="15"/>
      <c r="Q8" s="43"/>
      <c r="R8" s="43"/>
      <c r="S8" s="43"/>
      <c r="T8" s="15"/>
      <c r="U8" s="15"/>
      <c r="V8" s="15"/>
      <c r="W8" s="15"/>
      <c r="X8" s="43"/>
      <c r="Y8" s="15"/>
      <c r="Z8" s="15"/>
      <c r="AA8" s="15"/>
      <c r="AB8" s="43"/>
      <c r="AC8" s="15"/>
      <c r="AD8" s="15"/>
      <c r="AE8" s="15"/>
      <c r="AF8" s="15"/>
      <c r="AG8" s="43"/>
      <c r="AH8" s="43"/>
      <c r="AI8" s="15"/>
      <c r="AJ8" s="15">
        <v>2</v>
      </c>
      <c r="AK8" s="44"/>
      <c r="AL8" s="15"/>
      <c r="AM8" s="15"/>
    </row>
    <row r="9" spans="2:39" s="14" customFormat="1" ht="41.25" customHeight="1">
      <c r="B9" s="73">
        <v>46176</v>
      </c>
      <c r="C9" s="57">
        <v>6</v>
      </c>
      <c r="D9" s="18" t="s">
        <v>7</v>
      </c>
      <c r="E9" s="18" t="s">
        <v>140</v>
      </c>
      <c r="F9" s="15" t="s">
        <v>88</v>
      </c>
      <c r="G9" s="19" t="s">
        <v>91</v>
      </c>
      <c r="H9" s="19"/>
      <c r="I9" s="19" t="s">
        <v>150</v>
      </c>
      <c r="J9" s="43"/>
      <c r="K9" s="77"/>
      <c r="L9" s="15"/>
      <c r="M9" s="86"/>
      <c r="N9" s="15"/>
      <c r="O9" s="15"/>
      <c r="P9" s="15"/>
      <c r="Q9" s="43"/>
      <c r="R9" s="43"/>
      <c r="S9" s="43"/>
      <c r="T9" s="15"/>
      <c r="U9" s="15"/>
      <c r="V9" s="15"/>
      <c r="W9" s="15"/>
      <c r="X9" s="43"/>
      <c r="Y9" s="15">
        <v>1</v>
      </c>
      <c r="Z9" s="15" t="s">
        <v>160</v>
      </c>
      <c r="AA9" s="15"/>
      <c r="AB9" s="43"/>
      <c r="AC9" s="15"/>
      <c r="AD9" s="15"/>
      <c r="AE9" s="15"/>
      <c r="AF9" s="15"/>
      <c r="AG9" s="43"/>
      <c r="AH9" s="43"/>
      <c r="AI9" s="15"/>
      <c r="AJ9" s="15"/>
      <c r="AK9" s="44"/>
      <c r="AL9" s="15"/>
      <c r="AM9" s="15"/>
    </row>
    <row r="10" spans="2:39" s="14" customFormat="1" ht="41.25" customHeight="1">
      <c r="B10" s="73">
        <v>46176</v>
      </c>
      <c r="C10" s="57">
        <v>6</v>
      </c>
      <c r="D10" s="18" t="s">
        <v>7</v>
      </c>
      <c r="E10" s="18" t="s">
        <v>78</v>
      </c>
      <c r="F10" s="15" t="s">
        <v>88</v>
      </c>
      <c r="G10" s="19" t="s">
        <v>116</v>
      </c>
      <c r="H10" s="19"/>
      <c r="I10" s="19" t="s">
        <v>149</v>
      </c>
      <c r="J10" s="43"/>
      <c r="K10" s="77">
        <v>1</v>
      </c>
      <c r="L10" s="15"/>
      <c r="M10" s="86"/>
      <c r="N10" s="15"/>
      <c r="O10" s="15"/>
      <c r="P10" s="15"/>
      <c r="Q10" s="43"/>
      <c r="R10" s="43"/>
      <c r="S10" s="43"/>
      <c r="T10" s="15"/>
      <c r="U10" s="15"/>
      <c r="V10" s="15"/>
      <c r="W10" s="15"/>
      <c r="X10" s="43"/>
      <c r="Y10" s="15"/>
      <c r="Z10" s="15">
        <v>1</v>
      </c>
      <c r="AA10" s="15"/>
      <c r="AB10" s="43"/>
      <c r="AC10" s="15"/>
      <c r="AD10" s="15"/>
      <c r="AE10" s="15"/>
      <c r="AF10" s="15"/>
      <c r="AG10" s="43">
        <v>2</v>
      </c>
      <c r="AH10" s="43">
        <v>3</v>
      </c>
      <c r="AI10" s="15"/>
      <c r="AJ10" s="15"/>
      <c r="AK10" s="44"/>
      <c r="AL10" s="15"/>
      <c r="AM10" s="15"/>
    </row>
    <row r="11" spans="2:39" s="14" customFormat="1" ht="41.25" customHeight="1">
      <c r="B11" s="73">
        <v>46176</v>
      </c>
      <c r="C11" s="57">
        <v>6</v>
      </c>
      <c r="D11" s="18" t="s">
        <v>7</v>
      </c>
      <c r="E11" s="18" t="s">
        <v>140</v>
      </c>
      <c r="F11" s="15" t="s">
        <v>18</v>
      </c>
      <c r="G11" s="74" t="s">
        <v>131</v>
      </c>
      <c r="H11" s="19"/>
      <c r="I11" s="19" t="s">
        <v>150</v>
      </c>
      <c r="J11" s="43"/>
      <c r="K11" s="77"/>
      <c r="L11" s="15">
        <v>2</v>
      </c>
      <c r="M11" s="86"/>
      <c r="N11" s="15"/>
      <c r="O11" s="15"/>
      <c r="P11" s="15"/>
      <c r="Q11" s="43"/>
      <c r="R11" s="43"/>
      <c r="S11" s="43"/>
      <c r="T11" s="15"/>
      <c r="U11" s="15"/>
      <c r="V11" s="15"/>
      <c r="W11" s="15"/>
      <c r="X11" s="43"/>
      <c r="Y11" s="15"/>
      <c r="Z11" s="15">
        <v>1</v>
      </c>
      <c r="AA11" s="15"/>
      <c r="AB11" s="43"/>
      <c r="AC11" s="15"/>
      <c r="AD11" s="15">
        <v>10</v>
      </c>
      <c r="AE11" s="15"/>
      <c r="AF11" s="15"/>
      <c r="AG11" s="43"/>
      <c r="AH11" s="43"/>
      <c r="AI11" s="15"/>
      <c r="AJ11" s="15"/>
      <c r="AK11" s="44"/>
      <c r="AL11" s="15"/>
      <c r="AM11" s="15"/>
    </row>
    <row r="12" spans="2:39" s="14" customFormat="1" ht="41.25" customHeight="1">
      <c r="B12" s="73">
        <v>46176</v>
      </c>
      <c r="C12" s="57">
        <v>6</v>
      </c>
      <c r="D12" s="18" t="s">
        <v>7</v>
      </c>
      <c r="E12" s="18" t="s">
        <v>140</v>
      </c>
      <c r="F12" s="15" t="s">
        <v>88</v>
      </c>
      <c r="G12" s="19" t="s">
        <v>131</v>
      </c>
      <c r="H12" s="19"/>
      <c r="I12" s="19" t="s">
        <v>149</v>
      </c>
      <c r="J12" s="43"/>
      <c r="K12" s="77"/>
      <c r="L12" s="15"/>
      <c r="M12" s="86"/>
      <c r="N12" s="15"/>
      <c r="O12" s="15"/>
      <c r="P12" s="15"/>
      <c r="Q12" s="43"/>
      <c r="R12" s="43"/>
      <c r="S12" s="43"/>
      <c r="T12" s="15"/>
      <c r="U12" s="15"/>
      <c r="V12" s="15"/>
      <c r="W12" s="15"/>
      <c r="X12" s="43"/>
      <c r="Y12" s="15"/>
      <c r="Z12" s="15">
        <v>1</v>
      </c>
      <c r="AA12" s="15">
        <v>2</v>
      </c>
      <c r="AB12" s="43"/>
      <c r="AC12" s="15"/>
      <c r="AD12" s="15"/>
      <c r="AE12" s="15"/>
      <c r="AF12" s="15"/>
      <c r="AG12" s="43"/>
      <c r="AH12" s="43"/>
      <c r="AI12" s="15"/>
      <c r="AJ12" s="15"/>
      <c r="AK12" s="44"/>
      <c r="AL12" s="15"/>
      <c r="AM12" s="15"/>
    </row>
    <row r="13" spans="2:39" s="14" customFormat="1" ht="41.25" customHeight="1">
      <c r="B13" s="73">
        <v>46178</v>
      </c>
      <c r="C13" s="57">
        <v>6</v>
      </c>
      <c r="D13" s="18" t="s">
        <v>7</v>
      </c>
      <c r="E13" s="18" t="s">
        <v>140</v>
      </c>
      <c r="F13" s="15" t="s">
        <v>88</v>
      </c>
      <c r="G13" s="19" t="s">
        <v>161</v>
      </c>
      <c r="H13" s="19"/>
      <c r="I13" s="19" t="s">
        <v>149</v>
      </c>
      <c r="J13" s="43"/>
      <c r="K13" s="77"/>
      <c r="L13" s="15"/>
      <c r="M13" s="86"/>
      <c r="N13" s="15"/>
      <c r="O13" s="15"/>
      <c r="P13" s="15"/>
      <c r="Q13" s="43"/>
      <c r="R13" s="43"/>
      <c r="S13" s="43"/>
      <c r="T13" s="15"/>
      <c r="U13" s="15"/>
      <c r="V13" s="15"/>
      <c r="W13" s="15"/>
      <c r="X13" s="43"/>
      <c r="Y13" s="15"/>
      <c r="Z13" s="15"/>
      <c r="AA13" s="15"/>
      <c r="AB13" s="43"/>
      <c r="AC13" s="15"/>
      <c r="AD13" s="15"/>
      <c r="AE13" s="15"/>
      <c r="AF13" s="15">
        <v>6</v>
      </c>
      <c r="AG13" s="43"/>
      <c r="AH13" s="43"/>
      <c r="AI13" s="15"/>
      <c r="AJ13" s="15"/>
      <c r="AK13" s="44"/>
      <c r="AL13" s="15"/>
      <c r="AM13" s="15"/>
    </row>
    <row r="14" spans="2:39" s="14" customFormat="1" ht="41.25" customHeight="1">
      <c r="B14" s="73">
        <v>46180</v>
      </c>
      <c r="C14" s="57">
        <v>6</v>
      </c>
      <c r="D14" s="18" t="s">
        <v>7</v>
      </c>
      <c r="E14" s="18" t="s">
        <v>140</v>
      </c>
      <c r="F14" s="15" t="s">
        <v>88</v>
      </c>
      <c r="G14" s="19" t="s">
        <v>161</v>
      </c>
      <c r="H14" s="19"/>
      <c r="I14" s="19" t="s">
        <v>149</v>
      </c>
      <c r="J14" s="43">
        <v>1</v>
      </c>
      <c r="K14" s="77">
        <v>1</v>
      </c>
      <c r="L14" s="15"/>
      <c r="M14" s="86"/>
      <c r="N14" s="15"/>
      <c r="O14" s="15"/>
      <c r="P14" s="15"/>
      <c r="Q14" s="43"/>
      <c r="R14" s="43"/>
      <c r="S14" s="43"/>
      <c r="T14" s="15"/>
      <c r="U14" s="15"/>
      <c r="V14" s="15"/>
      <c r="W14" s="15"/>
      <c r="X14" s="43"/>
      <c r="Y14" s="15"/>
      <c r="Z14" s="15"/>
      <c r="AA14" s="15"/>
      <c r="AB14" s="43"/>
      <c r="AC14" s="15"/>
      <c r="AD14" s="15"/>
      <c r="AE14" s="15"/>
      <c r="AF14" s="15"/>
      <c r="AG14" s="43"/>
      <c r="AH14" s="43">
        <v>2</v>
      </c>
      <c r="AI14" s="15"/>
      <c r="AJ14" s="15"/>
      <c r="AK14" s="44"/>
      <c r="AL14" s="15"/>
      <c r="AM14" s="15"/>
    </row>
    <row r="15" spans="2:39" s="14" customFormat="1" ht="41.25" customHeight="1">
      <c r="B15" s="73">
        <v>46181</v>
      </c>
      <c r="C15" s="57">
        <v>6</v>
      </c>
      <c r="D15" s="18" t="s">
        <v>7</v>
      </c>
      <c r="E15" s="18" t="s">
        <v>140</v>
      </c>
      <c r="F15" s="15" t="s">
        <v>88</v>
      </c>
      <c r="G15" s="19" t="s">
        <v>75</v>
      </c>
      <c r="H15" s="19"/>
      <c r="I15" s="19" t="s">
        <v>149</v>
      </c>
      <c r="J15" s="43"/>
      <c r="K15" s="77">
        <v>1</v>
      </c>
      <c r="L15" s="15">
        <v>2</v>
      </c>
      <c r="M15" s="86"/>
      <c r="N15" s="15"/>
      <c r="O15" s="15"/>
      <c r="P15" s="15"/>
      <c r="Q15" s="43"/>
      <c r="R15" s="43"/>
      <c r="S15" s="43"/>
      <c r="T15" s="15"/>
      <c r="U15" s="15"/>
      <c r="V15" s="15">
        <v>1</v>
      </c>
      <c r="W15" s="15"/>
      <c r="X15" s="43"/>
      <c r="Y15" s="15"/>
      <c r="Z15" s="15"/>
      <c r="AA15" s="15"/>
      <c r="AB15" s="43"/>
      <c r="AC15" s="15"/>
      <c r="AD15" s="15"/>
      <c r="AE15" s="15"/>
      <c r="AF15" s="15"/>
      <c r="AG15" s="43"/>
      <c r="AH15" s="43"/>
      <c r="AI15" s="15"/>
      <c r="AJ15" s="15"/>
      <c r="AK15" s="44"/>
      <c r="AL15" s="15">
        <v>1</v>
      </c>
      <c r="AM15" s="15"/>
    </row>
    <row r="16" spans="2:39" s="14" customFormat="1" ht="41.25" customHeight="1">
      <c r="B16" s="18">
        <v>46181</v>
      </c>
      <c r="C16" s="57">
        <v>6</v>
      </c>
      <c r="D16" s="18" t="s">
        <v>7</v>
      </c>
      <c r="E16" s="18" t="s">
        <v>78</v>
      </c>
      <c r="F16" s="15" t="s">
        <v>88</v>
      </c>
      <c r="G16" s="19" t="s">
        <v>162</v>
      </c>
      <c r="H16" s="19"/>
      <c r="I16" s="19" t="s">
        <v>149</v>
      </c>
      <c r="J16" s="43"/>
      <c r="K16" s="77"/>
      <c r="L16" s="15"/>
      <c r="M16" s="86"/>
      <c r="N16" s="15"/>
      <c r="O16" s="15"/>
      <c r="P16" s="15"/>
      <c r="Q16" s="43"/>
      <c r="R16" s="43"/>
      <c r="S16" s="43"/>
      <c r="T16" s="15"/>
      <c r="U16" s="15"/>
      <c r="V16" s="15"/>
      <c r="W16" s="15"/>
      <c r="X16" s="43"/>
      <c r="Y16" s="15"/>
      <c r="Z16" s="15"/>
      <c r="AA16" s="15"/>
      <c r="AB16" s="43"/>
      <c r="AC16" s="15"/>
      <c r="AD16" s="15"/>
      <c r="AE16" s="15"/>
      <c r="AF16" s="15"/>
      <c r="AG16" s="43"/>
      <c r="AH16" s="43">
        <v>2</v>
      </c>
      <c r="AI16" s="15"/>
      <c r="AJ16" s="15"/>
      <c r="AK16" s="44"/>
      <c r="AL16" s="15"/>
      <c r="AM16" s="15"/>
    </row>
    <row r="17" spans="1:39" s="14" customFormat="1" ht="41.25" customHeight="1">
      <c r="B17" s="73">
        <v>46181</v>
      </c>
      <c r="C17" s="57">
        <v>6</v>
      </c>
      <c r="D17" s="18" t="s">
        <v>7</v>
      </c>
      <c r="E17" s="18" t="s">
        <v>78</v>
      </c>
      <c r="F17" s="15" t="s">
        <v>18</v>
      </c>
      <c r="G17" s="19" t="s">
        <v>116</v>
      </c>
      <c r="H17" s="19"/>
      <c r="I17" s="19" t="s">
        <v>150</v>
      </c>
      <c r="J17" s="43"/>
      <c r="K17" s="77"/>
      <c r="L17" s="15"/>
      <c r="M17" s="86"/>
      <c r="N17" s="15"/>
      <c r="O17" s="15"/>
      <c r="P17" s="15"/>
      <c r="Q17" s="43"/>
      <c r="R17" s="43"/>
      <c r="S17" s="43"/>
      <c r="T17" s="15"/>
      <c r="U17" s="15"/>
      <c r="V17" s="15"/>
      <c r="W17" s="15"/>
      <c r="X17" s="43"/>
      <c r="Y17" s="15"/>
      <c r="Z17" s="15">
        <v>1</v>
      </c>
      <c r="AA17" s="15"/>
      <c r="AB17" s="43"/>
      <c r="AC17" s="15"/>
      <c r="AD17" s="15"/>
      <c r="AE17" s="15"/>
      <c r="AF17" s="15"/>
      <c r="AG17" s="43"/>
      <c r="AH17" s="43"/>
      <c r="AI17" s="15"/>
      <c r="AJ17" s="15"/>
      <c r="AK17" s="44"/>
      <c r="AL17" s="15"/>
      <c r="AM17" s="15"/>
    </row>
    <row r="18" spans="1:39" s="14" customFormat="1" ht="41.25" customHeight="1">
      <c r="B18" s="73">
        <v>46182</v>
      </c>
      <c r="C18" s="57">
        <v>6</v>
      </c>
      <c r="D18" s="18" t="s">
        <v>7</v>
      </c>
      <c r="E18" s="18" t="s">
        <v>140</v>
      </c>
      <c r="F18" s="15" t="s">
        <v>88</v>
      </c>
      <c r="G18" s="19" t="s">
        <v>75</v>
      </c>
      <c r="H18" s="19"/>
      <c r="I18" s="19" t="s">
        <v>149</v>
      </c>
      <c r="J18" s="43"/>
      <c r="K18" s="77"/>
      <c r="L18" s="15"/>
      <c r="M18" s="86"/>
      <c r="N18" s="15"/>
      <c r="O18" s="15"/>
      <c r="P18" s="15"/>
      <c r="Q18" s="43"/>
      <c r="R18" s="43"/>
      <c r="S18" s="43"/>
      <c r="T18" s="15"/>
      <c r="U18" s="15"/>
      <c r="V18" s="15"/>
      <c r="W18" s="15">
        <v>2</v>
      </c>
      <c r="X18" s="43">
        <v>1</v>
      </c>
      <c r="Y18" s="15"/>
      <c r="Z18" s="15"/>
      <c r="AA18" s="15"/>
      <c r="AB18" s="43"/>
      <c r="AC18" s="15"/>
      <c r="AD18" s="15"/>
      <c r="AE18" s="15"/>
      <c r="AF18" s="15"/>
      <c r="AG18" s="43"/>
      <c r="AH18" s="43"/>
      <c r="AI18" s="15"/>
      <c r="AJ18" s="15"/>
      <c r="AK18" s="44"/>
      <c r="AL18" s="15"/>
      <c r="AM18" s="15"/>
    </row>
    <row r="19" spans="1:39" s="14" customFormat="1" ht="41.25" customHeight="1">
      <c r="B19" s="73">
        <v>46184</v>
      </c>
      <c r="C19" s="57">
        <v>6</v>
      </c>
      <c r="D19" s="18" t="s">
        <v>7</v>
      </c>
      <c r="E19" s="18" t="s">
        <v>78</v>
      </c>
      <c r="F19" s="15" t="s">
        <v>88</v>
      </c>
      <c r="G19" s="19" t="s">
        <v>137</v>
      </c>
      <c r="H19" s="19"/>
      <c r="I19" s="19" t="s">
        <v>149</v>
      </c>
      <c r="J19" s="43"/>
      <c r="K19" s="77"/>
      <c r="L19" s="15"/>
      <c r="M19" s="86"/>
      <c r="N19" s="15"/>
      <c r="O19" s="15"/>
      <c r="P19" s="15"/>
      <c r="Q19" s="43"/>
      <c r="R19" s="43"/>
      <c r="S19" s="43"/>
      <c r="T19" s="15"/>
      <c r="U19" s="15"/>
      <c r="V19" s="15"/>
      <c r="W19" s="15"/>
      <c r="X19" s="43">
        <v>1</v>
      </c>
      <c r="Y19" s="15"/>
      <c r="Z19" s="15"/>
      <c r="AA19" s="15"/>
      <c r="AB19" s="43"/>
      <c r="AC19" s="15"/>
      <c r="AD19" s="15"/>
      <c r="AE19" s="15"/>
      <c r="AF19" s="15"/>
      <c r="AG19" s="43"/>
      <c r="AH19" s="43">
        <v>3</v>
      </c>
      <c r="AI19" s="15"/>
      <c r="AJ19" s="15"/>
      <c r="AK19" s="44"/>
      <c r="AL19" s="15"/>
      <c r="AM19" s="15"/>
    </row>
    <row r="20" spans="1:39" s="14" customFormat="1" ht="41.25" customHeight="1">
      <c r="B20" s="73">
        <v>46184</v>
      </c>
      <c r="C20" s="57">
        <v>6</v>
      </c>
      <c r="D20" s="18" t="s">
        <v>7</v>
      </c>
      <c r="E20" s="18" t="s">
        <v>140</v>
      </c>
      <c r="F20" s="15" t="s">
        <v>18</v>
      </c>
      <c r="G20" s="19" t="s">
        <v>75</v>
      </c>
      <c r="H20" s="19"/>
      <c r="I20" s="19" t="s">
        <v>150</v>
      </c>
      <c r="J20" s="43"/>
      <c r="K20" s="77"/>
      <c r="L20" s="15"/>
      <c r="M20" s="86"/>
      <c r="N20" s="15"/>
      <c r="O20" s="15"/>
      <c r="P20" s="15"/>
      <c r="Q20" s="43"/>
      <c r="R20" s="43"/>
      <c r="S20" s="43"/>
      <c r="T20" s="15"/>
      <c r="U20" s="15"/>
      <c r="V20" s="15"/>
      <c r="W20" s="15"/>
      <c r="X20" s="43">
        <v>1</v>
      </c>
      <c r="Y20" s="15"/>
      <c r="Z20" s="15"/>
      <c r="AA20" s="15"/>
      <c r="AB20" s="43"/>
      <c r="AC20" s="15"/>
      <c r="AD20" s="15"/>
      <c r="AE20" s="15"/>
      <c r="AF20" s="15"/>
      <c r="AG20" s="43"/>
      <c r="AH20" s="43"/>
      <c r="AI20" s="15"/>
      <c r="AJ20" s="15"/>
      <c r="AK20" s="44"/>
      <c r="AL20" s="15"/>
      <c r="AM20" s="15"/>
    </row>
    <row r="21" spans="1:39" s="14" customFormat="1" ht="41.25" customHeight="1">
      <c r="B21" s="73">
        <v>46184</v>
      </c>
      <c r="C21" s="57">
        <v>6</v>
      </c>
      <c r="D21" s="18" t="s">
        <v>7</v>
      </c>
      <c r="E21" s="18" t="s">
        <v>78</v>
      </c>
      <c r="F21" s="15" t="s">
        <v>18</v>
      </c>
      <c r="G21" s="19" t="s">
        <v>91</v>
      </c>
      <c r="H21" s="19"/>
      <c r="I21" s="19" t="s">
        <v>149</v>
      </c>
      <c r="J21" s="43"/>
      <c r="K21" s="77"/>
      <c r="L21" s="15"/>
      <c r="M21" s="86"/>
      <c r="N21" s="15"/>
      <c r="O21" s="15"/>
      <c r="P21" s="15"/>
      <c r="Q21" s="43"/>
      <c r="R21" s="43">
        <v>2</v>
      </c>
      <c r="S21" s="43"/>
      <c r="T21" s="15"/>
      <c r="U21" s="15"/>
      <c r="V21" s="15"/>
      <c r="W21" s="15"/>
      <c r="X21" s="43"/>
      <c r="Y21" s="15"/>
      <c r="Z21" s="15"/>
      <c r="AA21" s="15"/>
      <c r="AB21" s="43"/>
      <c r="AC21" s="15"/>
      <c r="AD21" s="15"/>
      <c r="AE21" s="15"/>
      <c r="AF21" s="15"/>
      <c r="AG21" s="43"/>
      <c r="AH21" s="43"/>
      <c r="AI21" s="15"/>
      <c r="AJ21" s="15"/>
      <c r="AK21" s="44"/>
      <c r="AL21" s="15"/>
      <c r="AM21" s="15"/>
    </row>
    <row r="22" spans="1:39" s="14" customFormat="1" ht="41.25" customHeight="1">
      <c r="B22" s="73">
        <v>46185</v>
      </c>
      <c r="C22" s="57">
        <v>6</v>
      </c>
      <c r="D22" s="18" t="s">
        <v>7</v>
      </c>
      <c r="E22" s="18" t="s">
        <v>140</v>
      </c>
      <c r="F22" s="15" t="s">
        <v>88</v>
      </c>
      <c r="G22" s="19" t="s">
        <v>163</v>
      </c>
      <c r="H22" s="19"/>
      <c r="I22" s="19" t="s">
        <v>149</v>
      </c>
      <c r="J22" s="43"/>
      <c r="K22" s="77">
        <v>1</v>
      </c>
      <c r="L22" s="15"/>
      <c r="M22" s="86"/>
      <c r="N22" s="15"/>
      <c r="O22" s="15"/>
      <c r="P22" s="15"/>
      <c r="Q22" s="43"/>
      <c r="R22" s="43"/>
      <c r="S22" s="43"/>
      <c r="T22" s="15"/>
      <c r="U22" s="15"/>
      <c r="V22" s="15"/>
      <c r="W22" s="15"/>
      <c r="X22" s="43"/>
      <c r="Y22" s="15"/>
      <c r="Z22" s="15"/>
      <c r="AA22" s="15"/>
      <c r="AB22" s="43"/>
      <c r="AC22" s="15"/>
      <c r="AD22" s="15"/>
      <c r="AE22" s="15"/>
      <c r="AF22" s="15"/>
      <c r="AG22" s="43"/>
      <c r="AH22" s="43"/>
      <c r="AI22" s="15"/>
      <c r="AJ22" s="15"/>
      <c r="AK22" s="44"/>
      <c r="AL22" s="15"/>
      <c r="AM22" s="15"/>
    </row>
    <row r="23" spans="1:39" s="14" customFormat="1" ht="41.25" customHeight="1">
      <c r="B23" s="73">
        <v>46185</v>
      </c>
      <c r="C23" s="57">
        <v>6</v>
      </c>
      <c r="D23" s="18" t="s">
        <v>7</v>
      </c>
      <c r="E23" s="18" t="s">
        <v>78</v>
      </c>
      <c r="F23" s="15" t="s">
        <v>18</v>
      </c>
      <c r="G23" s="19" t="s">
        <v>91</v>
      </c>
      <c r="H23" s="19"/>
      <c r="I23" s="19" t="s">
        <v>150</v>
      </c>
      <c r="J23" s="43"/>
      <c r="K23" s="77">
        <v>1</v>
      </c>
      <c r="L23" s="15"/>
      <c r="M23" s="86"/>
      <c r="N23" s="15"/>
      <c r="O23" s="15"/>
      <c r="P23" s="15"/>
      <c r="Q23" s="43"/>
      <c r="R23" s="43"/>
      <c r="S23" s="43"/>
      <c r="T23" s="15"/>
      <c r="U23" s="15"/>
      <c r="V23" s="15"/>
      <c r="W23" s="15"/>
      <c r="X23" s="43"/>
      <c r="Y23" s="15"/>
      <c r="Z23" s="15"/>
      <c r="AA23" s="15"/>
      <c r="AB23" s="43"/>
      <c r="AC23" s="15"/>
      <c r="AD23" s="15"/>
      <c r="AE23" s="15"/>
      <c r="AF23" s="15"/>
      <c r="AG23" s="43"/>
      <c r="AH23" s="43"/>
      <c r="AI23" s="15"/>
      <c r="AJ23" s="15"/>
      <c r="AK23" s="44"/>
      <c r="AL23" s="15"/>
      <c r="AM23" s="15"/>
    </row>
    <row r="24" spans="1:39" s="14" customFormat="1" ht="41.25" customHeight="1">
      <c r="B24" s="18">
        <v>46186</v>
      </c>
      <c r="C24" s="57">
        <v>6</v>
      </c>
      <c r="D24" s="18" t="s">
        <v>7</v>
      </c>
      <c r="E24" s="18" t="s">
        <v>140</v>
      </c>
      <c r="F24" s="15" t="s">
        <v>88</v>
      </c>
      <c r="G24" s="19" t="s">
        <v>116</v>
      </c>
      <c r="H24" s="19"/>
      <c r="I24" s="19" t="s">
        <v>149</v>
      </c>
      <c r="J24" s="43"/>
      <c r="K24" s="77"/>
      <c r="L24" s="15"/>
      <c r="M24" s="86"/>
      <c r="N24" s="15"/>
      <c r="O24" s="15"/>
      <c r="P24" s="15"/>
      <c r="Q24" s="43"/>
      <c r="R24" s="43"/>
      <c r="S24" s="43"/>
      <c r="T24" s="15"/>
      <c r="U24" s="15"/>
      <c r="V24" s="15">
        <v>1</v>
      </c>
      <c r="W24" s="15">
        <v>1</v>
      </c>
      <c r="X24" s="43"/>
      <c r="Y24" s="15"/>
      <c r="Z24" s="15"/>
      <c r="AA24" s="15"/>
      <c r="AB24" s="43"/>
      <c r="AC24" s="15"/>
      <c r="AD24" s="15"/>
      <c r="AE24" s="15"/>
      <c r="AF24" s="15"/>
      <c r="AG24" s="43"/>
      <c r="AH24" s="43"/>
      <c r="AI24" s="15"/>
      <c r="AJ24" s="15"/>
      <c r="AK24" s="44"/>
      <c r="AL24" s="15"/>
      <c r="AM24" s="15"/>
    </row>
    <row r="25" spans="1:39" s="14" customFormat="1" ht="41.25" customHeight="1">
      <c r="B25" s="18">
        <v>46186</v>
      </c>
      <c r="C25" s="57">
        <v>6</v>
      </c>
      <c r="D25" s="18" t="s">
        <v>7</v>
      </c>
      <c r="E25" s="18" t="s">
        <v>78</v>
      </c>
      <c r="F25" s="15" t="s">
        <v>18</v>
      </c>
      <c r="G25" s="19" t="s">
        <v>91</v>
      </c>
      <c r="H25" s="19"/>
      <c r="I25" s="19" t="s">
        <v>150</v>
      </c>
      <c r="J25" s="43"/>
      <c r="K25" s="77"/>
      <c r="L25" s="15"/>
      <c r="M25" s="86"/>
      <c r="N25" s="15"/>
      <c r="O25" s="15"/>
      <c r="P25" s="15"/>
      <c r="Q25" s="43"/>
      <c r="R25" s="43"/>
      <c r="S25" s="43"/>
      <c r="T25" s="15"/>
      <c r="U25" s="15"/>
      <c r="V25" s="15">
        <v>2</v>
      </c>
      <c r="W25" s="15"/>
      <c r="X25" s="43"/>
      <c r="Y25" s="15"/>
      <c r="Z25" s="15"/>
      <c r="AA25" s="15"/>
      <c r="AB25" s="43"/>
      <c r="AC25" s="15"/>
      <c r="AD25" s="15"/>
      <c r="AE25" s="15"/>
      <c r="AF25" s="15"/>
      <c r="AG25" s="43"/>
      <c r="AH25" s="43"/>
      <c r="AI25" s="15"/>
      <c r="AJ25" s="15"/>
      <c r="AK25" s="44"/>
      <c r="AL25" s="15"/>
      <c r="AM25" s="15">
        <v>2</v>
      </c>
    </row>
    <row r="26" spans="1:39" s="14" customFormat="1" ht="41.25" customHeight="1">
      <c r="A26" s="14" t="s">
        <v>159</v>
      </c>
      <c r="B26" s="18">
        <v>46186</v>
      </c>
      <c r="C26" s="57">
        <v>6</v>
      </c>
      <c r="D26" s="18" t="s">
        <v>7</v>
      </c>
      <c r="E26" s="18" t="s">
        <v>78</v>
      </c>
      <c r="F26" s="15" t="s">
        <v>18</v>
      </c>
      <c r="G26" s="19" t="s">
        <v>91</v>
      </c>
      <c r="H26" s="19"/>
      <c r="I26" s="19" t="s">
        <v>150</v>
      </c>
      <c r="J26" s="43"/>
      <c r="K26" s="77">
        <v>1</v>
      </c>
      <c r="L26" s="15"/>
      <c r="M26" s="86"/>
      <c r="N26" s="15"/>
      <c r="O26" s="15"/>
      <c r="P26" s="15"/>
      <c r="Q26" s="43"/>
      <c r="R26" s="43"/>
      <c r="S26" s="43"/>
      <c r="T26" s="15"/>
      <c r="U26" s="15"/>
      <c r="V26" s="15"/>
      <c r="W26" s="15"/>
      <c r="X26" s="43"/>
      <c r="Y26" s="15"/>
      <c r="Z26" s="15">
        <v>1</v>
      </c>
      <c r="AA26" s="15"/>
      <c r="AB26" s="43"/>
      <c r="AC26" s="15"/>
      <c r="AD26" s="15"/>
      <c r="AE26" s="15"/>
      <c r="AF26" s="15"/>
      <c r="AG26" s="43"/>
      <c r="AH26" s="43"/>
      <c r="AI26" s="15"/>
      <c r="AJ26" s="15"/>
      <c r="AK26" s="44"/>
      <c r="AL26" s="15"/>
      <c r="AM26" s="15"/>
    </row>
    <row r="27" spans="1:39" s="14" customFormat="1" ht="41.25" customHeight="1">
      <c r="A27" s="14" t="s">
        <v>159</v>
      </c>
      <c r="B27" s="18">
        <v>46188</v>
      </c>
      <c r="C27" s="57">
        <v>6</v>
      </c>
      <c r="D27" s="18" t="s">
        <v>7</v>
      </c>
      <c r="E27" s="18" t="s">
        <v>78</v>
      </c>
      <c r="F27" s="15" t="s">
        <v>18</v>
      </c>
      <c r="G27" s="19" t="s">
        <v>91</v>
      </c>
      <c r="H27" s="19"/>
      <c r="I27" s="19" t="s">
        <v>150</v>
      </c>
      <c r="J27" s="43"/>
      <c r="K27" s="77"/>
      <c r="L27" s="15"/>
      <c r="M27" s="86"/>
      <c r="N27" s="15"/>
      <c r="O27" s="15"/>
      <c r="P27" s="15"/>
      <c r="Q27" s="43"/>
      <c r="R27" s="43"/>
      <c r="S27" s="43"/>
      <c r="T27" s="15"/>
      <c r="U27" s="15"/>
      <c r="V27" s="15"/>
      <c r="W27" s="15"/>
      <c r="X27" s="43"/>
      <c r="Y27" s="15"/>
      <c r="Z27" s="15">
        <v>1</v>
      </c>
      <c r="AA27" s="15"/>
      <c r="AB27" s="43"/>
      <c r="AC27" s="15"/>
      <c r="AD27" s="15"/>
      <c r="AE27" s="15"/>
      <c r="AF27" s="15"/>
      <c r="AG27" s="43"/>
      <c r="AH27" s="43"/>
      <c r="AI27" s="15"/>
      <c r="AJ27" s="15"/>
      <c r="AK27" s="44"/>
      <c r="AL27" s="15"/>
      <c r="AM27" s="15"/>
    </row>
    <row r="28" spans="1:39" s="14" customFormat="1" ht="41.25" customHeight="1">
      <c r="B28" s="18">
        <v>46188</v>
      </c>
      <c r="C28" s="57">
        <v>6</v>
      </c>
      <c r="D28" s="18" t="s">
        <v>7</v>
      </c>
      <c r="E28" s="18" t="s">
        <v>78</v>
      </c>
      <c r="F28" s="15" t="s">
        <v>88</v>
      </c>
      <c r="G28" s="19" t="s">
        <v>91</v>
      </c>
      <c r="H28" s="19"/>
      <c r="I28" s="19" t="s">
        <v>149</v>
      </c>
      <c r="J28" s="43"/>
      <c r="K28" s="77">
        <v>2</v>
      </c>
      <c r="L28" s="15"/>
      <c r="M28" s="86"/>
      <c r="N28" s="15"/>
      <c r="O28" s="15"/>
      <c r="P28" s="15"/>
      <c r="Q28" s="43"/>
      <c r="R28" s="43"/>
      <c r="S28" s="43"/>
      <c r="T28" s="15"/>
      <c r="U28" s="15"/>
      <c r="V28" s="15"/>
      <c r="W28" s="15"/>
      <c r="X28" s="43"/>
      <c r="Y28" s="15"/>
      <c r="Z28" s="15"/>
      <c r="AA28" s="15"/>
      <c r="AB28" s="43"/>
      <c r="AC28" s="15"/>
      <c r="AD28" s="15"/>
      <c r="AE28" s="15"/>
      <c r="AF28" s="15"/>
      <c r="AG28" s="43"/>
      <c r="AH28" s="43"/>
      <c r="AI28" s="15"/>
      <c r="AJ28" s="15"/>
      <c r="AK28" s="44"/>
      <c r="AL28" s="15"/>
      <c r="AM28" s="15"/>
    </row>
    <row r="29" spans="1:39" s="14" customFormat="1" ht="41.25" customHeight="1">
      <c r="B29" s="18">
        <v>46188</v>
      </c>
      <c r="C29" s="57">
        <v>6</v>
      </c>
      <c r="D29" s="18" t="s">
        <v>7</v>
      </c>
      <c r="E29" s="18" t="s">
        <v>140</v>
      </c>
      <c r="F29" s="15" t="s">
        <v>88</v>
      </c>
      <c r="G29" s="19" t="s">
        <v>137</v>
      </c>
      <c r="H29" s="19"/>
      <c r="I29" s="19" t="s">
        <v>150</v>
      </c>
      <c r="J29" s="43"/>
      <c r="K29" s="77"/>
      <c r="L29" s="15"/>
      <c r="M29" s="86"/>
      <c r="N29" s="15"/>
      <c r="O29" s="15"/>
      <c r="P29" s="15"/>
      <c r="Q29" s="43"/>
      <c r="R29" s="43"/>
      <c r="S29" s="43"/>
      <c r="T29" s="15"/>
      <c r="U29" s="15"/>
      <c r="V29" s="15"/>
      <c r="W29" s="15"/>
      <c r="X29" s="43"/>
      <c r="Y29" s="15"/>
      <c r="Z29" s="15"/>
      <c r="AA29" s="15"/>
      <c r="AB29" s="43"/>
      <c r="AC29" s="15"/>
      <c r="AD29" s="15"/>
      <c r="AE29" s="15"/>
      <c r="AF29" s="15"/>
      <c r="AG29" s="43"/>
      <c r="AH29" s="43">
        <v>4</v>
      </c>
      <c r="AI29" s="15"/>
      <c r="AJ29" s="15"/>
      <c r="AK29" s="44"/>
      <c r="AL29" s="15"/>
      <c r="AM29" s="15"/>
    </row>
    <row r="30" spans="1:39" s="14" customFormat="1" ht="41.25" customHeight="1">
      <c r="B30" s="18">
        <v>46188</v>
      </c>
      <c r="C30" s="57">
        <v>6</v>
      </c>
      <c r="D30" s="18" t="s">
        <v>7</v>
      </c>
      <c r="E30" s="18" t="s">
        <v>140</v>
      </c>
      <c r="F30" s="15" t="s">
        <v>18</v>
      </c>
      <c r="G30" s="19" t="s">
        <v>116</v>
      </c>
      <c r="H30" s="19"/>
      <c r="I30" s="19" t="s">
        <v>149</v>
      </c>
      <c r="J30" s="43"/>
      <c r="K30" s="77"/>
      <c r="L30" s="15"/>
      <c r="M30" s="86"/>
      <c r="N30" s="15"/>
      <c r="O30" s="15"/>
      <c r="P30" s="15"/>
      <c r="Q30" s="43"/>
      <c r="R30" s="43"/>
      <c r="S30" s="43"/>
      <c r="T30" s="15"/>
      <c r="U30" s="15"/>
      <c r="V30" s="15"/>
      <c r="W30" s="15"/>
      <c r="X30" s="43"/>
      <c r="Y30" s="15"/>
      <c r="Z30" s="15"/>
      <c r="AA30" s="15"/>
      <c r="AB30" s="43"/>
      <c r="AC30" s="15"/>
      <c r="AD30" s="15"/>
      <c r="AE30" s="15"/>
      <c r="AF30" s="15"/>
      <c r="AG30" s="43"/>
      <c r="AH30" s="43">
        <v>3</v>
      </c>
      <c r="AI30" s="15"/>
      <c r="AJ30" s="15"/>
      <c r="AK30" s="44"/>
      <c r="AL30" s="15"/>
      <c r="AM30" s="15"/>
    </row>
    <row r="31" spans="1:39" s="14" customFormat="1" ht="41.25" customHeight="1">
      <c r="B31" s="18">
        <v>46189</v>
      </c>
      <c r="C31" s="57">
        <v>6</v>
      </c>
      <c r="D31" s="18" t="s">
        <v>7</v>
      </c>
      <c r="E31" s="18" t="s">
        <v>140</v>
      </c>
      <c r="F31" s="15" t="s">
        <v>18</v>
      </c>
      <c r="G31" s="19" t="s">
        <v>164</v>
      </c>
      <c r="H31" s="19"/>
      <c r="I31" s="19"/>
      <c r="J31" s="43"/>
      <c r="K31" s="77">
        <v>1</v>
      </c>
      <c r="L31" s="15"/>
      <c r="M31" s="86"/>
      <c r="N31" s="15"/>
      <c r="O31" s="15"/>
      <c r="P31" s="15"/>
      <c r="Q31" s="43"/>
      <c r="R31" s="43"/>
      <c r="S31" s="43"/>
      <c r="T31" s="15"/>
      <c r="U31" s="15"/>
      <c r="V31" s="15"/>
      <c r="W31" s="15"/>
      <c r="X31" s="43"/>
      <c r="Y31" s="15"/>
      <c r="Z31" s="15"/>
      <c r="AA31" s="15"/>
      <c r="AB31" s="43"/>
      <c r="AC31" s="15"/>
      <c r="AD31" s="15"/>
      <c r="AE31" s="15"/>
      <c r="AF31" s="15"/>
      <c r="AG31" s="43"/>
      <c r="AH31" s="43"/>
      <c r="AI31" s="15"/>
      <c r="AJ31" s="15"/>
      <c r="AK31" s="44"/>
      <c r="AL31" s="15"/>
      <c r="AM31" s="15"/>
    </row>
    <row r="32" spans="1:39" s="14" customFormat="1" ht="41.25" customHeight="1">
      <c r="B32" s="18">
        <v>46191</v>
      </c>
      <c r="C32" s="57">
        <v>6</v>
      </c>
      <c r="D32" s="18" t="s">
        <v>7</v>
      </c>
      <c r="E32" s="18" t="s">
        <v>78</v>
      </c>
      <c r="F32" s="15" t="s">
        <v>88</v>
      </c>
      <c r="G32" s="19" t="s">
        <v>138</v>
      </c>
      <c r="H32" s="19"/>
      <c r="I32" s="19" t="s">
        <v>150</v>
      </c>
      <c r="J32" s="43"/>
      <c r="K32" s="77">
        <v>1</v>
      </c>
      <c r="L32" s="15"/>
      <c r="M32" s="86"/>
      <c r="N32" s="15"/>
      <c r="O32" s="15"/>
      <c r="P32" s="15"/>
      <c r="Q32" s="43"/>
      <c r="R32" s="43"/>
      <c r="S32" s="43"/>
      <c r="T32" s="15"/>
      <c r="U32" s="15"/>
      <c r="V32" s="15"/>
      <c r="W32" s="15"/>
      <c r="X32" s="43"/>
      <c r="Y32" s="15"/>
      <c r="Z32" s="15"/>
      <c r="AA32" s="15"/>
      <c r="AB32" s="43"/>
      <c r="AC32" s="15"/>
      <c r="AD32" s="15"/>
      <c r="AE32" s="15"/>
      <c r="AF32" s="15"/>
      <c r="AG32" s="43"/>
      <c r="AH32" s="43"/>
      <c r="AI32" s="15"/>
      <c r="AJ32" s="15"/>
      <c r="AK32" s="44"/>
      <c r="AL32" s="15"/>
      <c r="AM32" s="15"/>
    </row>
    <row r="33" spans="1:39" s="14" customFormat="1" ht="41.25" customHeight="1">
      <c r="B33" s="18">
        <v>46191</v>
      </c>
      <c r="C33" s="57">
        <v>6</v>
      </c>
      <c r="D33" s="18" t="s">
        <v>7</v>
      </c>
      <c r="E33" s="18" t="s">
        <v>78</v>
      </c>
      <c r="F33" s="15" t="s">
        <v>88</v>
      </c>
      <c r="G33" s="19" t="s">
        <v>138</v>
      </c>
      <c r="H33" s="19"/>
      <c r="I33" s="19" t="s">
        <v>150</v>
      </c>
      <c r="J33" s="43"/>
      <c r="K33" s="77"/>
      <c r="L33" s="15"/>
      <c r="M33" s="86"/>
      <c r="N33" s="15"/>
      <c r="O33" s="15"/>
      <c r="P33" s="15"/>
      <c r="Q33" s="43"/>
      <c r="R33" s="43"/>
      <c r="S33" s="43"/>
      <c r="T33" s="15"/>
      <c r="U33" s="15"/>
      <c r="V33" s="15"/>
      <c r="W33" s="15"/>
      <c r="X33" s="43"/>
      <c r="Y33" s="15"/>
      <c r="Z33" s="15"/>
      <c r="AA33" s="15"/>
      <c r="AB33" s="43"/>
      <c r="AC33" s="15"/>
      <c r="AD33" s="15"/>
      <c r="AE33" s="15"/>
      <c r="AF33" s="15"/>
      <c r="AG33" s="43"/>
      <c r="AH33" s="43">
        <v>1</v>
      </c>
      <c r="AI33" s="15"/>
      <c r="AJ33" s="15"/>
      <c r="AK33" s="44"/>
      <c r="AL33" s="15"/>
      <c r="AM33" s="15"/>
    </row>
    <row r="34" spans="1:39" s="14" customFormat="1" ht="41.25" customHeight="1">
      <c r="B34" s="18">
        <v>46191</v>
      </c>
      <c r="C34" s="57">
        <v>6</v>
      </c>
      <c r="D34" s="18" t="s">
        <v>7</v>
      </c>
      <c r="E34" s="18" t="s">
        <v>78</v>
      </c>
      <c r="F34" s="15" t="s">
        <v>18</v>
      </c>
      <c r="G34" s="19" t="s">
        <v>131</v>
      </c>
      <c r="H34" s="19"/>
      <c r="I34" s="19" t="s">
        <v>149</v>
      </c>
      <c r="J34" s="43">
        <v>1</v>
      </c>
      <c r="K34" s="77">
        <v>1</v>
      </c>
      <c r="L34" s="15"/>
      <c r="M34" s="86"/>
      <c r="N34" s="15"/>
      <c r="O34" s="15"/>
      <c r="P34" s="15"/>
      <c r="Q34" s="43"/>
      <c r="R34" s="43"/>
      <c r="S34" s="43"/>
      <c r="T34" s="15"/>
      <c r="U34" s="15"/>
      <c r="V34" s="15"/>
      <c r="W34" s="15"/>
      <c r="X34" s="43"/>
      <c r="Y34" s="15"/>
      <c r="Z34" s="15"/>
      <c r="AA34" s="15"/>
      <c r="AB34" s="43"/>
      <c r="AC34" s="15"/>
      <c r="AD34" s="15"/>
      <c r="AE34" s="15"/>
      <c r="AF34" s="15"/>
      <c r="AG34" s="43"/>
      <c r="AH34" s="43"/>
      <c r="AI34" s="15">
        <v>1</v>
      </c>
      <c r="AJ34" s="15"/>
      <c r="AK34" s="44"/>
      <c r="AL34" s="15"/>
      <c r="AM34" s="15"/>
    </row>
    <row r="35" spans="1:39" s="14" customFormat="1" ht="41.25" customHeight="1">
      <c r="B35" s="18">
        <v>46192</v>
      </c>
      <c r="C35" s="57">
        <v>6</v>
      </c>
      <c r="D35" s="18" t="s">
        <v>7</v>
      </c>
      <c r="E35" s="18" t="s">
        <v>140</v>
      </c>
      <c r="F35" s="15" t="s">
        <v>88</v>
      </c>
      <c r="G35" s="19" t="s">
        <v>137</v>
      </c>
      <c r="H35" s="19"/>
      <c r="I35" s="19" t="s">
        <v>150</v>
      </c>
      <c r="J35" s="43"/>
      <c r="K35" s="77">
        <v>1</v>
      </c>
      <c r="L35" s="15">
        <v>2</v>
      </c>
      <c r="M35" s="86"/>
      <c r="N35" s="15"/>
      <c r="O35" s="15"/>
      <c r="P35" s="15"/>
      <c r="Q35" s="43"/>
      <c r="R35" s="43"/>
      <c r="S35" s="43"/>
      <c r="T35" s="15"/>
      <c r="U35" s="15"/>
      <c r="V35" s="15"/>
      <c r="W35" s="15"/>
      <c r="X35" s="43"/>
      <c r="Y35" s="15"/>
      <c r="Z35" s="15"/>
      <c r="AA35" s="15"/>
      <c r="AB35" s="43"/>
      <c r="AC35" s="15"/>
      <c r="AD35" s="15"/>
      <c r="AE35" s="15"/>
      <c r="AF35" s="15"/>
      <c r="AG35" s="43"/>
      <c r="AH35" s="43"/>
      <c r="AI35" s="15"/>
      <c r="AJ35" s="15"/>
      <c r="AK35" s="44"/>
      <c r="AL35" s="15"/>
      <c r="AM35" s="15"/>
    </row>
    <row r="36" spans="1:39" s="14" customFormat="1" ht="41.25" customHeight="1">
      <c r="B36" s="18">
        <v>46193</v>
      </c>
      <c r="C36" s="57">
        <v>6</v>
      </c>
      <c r="D36" s="18" t="s">
        <v>7</v>
      </c>
      <c r="E36" s="18" t="s">
        <v>78</v>
      </c>
      <c r="F36" s="15" t="s">
        <v>18</v>
      </c>
      <c r="G36" s="19" t="s">
        <v>165</v>
      </c>
      <c r="H36" s="19"/>
      <c r="I36" s="19" t="s">
        <v>149</v>
      </c>
      <c r="J36" s="43">
        <v>1</v>
      </c>
      <c r="K36" s="77">
        <v>1</v>
      </c>
      <c r="L36" s="15"/>
      <c r="M36" s="86"/>
      <c r="N36" s="15"/>
      <c r="O36" s="15"/>
      <c r="P36" s="15"/>
      <c r="Q36" s="43"/>
      <c r="R36" s="43"/>
      <c r="S36" s="43"/>
      <c r="T36" s="15">
        <v>2</v>
      </c>
      <c r="U36" s="15"/>
      <c r="V36" s="15"/>
      <c r="W36" s="15"/>
      <c r="X36" s="43"/>
      <c r="Y36" s="15">
        <v>1</v>
      </c>
      <c r="Z36" s="15"/>
      <c r="AA36" s="15"/>
      <c r="AB36" s="43"/>
      <c r="AC36" s="15"/>
      <c r="AD36" s="15"/>
      <c r="AE36" s="15"/>
      <c r="AF36" s="15"/>
      <c r="AG36" s="43"/>
      <c r="AH36" s="43"/>
      <c r="AI36" s="15"/>
      <c r="AJ36" s="15"/>
      <c r="AK36" s="44"/>
      <c r="AL36" s="15"/>
      <c r="AM36" s="15"/>
    </row>
    <row r="37" spans="1:39" s="14" customFormat="1" ht="41.25" customHeight="1">
      <c r="B37" s="18">
        <v>46193</v>
      </c>
      <c r="C37" s="57">
        <v>6</v>
      </c>
      <c r="D37" s="18" t="s">
        <v>7</v>
      </c>
      <c r="E37" s="18" t="s">
        <v>78</v>
      </c>
      <c r="F37" s="15" t="s">
        <v>88</v>
      </c>
      <c r="G37" s="19" t="s">
        <v>138</v>
      </c>
      <c r="H37" s="19"/>
      <c r="I37" s="19" t="s">
        <v>150</v>
      </c>
      <c r="J37" s="43"/>
      <c r="K37" s="77">
        <v>1</v>
      </c>
      <c r="L37" s="15"/>
      <c r="M37" s="86"/>
      <c r="N37" s="15">
        <v>2</v>
      </c>
      <c r="O37" s="15"/>
      <c r="P37" s="15"/>
      <c r="Q37" s="43"/>
      <c r="R37" s="43"/>
      <c r="S37" s="43"/>
      <c r="T37" s="15"/>
      <c r="U37" s="15"/>
      <c r="V37" s="15"/>
      <c r="W37" s="15"/>
      <c r="X37" s="43"/>
      <c r="Y37" s="15"/>
      <c r="Z37" s="15"/>
      <c r="AA37" s="15"/>
      <c r="AB37" s="43"/>
      <c r="AC37" s="15"/>
      <c r="AD37" s="15">
        <v>4</v>
      </c>
      <c r="AE37" s="15"/>
      <c r="AF37" s="15">
        <v>2</v>
      </c>
      <c r="AG37" s="43"/>
      <c r="AH37" s="43"/>
      <c r="AI37" s="15"/>
      <c r="AJ37" s="15"/>
      <c r="AK37" s="44"/>
      <c r="AL37" s="15"/>
      <c r="AM37" s="15"/>
    </row>
    <row r="38" spans="1:39" s="14" customFormat="1" ht="41.25" customHeight="1">
      <c r="B38" s="18">
        <v>46194</v>
      </c>
      <c r="C38" s="57">
        <v>6</v>
      </c>
      <c r="D38" s="18" t="s">
        <v>7</v>
      </c>
      <c r="E38" s="18" t="s">
        <v>140</v>
      </c>
      <c r="F38" s="15" t="s">
        <v>18</v>
      </c>
      <c r="G38" s="19" t="s">
        <v>156</v>
      </c>
      <c r="H38" s="19"/>
      <c r="I38" s="19" t="s">
        <v>149</v>
      </c>
      <c r="J38" s="43"/>
      <c r="K38" s="77"/>
      <c r="L38" s="15"/>
      <c r="M38" s="86"/>
      <c r="N38" s="15"/>
      <c r="O38" s="15"/>
      <c r="P38" s="15"/>
      <c r="Q38" s="43"/>
      <c r="R38" s="43"/>
      <c r="S38" s="43"/>
      <c r="T38" s="15"/>
      <c r="U38" s="15"/>
      <c r="V38" s="15"/>
      <c r="W38" s="15"/>
      <c r="X38" s="43"/>
      <c r="Y38" s="15"/>
      <c r="Z38" s="15"/>
      <c r="AA38" s="15"/>
      <c r="AB38" s="43"/>
      <c r="AC38" s="15"/>
      <c r="AD38" s="15">
        <v>10</v>
      </c>
      <c r="AE38" s="15"/>
      <c r="AF38" s="15"/>
      <c r="AG38" s="43"/>
      <c r="AH38" s="43">
        <v>2</v>
      </c>
      <c r="AI38" s="15"/>
      <c r="AJ38" s="15"/>
      <c r="AK38" s="44"/>
      <c r="AL38" s="15"/>
      <c r="AM38" s="15"/>
    </row>
    <row r="39" spans="1:39" s="14" customFormat="1" ht="41.25" customHeight="1">
      <c r="B39" s="18">
        <v>46194</v>
      </c>
      <c r="C39" s="57">
        <v>6</v>
      </c>
      <c r="D39" s="18" t="s">
        <v>7</v>
      </c>
      <c r="E39" s="18" t="s">
        <v>140</v>
      </c>
      <c r="F39" s="15" t="s">
        <v>88</v>
      </c>
      <c r="G39" s="19" t="s">
        <v>91</v>
      </c>
      <c r="H39" s="19"/>
      <c r="I39" s="19" t="s">
        <v>150</v>
      </c>
      <c r="J39" s="43">
        <v>1</v>
      </c>
      <c r="K39" s="77">
        <v>2</v>
      </c>
      <c r="L39" s="15"/>
      <c r="M39" s="86"/>
      <c r="N39" s="15"/>
      <c r="O39" s="15"/>
      <c r="P39" s="15"/>
      <c r="Q39" s="43"/>
      <c r="R39" s="43"/>
      <c r="S39" s="43"/>
      <c r="T39" s="15"/>
      <c r="U39" s="15"/>
      <c r="V39" s="15"/>
      <c r="W39" s="15"/>
      <c r="X39" s="43"/>
      <c r="Y39" s="15">
        <v>1</v>
      </c>
      <c r="Z39" s="15"/>
      <c r="AA39" s="15"/>
      <c r="AB39" s="43"/>
      <c r="AC39" s="15"/>
      <c r="AD39" s="15"/>
      <c r="AE39" s="15"/>
      <c r="AF39" s="15"/>
      <c r="AG39" s="43"/>
      <c r="AH39" s="43"/>
      <c r="AI39" s="15"/>
      <c r="AJ39" s="15"/>
      <c r="AK39" s="44"/>
      <c r="AL39" s="15"/>
      <c r="AM39" s="15"/>
    </row>
    <row r="40" spans="1:39" s="14" customFormat="1" ht="41.25" customHeight="1">
      <c r="B40" s="18">
        <v>46196</v>
      </c>
      <c r="C40" s="57">
        <v>6</v>
      </c>
      <c r="D40" s="18" t="s">
        <v>7</v>
      </c>
      <c r="E40" s="18" t="s">
        <v>140</v>
      </c>
      <c r="F40" s="15" t="s">
        <v>88</v>
      </c>
      <c r="G40" s="19" t="s">
        <v>137</v>
      </c>
      <c r="H40" s="19"/>
      <c r="I40" s="19" t="s">
        <v>150</v>
      </c>
      <c r="J40" s="43">
        <v>1</v>
      </c>
      <c r="K40" s="77"/>
      <c r="L40" s="15"/>
      <c r="M40" s="86"/>
      <c r="N40" s="15"/>
      <c r="O40" s="15"/>
      <c r="P40" s="15"/>
      <c r="Q40" s="43"/>
      <c r="R40" s="43"/>
      <c r="S40" s="43"/>
      <c r="T40" s="15"/>
      <c r="U40" s="15"/>
      <c r="V40" s="15"/>
      <c r="W40" s="15"/>
      <c r="X40" s="43"/>
      <c r="Y40" s="15"/>
      <c r="Z40" s="15"/>
      <c r="AA40" s="15"/>
      <c r="AB40" s="43"/>
      <c r="AC40" s="15"/>
      <c r="AD40" s="15"/>
      <c r="AE40" s="15"/>
      <c r="AF40" s="15"/>
      <c r="AG40" s="43"/>
      <c r="AH40" s="43"/>
      <c r="AI40" s="15"/>
      <c r="AJ40" s="15"/>
      <c r="AK40" s="44"/>
      <c r="AL40" s="15"/>
      <c r="AM40" s="15"/>
    </row>
    <row r="41" spans="1:39" s="14" customFormat="1" ht="41.25" customHeight="1">
      <c r="A41" s="35"/>
      <c r="B41" s="18">
        <v>46196</v>
      </c>
      <c r="C41" s="57">
        <v>6</v>
      </c>
      <c r="D41" s="18" t="s">
        <v>7</v>
      </c>
      <c r="E41" s="18" t="s">
        <v>140</v>
      </c>
      <c r="F41" s="15" t="s">
        <v>88</v>
      </c>
      <c r="G41" s="19" t="s">
        <v>138</v>
      </c>
      <c r="H41" s="19"/>
      <c r="I41" s="19" t="s">
        <v>150</v>
      </c>
      <c r="J41" s="43"/>
      <c r="K41" s="77">
        <v>1</v>
      </c>
      <c r="L41" s="15"/>
      <c r="M41" s="86"/>
      <c r="N41" s="15"/>
      <c r="O41" s="15"/>
      <c r="P41" s="15"/>
      <c r="Q41" s="43"/>
      <c r="R41" s="43"/>
      <c r="S41" s="43"/>
      <c r="T41" s="15"/>
      <c r="U41" s="15"/>
      <c r="V41" s="15"/>
      <c r="W41" s="15"/>
      <c r="X41" s="43"/>
      <c r="Y41" s="15"/>
      <c r="Z41" s="15"/>
      <c r="AA41" s="15"/>
      <c r="AB41" s="43"/>
      <c r="AC41" s="15"/>
      <c r="AD41" s="15"/>
      <c r="AE41" s="15"/>
      <c r="AF41" s="15"/>
      <c r="AG41" s="43"/>
      <c r="AH41" s="43"/>
      <c r="AI41" s="15"/>
      <c r="AJ41" s="15"/>
      <c r="AK41" s="44"/>
      <c r="AL41" s="15"/>
      <c r="AM41" s="15"/>
    </row>
    <row r="42" spans="1:39" s="14" customFormat="1" ht="41.25" customHeight="1">
      <c r="B42" s="18">
        <v>46196</v>
      </c>
      <c r="C42" s="57">
        <v>6</v>
      </c>
      <c r="D42" s="18" t="s">
        <v>7</v>
      </c>
      <c r="E42" s="18" t="s">
        <v>140</v>
      </c>
      <c r="F42" s="15" t="s">
        <v>88</v>
      </c>
      <c r="G42" s="19" t="s">
        <v>137</v>
      </c>
      <c r="H42" s="19"/>
      <c r="I42" s="19" t="s">
        <v>150</v>
      </c>
      <c r="J42" s="43"/>
      <c r="K42" s="77"/>
      <c r="L42" s="15"/>
      <c r="M42" s="86"/>
      <c r="N42" s="15"/>
      <c r="O42" s="15"/>
      <c r="P42" s="15"/>
      <c r="Q42" s="43"/>
      <c r="R42" s="43"/>
      <c r="S42" s="43">
        <v>1</v>
      </c>
      <c r="T42" s="15"/>
      <c r="U42" s="15"/>
      <c r="V42" s="15"/>
      <c r="W42" s="15"/>
      <c r="X42" s="43"/>
      <c r="Y42" s="15"/>
      <c r="Z42" s="15"/>
      <c r="AA42" s="15"/>
      <c r="AB42" s="43"/>
      <c r="AC42" s="15"/>
      <c r="AD42" s="15"/>
      <c r="AE42" s="15"/>
      <c r="AF42" s="15"/>
      <c r="AG42" s="43"/>
      <c r="AH42" s="43"/>
      <c r="AI42" s="15"/>
      <c r="AJ42" s="15"/>
      <c r="AK42" s="44"/>
      <c r="AL42" s="15"/>
      <c r="AM42" s="15"/>
    </row>
    <row r="43" spans="1:39" s="14" customFormat="1" ht="41.25" customHeight="1">
      <c r="B43" s="18">
        <v>46196</v>
      </c>
      <c r="C43" s="57">
        <v>6</v>
      </c>
      <c r="D43" s="18" t="s">
        <v>7</v>
      </c>
      <c r="E43" s="18" t="s">
        <v>140</v>
      </c>
      <c r="F43" s="15" t="s">
        <v>88</v>
      </c>
      <c r="G43" s="19" t="s">
        <v>137</v>
      </c>
      <c r="H43" s="19"/>
      <c r="I43" s="19" t="s">
        <v>150</v>
      </c>
      <c r="J43" s="43"/>
      <c r="K43" s="77"/>
      <c r="L43" s="15">
        <v>3</v>
      </c>
      <c r="M43" s="86"/>
      <c r="N43" s="15"/>
      <c r="O43" s="15"/>
      <c r="P43" s="15"/>
      <c r="Q43" s="43"/>
      <c r="R43" s="43"/>
      <c r="S43" s="43"/>
      <c r="T43" s="15"/>
      <c r="U43" s="15"/>
      <c r="V43" s="15"/>
      <c r="W43" s="15"/>
      <c r="X43" s="43"/>
      <c r="Y43" s="15"/>
      <c r="Z43" s="15"/>
      <c r="AA43" s="15"/>
      <c r="AB43" s="43"/>
      <c r="AC43" s="15"/>
      <c r="AD43" s="15"/>
      <c r="AE43" s="15"/>
      <c r="AF43" s="15"/>
      <c r="AG43" s="43"/>
      <c r="AH43" s="43"/>
      <c r="AI43" s="15"/>
      <c r="AJ43" s="15"/>
      <c r="AK43" s="44"/>
      <c r="AL43" s="15"/>
      <c r="AM43" s="15"/>
    </row>
    <row r="44" spans="1:39" s="14" customFormat="1" ht="41.25" customHeight="1">
      <c r="B44" s="18">
        <v>46197</v>
      </c>
      <c r="C44" s="57">
        <v>6</v>
      </c>
      <c r="D44" s="18" t="s">
        <v>7</v>
      </c>
      <c r="E44" s="18" t="s">
        <v>140</v>
      </c>
      <c r="F44" s="15" t="s">
        <v>18</v>
      </c>
      <c r="G44" s="19" t="s">
        <v>137</v>
      </c>
      <c r="H44" s="19"/>
      <c r="I44" s="19" t="s">
        <v>150</v>
      </c>
      <c r="J44" s="43">
        <v>1</v>
      </c>
      <c r="K44" s="77"/>
      <c r="L44" s="15"/>
      <c r="M44" s="86"/>
      <c r="N44" s="15"/>
      <c r="O44" s="15"/>
      <c r="P44" s="15"/>
      <c r="Q44" s="43"/>
      <c r="R44" s="43"/>
      <c r="S44" s="43"/>
      <c r="T44" s="15"/>
      <c r="U44" s="15"/>
      <c r="V44" s="15"/>
      <c r="W44" s="15"/>
      <c r="X44" s="43"/>
      <c r="Y44" s="15"/>
      <c r="Z44" s="15"/>
      <c r="AA44" s="15"/>
      <c r="AB44" s="43"/>
      <c r="AC44" s="15"/>
      <c r="AD44" s="15"/>
      <c r="AE44" s="15"/>
      <c r="AF44" s="15"/>
      <c r="AG44" s="43"/>
      <c r="AH44" s="43"/>
      <c r="AI44" s="15"/>
      <c r="AJ44" s="15"/>
      <c r="AK44" s="44"/>
      <c r="AL44" s="15"/>
      <c r="AM44" s="15"/>
    </row>
    <row r="45" spans="1:39" s="14" customFormat="1" ht="41.25" customHeight="1">
      <c r="B45" s="18">
        <v>46197</v>
      </c>
      <c r="C45" s="57">
        <v>6</v>
      </c>
      <c r="D45" s="18" t="s">
        <v>7</v>
      </c>
      <c r="E45" s="18" t="s">
        <v>140</v>
      </c>
      <c r="F45" s="15" t="s">
        <v>18</v>
      </c>
      <c r="G45" s="19" t="s">
        <v>137</v>
      </c>
      <c r="H45" s="19"/>
      <c r="I45" s="19" t="s">
        <v>150</v>
      </c>
      <c r="J45" s="43"/>
      <c r="K45" s="77"/>
      <c r="L45" s="15"/>
      <c r="M45" s="86"/>
      <c r="N45" s="15"/>
      <c r="O45" s="15"/>
      <c r="P45" s="15"/>
      <c r="Q45" s="43"/>
      <c r="R45" s="43"/>
      <c r="S45" s="43"/>
      <c r="T45" s="15"/>
      <c r="U45" s="15"/>
      <c r="V45" s="15"/>
      <c r="W45" s="15"/>
      <c r="X45" s="43"/>
      <c r="Y45" s="15"/>
      <c r="Z45" s="15"/>
      <c r="AA45" s="15"/>
      <c r="AB45" s="43"/>
      <c r="AC45" s="15"/>
      <c r="AD45" s="15"/>
      <c r="AE45" s="15"/>
      <c r="AF45" s="15">
        <v>2</v>
      </c>
      <c r="AG45" s="43"/>
      <c r="AH45" s="43"/>
      <c r="AI45" s="15"/>
      <c r="AJ45" s="15"/>
      <c r="AK45" s="44"/>
      <c r="AL45" s="15"/>
      <c r="AM45" s="15"/>
    </row>
    <row r="46" spans="1:39" s="14" customFormat="1" ht="41.25" customHeight="1">
      <c r="B46" s="18">
        <v>46197</v>
      </c>
      <c r="C46" s="57">
        <v>6</v>
      </c>
      <c r="D46" s="18" t="s">
        <v>7</v>
      </c>
      <c r="E46" s="18" t="s">
        <v>140</v>
      </c>
      <c r="F46" s="15" t="s">
        <v>18</v>
      </c>
      <c r="G46" s="19" t="s">
        <v>137</v>
      </c>
      <c r="H46" s="19"/>
      <c r="I46" s="19" t="s">
        <v>150</v>
      </c>
      <c r="J46" s="43"/>
      <c r="K46" s="77"/>
      <c r="L46" s="15"/>
      <c r="M46" s="86"/>
      <c r="N46" s="15"/>
      <c r="O46" s="15"/>
      <c r="P46" s="15"/>
      <c r="Q46" s="43"/>
      <c r="R46" s="43"/>
      <c r="S46" s="43">
        <v>1</v>
      </c>
      <c r="T46" s="15"/>
      <c r="U46" s="15"/>
      <c r="V46" s="15"/>
      <c r="W46" s="15"/>
      <c r="X46" s="43"/>
      <c r="Y46" s="15"/>
      <c r="Z46" s="15"/>
      <c r="AA46" s="15"/>
      <c r="AB46" s="43"/>
      <c r="AC46" s="15"/>
      <c r="AD46" s="15"/>
      <c r="AE46" s="15"/>
      <c r="AF46" s="15"/>
      <c r="AG46" s="43"/>
      <c r="AH46" s="43"/>
      <c r="AI46" s="15"/>
      <c r="AJ46" s="15"/>
      <c r="AK46" s="44"/>
      <c r="AL46" s="15"/>
      <c r="AM46" s="15"/>
    </row>
    <row r="47" spans="1:39" s="14" customFormat="1" ht="41.25" customHeight="1">
      <c r="B47" s="18">
        <v>46198</v>
      </c>
      <c r="C47" s="57">
        <v>6</v>
      </c>
      <c r="D47" s="18" t="s">
        <v>7</v>
      </c>
      <c r="E47" s="18" t="s">
        <v>140</v>
      </c>
      <c r="F47" s="15" t="s">
        <v>18</v>
      </c>
      <c r="G47" s="19" t="s">
        <v>156</v>
      </c>
      <c r="H47" s="19"/>
      <c r="I47" s="19" t="s">
        <v>150</v>
      </c>
      <c r="J47" s="43">
        <v>1</v>
      </c>
      <c r="K47" s="77"/>
      <c r="L47" s="15"/>
      <c r="M47" s="86"/>
      <c r="N47" s="15"/>
      <c r="O47" s="15"/>
      <c r="P47" s="15"/>
      <c r="Q47" s="43"/>
      <c r="R47" s="43"/>
      <c r="S47" s="43"/>
      <c r="T47" s="15"/>
      <c r="U47" s="15"/>
      <c r="V47" s="15"/>
      <c r="W47" s="15"/>
      <c r="X47" s="43"/>
      <c r="Y47" s="15"/>
      <c r="Z47" s="15"/>
      <c r="AA47" s="15"/>
      <c r="AB47" s="43"/>
      <c r="AC47" s="15"/>
      <c r="AD47" s="15"/>
      <c r="AE47" s="15"/>
      <c r="AF47" s="15"/>
      <c r="AG47" s="43"/>
      <c r="AH47" s="43"/>
      <c r="AI47" s="15"/>
      <c r="AJ47" s="15"/>
      <c r="AK47" s="44"/>
      <c r="AL47" s="15"/>
      <c r="AM47" s="15"/>
    </row>
    <row r="48" spans="1:39" s="14" customFormat="1" ht="41.25" customHeight="1">
      <c r="B48" s="18">
        <v>46199</v>
      </c>
      <c r="C48" s="57">
        <v>6</v>
      </c>
      <c r="D48" s="18" t="s">
        <v>7</v>
      </c>
      <c r="E48" s="18" t="s">
        <v>140</v>
      </c>
      <c r="F48" s="15" t="s">
        <v>18</v>
      </c>
      <c r="G48" s="19" t="s">
        <v>156</v>
      </c>
      <c r="H48" s="19"/>
      <c r="I48" s="19" t="s">
        <v>149</v>
      </c>
      <c r="J48" s="43"/>
      <c r="K48" s="77"/>
      <c r="L48" s="15"/>
      <c r="M48" s="86"/>
      <c r="N48" s="15"/>
      <c r="O48" s="15"/>
      <c r="P48" s="15"/>
      <c r="Q48" s="43"/>
      <c r="R48" s="43"/>
      <c r="S48" s="43"/>
      <c r="T48" s="15"/>
      <c r="U48" s="15"/>
      <c r="V48" s="15"/>
      <c r="W48" s="15"/>
      <c r="X48" s="43"/>
      <c r="Y48" s="15"/>
      <c r="Z48" s="15"/>
      <c r="AA48" s="15"/>
      <c r="AB48" s="43"/>
      <c r="AC48" s="15"/>
      <c r="AD48" s="15"/>
      <c r="AE48" s="15"/>
      <c r="AF48" s="15"/>
      <c r="AG48" s="43"/>
      <c r="AH48" s="43"/>
      <c r="AI48" s="15"/>
      <c r="AJ48" s="15">
        <v>2</v>
      </c>
      <c r="AK48" s="44"/>
      <c r="AL48" s="15"/>
      <c r="AM48" s="15"/>
    </row>
    <row r="49" spans="2:39" s="14" customFormat="1" ht="41.25" customHeight="1">
      <c r="B49" s="18">
        <v>46199</v>
      </c>
      <c r="C49" s="57">
        <v>6</v>
      </c>
      <c r="D49" s="18" t="s">
        <v>7</v>
      </c>
      <c r="E49" s="18" t="s">
        <v>140</v>
      </c>
      <c r="F49" s="15" t="s">
        <v>18</v>
      </c>
      <c r="G49" s="19" t="s">
        <v>156</v>
      </c>
      <c r="H49" s="19"/>
      <c r="I49" s="19" t="s">
        <v>149</v>
      </c>
      <c r="J49" s="43"/>
      <c r="K49" s="77">
        <v>1</v>
      </c>
      <c r="L49" s="15"/>
      <c r="M49" s="86"/>
      <c r="N49" s="15"/>
      <c r="O49" s="15"/>
      <c r="P49" s="15"/>
      <c r="Q49" s="43"/>
      <c r="R49" s="43"/>
      <c r="S49" s="43"/>
      <c r="T49" s="15"/>
      <c r="U49" s="15"/>
      <c r="V49" s="15"/>
      <c r="W49" s="15"/>
      <c r="X49" s="43"/>
      <c r="Y49" s="15"/>
      <c r="Z49" s="15"/>
      <c r="AA49" s="15"/>
      <c r="AB49" s="43"/>
      <c r="AC49" s="15"/>
      <c r="AD49" s="15"/>
      <c r="AE49" s="15"/>
      <c r="AF49" s="15"/>
      <c r="AG49" s="43"/>
      <c r="AH49" s="43"/>
      <c r="AI49" s="15"/>
      <c r="AJ49" s="15"/>
      <c r="AK49" s="44"/>
      <c r="AL49" s="15"/>
      <c r="AM49" s="15"/>
    </row>
    <row r="50" spans="2:39" s="14" customFormat="1" ht="41.25" customHeight="1">
      <c r="B50" s="18">
        <v>46201</v>
      </c>
      <c r="C50" s="57">
        <v>6</v>
      </c>
      <c r="D50" s="18" t="s">
        <v>7</v>
      </c>
      <c r="E50" s="18" t="s">
        <v>140</v>
      </c>
      <c r="F50" s="15" t="s">
        <v>18</v>
      </c>
      <c r="G50" s="19" t="s">
        <v>138</v>
      </c>
      <c r="H50" s="19"/>
      <c r="I50" s="19" t="s">
        <v>150</v>
      </c>
      <c r="J50" s="43"/>
      <c r="K50" s="77"/>
      <c r="L50" s="15"/>
      <c r="M50" s="86"/>
      <c r="N50" s="15"/>
      <c r="O50" s="15"/>
      <c r="P50" s="15"/>
      <c r="Q50" s="43"/>
      <c r="R50" s="43"/>
      <c r="S50" s="43"/>
      <c r="T50" s="15"/>
      <c r="U50" s="15"/>
      <c r="V50" s="15"/>
      <c r="W50" s="15"/>
      <c r="X50" s="43"/>
      <c r="Y50" s="15"/>
      <c r="Z50" s="15"/>
      <c r="AA50" s="15"/>
      <c r="AB50" s="43"/>
      <c r="AC50" s="15"/>
      <c r="AD50" s="15"/>
      <c r="AE50" s="15"/>
      <c r="AF50" s="15"/>
      <c r="AG50" s="43"/>
      <c r="AH50" s="43"/>
      <c r="AI50" s="15"/>
      <c r="AJ50" s="15">
        <v>2</v>
      </c>
      <c r="AK50" s="43"/>
      <c r="AL50" s="15"/>
      <c r="AM50" s="72"/>
    </row>
    <row r="51" spans="2:39" s="14" customFormat="1" ht="41.25" customHeight="1">
      <c r="B51" s="18">
        <v>46201</v>
      </c>
      <c r="C51" s="57">
        <v>6</v>
      </c>
      <c r="D51" s="18" t="s">
        <v>7</v>
      </c>
      <c r="E51" s="18" t="s">
        <v>140</v>
      </c>
      <c r="F51" s="15" t="s">
        <v>18</v>
      </c>
      <c r="G51" s="19" t="s">
        <v>138</v>
      </c>
      <c r="H51" s="19"/>
      <c r="I51" s="19" t="s">
        <v>150</v>
      </c>
      <c r="J51" s="44"/>
      <c r="K51" s="78"/>
      <c r="L51" s="19"/>
      <c r="M51" s="87"/>
      <c r="N51" s="19"/>
      <c r="O51" s="19"/>
      <c r="P51" s="19"/>
      <c r="Q51" s="44"/>
      <c r="R51" s="44"/>
      <c r="S51" s="44"/>
      <c r="T51" s="19"/>
      <c r="U51" s="19"/>
      <c r="V51" s="19"/>
      <c r="W51" s="19"/>
      <c r="X51" s="44"/>
      <c r="Y51" s="19"/>
      <c r="Z51" s="19">
        <v>1</v>
      </c>
      <c r="AA51" s="19"/>
      <c r="AB51" s="44"/>
      <c r="AC51" s="19"/>
      <c r="AD51" s="19"/>
      <c r="AE51" s="19"/>
      <c r="AF51" s="19"/>
      <c r="AG51" s="44"/>
      <c r="AH51" s="44"/>
      <c r="AI51" s="19"/>
      <c r="AJ51" s="19"/>
      <c r="AK51" s="43"/>
      <c r="AL51" s="19"/>
      <c r="AM51" s="19"/>
    </row>
    <row r="52" spans="2:39" s="14" customFormat="1" ht="41.25" customHeight="1">
      <c r="B52" s="18">
        <v>46201</v>
      </c>
      <c r="C52" s="57">
        <v>6</v>
      </c>
      <c r="D52" s="18" t="s">
        <v>7</v>
      </c>
      <c r="E52" s="18" t="s">
        <v>140</v>
      </c>
      <c r="F52" s="15" t="s">
        <v>18</v>
      </c>
      <c r="G52" s="19" t="s">
        <v>138</v>
      </c>
      <c r="H52" s="19"/>
      <c r="I52" s="19" t="s">
        <v>150</v>
      </c>
      <c r="J52" s="44"/>
      <c r="K52" s="78"/>
      <c r="L52" s="19"/>
      <c r="M52" s="87"/>
      <c r="N52" s="19">
        <v>2</v>
      </c>
      <c r="O52" s="19"/>
      <c r="P52" s="19"/>
      <c r="Q52" s="44"/>
      <c r="R52" s="44"/>
      <c r="S52" s="44"/>
      <c r="T52" s="19"/>
      <c r="U52" s="19"/>
      <c r="V52" s="19"/>
      <c r="W52" s="19"/>
      <c r="X52" s="44"/>
      <c r="Y52" s="19"/>
      <c r="Z52" s="19"/>
      <c r="AA52" s="19"/>
      <c r="AB52" s="44"/>
      <c r="AC52" s="19"/>
      <c r="AD52" s="19"/>
      <c r="AE52" s="19"/>
      <c r="AF52" s="19"/>
      <c r="AG52" s="44"/>
      <c r="AH52" s="44"/>
      <c r="AI52" s="19"/>
      <c r="AJ52" s="19"/>
      <c r="AK52" s="44"/>
      <c r="AL52" s="19"/>
      <c r="AM52" s="19"/>
    </row>
    <row r="53" spans="2:39" s="14" customFormat="1" ht="41.25" customHeight="1">
      <c r="B53" s="18">
        <v>46202</v>
      </c>
      <c r="C53" s="57">
        <v>6</v>
      </c>
      <c r="D53" s="18" t="s">
        <v>7</v>
      </c>
      <c r="E53" s="18" t="s">
        <v>140</v>
      </c>
      <c r="F53" s="15" t="s">
        <v>166</v>
      </c>
      <c r="G53" s="19" t="s">
        <v>131</v>
      </c>
      <c r="H53" s="19"/>
      <c r="I53" s="19" t="s">
        <v>149</v>
      </c>
      <c r="J53" s="43"/>
      <c r="K53" s="77"/>
      <c r="L53" s="15"/>
      <c r="M53" s="86"/>
      <c r="N53" s="15"/>
      <c r="O53" s="15"/>
      <c r="P53" s="15"/>
      <c r="Q53" s="43"/>
      <c r="R53" s="43"/>
      <c r="S53" s="43"/>
      <c r="T53" s="15"/>
      <c r="U53" s="15"/>
      <c r="V53" s="15"/>
      <c r="W53" s="15"/>
      <c r="X53" s="43"/>
      <c r="Y53" s="15"/>
      <c r="Z53" s="15"/>
      <c r="AA53" s="15"/>
      <c r="AB53" s="43"/>
      <c r="AC53" s="15"/>
      <c r="AD53" s="15"/>
      <c r="AE53" s="15"/>
      <c r="AF53" s="15"/>
      <c r="AG53" s="43"/>
      <c r="AH53" s="43"/>
      <c r="AI53" s="15"/>
      <c r="AJ53" s="15">
        <v>1</v>
      </c>
      <c r="AK53" s="44"/>
      <c r="AL53" s="15"/>
      <c r="AM53" s="15"/>
    </row>
    <row r="54" spans="2:39" s="14" customFormat="1" ht="41.25" customHeight="1">
      <c r="B54" s="18">
        <v>46203</v>
      </c>
      <c r="C54" s="57">
        <f t="shared" ref="C54:C70" si="3">IF(B54="","",MONTH(B54))</f>
        <v>6</v>
      </c>
      <c r="D54" s="18" t="s">
        <v>7</v>
      </c>
      <c r="E54" s="18" t="s">
        <v>78</v>
      </c>
      <c r="F54" s="15" t="s">
        <v>88</v>
      </c>
      <c r="G54" s="19" t="s">
        <v>116</v>
      </c>
      <c r="H54" s="19"/>
      <c r="I54" s="19" t="s">
        <v>150</v>
      </c>
      <c r="J54" s="43"/>
      <c r="K54" s="77"/>
      <c r="L54" s="15"/>
      <c r="M54" s="86"/>
      <c r="N54" s="15">
        <v>4</v>
      </c>
      <c r="O54" s="15"/>
      <c r="P54" s="15"/>
      <c r="Q54" s="43"/>
      <c r="R54" s="43"/>
      <c r="S54" s="43"/>
      <c r="T54" s="15"/>
      <c r="U54" s="15"/>
      <c r="V54" s="15"/>
      <c r="W54" s="15"/>
      <c r="X54" s="43"/>
      <c r="Y54" s="15"/>
      <c r="Z54" s="15"/>
      <c r="AA54" s="15"/>
      <c r="AB54" s="43"/>
      <c r="AC54" s="15"/>
      <c r="AD54" s="15"/>
      <c r="AE54" s="15"/>
      <c r="AF54" s="15"/>
      <c r="AG54" s="43"/>
      <c r="AH54" s="43"/>
      <c r="AI54" s="15"/>
      <c r="AJ54" s="15"/>
      <c r="AK54" s="43"/>
      <c r="AL54" s="15"/>
      <c r="AM54" s="15"/>
    </row>
    <row r="55" spans="2:39" s="14" customFormat="1" ht="41.25" customHeight="1">
      <c r="B55" s="18">
        <v>46203</v>
      </c>
      <c r="C55" s="57">
        <f t="shared" si="3"/>
        <v>6</v>
      </c>
      <c r="D55" s="18" t="s">
        <v>7</v>
      </c>
      <c r="E55" s="18" t="s">
        <v>78</v>
      </c>
      <c r="F55" s="15" t="s">
        <v>88</v>
      </c>
      <c r="G55" s="19" t="s">
        <v>108</v>
      </c>
      <c r="H55" s="19"/>
      <c r="I55" s="19" t="s">
        <v>150</v>
      </c>
      <c r="J55" s="44"/>
      <c r="K55" s="78"/>
      <c r="L55" s="19"/>
      <c r="M55" s="87"/>
      <c r="N55" s="19"/>
      <c r="O55" s="19">
        <v>4</v>
      </c>
      <c r="P55" s="19"/>
      <c r="Q55" s="44"/>
      <c r="R55" s="44"/>
      <c r="S55" s="44"/>
      <c r="T55" s="19"/>
      <c r="U55" s="19"/>
      <c r="V55" s="19"/>
      <c r="W55" s="19"/>
      <c r="X55" s="44"/>
      <c r="Y55" s="19"/>
      <c r="Z55" s="19"/>
      <c r="AA55" s="19"/>
      <c r="AB55" s="44"/>
      <c r="AC55" s="19"/>
      <c r="AD55" s="19"/>
      <c r="AE55" s="19"/>
      <c r="AF55" s="19"/>
      <c r="AG55" s="44"/>
      <c r="AH55" s="44"/>
      <c r="AI55" s="19"/>
      <c r="AJ55" s="19"/>
      <c r="AK55" s="43"/>
      <c r="AL55" s="19"/>
      <c r="AM55" s="19"/>
    </row>
    <row r="56" spans="2:39" s="14" customFormat="1" ht="41.25" customHeight="1">
      <c r="B56" s="18"/>
      <c r="C56" s="57" t="str">
        <f t="shared" si="3"/>
        <v/>
      </c>
      <c r="D56" s="18" t="e">
        <f>VLOOKUP(F56,LOOKUP!$C$2:$C$8,2,0)</f>
        <v>#N/A</v>
      </c>
      <c r="E56" s="18"/>
      <c r="F56" s="15"/>
      <c r="G56" s="19"/>
      <c r="H56" s="19"/>
      <c r="I56" s="19"/>
      <c r="J56" s="47"/>
      <c r="K56" s="79"/>
      <c r="L56" s="22"/>
      <c r="M56" s="88"/>
      <c r="N56" s="22"/>
      <c r="O56" s="22"/>
      <c r="P56" s="22"/>
      <c r="Q56" s="47"/>
      <c r="R56" s="47"/>
      <c r="S56" s="47"/>
      <c r="T56" s="22"/>
      <c r="U56" s="22"/>
      <c r="V56" s="22"/>
      <c r="W56" s="22"/>
      <c r="X56" s="47"/>
      <c r="Y56" s="22"/>
      <c r="Z56" s="22"/>
      <c r="AA56" s="22"/>
      <c r="AB56" s="47"/>
      <c r="AC56" s="22"/>
      <c r="AD56" s="22"/>
      <c r="AE56" s="22"/>
      <c r="AF56" s="22"/>
      <c r="AG56" s="47"/>
      <c r="AH56" s="47"/>
      <c r="AI56" s="22"/>
      <c r="AJ56" s="22"/>
      <c r="AK56" s="44"/>
      <c r="AL56" s="22"/>
      <c r="AM56" s="22"/>
    </row>
    <row r="57" spans="2:39" s="14" customFormat="1" ht="41.25" customHeight="1">
      <c r="B57" s="18"/>
      <c r="C57" s="57" t="str">
        <f t="shared" si="3"/>
        <v/>
      </c>
      <c r="D57" s="18" t="e">
        <f>VLOOKUP(F57,LOOKUP!$C$2:$C$8,2,0)</f>
        <v>#N/A</v>
      </c>
      <c r="E57" s="18"/>
      <c r="F57" s="15"/>
      <c r="G57" s="19"/>
      <c r="H57" s="19"/>
      <c r="I57" s="19"/>
      <c r="J57" s="47"/>
      <c r="K57" s="79"/>
      <c r="L57" s="22"/>
      <c r="M57" s="88"/>
      <c r="N57" s="22"/>
      <c r="O57" s="22"/>
      <c r="P57" s="22"/>
      <c r="Q57" s="47"/>
      <c r="R57" s="47"/>
      <c r="S57" s="47"/>
      <c r="T57" s="22"/>
      <c r="U57" s="22"/>
      <c r="V57" s="22"/>
      <c r="W57" s="22"/>
      <c r="X57" s="47"/>
      <c r="Y57" s="22"/>
      <c r="Z57" s="22"/>
      <c r="AA57" s="22"/>
      <c r="AB57" s="47"/>
      <c r="AC57" s="22"/>
      <c r="AD57" s="22"/>
      <c r="AE57" s="22"/>
      <c r="AF57" s="22"/>
      <c r="AG57" s="47"/>
      <c r="AH57" s="47"/>
      <c r="AI57" s="22"/>
      <c r="AJ57" s="22"/>
      <c r="AK57" s="47"/>
      <c r="AL57" s="22"/>
      <c r="AM57" s="22"/>
    </row>
    <row r="58" spans="2:39" s="14" customFormat="1" ht="41.25" customHeight="1">
      <c r="B58" s="18"/>
      <c r="C58" s="57" t="str">
        <f t="shared" si="3"/>
        <v/>
      </c>
      <c r="D58" s="18" t="e">
        <f>VLOOKUP(F58,LOOKUP!$C$2:$C$8,2,0)</f>
        <v>#N/A</v>
      </c>
      <c r="E58" s="18"/>
      <c r="F58" s="15"/>
      <c r="G58" s="19"/>
      <c r="H58" s="19"/>
      <c r="I58" s="19"/>
      <c r="J58" s="47"/>
      <c r="K58" s="79"/>
      <c r="L58" s="22"/>
      <c r="M58" s="88"/>
      <c r="N58" s="22"/>
      <c r="O58" s="22"/>
      <c r="P58" s="22"/>
      <c r="Q58" s="47"/>
      <c r="R58" s="47"/>
      <c r="S58" s="47"/>
      <c r="T58" s="22"/>
      <c r="U58" s="22"/>
      <c r="V58" s="22"/>
      <c r="W58" s="22"/>
      <c r="X58" s="47"/>
      <c r="Y58" s="22"/>
      <c r="Z58" s="22"/>
      <c r="AA58" s="22"/>
      <c r="AB58" s="47"/>
      <c r="AC58" s="22"/>
      <c r="AD58" s="22"/>
      <c r="AE58" s="22"/>
      <c r="AF58" s="22"/>
      <c r="AG58" s="47"/>
      <c r="AH58" s="47"/>
      <c r="AI58" s="22"/>
      <c r="AJ58" s="22"/>
      <c r="AK58" s="47"/>
      <c r="AL58" s="22"/>
      <c r="AM58" s="22"/>
    </row>
    <row r="59" spans="2:39" s="14" customFormat="1" ht="41.25" customHeight="1">
      <c r="B59" s="18"/>
      <c r="C59" s="57" t="str">
        <f t="shared" si="3"/>
        <v/>
      </c>
      <c r="D59" s="18" t="e">
        <f>VLOOKUP(F59,LOOKUP!$C$2:$C$8,2,0)</f>
        <v>#N/A</v>
      </c>
      <c r="E59" s="18"/>
      <c r="F59" s="15"/>
      <c r="G59" s="19"/>
      <c r="H59" s="19"/>
      <c r="I59" s="19"/>
      <c r="J59" s="47"/>
      <c r="K59" s="79"/>
      <c r="L59" s="22"/>
      <c r="M59" s="88"/>
      <c r="N59" s="22"/>
      <c r="O59" s="22"/>
      <c r="P59" s="22"/>
      <c r="Q59" s="47"/>
      <c r="R59" s="47"/>
      <c r="S59" s="47"/>
      <c r="T59" s="22"/>
      <c r="U59" s="22"/>
      <c r="V59" s="22"/>
      <c r="W59" s="22"/>
      <c r="X59" s="47"/>
      <c r="Y59" s="22"/>
      <c r="Z59" s="22"/>
      <c r="AA59" s="22"/>
      <c r="AB59" s="47"/>
      <c r="AC59" s="22"/>
      <c r="AD59" s="22"/>
      <c r="AE59" s="22"/>
      <c r="AF59" s="22"/>
      <c r="AG59" s="47"/>
      <c r="AH59" s="47"/>
      <c r="AI59" s="22"/>
      <c r="AJ59" s="22"/>
      <c r="AK59" s="47"/>
      <c r="AL59" s="22"/>
      <c r="AM59" s="22"/>
    </row>
    <row r="60" spans="2:39" s="14" customFormat="1" ht="41.25" customHeight="1">
      <c r="B60" s="18"/>
      <c r="C60" s="57" t="str">
        <f t="shared" si="3"/>
        <v/>
      </c>
      <c r="D60" s="18" t="e">
        <f>VLOOKUP(F60,LOOKUP!$C$2:$C$8,2,0)</f>
        <v>#N/A</v>
      </c>
      <c r="E60" s="18"/>
      <c r="F60" s="15"/>
      <c r="G60" s="19"/>
      <c r="H60" s="19"/>
      <c r="I60" s="19"/>
      <c r="J60" s="47"/>
      <c r="K60" s="79"/>
      <c r="L60" s="22"/>
      <c r="M60" s="88"/>
      <c r="N60" s="22"/>
      <c r="O60" s="22"/>
      <c r="P60" s="22"/>
      <c r="Q60" s="47"/>
      <c r="R60" s="47"/>
      <c r="S60" s="47"/>
      <c r="T60" s="22"/>
      <c r="U60" s="22"/>
      <c r="V60" s="22"/>
      <c r="W60" s="22"/>
      <c r="X60" s="47"/>
      <c r="Y60" s="22"/>
      <c r="Z60" s="22"/>
      <c r="AA60" s="22"/>
      <c r="AB60" s="47"/>
      <c r="AC60" s="22"/>
      <c r="AD60" s="22"/>
      <c r="AE60" s="22"/>
      <c r="AF60" s="22"/>
      <c r="AG60" s="47"/>
      <c r="AH60" s="47"/>
      <c r="AI60" s="22"/>
      <c r="AJ60" s="22"/>
      <c r="AK60" s="47"/>
      <c r="AL60" s="22"/>
      <c r="AM60" s="22"/>
    </row>
    <row r="61" spans="2:39" s="14" customFormat="1" ht="41.25" customHeight="1">
      <c r="B61" s="18"/>
      <c r="C61" s="57" t="str">
        <f t="shared" si="3"/>
        <v/>
      </c>
      <c r="D61" s="18" t="e">
        <f>VLOOKUP(F61,LOOKUP!$C$2:$C$8,2,0)</f>
        <v>#N/A</v>
      </c>
      <c r="E61" s="18"/>
      <c r="F61" s="15"/>
      <c r="G61" s="19"/>
      <c r="H61" s="19"/>
      <c r="I61" s="19"/>
      <c r="J61" s="43"/>
      <c r="K61" s="77"/>
      <c r="L61" s="15"/>
      <c r="M61" s="86"/>
      <c r="N61" s="15"/>
      <c r="O61" s="15"/>
      <c r="P61" s="15"/>
      <c r="Q61" s="43"/>
      <c r="R61" s="43"/>
      <c r="S61" s="43"/>
      <c r="T61" s="15"/>
      <c r="U61" s="15"/>
      <c r="V61" s="15"/>
      <c r="W61" s="15"/>
      <c r="X61" s="43"/>
      <c r="Y61" s="15"/>
      <c r="Z61" s="15"/>
      <c r="AA61" s="15"/>
      <c r="AB61" s="43"/>
      <c r="AC61" s="15"/>
      <c r="AD61" s="15"/>
      <c r="AE61" s="15"/>
      <c r="AF61" s="15"/>
      <c r="AG61" s="43"/>
      <c r="AH61" s="43"/>
      <c r="AI61" s="15"/>
      <c r="AJ61" s="15"/>
      <c r="AK61" s="47"/>
      <c r="AL61" s="15"/>
      <c r="AM61" s="15"/>
    </row>
    <row r="62" spans="2:39" s="14" customFormat="1" ht="41.25" customHeight="1">
      <c r="B62" s="18"/>
      <c r="C62" s="57" t="str">
        <f t="shared" si="3"/>
        <v/>
      </c>
      <c r="D62" s="18" t="e">
        <f>VLOOKUP(F62,LOOKUP!$C$2:$C$8,2,0)</f>
        <v>#N/A</v>
      </c>
      <c r="E62" s="18"/>
      <c r="F62" s="15"/>
      <c r="G62" s="19"/>
      <c r="H62" s="19"/>
      <c r="I62" s="19"/>
      <c r="J62" s="43"/>
      <c r="K62" s="77"/>
      <c r="L62" s="15"/>
      <c r="M62" s="86"/>
      <c r="N62" s="15"/>
      <c r="O62" s="15"/>
      <c r="P62" s="15"/>
      <c r="Q62" s="43"/>
      <c r="R62" s="43"/>
      <c r="S62" s="43"/>
      <c r="T62" s="15"/>
      <c r="U62" s="15"/>
      <c r="V62" s="15"/>
      <c r="W62" s="15"/>
      <c r="X62" s="43"/>
      <c r="Y62" s="15"/>
      <c r="Z62" s="15"/>
      <c r="AA62" s="15"/>
      <c r="AB62" s="43"/>
      <c r="AC62" s="15"/>
      <c r="AD62" s="15"/>
      <c r="AE62" s="15"/>
      <c r="AF62" s="15"/>
      <c r="AG62" s="43"/>
      <c r="AH62" s="43"/>
      <c r="AI62" s="15"/>
      <c r="AJ62" s="15"/>
      <c r="AK62" s="43"/>
      <c r="AL62" s="15"/>
      <c r="AM62" s="15"/>
    </row>
    <row r="63" spans="2:39" s="14" customFormat="1" ht="41.25" customHeight="1">
      <c r="B63" s="18"/>
      <c r="C63" s="57" t="str">
        <f t="shared" si="3"/>
        <v/>
      </c>
      <c r="D63" s="18" t="e">
        <f>VLOOKUP(F63,LOOKUP!$C$2:$C$8,2,0)</f>
        <v>#N/A</v>
      </c>
      <c r="E63" s="18"/>
      <c r="F63" s="15"/>
      <c r="G63" s="19"/>
      <c r="H63" s="19"/>
      <c r="I63" s="19"/>
      <c r="J63" s="43"/>
      <c r="K63" s="77"/>
      <c r="L63" s="15"/>
      <c r="M63" s="86"/>
      <c r="N63" s="15"/>
      <c r="O63" s="15"/>
      <c r="P63" s="15"/>
      <c r="Q63" s="43"/>
      <c r="R63" s="43"/>
      <c r="S63" s="43"/>
      <c r="T63" s="15"/>
      <c r="U63" s="15"/>
      <c r="V63" s="15"/>
      <c r="W63" s="15"/>
      <c r="X63" s="43"/>
      <c r="Y63" s="15"/>
      <c r="Z63" s="15"/>
      <c r="AA63" s="15"/>
      <c r="AB63" s="43"/>
      <c r="AC63" s="15"/>
      <c r="AD63" s="15"/>
      <c r="AE63" s="15"/>
      <c r="AF63" s="15"/>
      <c r="AG63" s="43"/>
      <c r="AH63" s="43"/>
      <c r="AI63" s="15"/>
      <c r="AJ63" s="15"/>
      <c r="AK63" s="43"/>
      <c r="AL63" s="15"/>
      <c r="AM63" s="15"/>
    </row>
    <row r="64" spans="2:39" s="14" customFormat="1" ht="41.25" customHeight="1">
      <c r="B64" s="18"/>
      <c r="C64" s="57" t="str">
        <f t="shared" si="3"/>
        <v/>
      </c>
      <c r="D64" s="18" t="e">
        <f>VLOOKUP(F64,LOOKUP!$C$2:$C$8,2,0)</f>
        <v>#N/A</v>
      </c>
      <c r="E64" s="18"/>
      <c r="F64" s="15"/>
      <c r="G64" s="19"/>
      <c r="H64" s="19"/>
      <c r="I64" s="19"/>
      <c r="J64" s="15"/>
      <c r="K64" s="80"/>
      <c r="L64" s="15"/>
      <c r="M64" s="86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43"/>
      <c r="AL64" s="15"/>
      <c r="AM64" s="15"/>
    </row>
    <row r="65" spans="2:39" s="14" customFormat="1" ht="41.25" customHeight="1">
      <c r="B65" s="18"/>
      <c r="C65" s="57" t="str">
        <f t="shared" si="3"/>
        <v/>
      </c>
      <c r="D65" s="18" t="e">
        <f>VLOOKUP(F65,LOOKUP!$C$2:$C$8,2,0)</f>
        <v>#N/A</v>
      </c>
      <c r="E65" s="18"/>
      <c r="F65" s="15"/>
      <c r="G65" s="19"/>
      <c r="H65" s="19"/>
      <c r="I65" s="19"/>
      <c r="J65" s="15"/>
      <c r="K65" s="80"/>
      <c r="L65" s="15"/>
      <c r="M65" s="8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</row>
    <row r="66" spans="2:39" s="14" customFormat="1" ht="41.25" customHeight="1">
      <c r="B66" s="18"/>
      <c r="C66" s="57" t="str">
        <f t="shared" si="3"/>
        <v/>
      </c>
      <c r="D66" s="18" t="e">
        <f>VLOOKUP(F66,LOOKUP!$C$2:$C$8,2,0)</f>
        <v>#N/A</v>
      </c>
      <c r="E66" s="18"/>
      <c r="F66" s="15"/>
      <c r="G66" s="19"/>
      <c r="H66" s="19"/>
      <c r="I66" s="19"/>
      <c r="J66" s="15"/>
      <c r="K66" s="80"/>
      <c r="L66" s="15"/>
      <c r="M66" s="86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</row>
    <row r="67" spans="2:39" s="14" customFormat="1" ht="41.25" customHeight="1">
      <c r="B67" s="18"/>
      <c r="C67" s="57" t="str">
        <f t="shared" si="3"/>
        <v/>
      </c>
      <c r="D67" s="18" t="e">
        <f>VLOOKUP(F67,LOOKUP!$C$2:$C$8,2,0)</f>
        <v>#N/A</v>
      </c>
      <c r="E67" s="18"/>
      <c r="F67" s="15"/>
      <c r="G67" s="19"/>
      <c r="H67" s="19"/>
      <c r="I67" s="19"/>
      <c r="J67" s="22"/>
      <c r="K67" s="81"/>
      <c r="L67" s="22"/>
      <c r="M67" s="88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15"/>
      <c r="AL67" s="22"/>
      <c r="AM67" s="22"/>
    </row>
    <row r="68" spans="2:39" s="14" customFormat="1" ht="41.25" customHeight="1">
      <c r="B68" s="18"/>
      <c r="C68" s="57" t="str">
        <f t="shared" si="3"/>
        <v/>
      </c>
      <c r="D68" s="18" t="e">
        <f>VLOOKUP(F68,LOOKUP!$C$2:$C$8,2,0)</f>
        <v>#N/A</v>
      </c>
      <c r="E68" s="18"/>
      <c r="F68" s="15"/>
      <c r="G68" s="19"/>
      <c r="H68" s="19"/>
      <c r="I68" s="19"/>
      <c r="J68" s="22"/>
      <c r="K68" s="81"/>
      <c r="L68" s="22"/>
      <c r="M68" s="88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</row>
    <row r="69" spans="2:39" s="14" customFormat="1" ht="41.25" customHeight="1">
      <c r="B69" s="18"/>
      <c r="C69" s="57" t="str">
        <f t="shared" si="3"/>
        <v/>
      </c>
      <c r="D69" s="18" t="e">
        <f>VLOOKUP(F69,LOOKUP!$C$2:$C$8,2,0)</f>
        <v>#N/A</v>
      </c>
      <c r="E69" s="18"/>
      <c r="F69" s="15"/>
      <c r="G69" s="19"/>
      <c r="H69" s="19"/>
      <c r="I69" s="19"/>
      <c r="J69" s="15"/>
      <c r="K69" s="80"/>
      <c r="L69" s="15"/>
      <c r="M69" s="86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22"/>
      <c r="AL69" s="15"/>
      <c r="AM69" s="15"/>
    </row>
    <row r="70" spans="2:39" s="14" customFormat="1" ht="41.25" customHeight="1">
      <c r="B70" s="18"/>
      <c r="C70" s="57" t="str">
        <f t="shared" si="3"/>
        <v/>
      </c>
      <c r="D70" s="18" t="e">
        <f>VLOOKUP(F70,LOOKUP!$C$2:$C$8,2,0)</f>
        <v>#N/A</v>
      </c>
      <c r="E70" s="18"/>
      <c r="F70" s="15"/>
      <c r="G70" s="19"/>
      <c r="H70" s="19"/>
      <c r="I70" s="19"/>
      <c r="J70" s="15"/>
      <c r="K70" s="80"/>
      <c r="L70" s="15"/>
      <c r="M70" s="86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</row>
    <row r="71" spans="2:39" s="14" customFormat="1" ht="41.25" customHeight="1">
      <c r="B71" s="18"/>
      <c r="C71" s="57" t="str">
        <f t="shared" ref="C71:C134" si="4">IF(B71="","",MONTH(B71))</f>
        <v/>
      </c>
      <c r="D71" s="18" t="e">
        <f>VLOOKUP(F71,LOOKUP!$C$2:$C$8,2,0)</f>
        <v>#N/A</v>
      </c>
      <c r="E71" s="18"/>
      <c r="F71" s="15"/>
      <c r="G71" s="19"/>
      <c r="H71" s="19"/>
      <c r="I71" s="19"/>
      <c r="J71" s="15"/>
      <c r="K71" s="80"/>
      <c r="L71" s="15"/>
      <c r="M71" s="86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</row>
    <row r="72" spans="2:39" s="14" customFormat="1" ht="41.25" customHeight="1">
      <c r="B72" s="18"/>
      <c r="C72" s="57" t="str">
        <f t="shared" si="4"/>
        <v/>
      </c>
      <c r="D72" s="18" t="e">
        <f>VLOOKUP(F72,LOOKUP!$C$2:$C$8,2,0)</f>
        <v>#N/A</v>
      </c>
      <c r="E72" s="18"/>
      <c r="F72" s="15"/>
      <c r="G72" s="19"/>
      <c r="H72" s="19"/>
      <c r="I72" s="19"/>
      <c r="J72" s="15"/>
      <c r="K72" s="80"/>
      <c r="L72" s="15"/>
      <c r="M72" s="86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</row>
    <row r="73" spans="2:39" ht="41.25" customHeight="1">
      <c r="B73" s="18"/>
      <c r="C73" s="57" t="str">
        <f t="shared" si="4"/>
        <v/>
      </c>
      <c r="D73" s="18" t="e">
        <f>VLOOKUP(F73,LOOKUP!$C$2:$C$8,2,0)</f>
        <v>#N/A</v>
      </c>
      <c r="E73" s="18"/>
      <c r="F73" s="15"/>
      <c r="G73" s="19"/>
      <c r="H73" s="19"/>
      <c r="I73" s="19"/>
      <c r="J73" s="15"/>
      <c r="K73" s="80"/>
      <c r="L73" s="15"/>
      <c r="M73" s="86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</row>
    <row r="74" spans="2:39" ht="41.25" customHeight="1">
      <c r="B74" s="18"/>
      <c r="C74" s="57" t="str">
        <f t="shared" si="4"/>
        <v/>
      </c>
      <c r="D74" s="18" t="e">
        <f>VLOOKUP(F74,LOOKUP!$C$2:$C$8,2,0)</f>
        <v>#N/A</v>
      </c>
      <c r="E74" s="18"/>
      <c r="F74" s="15"/>
      <c r="G74" s="19"/>
      <c r="H74" s="19"/>
      <c r="I74" s="19"/>
      <c r="J74" s="19"/>
      <c r="K74" s="82"/>
      <c r="L74" s="19"/>
      <c r="M74" s="87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5"/>
      <c r="AL74" s="19"/>
      <c r="AM74" s="19"/>
    </row>
    <row r="75" spans="2:39" ht="41.25" customHeight="1">
      <c r="B75" s="18"/>
      <c r="C75" s="57" t="str">
        <f t="shared" si="4"/>
        <v/>
      </c>
      <c r="D75" s="18" t="e">
        <f>VLOOKUP(F75,LOOKUP!$C$2:$C$8,2,0)</f>
        <v>#N/A</v>
      </c>
      <c r="E75" s="18"/>
      <c r="F75" s="15"/>
      <c r="G75" s="19"/>
      <c r="H75" s="19"/>
      <c r="I75" s="19"/>
      <c r="J75" s="15"/>
      <c r="K75" s="80"/>
      <c r="L75" s="15"/>
      <c r="M75" s="8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9"/>
      <c r="AL75" s="15"/>
      <c r="AM75" s="15"/>
    </row>
    <row r="76" spans="2:39" ht="41.25" customHeight="1">
      <c r="B76" s="18"/>
      <c r="C76" s="57" t="str">
        <f t="shared" si="4"/>
        <v/>
      </c>
      <c r="D76" s="18" t="e">
        <f>VLOOKUP(F76,LOOKUP!$C$2:$C$8,2,0)</f>
        <v>#N/A</v>
      </c>
      <c r="E76" s="18"/>
      <c r="F76" s="15"/>
      <c r="G76" s="19"/>
      <c r="H76" s="19"/>
      <c r="I76" s="19"/>
      <c r="J76" s="15"/>
      <c r="K76" s="80"/>
      <c r="L76" s="15"/>
      <c r="M76" s="86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</row>
    <row r="77" spans="2:39" ht="41.25" customHeight="1">
      <c r="B77" s="18"/>
      <c r="C77" s="57" t="str">
        <f t="shared" si="4"/>
        <v/>
      </c>
      <c r="D77" s="18" t="e">
        <f>VLOOKUP(F77,LOOKUP!$C$2:$C$8,2,0)</f>
        <v>#N/A</v>
      </c>
      <c r="E77" s="18"/>
      <c r="F77" s="15"/>
      <c r="G77" s="19"/>
      <c r="H77" s="19"/>
      <c r="I77" s="19"/>
      <c r="J77" s="15"/>
      <c r="K77" s="80"/>
      <c r="L77" s="15"/>
      <c r="M77" s="86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</row>
    <row r="78" spans="2:39" ht="41.25" customHeight="1">
      <c r="B78" s="18"/>
      <c r="C78" s="57" t="str">
        <f t="shared" si="4"/>
        <v/>
      </c>
      <c r="D78" s="18" t="e">
        <f>VLOOKUP(F78,LOOKUP!$C$2:$C$8,2,0)</f>
        <v>#N/A</v>
      </c>
      <c r="E78" s="18"/>
      <c r="F78" s="15"/>
      <c r="G78" s="19"/>
      <c r="H78" s="19"/>
      <c r="I78" s="19"/>
      <c r="J78" s="15"/>
      <c r="K78" s="80"/>
      <c r="L78" s="15"/>
      <c r="M78" s="86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</row>
    <row r="79" spans="2:39" ht="41.25" customHeight="1">
      <c r="B79" s="18"/>
      <c r="C79" s="57" t="str">
        <f t="shared" si="4"/>
        <v/>
      </c>
      <c r="D79" s="18" t="e">
        <f>VLOOKUP(F79,LOOKUP!$C$2:$C$8,2,0)</f>
        <v>#N/A</v>
      </c>
      <c r="E79" s="18"/>
      <c r="F79" s="15"/>
      <c r="G79" s="19"/>
      <c r="H79" s="19"/>
      <c r="I79" s="19"/>
      <c r="J79" s="15"/>
      <c r="K79" s="80"/>
      <c r="L79" s="15"/>
      <c r="M79" s="86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</row>
    <row r="80" spans="2:39" ht="41.25" customHeight="1">
      <c r="B80" s="21"/>
      <c r="C80" s="57" t="str">
        <f t="shared" si="4"/>
        <v/>
      </c>
      <c r="D80" s="18" t="e">
        <f>VLOOKUP(F80,LOOKUP!$C$2:$C$8,2,0)</f>
        <v>#N/A</v>
      </c>
      <c r="E80" s="18"/>
      <c r="F80" s="15"/>
      <c r="G80" s="19"/>
      <c r="H80" s="19"/>
      <c r="I80" s="19"/>
      <c r="J80" s="22"/>
      <c r="K80" s="81"/>
      <c r="M80" s="88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15"/>
      <c r="AL80" s="22"/>
      <c r="AM80" s="22"/>
    </row>
    <row r="81" spans="2:39" ht="41.25" customHeight="1">
      <c r="B81" s="21"/>
      <c r="C81" s="57" t="str">
        <f t="shared" si="4"/>
        <v/>
      </c>
      <c r="D81" s="18" t="e">
        <f>VLOOKUP(F81,LOOKUP!$C$2:$C$8,2,0)</f>
        <v>#N/A</v>
      </c>
      <c r="E81" s="18"/>
      <c r="F81" s="15"/>
      <c r="G81" s="19"/>
      <c r="H81" s="19"/>
      <c r="I81" s="19"/>
      <c r="J81" s="22"/>
      <c r="K81" s="81"/>
      <c r="M81" s="88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</row>
    <row r="82" spans="2:39" ht="41.25" customHeight="1">
      <c r="B82" s="21"/>
      <c r="C82" s="57" t="str">
        <f t="shared" si="4"/>
        <v/>
      </c>
      <c r="D82" s="18" t="e">
        <f>VLOOKUP(F82,LOOKUP!$C$2:$C$8,2,0)</f>
        <v>#N/A</v>
      </c>
      <c r="E82" s="18"/>
      <c r="F82" s="15"/>
      <c r="G82" s="19"/>
      <c r="H82" s="19"/>
      <c r="I82" s="19"/>
      <c r="J82" s="22"/>
      <c r="K82" s="81"/>
      <c r="M82" s="88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</row>
    <row r="83" spans="2:39" ht="41.25" customHeight="1">
      <c r="B83" s="21"/>
      <c r="C83" s="57" t="str">
        <f t="shared" si="4"/>
        <v/>
      </c>
      <c r="D83" s="18" t="e">
        <f>VLOOKUP(F83,LOOKUP!$C$2:$C$8,2,0)</f>
        <v>#N/A</v>
      </c>
      <c r="E83" s="18"/>
      <c r="F83" s="15"/>
      <c r="G83" s="19"/>
      <c r="H83" s="19"/>
      <c r="I83" s="19"/>
      <c r="J83" s="22"/>
      <c r="K83" s="81"/>
      <c r="M83" s="88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</row>
    <row r="84" spans="2:39" ht="41.25" customHeight="1">
      <c r="B84" s="18"/>
      <c r="C84" s="57" t="str">
        <f t="shared" si="4"/>
        <v/>
      </c>
      <c r="D84" s="18" t="e">
        <f>VLOOKUP(F84,LOOKUP!$C$2:$C$8,2,0)</f>
        <v>#N/A</v>
      </c>
      <c r="E84" s="18"/>
      <c r="F84" s="15"/>
      <c r="G84" s="19"/>
      <c r="H84" s="19"/>
      <c r="I84" s="19"/>
      <c r="J84" s="22"/>
      <c r="K84" s="81"/>
      <c r="M84" s="88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</row>
    <row r="85" spans="2:39" ht="41.25" customHeight="1">
      <c r="B85" s="18"/>
      <c r="C85" s="57" t="str">
        <f t="shared" si="4"/>
        <v/>
      </c>
      <c r="D85" s="18" t="e">
        <f>VLOOKUP(F85,LOOKUP!$C$2:$C$8,2,0)</f>
        <v>#N/A</v>
      </c>
      <c r="E85" s="18"/>
      <c r="F85" s="15"/>
      <c r="G85" s="19"/>
      <c r="H85" s="19"/>
      <c r="I85" s="19"/>
      <c r="J85" s="22"/>
      <c r="K85" s="81"/>
      <c r="M85" s="88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</row>
    <row r="86" spans="2:39" ht="41.25" customHeight="1">
      <c r="B86" s="18"/>
      <c r="C86" s="57" t="str">
        <f t="shared" si="4"/>
        <v/>
      </c>
      <c r="D86" s="18" t="e">
        <f>VLOOKUP(F86,LOOKUP!$C$2:$C$8,2,0)</f>
        <v>#N/A</v>
      </c>
      <c r="E86" s="18"/>
      <c r="F86" s="15"/>
      <c r="G86" s="19"/>
      <c r="H86" s="19"/>
      <c r="I86" s="19"/>
      <c r="J86" s="22"/>
      <c r="K86" s="81"/>
      <c r="M86" s="88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</row>
    <row r="87" spans="2:39" ht="41.25" customHeight="1">
      <c r="B87" s="18"/>
      <c r="C87" s="57" t="str">
        <f t="shared" si="4"/>
        <v/>
      </c>
      <c r="D87" s="18" t="e">
        <f>VLOOKUP(F87,LOOKUP!$C$2:$C$8,2,0)</f>
        <v>#N/A</v>
      </c>
      <c r="E87" s="18"/>
      <c r="F87" s="15"/>
      <c r="G87" s="19"/>
      <c r="H87" s="19"/>
      <c r="I87" s="19"/>
      <c r="J87" s="22"/>
      <c r="K87" s="81"/>
      <c r="M87" s="88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</row>
    <row r="88" spans="2:39" ht="41.25" customHeight="1">
      <c r="B88" s="18"/>
      <c r="C88" s="57" t="str">
        <f t="shared" si="4"/>
        <v/>
      </c>
      <c r="D88" s="18" t="e">
        <f>VLOOKUP(F88,LOOKUP!$C$2:$C$8,2,0)</f>
        <v>#N/A</v>
      </c>
      <c r="E88" s="18"/>
      <c r="F88" s="15"/>
      <c r="G88" s="19"/>
      <c r="H88" s="19"/>
      <c r="I88" s="19"/>
      <c r="J88" s="22"/>
      <c r="K88" s="81"/>
      <c r="M88" s="88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</row>
    <row r="89" spans="2:39" ht="41.25" customHeight="1">
      <c r="B89" s="21"/>
      <c r="C89" s="57" t="str">
        <f t="shared" si="4"/>
        <v/>
      </c>
      <c r="D89" s="18" t="e">
        <f>VLOOKUP(F89,LOOKUP!$C$2:$C$8,2,0)</f>
        <v>#N/A</v>
      </c>
      <c r="E89" s="18"/>
      <c r="F89" s="15"/>
      <c r="G89" s="19"/>
      <c r="H89" s="19"/>
      <c r="I89" s="19"/>
      <c r="J89" s="22"/>
      <c r="K89" s="81"/>
      <c r="M89" s="88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</row>
    <row r="90" spans="2:39" ht="41.25" customHeight="1">
      <c r="B90" s="21"/>
      <c r="C90" s="57" t="str">
        <f t="shared" si="4"/>
        <v/>
      </c>
      <c r="D90" s="18" t="e">
        <f>VLOOKUP(F90,LOOKUP!$C$2:$C$8,2,0)</f>
        <v>#N/A</v>
      </c>
      <c r="E90" s="18"/>
      <c r="F90" s="15"/>
      <c r="G90" s="19"/>
      <c r="H90" s="19"/>
      <c r="I90" s="19"/>
      <c r="J90" s="22"/>
      <c r="K90" s="81"/>
      <c r="M90" s="88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</row>
    <row r="91" spans="2:39" ht="41.25" customHeight="1">
      <c r="B91" s="21"/>
      <c r="C91" s="57" t="str">
        <f t="shared" si="4"/>
        <v/>
      </c>
      <c r="D91" s="18" t="e">
        <f>VLOOKUP(F91,LOOKUP!$C$2:$C$8,2,0)</f>
        <v>#N/A</v>
      </c>
      <c r="E91" s="18"/>
      <c r="F91" s="15"/>
      <c r="G91" s="19"/>
      <c r="H91" s="19"/>
      <c r="I91" s="19"/>
      <c r="J91" s="22"/>
      <c r="K91" s="81"/>
      <c r="M91" s="88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</row>
    <row r="92" spans="2:39" ht="41.25" customHeight="1">
      <c r="B92" s="21"/>
      <c r="C92" s="57" t="str">
        <f t="shared" si="4"/>
        <v/>
      </c>
      <c r="D92" s="18" t="e">
        <f>VLOOKUP(F92,LOOKUP!$C$2:$C$8,2,0)</f>
        <v>#N/A</v>
      </c>
      <c r="E92" s="18"/>
      <c r="F92" s="15"/>
      <c r="G92" s="19"/>
      <c r="H92" s="19"/>
      <c r="I92" s="19"/>
      <c r="J92" s="22"/>
      <c r="K92" s="81"/>
      <c r="M92" s="88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</row>
    <row r="93" spans="2:39" ht="41.25" customHeight="1">
      <c r="B93" s="21"/>
      <c r="C93" s="57" t="str">
        <f t="shared" si="4"/>
        <v/>
      </c>
      <c r="D93" s="18" t="e">
        <f>VLOOKUP(F93,LOOKUP!$C$2:$C$8,2,0)</f>
        <v>#N/A</v>
      </c>
      <c r="E93" s="18"/>
      <c r="F93" s="15"/>
      <c r="G93" s="19"/>
      <c r="H93" s="19"/>
      <c r="I93" s="19"/>
      <c r="J93" s="22"/>
      <c r="K93" s="81"/>
      <c r="M93" s="88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</row>
    <row r="94" spans="2:39" ht="41.25" customHeight="1">
      <c r="B94" s="21"/>
      <c r="C94" s="57" t="str">
        <f t="shared" si="4"/>
        <v/>
      </c>
      <c r="D94" s="18" t="e">
        <f>VLOOKUP(F94,LOOKUP!$C$2:$C$8,2,0)</f>
        <v>#N/A</v>
      </c>
      <c r="E94" s="18"/>
      <c r="F94" s="15"/>
      <c r="G94" s="19"/>
      <c r="H94" s="19"/>
      <c r="I94" s="19"/>
      <c r="J94" s="22"/>
      <c r="K94" s="81"/>
      <c r="M94" s="88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</row>
    <row r="95" spans="2:39" ht="41.25" customHeight="1">
      <c r="B95" s="21"/>
      <c r="C95" s="57" t="str">
        <f t="shared" si="4"/>
        <v/>
      </c>
      <c r="D95" s="18" t="e">
        <f>VLOOKUP(F95,LOOKUP!$C$2:$C$8,2,0)</f>
        <v>#N/A</v>
      </c>
      <c r="E95" s="18"/>
      <c r="F95" s="15"/>
      <c r="G95" s="19"/>
      <c r="H95" s="19"/>
      <c r="I95" s="19"/>
      <c r="J95" s="22"/>
      <c r="K95" s="81"/>
      <c r="M95" s="88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</row>
    <row r="96" spans="2:39" ht="41.25" customHeight="1">
      <c r="B96" s="21"/>
      <c r="C96" s="57" t="str">
        <f t="shared" si="4"/>
        <v/>
      </c>
      <c r="D96" s="18" t="e">
        <f>VLOOKUP(F96,LOOKUP!$C$2:$C$8,2,0)</f>
        <v>#N/A</v>
      </c>
      <c r="E96" s="18"/>
      <c r="F96" s="15"/>
      <c r="G96" s="19"/>
      <c r="H96" s="19"/>
      <c r="I96" s="19"/>
      <c r="J96" s="22"/>
      <c r="K96" s="81"/>
      <c r="M96" s="88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</row>
    <row r="97" spans="2:39" ht="41.25" customHeight="1">
      <c r="B97" s="21"/>
      <c r="C97" s="57" t="str">
        <f t="shared" si="4"/>
        <v/>
      </c>
      <c r="D97" s="18" t="e">
        <f>VLOOKUP(F97,LOOKUP!$C$2:$C$8,2,0)</f>
        <v>#N/A</v>
      </c>
      <c r="E97" s="18"/>
      <c r="F97" s="15"/>
      <c r="G97" s="19"/>
      <c r="H97" s="19"/>
      <c r="I97" s="19"/>
      <c r="J97" s="22"/>
      <c r="K97" s="81"/>
      <c r="M97" s="88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</row>
    <row r="98" spans="2:39" ht="41.25" customHeight="1">
      <c r="B98" s="18"/>
      <c r="C98" s="57" t="str">
        <f t="shared" si="4"/>
        <v/>
      </c>
      <c r="D98" s="18" t="e">
        <f>VLOOKUP(F98,LOOKUP!$C$2:$C$8,2,0)</f>
        <v>#N/A</v>
      </c>
      <c r="E98" s="18"/>
      <c r="F98" s="15"/>
      <c r="G98" s="19"/>
      <c r="H98" s="19"/>
      <c r="I98" s="19"/>
      <c r="J98" s="22"/>
      <c r="K98" s="81"/>
      <c r="M98" s="88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</row>
    <row r="99" spans="2:39" ht="41.25" customHeight="1">
      <c r="B99" s="18"/>
      <c r="C99" s="57" t="str">
        <f t="shared" si="4"/>
        <v/>
      </c>
      <c r="D99" s="18" t="e">
        <f>VLOOKUP(F99,LOOKUP!$C$2:$C$8,2,0)</f>
        <v>#N/A</v>
      </c>
      <c r="E99" s="18"/>
      <c r="F99" s="15"/>
      <c r="G99" s="19"/>
      <c r="H99" s="19"/>
      <c r="I99" s="19"/>
      <c r="J99" s="22"/>
      <c r="K99" s="81"/>
      <c r="M99" s="88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</row>
    <row r="100" spans="2:39" ht="41.25" customHeight="1">
      <c r="B100" s="21"/>
      <c r="C100" s="57" t="str">
        <f t="shared" si="4"/>
        <v/>
      </c>
      <c r="D100" s="18" t="e">
        <f>VLOOKUP(F100,LOOKUP!$C$2:$C$8,2,0)</f>
        <v>#N/A</v>
      </c>
      <c r="E100" s="18"/>
      <c r="F100" s="15"/>
      <c r="G100" s="19"/>
      <c r="H100" s="19"/>
      <c r="I100" s="19"/>
      <c r="J100" s="22"/>
      <c r="K100" s="81"/>
      <c r="M100" s="88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</row>
    <row r="101" spans="2:39" ht="41.25" customHeight="1">
      <c r="B101" s="21"/>
      <c r="C101" s="57" t="str">
        <f t="shared" si="4"/>
        <v/>
      </c>
      <c r="D101" s="18" t="e">
        <f>VLOOKUP(F101,LOOKUP!$C$2:$C$8,2,0)</f>
        <v>#N/A</v>
      </c>
      <c r="E101" s="18"/>
      <c r="F101" s="15"/>
      <c r="G101" s="19"/>
      <c r="H101" s="19"/>
      <c r="I101" s="19"/>
      <c r="J101" s="22"/>
      <c r="K101" s="81"/>
      <c r="M101" s="88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</row>
    <row r="102" spans="2:39" ht="41.25" customHeight="1">
      <c r="B102" s="21"/>
      <c r="C102" s="57" t="str">
        <f t="shared" si="4"/>
        <v/>
      </c>
      <c r="D102" s="18" t="e">
        <f>VLOOKUP(F102,LOOKUP!$C$2:$C$8,2,0)</f>
        <v>#N/A</v>
      </c>
      <c r="E102" s="18"/>
      <c r="F102" s="15"/>
      <c r="G102" s="19"/>
      <c r="H102" s="19"/>
      <c r="I102" s="19"/>
      <c r="J102" s="22"/>
      <c r="K102" s="81"/>
      <c r="M102" s="88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</row>
    <row r="103" spans="2:39" ht="41.25" customHeight="1">
      <c r="B103" s="21"/>
      <c r="C103" s="57" t="str">
        <f t="shared" si="4"/>
        <v/>
      </c>
      <c r="D103" s="18" t="e">
        <f>VLOOKUP(F103,LOOKUP!$C$2:$C$8,2,0)</f>
        <v>#N/A</v>
      </c>
      <c r="E103" s="18"/>
      <c r="F103" s="15"/>
      <c r="G103" s="19"/>
      <c r="H103" s="19"/>
      <c r="I103" s="19"/>
      <c r="J103" s="22"/>
      <c r="K103" s="81"/>
      <c r="M103" s="88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</row>
    <row r="104" spans="2:39" ht="41.25" customHeight="1">
      <c r="B104" s="21"/>
      <c r="C104" s="57" t="str">
        <f t="shared" si="4"/>
        <v/>
      </c>
      <c r="D104" s="18" t="e">
        <f>VLOOKUP(F104,LOOKUP!$C$2:$C$8,2,0)</f>
        <v>#N/A</v>
      </c>
      <c r="E104" s="18"/>
      <c r="F104" s="15"/>
      <c r="G104" s="19"/>
      <c r="H104" s="19"/>
      <c r="I104" s="19"/>
      <c r="J104" s="22"/>
      <c r="K104" s="81"/>
      <c r="M104" s="88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</row>
    <row r="105" spans="2:39" ht="41.25" customHeight="1">
      <c r="B105" s="18"/>
      <c r="C105" s="57" t="str">
        <f t="shared" si="4"/>
        <v/>
      </c>
      <c r="D105" s="18" t="e">
        <f>VLOOKUP(F105,LOOKUP!$C$2:$C$8,2,0)</f>
        <v>#N/A</v>
      </c>
      <c r="E105" s="18"/>
      <c r="F105" s="15"/>
      <c r="G105" s="19"/>
      <c r="H105" s="19"/>
      <c r="I105" s="19"/>
      <c r="J105" s="22"/>
      <c r="K105" s="81"/>
      <c r="M105" s="88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</row>
    <row r="106" spans="2:39" ht="41.25" customHeight="1">
      <c r="B106" s="18"/>
      <c r="C106" s="57" t="str">
        <f t="shared" si="4"/>
        <v/>
      </c>
      <c r="D106" s="18" t="e">
        <f>VLOOKUP(F106,LOOKUP!$C$2:$C$8,2,0)</f>
        <v>#N/A</v>
      </c>
      <c r="E106" s="18"/>
      <c r="F106" s="15"/>
      <c r="G106" s="19"/>
      <c r="H106" s="19"/>
      <c r="I106" s="19"/>
      <c r="J106" s="22"/>
      <c r="K106" s="81"/>
      <c r="M106" s="88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</row>
    <row r="107" spans="2:39" ht="41.25" customHeight="1">
      <c r="B107" s="21"/>
      <c r="C107" s="57" t="str">
        <f t="shared" si="4"/>
        <v/>
      </c>
      <c r="D107" s="18" t="e">
        <f>VLOOKUP(F107,LOOKUP!$C$2:$C$8,2,0)</f>
        <v>#N/A</v>
      </c>
      <c r="E107" s="18"/>
      <c r="F107" s="15"/>
      <c r="G107" s="19"/>
      <c r="H107" s="19"/>
      <c r="I107" s="19"/>
      <c r="J107" s="22"/>
      <c r="K107" s="81"/>
      <c r="M107" s="88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</row>
    <row r="108" spans="2:39" ht="41.25" customHeight="1">
      <c r="B108" s="21"/>
      <c r="C108" s="57" t="str">
        <f t="shared" si="4"/>
        <v/>
      </c>
      <c r="D108" s="18" t="e">
        <f>VLOOKUP(F108,LOOKUP!$C$2:$C$8,2,0)</f>
        <v>#N/A</v>
      </c>
      <c r="E108" s="18"/>
      <c r="F108" s="15"/>
      <c r="G108" s="19"/>
      <c r="H108" s="19"/>
      <c r="I108" s="19"/>
      <c r="J108" s="22"/>
      <c r="K108" s="81"/>
      <c r="M108" s="88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</row>
    <row r="109" spans="2:39" ht="41.25" customHeight="1">
      <c r="B109" s="18"/>
      <c r="C109" s="57" t="str">
        <f t="shared" si="4"/>
        <v/>
      </c>
      <c r="D109" s="18" t="e">
        <f>VLOOKUP(F109,LOOKUP!$C$2:$C$8,2,0)</f>
        <v>#N/A</v>
      </c>
      <c r="E109" s="18"/>
      <c r="F109" s="15"/>
      <c r="G109" s="19"/>
      <c r="H109" s="19"/>
      <c r="I109" s="19"/>
      <c r="J109" s="22"/>
      <c r="K109" s="81"/>
      <c r="M109" s="88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</row>
    <row r="110" spans="2:39" ht="41.25" customHeight="1">
      <c r="B110" s="18"/>
      <c r="C110" s="57" t="str">
        <f t="shared" si="4"/>
        <v/>
      </c>
      <c r="D110" s="18" t="e">
        <f>VLOOKUP(F110,LOOKUP!$C$2:$C$8,2,0)</f>
        <v>#N/A</v>
      </c>
      <c r="E110" s="18"/>
      <c r="F110" s="15"/>
      <c r="G110" s="19"/>
      <c r="H110" s="19"/>
      <c r="I110" s="19"/>
      <c r="J110" s="22"/>
      <c r="K110" s="81"/>
      <c r="M110" s="88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</row>
    <row r="111" spans="2:39" ht="41.25" customHeight="1">
      <c r="B111" s="18"/>
      <c r="C111" s="57" t="str">
        <f t="shared" si="4"/>
        <v/>
      </c>
      <c r="D111" s="18" t="e">
        <f>VLOOKUP(F111,LOOKUP!$C$2:$C$8,2,0)</f>
        <v>#N/A</v>
      </c>
      <c r="E111" s="18"/>
      <c r="F111" s="15"/>
      <c r="G111" s="19"/>
      <c r="H111" s="19"/>
      <c r="I111" s="19"/>
      <c r="J111" s="22"/>
      <c r="K111" s="81"/>
      <c r="M111" s="88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</row>
    <row r="112" spans="2:39" ht="41.25" customHeight="1">
      <c r="B112" s="18"/>
      <c r="C112" s="57" t="str">
        <f t="shared" si="4"/>
        <v/>
      </c>
      <c r="D112" s="18" t="e">
        <f>VLOOKUP(F112,LOOKUP!$C$2:$C$8,2,0)</f>
        <v>#N/A</v>
      </c>
      <c r="E112" s="18"/>
      <c r="F112" s="15"/>
      <c r="G112" s="19"/>
      <c r="H112" s="19"/>
      <c r="I112" s="19"/>
      <c r="J112" s="22"/>
      <c r="K112" s="81"/>
      <c r="M112" s="88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</row>
    <row r="113" spans="2:39" ht="41.25" customHeight="1">
      <c r="B113" s="18"/>
      <c r="C113" s="57" t="str">
        <f t="shared" si="4"/>
        <v/>
      </c>
      <c r="D113" s="18" t="e">
        <f>VLOOKUP(F113,LOOKUP!$C$2:$C$8,2,0)</f>
        <v>#N/A</v>
      </c>
      <c r="E113" s="18"/>
      <c r="F113" s="15"/>
      <c r="G113" s="19"/>
      <c r="H113" s="19"/>
      <c r="I113" s="19"/>
      <c r="J113" s="22"/>
      <c r="K113" s="81"/>
      <c r="M113" s="88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</row>
    <row r="114" spans="2:39" ht="41.25" customHeight="1">
      <c r="B114" s="18"/>
      <c r="C114" s="57" t="str">
        <f t="shared" si="4"/>
        <v/>
      </c>
      <c r="D114" s="18" t="e">
        <f>VLOOKUP(F114,LOOKUP!$C$2:$C$8,2,0)</f>
        <v>#N/A</v>
      </c>
      <c r="E114" s="18"/>
      <c r="F114" s="15"/>
      <c r="G114" s="19"/>
      <c r="H114" s="19"/>
      <c r="I114" s="19"/>
      <c r="J114" s="22"/>
      <c r="K114" s="81"/>
      <c r="M114" s="88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</row>
    <row r="115" spans="2:39" ht="41.25" customHeight="1">
      <c r="B115" s="18"/>
      <c r="C115" s="57" t="str">
        <f t="shared" si="4"/>
        <v/>
      </c>
      <c r="D115" s="18" t="e">
        <f>VLOOKUP(F115,LOOKUP!$C$2:$C$8,2,0)</f>
        <v>#N/A</v>
      </c>
      <c r="E115" s="18"/>
      <c r="F115" s="15"/>
      <c r="G115" s="19"/>
      <c r="H115" s="19"/>
      <c r="I115" s="19"/>
      <c r="J115" s="22"/>
      <c r="K115" s="81"/>
      <c r="M115" s="88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</row>
    <row r="116" spans="2:39" ht="41.25" customHeight="1">
      <c r="B116" s="18"/>
      <c r="C116" s="57" t="str">
        <f t="shared" si="4"/>
        <v/>
      </c>
      <c r="D116" s="18" t="e">
        <f>VLOOKUP(F116,LOOKUP!$C$2:$C$8,2,0)</f>
        <v>#N/A</v>
      </c>
      <c r="E116" s="18"/>
      <c r="F116" s="15"/>
      <c r="G116" s="19"/>
      <c r="H116" s="19"/>
      <c r="I116" s="19"/>
      <c r="J116" s="22"/>
      <c r="K116" s="81"/>
      <c r="M116" s="88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</row>
    <row r="117" spans="2:39" ht="41.25" customHeight="1">
      <c r="B117" s="18"/>
      <c r="C117" s="57" t="str">
        <f t="shared" si="4"/>
        <v/>
      </c>
      <c r="D117" s="18" t="e">
        <f>VLOOKUP(F117,LOOKUP!$C$2:$C$8,2,0)</f>
        <v>#N/A</v>
      </c>
      <c r="E117" s="18"/>
      <c r="F117" s="15"/>
      <c r="G117" s="19"/>
      <c r="H117" s="19"/>
      <c r="I117" s="19"/>
      <c r="J117" s="22"/>
      <c r="K117" s="81"/>
      <c r="M117" s="88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</row>
    <row r="118" spans="2:39" ht="41.25" customHeight="1">
      <c r="B118" s="18"/>
      <c r="C118" s="57" t="str">
        <f t="shared" si="4"/>
        <v/>
      </c>
      <c r="D118" s="18" t="e">
        <f>VLOOKUP(F118,LOOKUP!$C$2:$C$8,2,0)</f>
        <v>#N/A</v>
      </c>
      <c r="E118" s="18"/>
      <c r="F118" s="15"/>
      <c r="G118" s="19"/>
      <c r="H118" s="19"/>
      <c r="I118" s="19"/>
      <c r="J118" s="22"/>
      <c r="K118" s="81"/>
      <c r="M118" s="88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</row>
    <row r="119" spans="2:39" ht="41.25" customHeight="1">
      <c r="B119" s="18"/>
      <c r="C119" s="57" t="str">
        <f t="shared" si="4"/>
        <v/>
      </c>
      <c r="D119" s="18" t="e">
        <f>VLOOKUP(F119,LOOKUP!$C$2:$C$8,2,0)</f>
        <v>#N/A</v>
      </c>
      <c r="E119" s="18"/>
      <c r="F119" s="15"/>
      <c r="G119" s="19"/>
      <c r="H119" s="19"/>
      <c r="I119" s="19"/>
      <c r="J119" s="22"/>
      <c r="K119" s="81"/>
      <c r="M119" s="88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</row>
    <row r="120" spans="2:39" ht="41.25" customHeight="1">
      <c r="B120" s="18"/>
      <c r="C120" s="57" t="str">
        <f t="shared" si="4"/>
        <v/>
      </c>
      <c r="D120" s="18" t="e">
        <f>VLOOKUP(F120,LOOKUP!$C$2:$C$8,2,0)</f>
        <v>#N/A</v>
      </c>
      <c r="E120" s="18"/>
      <c r="F120" s="15"/>
      <c r="G120" s="19"/>
      <c r="H120" s="19"/>
      <c r="I120" s="19"/>
      <c r="J120" s="22"/>
      <c r="K120" s="81"/>
      <c r="M120" s="88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</row>
    <row r="121" spans="2:39" ht="41.25" customHeight="1">
      <c r="B121" s="21"/>
      <c r="C121" s="57" t="str">
        <f t="shared" si="4"/>
        <v/>
      </c>
      <c r="D121" s="18" t="e">
        <f>VLOOKUP(F121,LOOKUP!$C$2:$C$8,2,0)</f>
        <v>#N/A</v>
      </c>
      <c r="E121" s="18"/>
      <c r="F121" s="15"/>
      <c r="G121" s="19"/>
      <c r="H121" s="19"/>
      <c r="I121" s="19"/>
      <c r="J121" s="22"/>
      <c r="K121" s="81"/>
      <c r="M121" s="88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</row>
    <row r="122" spans="2:39" ht="41.25" customHeight="1">
      <c r="B122" s="21"/>
      <c r="C122" s="57" t="str">
        <f t="shared" si="4"/>
        <v/>
      </c>
      <c r="D122" s="18" t="e">
        <f>VLOOKUP(F122,LOOKUP!$C$2:$C$8,2,0)</f>
        <v>#N/A</v>
      </c>
      <c r="E122" s="18"/>
      <c r="F122" s="15"/>
      <c r="G122" s="19"/>
      <c r="H122" s="19"/>
      <c r="I122" s="19"/>
      <c r="J122" s="22"/>
      <c r="K122" s="81"/>
      <c r="M122" s="88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</row>
    <row r="123" spans="2:39" ht="41.25" customHeight="1">
      <c r="B123" s="21"/>
      <c r="C123" s="57" t="str">
        <f t="shared" si="4"/>
        <v/>
      </c>
      <c r="D123" s="18" t="e">
        <f>VLOOKUP(F123,LOOKUP!$C$2:$C$8,2,0)</f>
        <v>#N/A</v>
      </c>
      <c r="E123" s="18"/>
      <c r="F123" s="15"/>
      <c r="G123" s="19"/>
      <c r="H123" s="19"/>
      <c r="I123" s="19"/>
      <c r="J123" s="22"/>
      <c r="K123" s="81"/>
      <c r="M123" s="88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</row>
    <row r="124" spans="2:39" ht="41.25" customHeight="1">
      <c r="B124" s="18"/>
      <c r="C124" s="57" t="str">
        <f t="shared" si="4"/>
        <v/>
      </c>
      <c r="D124" s="18" t="e">
        <f>VLOOKUP(F124,LOOKUP!$C$2:$C$8,2,0)</f>
        <v>#N/A</v>
      </c>
      <c r="E124" s="18"/>
      <c r="F124" s="15"/>
      <c r="G124" s="19"/>
      <c r="H124" s="19"/>
      <c r="I124" s="19"/>
      <c r="J124" s="22"/>
      <c r="K124" s="81"/>
      <c r="M124" s="88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</row>
    <row r="125" spans="2:39" ht="41.25" customHeight="1">
      <c r="B125" s="18"/>
      <c r="C125" s="57" t="str">
        <f t="shared" si="4"/>
        <v/>
      </c>
      <c r="D125" s="18" t="e">
        <f>VLOOKUP(F125,LOOKUP!$C$2:$C$8,2,0)</f>
        <v>#N/A</v>
      </c>
      <c r="E125" s="18"/>
      <c r="F125" s="15"/>
      <c r="G125" s="19"/>
      <c r="H125" s="19"/>
      <c r="I125" s="19"/>
      <c r="J125" s="22"/>
      <c r="K125" s="81"/>
      <c r="M125" s="88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</row>
    <row r="126" spans="2:39" ht="41.25" customHeight="1">
      <c r="B126" s="21"/>
      <c r="C126" s="57" t="str">
        <f t="shared" si="4"/>
        <v/>
      </c>
      <c r="D126" s="18" t="e">
        <f>VLOOKUP(F126,LOOKUP!$C$2:$C$8,2,0)</f>
        <v>#N/A</v>
      </c>
      <c r="E126" s="18"/>
      <c r="F126" s="15"/>
      <c r="G126" s="19"/>
      <c r="H126" s="19"/>
      <c r="I126" s="19"/>
      <c r="J126" s="22"/>
      <c r="K126" s="81"/>
      <c r="M126" s="88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</row>
    <row r="127" spans="2:39" ht="41.25" customHeight="1">
      <c r="B127" s="21"/>
      <c r="C127" s="57" t="str">
        <f t="shared" si="4"/>
        <v/>
      </c>
      <c r="D127" s="18" t="e">
        <f>VLOOKUP(F127,LOOKUP!$C$2:$C$8,2,0)</f>
        <v>#N/A</v>
      </c>
      <c r="E127" s="18"/>
      <c r="F127" s="15"/>
      <c r="G127" s="19"/>
      <c r="H127" s="19"/>
      <c r="I127" s="19"/>
      <c r="J127" s="22"/>
      <c r="K127" s="81"/>
      <c r="M127" s="88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</row>
    <row r="128" spans="2:39" ht="41.25" customHeight="1">
      <c r="B128" s="21"/>
      <c r="C128" s="57" t="str">
        <f t="shared" si="4"/>
        <v/>
      </c>
      <c r="D128" s="18" t="e">
        <f>VLOOKUP(F128,LOOKUP!$C$2:$C$8,2,0)</f>
        <v>#N/A</v>
      </c>
      <c r="E128" s="18"/>
      <c r="F128" s="15"/>
      <c r="G128" s="19"/>
      <c r="H128" s="19"/>
      <c r="I128" s="19"/>
      <c r="J128" s="22"/>
      <c r="K128" s="81"/>
      <c r="M128" s="88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</row>
    <row r="129" spans="1:99" ht="41.25" customHeight="1">
      <c r="B129" s="21"/>
      <c r="C129" s="57" t="str">
        <f t="shared" si="4"/>
        <v/>
      </c>
      <c r="D129" s="18" t="e">
        <f>VLOOKUP(F129,LOOKUP!$C$2:$C$8,2,0)</f>
        <v>#N/A</v>
      </c>
      <c r="E129" s="18"/>
      <c r="F129" s="15"/>
      <c r="G129" s="19"/>
      <c r="H129" s="19"/>
      <c r="I129" s="19"/>
      <c r="J129" s="22"/>
      <c r="K129" s="81"/>
      <c r="M129" s="88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</row>
    <row r="130" spans="1:99" ht="41.25" customHeight="1">
      <c r="B130" s="21"/>
      <c r="C130" s="57" t="str">
        <f t="shared" si="4"/>
        <v/>
      </c>
      <c r="D130" s="18" t="e">
        <f>VLOOKUP(F130,LOOKUP!$C$2:$C$8,2,0)</f>
        <v>#N/A</v>
      </c>
      <c r="E130" s="18"/>
      <c r="F130" s="15"/>
      <c r="G130" s="19"/>
      <c r="H130" s="19"/>
      <c r="I130" s="19"/>
      <c r="J130" s="22"/>
      <c r="K130" s="81"/>
      <c r="M130" s="88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</row>
    <row r="131" spans="1:99" ht="41.25" customHeight="1">
      <c r="B131" s="18"/>
      <c r="C131" s="57" t="str">
        <f t="shared" si="4"/>
        <v/>
      </c>
      <c r="D131" s="18" t="e">
        <f>VLOOKUP(F131,LOOKUP!$C$2:$C$8,2,0)</f>
        <v>#N/A</v>
      </c>
      <c r="E131" s="18"/>
      <c r="F131" s="15"/>
      <c r="G131" s="19"/>
      <c r="H131" s="19"/>
      <c r="I131" s="19"/>
      <c r="J131" s="22"/>
      <c r="K131" s="81"/>
      <c r="M131" s="88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</row>
    <row r="132" spans="1:99" ht="41.25" customHeight="1">
      <c r="B132" s="18"/>
      <c r="C132" s="57" t="str">
        <f t="shared" si="4"/>
        <v/>
      </c>
      <c r="D132" s="18" t="e">
        <f>VLOOKUP(F132,LOOKUP!$C$2:$C$8,2,0)</f>
        <v>#N/A</v>
      </c>
      <c r="E132" s="18"/>
      <c r="F132" s="15"/>
      <c r="G132" s="19"/>
      <c r="H132" s="19"/>
      <c r="I132" s="19"/>
      <c r="J132" s="22"/>
      <c r="K132" s="81"/>
      <c r="M132" s="88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</row>
    <row r="133" spans="1:99" ht="41.25" customHeight="1">
      <c r="B133" s="18"/>
      <c r="C133" s="57" t="str">
        <f t="shared" si="4"/>
        <v/>
      </c>
      <c r="D133" s="18" t="e">
        <f>VLOOKUP(F133,LOOKUP!$C$2:$C$8,2,0)</f>
        <v>#N/A</v>
      </c>
      <c r="E133" s="18"/>
      <c r="F133" s="15"/>
      <c r="G133" s="19"/>
      <c r="H133" s="19"/>
      <c r="I133" s="19"/>
      <c r="J133" s="22"/>
      <c r="K133" s="81"/>
      <c r="M133" s="88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</row>
    <row r="134" spans="1:99" ht="41.25" customHeight="1">
      <c r="B134" s="18"/>
      <c r="C134" s="57" t="str">
        <f t="shared" si="4"/>
        <v/>
      </c>
      <c r="D134" s="18" t="e">
        <f>VLOOKUP(F134,LOOKUP!$C$2:$C$8,2,0)</f>
        <v>#N/A</v>
      </c>
      <c r="E134" s="18"/>
      <c r="F134" s="15"/>
      <c r="G134" s="19"/>
      <c r="H134" s="19"/>
      <c r="I134" s="19"/>
      <c r="J134" s="22"/>
      <c r="K134" s="81"/>
      <c r="M134" s="88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</row>
    <row r="135" spans="1:99" ht="41.25" customHeight="1">
      <c r="B135" s="18"/>
      <c r="C135" s="57" t="str">
        <f t="shared" ref="C135:C198" si="5">IF(B135="","",MONTH(B135))</f>
        <v/>
      </c>
      <c r="D135" s="18" t="e">
        <f>VLOOKUP(F135,LOOKUP!$C$2:$C$8,2,0)</f>
        <v>#N/A</v>
      </c>
      <c r="E135" s="18"/>
      <c r="F135" s="15"/>
      <c r="G135" s="19"/>
      <c r="H135" s="19"/>
      <c r="I135" s="19"/>
      <c r="J135" s="22"/>
      <c r="K135" s="81"/>
      <c r="M135" s="88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</row>
    <row r="136" spans="1:99" ht="41.25" customHeight="1">
      <c r="B136" s="18"/>
      <c r="C136" s="57" t="str">
        <f t="shared" si="5"/>
        <v/>
      </c>
      <c r="D136" s="18" t="e">
        <f>VLOOKUP(F136,LOOKUP!$C$2:$C$8,2,0)</f>
        <v>#N/A</v>
      </c>
      <c r="E136" s="18"/>
      <c r="F136" s="15"/>
      <c r="G136" s="19"/>
      <c r="H136" s="19"/>
      <c r="I136" s="19"/>
      <c r="J136" s="22"/>
      <c r="K136" s="81"/>
      <c r="M136" s="88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</row>
    <row r="137" spans="1:99" ht="41.25" customHeight="1">
      <c r="B137" s="18"/>
      <c r="C137" s="57" t="str">
        <f t="shared" si="5"/>
        <v/>
      </c>
      <c r="D137" s="18" t="e">
        <f>VLOOKUP(F137,LOOKUP!$C$2:$C$8,2,0)</f>
        <v>#N/A</v>
      </c>
      <c r="E137" s="18"/>
      <c r="F137" s="15"/>
      <c r="G137" s="19"/>
      <c r="H137" s="19"/>
      <c r="I137" s="19"/>
      <c r="J137" s="22"/>
      <c r="K137" s="81"/>
      <c r="M137" s="88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</row>
    <row r="138" spans="1:99" ht="41.25" customHeight="1">
      <c r="B138" s="18"/>
      <c r="C138" s="57" t="str">
        <f t="shared" si="5"/>
        <v/>
      </c>
      <c r="D138" s="18" t="e">
        <f>VLOOKUP(F138,LOOKUP!$C$2:$C$8,2,0)</f>
        <v>#N/A</v>
      </c>
      <c r="E138" s="18"/>
      <c r="F138" s="15"/>
      <c r="G138" s="19"/>
      <c r="H138" s="19"/>
      <c r="I138" s="19"/>
      <c r="J138" s="22"/>
      <c r="K138" s="81"/>
      <c r="M138" s="88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</row>
    <row r="139" spans="1:99" ht="41.25" customHeight="1">
      <c r="B139" s="18"/>
      <c r="C139" s="57" t="str">
        <f t="shared" si="5"/>
        <v/>
      </c>
      <c r="D139" s="18" t="e">
        <f>VLOOKUP(F139,LOOKUP!$C$2:$C$8,2,0)</f>
        <v>#N/A</v>
      </c>
      <c r="E139" s="18"/>
      <c r="F139" s="15"/>
      <c r="G139" s="19"/>
      <c r="H139" s="19"/>
      <c r="I139" s="19"/>
      <c r="J139" s="22"/>
      <c r="K139" s="81"/>
      <c r="M139" s="88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</row>
    <row r="140" spans="1:99" s="9" customFormat="1" ht="41.25" customHeight="1">
      <c r="A140" s="13"/>
      <c r="B140" s="21"/>
      <c r="C140" s="57" t="str">
        <f t="shared" si="5"/>
        <v/>
      </c>
      <c r="D140" s="18" t="e">
        <f>VLOOKUP(F140,LOOKUP!$C$2:$C$8,2,0)</f>
        <v>#N/A</v>
      </c>
      <c r="E140" s="18"/>
      <c r="F140" s="15"/>
      <c r="G140" s="19"/>
      <c r="H140" s="19"/>
      <c r="I140" s="19"/>
      <c r="J140" s="22"/>
      <c r="K140" s="81"/>
      <c r="L140" s="22"/>
      <c r="M140" s="88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</row>
    <row r="141" spans="1:99" ht="41.25" customHeight="1">
      <c r="B141" s="18"/>
      <c r="C141" s="57" t="str">
        <f t="shared" si="5"/>
        <v/>
      </c>
      <c r="D141" s="18" t="e">
        <f>VLOOKUP(F141,LOOKUP!$C$2:$C$8,2,0)</f>
        <v>#N/A</v>
      </c>
      <c r="E141" s="18"/>
      <c r="F141" s="15"/>
      <c r="G141" s="19"/>
      <c r="H141" s="19"/>
      <c r="I141" s="19"/>
      <c r="J141" s="22"/>
      <c r="K141" s="81"/>
      <c r="M141" s="88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</row>
    <row r="142" spans="1:99" ht="41.25" customHeight="1">
      <c r="B142" s="18"/>
      <c r="C142" s="57" t="str">
        <f t="shared" si="5"/>
        <v/>
      </c>
      <c r="D142" s="18" t="e">
        <f>VLOOKUP(F142,LOOKUP!$C$2:$C$8,2,0)</f>
        <v>#N/A</v>
      </c>
      <c r="E142" s="18"/>
      <c r="F142" s="15"/>
      <c r="G142" s="19"/>
      <c r="H142" s="19"/>
      <c r="I142" s="19"/>
      <c r="J142" s="22"/>
      <c r="K142" s="81"/>
      <c r="M142" s="88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</row>
    <row r="143" spans="1:99" ht="41.25" customHeight="1">
      <c r="B143" s="18"/>
      <c r="C143" s="57" t="str">
        <f t="shared" si="5"/>
        <v/>
      </c>
      <c r="D143" s="18" t="e">
        <f>VLOOKUP(F143,LOOKUP!$C$2:$C$8,2,0)</f>
        <v>#N/A</v>
      </c>
      <c r="E143" s="18"/>
      <c r="F143" s="15"/>
      <c r="G143" s="19"/>
      <c r="H143" s="19"/>
      <c r="I143" s="19"/>
      <c r="J143" s="22"/>
      <c r="K143" s="81"/>
      <c r="M143" s="88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</row>
    <row r="144" spans="1:99" ht="41.25" customHeight="1">
      <c r="B144" s="18"/>
      <c r="C144" s="57" t="str">
        <f t="shared" si="5"/>
        <v/>
      </c>
      <c r="D144" s="18" t="e">
        <f>VLOOKUP(F144,LOOKUP!$C$2:$C$8,2,0)</f>
        <v>#N/A</v>
      </c>
      <c r="E144" s="18"/>
      <c r="F144" s="15"/>
      <c r="G144" s="19"/>
      <c r="H144" s="19"/>
      <c r="I144" s="19"/>
      <c r="J144" s="22"/>
      <c r="K144" s="81"/>
      <c r="M144" s="88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</row>
    <row r="145" spans="2:39" ht="41.25" customHeight="1">
      <c r="B145" s="18"/>
      <c r="C145" s="57" t="str">
        <f t="shared" si="5"/>
        <v/>
      </c>
      <c r="D145" s="18" t="e">
        <f>VLOOKUP(F145,LOOKUP!$C$2:$C$8,2,0)</f>
        <v>#N/A</v>
      </c>
      <c r="E145" s="18"/>
      <c r="F145" s="15"/>
      <c r="G145" s="19"/>
      <c r="H145" s="19"/>
      <c r="I145" s="19"/>
      <c r="J145" s="22"/>
      <c r="K145" s="81"/>
      <c r="M145" s="88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</row>
    <row r="146" spans="2:39" ht="41.25" customHeight="1">
      <c r="B146" s="18"/>
      <c r="C146" s="57" t="str">
        <f t="shared" si="5"/>
        <v/>
      </c>
      <c r="D146" s="18" t="e">
        <f>VLOOKUP(F146,LOOKUP!$C$2:$C$8,2,0)</f>
        <v>#N/A</v>
      </c>
      <c r="E146" s="18"/>
      <c r="F146" s="15"/>
      <c r="G146" s="19"/>
      <c r="H146" s="19"/>
      <c r="I146" s="19"/>
      <c r="J146" s="22"/>
      <c r="K146" s="81"/>
      <c r="M146" s="88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</row>
    <row r="147" spans="2:39" ht="41.25" customHeight="1">
      <c r="B147" s="18"/>
      <c r="C147" s="57" t="str">
        <f t="shared" si="5"/>
        <v/>
      </c>
      <c r="D147" s="18" t="e">
        <f>VLOOKUP(F147,LOOKUP!$C$2:$C$8,2,0)</f>
        <v>#N/A</v>
      </c>
      <c r="E147" s="18"/>
      <c r="F147" s="15"/>
      <c r="G147" s="19"/>
      <c r="H147" s="19"/>
      <c r="I147" s="19"/>
      <c r="J147" s="22"/>
      <c r="K147" s="81"/>
      <c r="M147" s="88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</row>
    <row r="148" spans="2:39" ht="41.25" customHeight="1">
      <c r="B148" s="18"/>
      <c r="C148" s="57" t="str">
        <f t="shared" si="5"/>
        <v/>
      </c>
      <c r="D148" s="18" t="e">
        <f>VLOOKUP(F148,LOOKUP!$C$2:$C$8,2,0)</f>
        <v>#N/A</v>
      </c>
      <c r="E148" s="18"/>
      <c r="F148" s="15"/>
      <c r="G148" s="19"/>
      <c r="H148" s="19"/>
      <c r="I148" s="19"/>
      <c r="J148" s="22"/>
      <c r="K148" s="81"/>
      <c r="M148" s="88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</row>
    <row r="149" spans="2:39" ht="41.25" customHeight="1">
      <c r="B149" s="21"/>
      <c r="C149" s="57" t="str">
        <f t="shared" si="5"/>
        <v/>
      </c>
      <c r="D149" s="18" t="e">
        <f>VLOOKUP(F149,LOOKUP!$C$2:$C$8,2,0)</f>
        <v>#N/A</v>
      </c>
      <c r="E149" s="18"/>
      <c r="F149" s="15"/>
      <c r="G149" s="19"/>
      <c r="H149" s="19"/>
      <c r="I149" s="19"/>
      <c r="J149" s="22"/>
      <c r="K149" s="81"/>
      <c r="M149" s="88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</row>
    <row r="150" spans="2:39" ht="41.25" customHeight="1">
      <c r="B150" s="21"/>
      <c r="C150" s="57" t="str">
        <f t="shared" si="5"/>
        <v/>
      </c>
      <c r="D150" s="18" t="e">
        <f>VLOOKUP(F150,LOOKUP!$C$2:$C$8,2,0)</f>
        <v>#N/A</v>
      </c>
      <c r="E150" s="18"/>
      <c r="F150" s="15"/>
      <c r="G150" s="19"/>
      <c r="H150" s="19"/>
      <c r="I150" s="19"/>
      <c r="J150" s="22"/>
      <c r="K150" s="81"/>
      <c r="M150" s="88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</row>
    <row r="151" spans="2:39" ht="41.25" customHeight="1">
      <c r="B151" s="21"/>
      <c r="C151" s="57" t="str">
        <f t="shared" si="5"/>
        <v/>
      </c>
      <c r="D151" s="18" t="e">
        <f>VLOOKUP(F151,LOOKUP!$C$2:$C$8,2,0)</f>
        <v>#N/A</v>
      </c>
      <c r="E151" s="18"/>
      <c r="F151" s="15"/>
      <c r="G151" s="19"/>
      <c r="H151" s="19"/>
      <c r="I151" s="19"/>
      <c r="J151" s="22"/>
      <c r="K151" s="81"/>
      <c r="M151" s="88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</row>
    <row r="152" spans="2:39" ht="41.25" customHeight="1">
      <c r="B152" s="18"/>
      <c r="C152" s="57" t="str">
        <f t="shared" si="5"/>
        <v/>
      </c>
      <c r="D152" s="18" t="e">
        <f>VLOOKUP(F152,LOOKUP!$C$2:$C$8,2,0)</f>
        <v>#N/A</v>
      </c>
      <c r="E152" s="18"/>
      <c r="F152" s="15"/>
      <c r="G152" s="19"/>
      <c r="H152" s="19"/>
      <c r="I152" s="19"/>
      <c r="J152" s="22"/>
      <c r="K152" s="81"/>
      <c r="M152" s="88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</row>
    <row r="153" spans="2:39" ht="41.25" customHeight="1">
      <c r="B153" s="18"/>
      <c r="C153" s="57" t="str">
        <f t="shared" si="5"/>
        <v/>
      </c>
      <c r="D153" s="18" t="e">
        <f>VLOOKUP(F153,LOOKUP!$C$2:$C$8,2,0)</f>
        <v>#N/A</v>
      </c>
      <c r="E153" s="18"/>
      <c r="F153" s="15"/>
      <c r="G153" s="19"/>
      <c r="H153" s="19"/>
      <c r="I153" s="19"/>
      <c r="J153" s="22"/>
      <c r="K153" s="81"/>
      <c r="M153" s="88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</row>
    <row r="154" spans="2:39" ht="41.25" customHeight="1">
      <c r="B154" s="21"/>
      <c r="C154" s="57" t="str">
        <f t="shared" si="5"/>
        <v/>
      </c>
      <c r="D154" s="18" t="e">
        <f>VLOOKUP(F154,LOOKUP!$C$2:$C$8,2,0)</f>
        <v>#N/A</v>
      </c>
      <c r="E154" s="18"/>
      <c r="F154" s="15"/>
      <c r="G154" s="19"/>
      <c r="H154" s="19"/>
      <c r="I154" s="19"/>
      <c r="J154" s="22"/>
      <c r="K154" s="81"/>
      <c r="M154" s="88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</row>
    <row r="155" spans="2:39" ht="41.25" customHeight="1">
      <c r="B155" s="21"/>
      <c r="C155" s="57" t="str">
        <f t="shared" si="5"/>
        <v/>
      </c>
      <c r="D155" s="18" t="e">
        <f>VLOOKUP(F155,LOOKUP!$C$2:$C$8,2,0)</f>
        <v>#N/A</v>
      </c>
      <c r="E155" s="18"/>
      <c r="F155" s="15"/>
      <c r="G155" s="19"/>
      <c r="H155" s="19"/>
      <c r="I155" s="19"/>
      <c r="J155" s="22"/>
      <c r="K155" s="81"/>
      <c r="M155" s="88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</row>
    <row r="156" spans="2:39" ht="41.25" customHeight="1">
      <c r="B156" s="21"/>
      <c r="C156" s="57" t="str">
        <f t="shared" si="5"/>
        <v/>
      </c>
      <c r="D156" s="18" t="e">
        <f>VLOOKUP(F156,LOOKUP!$C$2:$C$8,2,0)</f>
        <v>#N/A</v>
      </c>
      <c r="E156" s="18"/>
      <c r="F156" s="15"/>
      <c r="G156" s="19"/>
      <c r="H156" s="19"/>
      <c r="I156" s="19"/>
      <c r="J156" s="22"/>
      <c r="K156" s="81"/>
      <c r="M156" s="88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</row>
    <row r="157" spans="2:39" ht="41.25" customHeight="1">
      <c r="B157" s="21"/>
      <c r="C157" s="57" t="str">
        <f t="shared" si="5"/>
        <v/>
      </c>
      <c r="D157" s="18" t="e">
        <f>VLOOKUP(F157,LOOKUP!$C$2:$C$8,2,0)</f>
        <v>#N/A</v>
      </c>
      <c r="E157" s="18"/>
      <c r="F157" s="15"/>
      <c r="G157" s="19"/>
      <c r="H157" s="19"/>
      <c r="I157" s="19"/>
      <c r="J157" s="22"/>
      <c r="K157" s="81"/>
      <c r="M157" s="88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</row>
    <row r="158" spans="2:39" ht="41.25" customHeight="1">
      <c r="B158" s="21"/>
      <c r="C158" s="57" t="str">
        <f t="shared" si="5"/>
        <v/>
      </c>
      <c r="D158" s="18" t="e">
        <f>VLOOKUP(F158,LOOKUP!$C$2:$C$8,2,0)</f>
        <v>#N/A</v>
      </c>
      <c r="E158" s="18"/>
      <c r="F158" s="15"/>
      <c r="G158" s="19"/>
      <c r="H158" s="19"/>
      <c r="I158" s="19"/>
      <c r="J158" s="22"/>
      <c r="K158" s="81"/>
      <c r="M158" s="88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</row>
    <row r="159" spans="2:39" ht="41.25" customHeight="1">
      <c r="B159" s="21"/>
      <c r="C159" s="57" t="str">
        <f t="shared" si="5"/>
        <v/>
      </c>
      <c r="D159" s="18" t="e">
        <f>VLOOKUP(F159,LOOKUP!$C$2:$C$8,2,0)</f>
        <v>#N/A</v>
      </c>
      <c r="E159" s="18"/>
      <c r="F159" s="15"/>
      <c r="G159" s="19"/>
      <c r="H159" s="19"/>
      <c r="I159" s="19"/>
      <c r="J159" s="22"/>
      <c r="K159" s="81"/>
      <c r="M159" s="88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</row>
    <row r="160" spans="2:39" ht="41.25" customHeight="1">
      <c r="B160" s="21"/>
      <c r="C160" s="57" t="str">
        <f t="shared" si="5"/>
        <v/>
      </c>
      <c r="D160" s="18" t="e">
        <f>VLOOKUP(F160,LOOKUP!$C$2:$C$8,2,0)</f>
        <v>#N/A</v>
      </c>
      <c r="E160" s="18"/>
      <c r="F160" s="15"/>
      <c r="G160" s="19"/>
      <c r="H160" s="19"/>
      <c r="I160" s="19"/>
      <c r="J160" s="22"/>
      <c r="K160" s="81"/>
      <c r="M160" s="88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</row>
    <row r="161" spans="2:39" ht="41.25" customHeight="1">
      <c r="B161" s="21"/>
      <c r="C161" s="57" t="str">
        <f t="shared" si="5"/>
        <v/>
      </c>
      <c r="D161" s="18" t="e">
        <f>VLOOKUP(F161,LOOKUP!$C$2:$C$8,2,0)</f>
        <v>#N/A</v>
      </c>
      <c r="E161" s="18"/>
      <c r="F161" s="15"/>
      <c r="G161" s="19"/>
      <c r="H161" s="19"/>
      <c r="I161" s="19"/>
      <c r="J161" s="22"/>
      <c r="K161" s="81"/>
      <c r="M161" s="88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</row>
    <row r="162" spans="2:39" ht="41.25" customHeight="1">
      <c r="B162" s="21"/>
      <c r="C162" s="57" t="str">
        <f t="shared" si="5"/>
        <v/>
      </c>
      <c r="D162" s="18" t="e">
        <f>VLOOKUP(F162,LOOKUP!$C$2:$C$8,2,0)</f>
        <v>#N/A</v>
      </c>
      <c r="E162" s="18"/>
      <c r="F162" s="15"/>
      <c r="G162" s="19"/>
      <c r="H162" s="19"/>
      <c r="I162" s="19"/>
      <c r="J162" s="22"/>
      <c r="K162" s="81"/>
      <c r="M162" s="88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</row>
    <row r="163" spans="2:39" ht="41.25" customHeight="1">
      <c r="B163" s="18"/>
      <c r="C163" s="57" t="str">
        <f t="shared" si="5"/>
        <v/>
      </c>
      <c r="D163" s="18" t="e">
        <f>VLOOKUP(F163,LOOKUP!$C$2:$C$8,2,0)</f>
        <v>#N/A</v>
      </c>
      <c r="E163" s="18"/>
      <c r="F163" s="15"/>
      <c r="G163" s="19"/>
      <c r="H163" s="19"/>
      <c r="I163" s="19"/>
      <c r="J163" s="22"/>
      <c r="K163" s="81"/>
      <c r="M163" s="88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</row>
    <row r="164" spans="2:39" ht="41.25" customHeight="1">
      <c r="B164" s="21"/>
      <c r="C164" s="57" t="str">
        <f t="shared" si="5"/>
        <v/>
      </c>
      <c r="D164" s="18" t="e">
        <f>VLOOKUP(F164,LOOKUP!$C$2:$C$8,2,0)</f>
        <v>#N/A</v>
      </c>
      <c r="E164" s="18"/>
      <c r="F164" s="15"/>
      <c r="G164" s="19"/>
      <c r="H164" s="19"/>
      <c r="I164" s="19"/>
      <c r="J164" s="22"/>
      <c r="K164" s="81"/>
      <c r="M164" s="88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</row>
    <row r="165" spans="2:39" ht="41.25" customHeight="1">
      <c r="B165" s="21"/>
      <c r="C165" s="57" t="str">
        <f t="shared" si="5"/>
        <v/>
      </c>
      <c r="D165" s="18" t="e">
        <f>VLOOKUP(F165,LOOKUP!$C$2:$C$8,2,0)</f>
        <v>#N/A</v>
      </c>
      <c r="E165" s="18"/>
      <c r="F165" s="15"/>
      <c r="G165" s="19"/>
      <c r="H165" s="19"/>
      <c r="I165" s="19"/>
      <c r="J165" s="22"/>
      <c r="K165" s="81"/>
      <c r="M165" s="88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</row>
    <row r="166" spans="2:39" ht="41.25" customHeight="1">
      <c r="B166" s="21"/>
      <c r="C166" s="57" t="str">
        <f t="shared" si="5"/>
        <v/>
      </c>
      <c r="D166" s="18" t="e">
        <f>VLOOKUP(F166,LOOKUP!$C$2:$C$8,2,0)</f>
        <v>#N/A</v>
      </c>
      <c r="E166" s="18"/>
      <c r="F166" s="15"/>
      <c r="G166" s="19"/>
      <c r="H166" s="19"/>
      <c r="I166" s="19"/>
      <c r="J166" s="22"/>
      <c r="K166" s="81"/>
      <c r="M166" s="88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</row>
    <row r="167" spans="2:39" ht="41.25" customHeight="1">
      <c r="B167" s="21"/>
      <c r="C167" s="57" t="str">
        <f t="shared" si="5"/>
        <v/>
      </c>
      <c r="D167" s="18" t="e">
        <f>VLOOKUP(F167,LOOKUP!$C$2:$C$8,2,0)</f>
        <v>#N/A</v>
      </c>
      <c r="E167" s="18"/>
      <c r="F167" s="15"/>
      <c r="G167" s="19"/>
      <c r="H167" s="19"/>
      <c r="I167" s="19"/>
      <c r="J167" s="22"/>
      <c r="K167" s="81"/>
      <c r="M167" s="88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</row>
    <row r="168" spans="2:39" ht="41.25" customHeight="1">
      <c r="B168" s="21"/>
      <c r="C168" s="57" t="str">
        <f t="shared" si="5"/>
        <v/>
      </c>
      <c r="D168" s="18"/>
      <c r="E168" s="18"/>
      <c r="F168" s="15"/>
      <c r="G168" s="19"/>
      <c r="H168" s="19"/>
      <c r="I168" s="19"/>
      <c r="J168" s="22"/>
      <c r="K168" s="81"/>
      <c r="M168" s="88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</row>
    <row r="169" spans="2:39" ht="41.25" customHeight="1">
      <c r="B169" s="21"/>
      <c r="C169" s="57" t="str">
        <f t="shared" si="5"/>
        <v/>
      </c>
      <c r="D169" s="18"/>
      <c r="E169" s="18"/>
      <c r="F169" s="15"/>
      <c r="G169" s="19"/>
      <c r="H169" s="19"/>
      <c r="I169" s="19"/>
      <c r="J169" s="22"/>
      <c r="K169" s="81"/>
      <c r="M169" s="88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</row>
    <row r="170" spans="2:39" ht="41.25" customHeight="1">
      <c r="B170" s="21"/>
      <c r="C170" s="57" t="str">
        <f t="shared" si="5"/>
        <v/>
      </c>
      <c r="D170" s="18"/>
      <c r="E170" s="18"/>
      <c r="F170" s="15"/>
      <c r="G170" s="19"/>
      <c r="H170" s="19"/>
      <c r="I170" s="19"/>
      <c r="J170" s="22"/>
      <c r="K170" s="81"/>
      <c r="M170" s="88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</row>
    <row r="171" spans="2:39" ht="41.25" customHeight="1">
      <c r="B171" s="21"/>
      <c r="C171" s="57" t="str">
        <f t="shared" si="5"/>
        <v/>
      </c>
      <c r="D171" s="18"/>
      <c r="E171" s="18"/>
      <c r="F171" s="15"/>
      <c r="G171" s="19"/>
      <c r="H171" s="19"/>
      <c r="I171" s="19"/>
      <c r="J171" s="22"/>
      <c r="K171" s="81"/>
      <c r="M171" s="88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</row>
    <row r="172" spans="2:39" ht="41.25" customHeight="1">
      <c r="B172" s="21"/>
      <c r="C172" s="57" t="str">
        <f t="shared" si="5"/>
        <v/>
      </c>
      <c r="D172" s="18"/>
      <c r="E172" s="18"/>
      <c r="F172" s="15"/>
      <c r="G172" s="19"/>
      <c r="H172" s="19"/>
      <c r="I172" s="19"/>
      <c r="J172" s="22"/>
      <c r="K172" s="81"/>
      <c r="M172" s="88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</row>
    <row r="173" spans="2:39" ht="41.25" customHeight="1">
      <c r="B173" s="21"/>
      <c r="C173" s="57" t="str">
        <f t="shared" si="5"/>
        <v/>
      </c>
      <c r="D173" s="18"/>
      <c r="E173" s="18"/>
      <c r="F173" s="15"/>
      <c r="G173" s="19"/>
      <c r="H173" s="19"/>
      <c r="I173" s="19"/>
      <c r="J173" s="22"/>
      <c r="K173" s="81"/>
      <c r="M173" s="88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</row>
    <row r="174" spans="2:39" ht="41.25" customHeight="1">
      <c r="B174" s="21"/>
      <c r="C174" s="57" t="str">
        <f t="shared" si="5"/>
        <v/>
      </c>
      <c r="D174" s="18"/>
      <c r="E174" s="18"/>
      <c r="F174" s="15"/>
      <c r="G174" s="19"/>
      <c r="H174" s="19"/>
      <c r="I174" s="19"/>
      <c r="J174" s="22"/>
      <c r="K174" s="81"/>
      <c r="M174" s="88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</row>
    <row r="175" spans="2:39" ht="41.25" customHeight="1">
      <c r="B175" s="21"/>
      <c r="C175" s="57" t="str">
        <f t="shared" si="5"/>
        <v/>
      </c>
      <c r="D175" s="18"/>
      <c r="E175" s="18"/>
      <c r="F175" s="15"/>
      <c r="G175" s="19"/>
      <c r="H175" s="19"/>
      <c r="I175" s="19"/>
      <c r="J175" s="22"/>
      <c r="K175" s="81"/>
      <c r="M175" s="88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</row>
    <row r="176" spans="2:39" ht="41.25" customHeight="1">
      <c r="B176" s="21"/>
      <c r="C176" s="57" t="str">
        <f t="shared" si="5"/>
        <v/>
      </c>
      <c r="D176" s="18"/>
      <c r="E176" s="18"/>
      <c r="F176" s="15"/>
      <c r="G176" s="19"/>
      <c r="H176" s="19"/>
      <c r="I176" s="19"/>
      <c r="J176" s="22"/>
      <c r="K176" s="81"/>
      <c r="M176" s="88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</row>
    <row r="177" spans="2:39" ht="41.25" customHeight="1">
      <c r="B177" s="21"/>
      <c r="C177" s="57" t="str">
        <f t="shared" si="5"/>
        <v/>
      </c>
      <c r="D177" s="18"/>
      <c r="E177" s="18"/>
      <c r="F177" s="15"/>
      <c r="G177" s="19"/>
      <c r="H177" s="19"/>
      <c r="I177" s="19"/>
      <c r="J177" s="22"/>
      <c r="K177" s="81"/>
      <c r="M177" s="88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</row>
    <row r="178" spans="2:39" ht="41.25" customHeight="1">
      <c r="B178" s="21"/>
      <c r="C178" s="57" t="str">
        <f t="shared" si="5"/>
        <v/>
      </c>
      <c r="D178" s="18"/>
      <c r="E178" s="18"/>
      <c r="F178" s="15"/>
      <c r="G178" s="19"/>
      <c r="H178" s="19"/>
      <c r="I178" s="19"/>
      <c r="J178" s="22"/>
      <c r="K178" s="81"/>
      <c r="M178" s="88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</row>
    <row r="179" spans="2:39" ht="41.25" customHeight="1">
      <c r="B179" s="21"/>
      <c r="C179" s="57" t="str">
        <f t="shared" si="5"/>
        <v/>
      </c>
      <c r="D179" s="18"/>
      <c r="E179" s="18"/>
      <c r="F179" s="15"/>
      <c r="G179" s="19"/>
      <c r="H179" s="19"/>
      <c r="I179" s="19"/>
      <c r="J179" s="22"/>
      <c r="K179" s="81"/>
      <c r="M179" s="88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</row>
    <row r="180" spans="2:39" ht="41.25" customHeight="1">
      <c r="B180" s="21"/>
      <c r="C180" s="57" t="str">
        <f t="shared" si="5"/>
        <v/>
      </c>
      <c r="D180" s="18"/>
      <c r="E180" s="18"/>
      <c r="F180" s="15"/>
      <c r="G180" s="19"/>
      <c r="H180" s="19"/>
      <c r="I180" s="19"/>
      <c r="J180" s="22"/>
      <c r="K180" s="81"/>
      <c r="M180" s="88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</row>
    <row r="181" spans="2:39" ht="41.25" customHeight="1">
      <c r="B181" s="21"/>
      <c r="C181" s="57" t="str">
        <f t="shared" si="5"/>
        <v/>
      </c>
      <c r="D181" s="18"/>
      <c r="E181" s="18"/>
      <c r="F181" s="15"/>
      <c r="G181" s="19"/>
      <c r="H181" s="19"/>
      <c r="I181" s="19"/>
      <c r="J181" s="22"/>
      <c r="K181" s="81"/>
      <c r="M181" s="88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</row>
    <row r="182" spans="2:39" ht="41.25" customHeight="1">
      <c r="B182" s="21"/>
      <c r="C182" s="57" t="str">
        <f t="shared" si="5"/>
        <v/>
      </c>
      <c r="D182" s="18"/>
      <c r="E182" s="18"/>
      <c r="F182" s="15"/>
      <c r="G182" s="19"/>
      <c r="H182" s="19"/>
      <c r="I182" s="19"/>
      <c r="J182" s="22"/>
      <c r="K182" s="81"/>
      <c r="M182" s="88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</row>
    <row r="183" spans="2:39" ht="41.25" customHeight="1">
      <c r="B183" s="21"/>
      <c r="C183" s="57" t="str">
        <f t="shared" si="5"/>
        <v/>
      </c>
      <c r="D183" s="18"/>
      <c r="E183" s="18"/>
      <c r="F183" s="15"/>
      <c r="G183" s="19"/>
      <c r="H183" s="19"/>
      <c r="I183" s="19"/>
      <c r="J183" s="22"/>
      <c r="K183" s="81"/>
      <c r="M183" s="88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</row>
    <row r="184" spans="2:39" ht="41.25" customHeight="1">
      <c r="B184" s="21"/>
      <c r="C184" s="57" t="str">
        <f t="shared" si="5"/>
        <v/>
      </c>
      <c r="D184" s="18"/>
      <c r="E184" s="18"/>
      <c r="F184" s="15"/>
      <c r="G184" s="19"/>
      <c r="H184" s="19"/>
      <c r="I184" s="19"/>
      <c r="J184" s="22"/>
      <c r="K184" s="81"/>
      <c r="M184" s="88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</row>
    <row r="185" spans="2:39" ht="41.25" customHeight="1">
      <c r="B185" s="21"/>
      <c r="C185" s="57" t="str">
        <f t="shared" si="5"/>
        <v/>
      </c>
      <c r="D185" s="18"/>
      <c r="E185" s="18"/>
      <c r="F185" s="15"/>
      <c r="G185" s="19"/>
      <c r="H185" s="19"/>
      <c r="I185" s="19"/>
      <c r="J185" s="22"/>
      <c r="K185" s="81"/>
      <c r="M185" s="88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</row>
    <row r="186" spans="2:39" ht="41.25" customHeight="1">
      <c r="B186" s="21"/>
      <c r="C186" s="57" t="str">
        <f t="shared" si="5"/>
        <v/>
      </c>
      <c r="D186" s="18"/>
      <c r="E186" s="18"/>
      <c r="F186" s="15"/>
      <c r="G186" s="19"/>
      <c r="H186" s="19"/>
      <c r="I186" s="19"/>
      <c r="J186" s="22"/>
      <c r="K186" s="81"/>
      <c r="M186" s="88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</row>
    <row r="187" spans="2:39" ht="41.25" customHeight="1">
      <c r="B187" s="21"/>
      <c r="C187" s="57" t="str">
        <f t="shared" si="5"/>
        <v/>
      </c>
      <c r="D187" s="18"/>
      <c r="E187" s="18"/>
      <c r="F187" s="15"/>
      <c r="G187" s="19"/>
      <c r="H187" s="19"/>
      <c r="I187" s="19"/>
      <c r="J187" s="22"/>
      <c r="K187" s="81"/>
      <c r="M187" s="88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</row>
    <row r="188" spans="2:39" ht="41.25" customHeight="1">
      <c r="B188" s="21"/>
      <c r="C188" s="57" t="str">
        <f t="shared" si="5"/>
        <v/>
      </c>
      <c r="D188" s="18"/>
      <c r="E188" s="18"/>
      <c r="F188" s="15"/>
      <c r="G188" s="19"/>
      <c r="H188" s="19"/>
      <c r="I188" s="19"/>
      <c r="J188" s="22"/>
      <c r="K188" s="81"/>
      <c r="M188" s="88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</row>
    <row r="189" spans="2:39" ht="41.25" customHeight="1">
      <c r="B189" s="21"/>
      <c r="C189" s="57" t="str">
        <f t="shared" si="5"/>
        <v/>
      </c>
      <c r="D189" s="18"/>
      <c r="E189" s="18"/>
      <c r="F189" s="15"/>
      <c r="G189" s="19"/>
      <c r="H189" s="19"/>
      <c r="I189" s="19"/>
      <c r="J189" s="22"/>
      <c r="K189" s="81"/>
      <c r="M189" s="88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</row>
    <row r="190" spans="2:39" ht="41.25" customHeight="1">
      <c r="B190" s="21"/>
      <c r="C190" s="57" t="str">
        <f t="shared" si="5"/>
        <v/>
      </c>
      <c r="D190" s="18"/>
      <c r="E190" s="18"/>
      <c r="F190" s="15"/>
      <c r="G190" s="19"/>
      <c r="H190" s="19"/>
      <c r="I190" s="19"/>
      <c r="J190" s="22"/>
      <c r="K190" s="81"/>
      <c r="M190" s="88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</row>
    <row r="191" spans="2:39" ht="41.25" customHeight="1">
      <c r="B191" s="21"/>
      <c r="C191" s="57" t="str">
        <f t="shared" si="5"/>
        <v/>
      </c>
      <c r="D191" s="18"/>
      <c r="E191" s="18"/>
      <c r="F191" s="15"/>
      <c r="G191" s="19"/>
      <c r="H191" s="19"/>
      <c r="I191" s="19"/>
      <c r="J191" s="22"/>
      <c r="K191" s="81"/>
      <c r="M191" s="88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</row>
    <row r="192" spans="2:39" ht="41.25" customHeight="1">
      <c r="B192" s="21"/>
      <c r="C192" s="57" t="str">
        <f t="shared" si="5"/>
        <v/>
      </c>
      <c r="D192" s="18"/>
      <c r="E192" s="18"/>
      <c r="F192" s="15"/>
      <c r="G192" s="19"/>
      <c r="H192" s="19"/>
      <c r="I192" s="19"/>
      <c r="J192" s="22"/>
      <c r="K192" s="81"/>
      <c r="M192" s="88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</row>
    <row r="193" spans="2:39" ht="41.25" customHeight="1">
      <c r="B193" s="21"/>
      <c r="C193" s="57" t="str">
        <f t="shared" si="5"/>
        <v/>
      </c>
      <c r="D193" s="18"/>
      <c r="E193" s="18"/>
      <c r="F193" s="15"/>
      <c r="G193" s="19"/>
      <c r="H193" s="19"/>
      <c r="I193" s="19"/>
      <c r="J193" s="22"/>
      <c r="K193" s="81"/>
      <c r="M193" s="88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</row>
    <row r="194" spans="2:39" ht="41.25" customHeight="1">
      <c r="B194" s="21"/>
      <c r="C194" s="57" t="str">
        <f t="shared" si="5"/>
        <v/>
      </c>
      <c r="D194" s="18"/>
      <c r="E194" s="18"/>
      <c r="F194" s="15"/>
      <c r="G194" s="19"/>
      <c r="H194" s="19"/>
      <c r="I194" s="19"/>
      <c r="J194" s="22"/>
      <c r="K194" s="81"/>
      <c r="M194" s="88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</row>
    <row r="195" spans="2:39" ht="41.25" customHeight="1">
      <c r="B195" s="21"/>
      <c r="C195" s="57" t="str">
        <f t="shared" si="5"/>
        <v/>
      </c>
      <c r="D195" s="18"/>
      <c r="E195" s="18"/>
      <c r="F195" s="15"/>
      <c r="G195" s="19"/>
      <c r="H195" s="19"/>
      <c r="I195" s="19"/>
      <c r="J195" s="22"/>
      <c r="K195" s="81"/>
      <c r="M195" s="88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</row>
    <row r="196" spans="2:39" ht="41.25" customHeight="1">
      <c r="B196" s="21"/>
      <c r="C196" s="57" t="str">
        <f t="shared" si="5"/>
        <v/>
      </c>
      <c r="D196" s="18"/>
      <c r="E196" s="18"/>
      <c r="F196" s="15"/>
      <c r="G196" s="19"/>
      <c r="H196" s="19"/>
      <c r="I196" s="19"/>
      <c r="J196" s="22"/>
      <c r="K196" s="81"/>
      <c r="M196" s="88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</row>
    <row r="197" spans="2:39" ht="41.25" customHeight="1">
      <c r="B197" s="21"/>
      <c r="C197" s="57" t="str">
        <f t="shared" si="5"/>
        <v/>
      </c>
      <c r="D197" s="18"/>
      <c r="E197" s="18"/>
      <c r="F197" s="15"/>
      <c r="G197" s="19"/>
      <c r="H197" s="19"/>
      <c r="I197" s="19"/>
      <c r="J197" s="22"/>
      <c r="K197" s="81"/>
      <c r="M197" s="88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</row>
    <row r="198" spans="2:39" ht="41.25" customHeight="1">
      <c r="B198" s="21"/>
      <c r="C198" s="57" t="str">
        <f t="shared" si="5"/>
        <v/>
      </c>
      <c r="D198" s="18"/>
      <c r="E198" s="18"/>
      <c r="F198" s="15"/>
      <c r="G198" s="19"/>
      <c r="H198" s="19"/>
      <c r="I198" s="19"/>
      <c r="J198" s="22"/>
      <c r="K198" s="81"/>
      <c r="M198" s="88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</row>
    <row r="199" spans="2:39" ht="41.25" customHeight="1">
      <c r="B199" s="21"/>
      <c r="C199" s="57" t="str">
        <f t="shared" ref="C199:C262" si="6">IF(B199="","",MONTH(B199))</f>
        <v/>
      </c>
      <c r="D199" s="18"/>
      <c r="E199" s="18"/>
      <c r="F199" s="15"/>
      <c r="G199" s="19"/>
      <c r="H199" s="19"/>
      <c r="I199" s="19"/>
      <c r="J199" s="22"/>
      <c r="K199" s="81"/>
      <c r="M199" s="88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</row>
    <row r="200" spans="2:39" ht="41.25" customHeight="1">
      <c r="B200" s="21"/>
      <c r="C200" s="57" t="str">
        <f t="shared" si="6"/>
        <v/>
      </c>
      <c r="D200" s="18"/>
      <c r="E200" s="18"/>
      <c r="F200" s="15"/>
      <c r="G200" s="19"/>
      <c r="H200" s="19"/>
      <c r="I200" s="19"/>
      <c r="J200" s="22"/>
      <c r="K200" s="81"/>
      <c r="M200" s="88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</row>
    <row r="201" spans="2:39" ht="41.25" customHeight="1">
      <c r="B201" s="21"/>
      <c r="C201" s="57" t="str">
        <f t="shared" si="6"/>
        <v/>
      </c>
      <c r="D201" s="18"/>
      <c r="E201" s="18"/>
      <c r="F201" s="15"/>
      <c r="G201" s="19"/>
      <c r="H201" s="19"/>
      <c r="I201" s="19"/>
      <c r="J201" s="22"/>
      <c r="K201" s="81"/>
      <c r="M201" s="88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</row>
    <row r="202" spans="2:39" ht="41.25" customHeight="1">
      <c r="B202" s="21"/>
      <c r="C202" s="57" t="str">
        <f t="shared" si="6"/>
        <v/>
      </c>
      <c r="D202" s="18"/>
      <c r="E202" s="18"/>
      <c r="F202" s="15"/>
      <c r="G202" s="19"/>
      <c r="H202" s="19"/>
      <c r="I202" s="19"/>
      <c r="J202" s="22"/>
      <c r="K202" s="81"/>
      <c r="M202" s="88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</row>
    <row r="203" spans="2:39" ht="41.25" customHeight="1">
      <c r="B203" s="21"/>
      <c r="C203" s="57" t="str">
        <f t="shared" si="6"/>
        <v/>
      </c>
      <c r="D203" s="18"/>
      <c r="E203" s="18"/>
      <c r="F203" s="15"/>
      <c r="G203" s="19"/>
      <c r="H203" s="19"/>
      <c r="I203" s="19"/>
      <c r="J203" s="22"/>
      <c r="K203" s="81"/>
      <c r="M203" s="88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</row>
    <row r="204" spans="2:39" ht="41.25" customHeight="1">
      <c r="B204" s="21"/>
      <c r="C204" s="57" t="str">
        <f t="shared" si="6"/>
        <v/>
      </c>
      <c r="D204" s="18"/>
      <c r="E204" s="18"/>
      <c r="F204" s="15"/>
      <c r="G204" s="19"/>
      <c r="H204" s="19"/>
      <c r="I204" s="19"/>
      <c r="J204" s="22"/>
      <c r="K204" s="81"/>
      <c r="M204" s="88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</row>
    <row r="205" spans="2:39" ht="41.25" customHeight="1">
      <c r="B205" s="21"/>
      <c r="C205" s="57" t="str">
        <f t="shared" si="6"/>
        <v/>
      </c>
      <c r="D205" s="18"/>
      <c r="E205" s="18"/>
      <c r="F205" s="15"/>
      <c r="G205" s="19"/>
      <c r="H205" s="19"/>
      <c r="I205" s="19"/>
      <c r="J205" s="22"/>
      <c r="K205" s="81"/>
      <c r="M205" s="88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</row>
    <row r="206" spans="2:39" ht="41.25" customHeight="1">
      <c r="B206" s="21"/>
      <c r="C206" s="57" t="str">
        <f t="shared" si="6"/>
        <v/>
      </c>
      <c r="D206" s="18"/>
      <c r="E206" s="18"/>
      <c r="F206" s="15"/>
      <c r="G206" s="19"/>
      <c r="H206" s="19"/>
      <c r="I206" s="19"/>
      <c r="J206" s="22"/>
      <c r="K206" s="81"/>
      <c r="M206" s="88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</row>
    <row r="207" spans="2:39" ht="41.25" customHeight="1">
      <c r="B207" s="21"/>
      <c r="C207" s="57" t="str">
        <f t="shared" si="6"/>
        <v/>
      </c>
      <c r="D207" s="18"/>
      <c r="E207" s="18"/>
      <c r="F207" s="15"/>
      <c r="G207" s="19"/>
      <c r="H207" s="19"/>
      <c r="I207" s="19"/>
      <c r="J207" s="22"/>
      <c r="K207" s="81"/>
      <c r="M207" s="88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</row>
    <row r="208" spans="2:39" ht="41.25" customHeight="1">
      <c r="B208" s="21"/>
      <c r="C208" s="57" t="str">
        <f t="shared" si="6"/>
        <v/>
      </c>
      <c r="D208" s="18"/>
      <c r="E208" s="18"/>
      <c r="F208" s="15"/>
      <c r="G208" s="19"/>
      <c r="H208" s="19"/>
      <c r="I208" s="19"/>
      <c r="J208" s="22"/>
      <c r="K208" s="81"/>
      <c r="M208" s="88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</row>
    <row r="209" spans="1:39" ht="41.25" customHeight="1">
      <c r="B209" s="21"/>
      <c r="C209" s="57" t="str">
        <f t="shared" si="6"/>
        <v/>
      </c>
      <c r="D209" s="18"/>
      <c r="E209" s="18"/>
      <c r="F209" s="15"/>
      <c r="G209" s="19"/>
      <c r="H209" s="19"/>
      <c r="I209" s="19"/>
      <c r="J209" s="22"/>
      <c r="K209" s="81"/>
      <c r="M209" s="88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</row>
    <row r="210" spans="1:39" ht="41.25" customHeight="1">
      <c r="B210" s="21"/>
      <c r="C210" s="57" t="str">
        <f t="shared" si="6"/>
        <v/>
      </c>
      <c r="D210" s="18"/>
      <c r="E210" s="18"/>
      <c r="F210" s="15"/>
      <c r="G210" s="19"/>
      <c r="H210" s="19"/>
      <c r="I210" s="19"/>
      <c r="J210" s="22"/>
      <c r="K210" s="81"/>
      <c r="M210" s="88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</row>
    <row r="211" spans="1:39" ht="41.25" customHeight="1">
      <c r="B211" s="21"/>
      <c r="C211" s="57" t="str">
        <f t="shared" si="6"/>
        <v/>
      </c>
      <c r="D211" s="18"/>
      <c r="E211" s="18"/>
      <c r="F211" s="15"/>
      <c r="G211" s="19"/>
      <c r="H211" s="19"/>
      <c r="I211" s="19"/>
      <c r="J211" s="22"/>
      <c r="K211" s="81"/>
      <c r="M211" s="88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</row>
    <row r="212" spans="1:39" ht="41.25" customHeight="1">
      <c r="B212" s="21"/>
      <c r="C212" s="57" t="str">
        <f t="shared" si="6"/>
        <v/>
      </c>
      <c r="D212" s="18"/>
      <c r="E212" s="18"/>
      <c r="F212" s="15"/>
      <c r="G212" s="19"/>
      <c r="H212" s="19"/>
      <c r="I212" s="19"/>
      <c r="J212" s="22"/>
      <c r="K212" s="81"/>
      <c r="M212" s="88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</row>
    <row r="213" spans="1:39" s="9" customFormat="1" ht="41.25" customHeight="1">
      <c r="A213" s="13"/>
      <c r="B213" s="21"/>
      <c r="C213" s="57" t="str">
        <f t="shared" si="6"/>
        <v/>
      </c>
      <c r="D213" s="18"/>
      <c r="E213" s="18"/>
      <c r="F213" s="15"/>
      <c r="G213" s="19"/>
      <c r="H213" s="19"/>
      <c r="I213" s="19"/>
      <c r="J213" s="22"/>
      <c r="K213" s="81"/>
      <c r="L213" s="22"/>
      <c r="M213" s="88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</row>
    <row r="214" spans="1:39" ht="41.25" customHeight="1">
      <c r="B214" s="21"/>
      <c r="C214" s="57" t="str">
        <f t="shared" si="6"/>
        <v/>
      </c>
      <c r="D214" s="18"/>
      <c r="E214" s="18"/>
      <c r="F214" s="15"/>
      <c r="G214" s="19"/>
      <c r="H214" s="19"/>
      <c r="I214" s="19"/>
      <c r="J214" s="22"/>
      <c r="K214" s="81"/>
      <c r="M214" s="88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</row>
    <row r="215" spans="1:39" ht="41.25" customHeight="1">
      <c r="B215" s="21"/>
      <c r="C215" s="57" t="str">
        <f t="shared" si="6"/>
        <v/>
      </c>
      <c r="D215" s="18"/>
      <c r="E215" s="18"/>
      <c r="F215" s="15"/>
      <c r="G215" s="19"/>
      <c r="H215" s="19"/>
      <c r="I215" s="19"/>
      <c r="J215" s="22"/>
      <c r="K215" s="81"/>
      <c r="M215" s="88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</row>
    <row r="216" spans="1:39" ht="41.25" customHeight="1">
      <c r="B216" s="21"/>
      <c r="C216" s="57" t="str">
        <f t="shared" si="6"/>
        <v/>
      </c>
      <c r="D216" s="18"/>
      <c r="E216" s="18"/>
      <c r="F216" s="15"/>
      <c r="G216" s="19"/>
      <c r="H216" s="19"/>
      <c r="I216" s="19"/>
      <c r="J216" s="22"/>
      <c r="K216" s="81"/>
      <c r="M216" s="88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</row>
    <row r="217" spans="1:39" ht="41.25" customHeight="1">
      <c r="B217" s="21"/>
      <c r="C217" s="57" t="str">
        <f t="shared" si="6"/>
        <v/>
      </c>
      <c r="D217" s="18"/>
      <c r="E217" s="18"/>
      <c r="F217" s="15"/>
      <c r="G217" s="19"/>
      <c r="H217" s="19"/>
      <c r="I217" s="19"/>
      <c r="J217" s="22"/>
      <c r="K217" s="81"/>
      <c r="M217" s="88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</row>
    <row r="218" spans="1:39" ht="41.25" customHeight="1">
      <c r="B218" s="21"/>
      <c r="C218" s="57" t="str">
        <f t="shared" si="6"/>
        <v/>
      </c>
      <c r="D218" s="18"/>
      <c r="E218" s="18"/>
      <c r="F218" s="15"/>
      <c r="G218" s="19"/>
      <c r="H218" s="19"/>
      <c r="I218" s="19"/>
      <c r="J218" s="22"/>
      <c r="K218" s="81"/>
      <c r="M218" s="88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</row>
    <row r="219" spans="1:39" ht="41.25" customHeight="1">
      <c r="B219" s="21"/>
      <c r="C219" s="57" t="str">
        <f t="shared" si="6"/>
        <v/>
      </c>
      <c r="D219" s="18"/>
      <c r="E219" s="18"/>
      <c r="F219" s="15"/>
      <c r="G219" s="19"/>
      <c r="H219" s="19"/>
      <c r="I219" s="19"/>
      <c r="J219" s="22"/>
      <c r="K219" s="81"/>
      <c r="M219" s="88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</row>
    <row r="220" spans="1:39" ht="41.25" customHeight="1">
      <c r="B220" s="21"/>
      <c r="C220" s="57" t="str">
        <f t="shared" si="6"/>
        <v/>
      </c>
      <c r="D220" s="18"/>
      <c r="E220" s="18"/>
      <c r="F220" s="15"/>
      <c r="G220" s="19"/>
      <c r="H220" s="19"/>
      <c r="I220" s="19"/>
      <c r="J220" s="22"/>
      <c r="K220" s="81"/>
      <c r="M220" s="88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</row>
    <row r="221" spans="1:39" ht="41.25" customHeight="1">
      <c r="B221" s="21"/>
      <c r="C221" s="57" t="str">
        <f t="shared" si="6"/>
        <v/>
      </c>
      <c r="D221" s="18"/>
      <c r="E221" s="18"/>
      <c r="F221" s="15"/>
      <c r="G221" s="19"/>
      <c r="H221" s="19"/>
      <c r="I221" s="19"/>
      <c r="J221" s="22"/>
      <c r="K221" s="81"/>
      <c r="M221" s="88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</row>
    <row r="222" spans="1:39" ht="41.25" customHeight="1">
      <c r="B222" s="21"/>
      <c r="C222" s="57" t="str">
        <f t="shared" si="6"/>
        <v/>
      </c>
      <c r="D222" s="18"/>
      <c r="E222" s="18"/>
      <c r="F222" s="15"/>
      <c r="G222" s="19"/>
      <c r="H222" s="19"/>
      <c r="I222" s="19"/>
      <c r="J222" s="22"/>
      <c r="K222" s="81"/>
      <c r="M222" s="88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</row>
    <row r="223" spans="1:39" ht="41.25" customHeight="1">
      <c r="B223" s="21"/>
      <c r="C223" s="57" t="str">
        <f t="shared" si="6"/>
        <v/>
      </c>
      <c r="D223" s="18"/>
      <c r="E223" s="18"/>
      <c r="F223" s="15"/>
      <c r="G223" s="19"/>
      <c r="H223" s="19"/>
      <c r="I223" s="19"/>
      <c r="J223" s="22"/>
      <c r="K223" s="81"/>
      <c r="M223" s="88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</row>
    <row r="224" spans="1:39" ht="41.25" customHeight="1">
      <c r="B224" s="21"/>
      <c r="C224" s="57" t="str">
        <f t="shared" si="6"/>
        <v/>
      </c>
      <c r="D224" s="18"/>
      <c r="E224" s="18"/>
      <c r="F224" s="15"/>
      <c r="G224" s="19"/>
      <c r="H224" s="19"/>
      <c r="I224" s="19"/>
      <c r="J224" s="22"/>
      <c r="K224" s="81"/>
      <c r="M224" s="88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</row>
    <row r="225" spans="2:39" ht="41.25" customHeight="1">
      <c r="B225" s="21"/>
      <c r="C225" s="57" t="str">
        <f t="shared" si="6"/>
        <v/>
      </c>
      <c r="D225" s="18"/>
      <c r="E225" s="18"/>
      <c r="F225" s="15"/>
      <c r="G225" s="19"/>
      <c r="H225" s="19"/>
      <c r="I225" s="19"/>
      <c r="J225" s="22"/>
      <c r="K225" s="81"/>
      <c r="M225" s="88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</row>
    <row r="226" spans="2:39" ht="41.25" customHeight="1">
      <c r="B226" s="21"/>
      <c r="C226" s="57" t="str">
        <f t="shared" si="6"/>
        <v/>
      </c>
      <c r="D226" s="18"/>
      <c r="E226" s="18"/>
      <c r="F226" s="15"/>
      <c r="G226" s="19"/>
      <c r="H226" s="19"/>
      <c r="I226" s="19"/>
      <c r="J226" s="22"/>
      <c r="K226" s="81"/>
      <c r="M226" s="88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</row>
    <row r="227" spans="2:39" ht="41.25" customHeight="1">
      <c r="B227" s="21"/>
      <c r="C227" s="57" t="str">
        <f t="shared" si="6"/>
        <v/>
      </c>
      <c r="D227" s="18"/>
      <c r="E227" s="18"/>
      <c r="F227" s="15"/>
      <c r="G227" s="19"/>
      <c r="H227" s="19"/>
      <c r="I227" s="19"/>
      <c r="J227" s="22"/>
      <c r="K227" s="81"/>
      <c r="M227" s="88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</row>
    <row r="228" spans="2:39" ht="41.25" customHeight="1">
      <c r="B228" s="21"/>
      <c r="C228" s="57" t="str">
        <f t="shared" si="6"/>
        <v/>
      </c>
      <c r="D228" s="18"/>
      <c r="E228" s="18"/>
      <c r="F228" s="15"/>
      <c r="G228" s="19"/>
      <c r="H228" s="19"/>
      <c r="I228" s="19"/>
      <c r="J228" s="22"/>
      <c r="K228" s="81"/>
      <c r="M228" s="88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</row>
    <row r="229" spans="2:39" ht="41.25" customHeight="1">
      <c r="B229" s="21"/>
      <c r="C229" s="57" t="str">
        <f t="shared" si="6"/>
        <v/>
      </c>
      <c r="D229" s="18"/>
      <c r="E229" s="18"/>
      <c r="F229" s="15"/>
      <c r="G229" s="19"/>
      <c r="H229" s="19"/>
      <c r="I229" s="19"/>
      <c r="J229" s="22"/>
      <c r="K229" s="81"/>
      <c r="M229" s="88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</row>
    <row r="230" spans="2:39" ht="41.25" customHeight="1">
      <c r="B230" s="21"/>
      <c r="C230" s="57" t="str">
        <f t="shared" si="6"/>
        <v/>
      </c>
      <c r="D230" s="18"/>
      <c r="E230" s="18"/>
      <c r="F230" s="15"/>
      <c r="G230" s="19"/>
      <c r="H230" s="19"/>
      <c r="I230" s="19"/>
      <c r="J230" s="22"/>
      <c r="K230" s="81"/>
      <c r="M230" s="88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</row>
    <row r="231" spans="2:39" ht="41.25" customHeight="1">
      <c r="B231" s="21"/>
      <c r="C231" s="57" t="str">
        <f t="shared" si="6"/>
        <v/>
      </c>
      <c r="D231" s="18"/>
      <c r="E231" s="18"/>
      <c r="F231" s="15"/>
      <c r="G231" s="19"/>
      <c r="H231" s="19"/>
      <c r="I231" s="19"/>
      <c r="J231" s="22"/>
      <c r="K231" s="81"/>
      <c r="M231" s="88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</row>
    <row r="232" spans="2:39" ht="41.25" customHeight="1">
      <c r="B232" s="21"/>
      <c r="C232" s="57" t="str">
        <f t="shared" si="6"/>
        <v/>
      </c>
      <c r="D232" s="18"/>
      <c r="E232" s="18"/>
      <c r="F232" s="15"/>
      <c r="G232" s="19"/>
      <c r="H232" s="19"/>
      <c r="I232" s="19"/>
      <c r="J232" s="22"/>
      <c r="K232" s="81"/>
      <c r="M232" s="88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</row>
    <row r="233" spans="2:39" ht="41.25" customHeight="1">
      <c r="B233" s="21"/>
      <c r="C233" s="57" t="str">
        <f t="shared" si="6"/>
        <v/>
      </c>
      <c r="D233" s="18"/>
      <c r="E233" s="18"/>
      <c r="F233" s="15"/>
      <c r="G233" s="19"/>
      <c r="H233" s="19"/>
      <c r="I233" s="19"/>
      <c r="J233" s="22"/>
      <c r="K233" s="81"/>
      <c r="M233" s="88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</row>
    <row r="234" spans="2:39" ht="41.25" customHeight="1">
      <c r="B234" s="21"/>
      <c r="C234" s="57" t="str">
        <f t="shared" si="6"/>
        <v/>
      </c>
      <c r="D234" s="18"/>
      <c r="E234" s="18"/>
      <c r="F234" s="15"/>
      <c r="G234" s="19"/>
      <c r="H234" s="19"/>
      <c r="I234" s="19"/>
      <c r="J234" s="22"/>
      <c r="K234" s="81"/>
      <c r="M234" s="88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</row>
    <row r="235" spans="2:39" ht="41.25" customHeight="1">
      <c r="B235" s="21"/>
      <c r="C235" s="57" t="str">
        <f t="shared" si="6"/>
        <v/>
      </c>
      <c r="D235" s="18"/>
      <c r="E235" s="18"/>
      <c r="F235" s="15"/>
      <c r="G235" s="19"/>
      <c r="H235" s="19"/>
      <c r="I235" s="19"/>
      <c r="J235" s="22"/>
      <c r="K235" s="81"/>
      <c r="M235" s="88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</row>
    <row r="236" spans="2:39" ht="41.25" customHeight="1">
      <c r="B236" s="21"/>
      <c r="C236" s="57" t="str">
        <f t="shared" si="6"/>
        <v/>
      </c>
      <c r="D236" s="18"/>
      <c r="E236" s="18"/>
      <c r="F236" s="15"/>
      <c r="G236" s="19"/>
      <c r="H236" s="19"/>
      <c r="I236" s="19"/>
      <c r="J236" s="22"/>
      <c r="K236" s="81"/>
      <c r="M236" s="88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</row>
    <row r="237" spans="2:39" ht="41.25" customHeight="1">
      <c r="B237" s="21"/>
      <c r="C237" s="57" t="str">
        <f t="shared" si="6"/>
        <v/>
      </c>
      <c r="D237" s="18"/>
      <c r="E237" s="18"/>
      <c r="F237" s="15"/>
      <c r="G237" s="19"/>
      <c r="H237" s="19"/>
      <c r="I237" s="19"/>
      <c r="J237" s="22"/>
      <c r="K237" s="81"/>
      <c r="M237" s="88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</row>
    <row r="238" spans="2:39" ht="41.25" customHeight="1">
      <c r="B238" s="21"/>
      <c r="C238" s="57" t="str">
        <f t="shared" si="6"/>
        <v/>
      </c>
      <c r="D238" s="18"/>
      <c r="E238" s="18"/>
      <c r="F238" s="15"/>
      <c r="G238" s="19"/>
      <c r="H238" s="19"/>
      <c r="I238" s="19"/>
      <c r="J238" s="22"/>
      <c r="K238" s="81"/>
      <c r="M238" s="88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</row>
    <row r="239" spans="2:39" ht="41.25" customHeight="1">
      <c r="B239" s="21"/>
      <c r="C239" s="57" t="str">
        <f t="shared" si="6"/>
        <v/>
      </c>
      <c r="D239" s="18"/>
      <c r="E239" s="18"/>
      <c r="F239" s="15"/>
      <c r="G239" s="19"/>
      <c r="H239" s="19"/>
      <c r="I239" s="19"/>
      <c r="J239" s="22"/>
      <c r="K239" s="81"/>
      <c r="M239" s="88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</row>
    <row r="240" spans="2:39" ht="41.25" customHeight="1">
      <c r="B240" s="21"/>
      <c r="C240" s="57" t="str">
        <f t="shared" si="6"/>
        <v/>
      </c>
      <c r="D240" s="18"/>
      <c r="E240" s="18"/>
      <c r="F240" s="15"/>
      <c r="G240" s="19"/>
      <c r="H240" s="19"/>
      <c r="I240" s="19"/>
      <c r="J240" s="22"/>
      <c r="K240" s="81"/>
      <c r="M240" s="88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</row>
    <row r="241" spans="2:39" ht="41.25" customHeight="1">
      <c r="B241" s="21"/>
      <c r="C241" s="57" t="str">
        <f t="shared" si="6"/>
        <v/>
      </c>
      <c r="D241" s="18"/>
      <c r="E241" s="18"/>
      <c r="F241" s="15"/>
      <c r="G241" s="19"/>
      <c r="H241" s="19"/>
      <c r="I241" s="19"/>
      <c r="J241" s="22"/>
      <c r="K241" s="81"/>
      <c r="M241" s="88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</row>
    <row r="242" spans="2:39" ht="41.25" customHeight="1">
      <c r="B242" s="21"/>
      <c r="C242" s="57" t="str">
        <f t="shared" si="6"/>
        <v/>
      </c>
      <c r="D242" s="18"/>
      <c r="E242" s="18"/>
      <c r="F242" s="15"/>
      <c r="G242" s="19"/>
      <c r="H242" s="19"/>
      <c r="I242" s="19"/>
      <c r="J242" s="22"/>
      <c r="K242" s="81"/>
      <c r="M242" s="88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</row>
    <row r="243" spans="2:39" ht="41.25" customHeight="1">
      <c r="B243" s="21"/>
      <c r="C243" s="57" t="str">
        <f t="shared" si="6"/>
        <v/>
      </c>
      <c r="D243" s="18"/>
      <c r="E243" s="18"/>
      <c r="F243" s="15"/>
      <c r="G243" s="19"/>
      <c r="H243" s="19"/>
      <c r="I243" s="19"/>
      <c r="J243" s="22"/>
      <c r="K243" s="81"/>
      <c r="M243" s="88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</row>
    <row r="244" spans="2:39" ht="41.25" customHeight="1">
      <c r="B244" s="21"/>
      <c r="C244" s="57" t="str">
        <f t="shared" si="6"/>
        <v/>
      </c>
      <c r="D244" s="18"/>
      <c r="E244" s="18"/>
      <c r="F244" s="15"/>
      <c r="G244" s="19"/>
      <c r="H244" s="19"/>
      <c r="I244" s="19"/>
      <c r="J244" s="22"/>
      <c r="K244" s="81"/>
      <c r="M244" s="88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</row>
    <row r="245" spans="2:39" ht="41.25" customHeight="1">
      <c r="B245" s="21"/>
      <c r="C245" s="57" t="str">
        <f t="shared" si="6"/>
        <v/>
      </c>
      <c r="D245" s="18"/>
      <c r="E245" s="18"/>
      <c r="F245" s="15"/>
      <c r="G245" s="19"/>
      <c r="H245" s="19"/>
      <c r="I245" s="19"/>
      <c r="J245" s="22"/>
      <c r="K245" s="81"/>
      <c r="M245" s="88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</row>
    <row r="246" spans="2:39" ht="41.25" customHeight="1">
      <c r="B246" s="21"/>
      <c r="C246" s="57" t="str">
        <f t="shared" si="6"/>
        <v/>
      </c>
      <c r="D246" s="18"/>
      <c r="E246" s="18"/>
      <c r="F246" s="15"/>
      <c r="G246" s="19"/>
      <c r="H246" s="19"/>
      <c r="I246" s="19"/>
      <c r="J246" s="22"/>
      <c r="K246" s="81"/>
      <c r="M246" s="88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</row>
    <row r="247" spans="2:39" ht="41.25" customHeight="1">
      <c r="B247" s="21"/>
      <c r="C247" s="57" t="str">
        <f t="shared" si="6"/>
        <v/>
      </c>
      <c r="D247" s="18"/>
      <c r="E247" s="18"/>
      <c r="F247" s="15"/>
      <c r="G247" s="19"/>
      <c r="H247" s="19"/>
      <c r="I247" s="19"/>
      <c r="J247" s="22"/>
      <c r="K247" s="81"/>
      <c r="M247" s="88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</row>
    <row r="248" spans="2:39" ht="41.25" customHeight="1">
      <c r="B248" s="21"/>
      <c r="C248" s="57" t="str">
        <f t="shared" si="6"/>
        <v/>
      </c>
      <c r="D248" s="18"/>
      <c r="E248" s="18"/>
      <c r="F248" s="15"/>
      <c r="G248" s="19"/>
      <c r="H248" s="19"/>
      <c r="I248" s="19"/>
      <c r="J248" s="22"/>
      <c r="K248" s="81"/>
      <c r="M248" s="88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</row>
    <row r="249" spans="2:39" ht="41.25" customHeight="1">
      <c r="B249" s="21"/>
      <c r="C249" s="57" t="str">
        <f t="shared" si="6"/>
        <v/>
      </c>
      <c r="D249" s="18"/>
      <c r="E249" s="18"/>
      <c r="F249" s="15"/>
      <c r="G249" s="19"/>
      <c r="H249" s="19"/>
      <c r="I249" s="19"/>
      <c r="J249" s="22"/>
      <c r="K249" s="81"/>
      <c r="M249" s="88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</row>
    <row r="250" spans="2:39" ht="41.25" customHeight="1">
      <c r="B250" s="21"/>
      <c r="C250" s="57" t="str">
        <f t="shared" si="6"/>
        <v/>
      </c>
      <c r="D250" s="18"/>
      <c r="E250" s="18"/>
      <c r="F250" s="15"/>
      <c r="G250" s="19"/>
      <c r="H250" s="19"/>
      <c r="I250" s="19"/>
      <c r="J250" s="22"/>
      <c r="K250" s="81"/>
      <c r="M250" s="88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</row>
    <row r="251" spans="2:39" ht="41.25" customHeight="1">
      <c r="B251" s="21"/>
      <c r="C251" s="57" t="str">
        <f t="shared" si="6"/>
        <v/>
      </c>
      <c r="D251" s="18"/>
      <c r="E251" s="18"/>
      <c r="F251" s="15"/>
      <c r="G251" s="19"/>
      <c r="H251" s="19"/>
      <c r="I251" s="19"/>
      <c r="J251" s="22"/>
      <c r="K251" s="81"/>
      <c r="M251" s="88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</row>
    <row r="252" spans="2:39" ht="41.25" customHeight="1">
      <c r="B252" s="21"/>
      <c r="C252" s="57" t="str">
        <f t="shared" si="6"/>
        <v/>
      </c>
      <c r="D252" s="18"/>
      <c r="E252" s="18"/>
      <c r="F252" s="15"/>
      <c r="G252" s="19"/>
      <c r="H252" s="19"/>
      <c r="I252" s="19"/>
      <c r="J252" s="22"/>
      <c r="K252" s="81"/>
      <c r="M252" s="88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</row>
    <row r="253" spans="2:39" ht="41.25" customHeight="1">
      <c r="B253" s="21"/>
      <c r="C253" s="57" t="str">
        <f t="shared" si="6"/>
        <v/>
      </c>
      <c r="D253" s="18"/>
      <c r="E253" s="18"/>
      <c r="F253" s="15"/>
      <c r="G253" s="19"/>
      <c r="H253" s="19"/>
      <c r="I253" s="19"/>
      <c r="J253" s="22"/>
      <c r="K253" s="81"/>
      <c r="M253" s="88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</row>
    <row r="254" spans="2:39" ht="41.25" customHeight="1">
      <c r="B254" s="21"/>
      <c r="C254" s="57" t="str">
        <f t="shared" si="6"/>
        <v/>
      </c>
      <c r="D254" s="18"/>
      <c r="E254" s="18"/>
      <c r="F254" s="15"/>
      <c r="G254" s="19"/>
      <c r="H254" s="19"/>
      <c r="I254" s="19"/>
      <c r="J254" s="22"/>
      <c r="K254" s="81"/>
      <c r="M254" s="88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</row>
    <row r="255" spans="2:39" ht="41.25" customHeight="1">
      <c r="B255" s="21"/>
      <c r="C255" s="57" t="str">
        <f t="shared" si="6"/>
        <v/>
      </c>
      <c r="D255" s="18"/>
      <c r="E255" s="18"/>
      <c r="F255" s="15"/>
      <c r="G255" s="19"/>
      <c r="H255" s="19"/>
      <c r="I255" s="19"/>
      <c r="J255" s="22"/>
      <c r="K255" s="81"/>
      <c r="M255" s="88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</row>
    <row r="256" spans="2:39" ht="41.25" customHeight="1">
      <c r="B256" s="21"/>
      <c r="C256" s="57" t="str">
        <f t="shared" si="6"/>
        <v/>
      </c>
      <c r="D256" s="18"/>
      <c r="E256" s="18"/>
      <c r="F256" s="15"/>
      <c r="G256" s="19"/>
      <c r="H256" s="19"/>
      <c r="I256" s="19"/>
      <c r="J256" s="22"/>
      <c r="K256" s="81"/>
      <c r="M256" s="88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</row>
    <row r="257" spans="2:39" ht="41.25" customHeight="1">
      <c r="B257" s="21"/>
      <c r="C257" s="57" t="str">
        <f t="shared" si="6"/>
        <v/>
      </c>
      <c r="D257" s="18"/>
      <c r="E257" s="18"/>
      <c r="F257" s="15"/>
      <c r="G257" s="19"/>
      <c r="H257" s="19"/>
      <c r="I257" s="19"/>
      <c r="J257" s="22"/>
      <c r="K257" s="81"/>
      <c r="M257" s="88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</row>
    <row r="258" spans="2:39" ht="41.25" customHeight="1">
      <c r="B258" s="21"/>
      <c r="C258" s="57" t="str">
        <f t="shared" si="6"/>
        <v/>
      </c>
      <c r="D258" s="18"/>
      <c r="E258" s="18"/>
      <c r="F258" s="15"/>
      <c r="G258" s="19"/>
      <c r="H258" s="19"/>
      <c r="I258" s="19"/>
      <c r="J258" s="22"/>
      <c r="K258" s="81"/>
      <c r="M258" s="88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</row>
    <row r="259" spans="2:39" ht="41.25" customHeight="1">
      <c r="B259" s="21"/>
      <c r="C259" s="57" t="str">
        <f t="shared" si="6"/>
        <v/>
      </c>
      <c r="D259" s="18"/>
      <c r="E259" s="18"/>
      <c r="F259" s="15"/>
      <c r="G259" s="19"/>
      <c r="H259" s="19"/>
      <c r="I259" s="19"/>
      <c r="J259" s="22"/>
      <c r="K259" s="81"/>
      <c r="M259" s="88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</row>
    <row r="260" spans="2:39" ht="41.25" customHeight="1">
      <c r="B260" s="21"/>
      <c r="C260" s="57" t="str">
        <f t="shared" si="6"/>
        <v/>
      </c>
      <c r="D260" s="18"/>
      <c r="E260" s="18"/>
      <c r="F260" s="15"/>
      <c r="G260" s="19"/>
      <c r="H260" s="19"/>
      <c r="I260" s="19"/>
      <c r="J260" s="22"/>
      <c r="K260" s="81"/>
      <c r="M260" s="88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</row>
    <row r="261" spans="2:39" ht="41.25" customHeight="1">
      <c r="B261" s="21"/>
      <c r="C261" s="57" t="str">
        <f t="shared" si="6"/>
        <v/>
      </c>
      <c r="D261" s="18"/>
      <c r="E261" s="18"/>
      <c r="F261" s="15"/>
      <c r="G261" s="19"/>
      <c r="H261" s="19"/>
      <c r="I261" s="19"/>
      <c r="J261" s="22"/>
      <c r="K261" s="81"/>
      <c r="M261" s="88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</row>
    <row r="262" spans="2:39" ht="41.25" customHeight="1">
      <c r="B262" s="21"/>
      <c r="C262" s="57" t="str">
        <f t="shared" si="6"/>
        <v/>
      </c>
      <c r="D262" s="18"/>
      <c r="E262" s="18"/>
      <c r="F262" s="15"/>
      <c r="G262" s="19"/>
      <c r="H262" s="19"/>
      <c r="I262" s="19"/>
      <c r="J262" s="22"/>
      <c r="K262" s="81"/>
      <c r="M262" s="88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</row>
    <row r="263" spans="2:39" ht="41.25" customHeight="1">
      <c r="B263" s="21"/>
      <c r="C263" s="57" t="str">
        <f t="shared" ref="C263:C326" si="7">IF(B263="","",MONTH(B263))</f>
        <v/>
      </c>
      <c r="D263" s="18"/>
      <c r="E263" s="18"/>
      <c r="F263" s="15"/>
      <c r="G263" s="19"/>
      <c r="H263" s="19"/>
      <c r="I263" s="19"/>
      <c r="J263" s="22"/>
      <c r="K263" s="81"/>
      <c r="M263" s="88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</row>
    <row r="264" spans="2:39" ht="41.25" customHeight="1" outlineLevel="1">
      <c r="B264" s="21"/>
      <c r="C264" s="57" t="str">
        <f t="shared" si="7"/>
        <v/>
      </c>
      <c r="D264" s="18"/>
      <c r="E264" s="18"/>
      <c r="F264" s="15"/>
      <c r="G264" s="19"/>
      <c r="H264" s="19"/>
      <c r="I264" s="19"/>
      <c r="J264" s="22"/>
      <c r="K264" s="81"/>
      <c r="M264" s="88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</row>
    <row r="265" spans="2:39" ht="41.25" customHeight="1" outlineLevel="1">
      <c r="B265" s="21"/>
      <c r="C265" s="57" t="str">
        <f t="shared" si="7"/>
        <v/>
      </c>
      <c r="D265" s="18"/>
      <c r="E265" s="18"/>
      <c r="F265" s="15"/>
      <c r="G265" s="19"/>
      <c r="H265" s="19"/>
      <c r="I265" s="19"/>
      <c r="J265" s="22"/>
      <c r="K265" s="81"/>
      <c r="M265" s="88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</row>
    <row r="266" spans="2:39" ht="41.25" customHeight="1" outlineLevel="1">
      <c r="B266" s="21"/>
      <c r="C266" s="57" t="str">
        <f t="shared" si="7"/>
        <v/>
      </c>
      <c r="D266" s="18"/>
      <c r="E266" s="18"/>
      <c r="F266" s="15"/>
      <c r="G266" s="19"/>
      <c r="H266" s="19"/>
      <c r="I266" s="19"/>
      <c r="J266" s="22"/>
      <c r="K266" s="81"/>
      <c r="M266" s="88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</row>
    <row r="267" spans="2:39" ht="41.25" customHeight="1" outlineLevel="1">
      <c r="B267" s="21"/>
      <c r="C267" s="57" t="str">
        <f t="shared" si="7"/>
        <v/>
      </c>
      <c r="D267" s="18"/>
      <c r="E267" s="18"/>
      <c r="F267" s="15"/>
      <c r="G267" s="19"/>
      <c r="H267" s="19"/>
      <c r="I267" s="19"/>
      <c r="J267" s="22"/>
      <c r="K267" s="81"/>
      <c r="M267" s="88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</row>
    <row r="268" spans="2:39" ht="41.25" customHeight="1" outlineLevel="1">
      <c r="B268" s="21"/>
      <c r="C268" s="57" t="str">
        <f t="shared" si="7"/>
        <v/>
      </c>
      <c r="D268" s="18"/>
      <c r="E268" s="18"/>
      <c r="F268" s="15"/>
      <c r="G268" s="19"/>
      <c r="H268" s="19"/>
      <c r="I268" s="19"/>
      <c r="J268" s="22"/>
      <c r="K268" s="81"/>
      <c r="M268" s="88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</row>
    <row r="269" spans="2:39" ht="41.25" customHeight="1" outlineLevel="1">
      <c r="B269" s="21"/>
      <c r="C269" s="57" t="str">
        <f t="shared" si="7"/>
        <v/>
      </c>
      <c r="D269" s="18"/>
      <c r="E269" s="18"/>
      <c r="F269" s="15"/>
      <c r="G269" s="19"/>
      <c r="H269" s="19"/>
      <c r="I269" s="19"/>
      <c r="J269" s="22"/>
      <c r="K269" s="81"/>
      <c r="M269" s="88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</row>
    <row r="270" spans="2:39" ht="41.25" customHeight="1" outlineLevel="1">
      <c r="B270" s="21"/>
      <c r="C270" s="57" t="str">
        <f t="shared" si="7"/>
        <v/>
      </c>
      <c r="D270" s="18"/>
      <c r="E270" s="18"/>
      <c r="F270" s="15"/>
      <c r="G270" s="19"/>
      <c r="H270" s="19"/>
      <c r="I270" s="19"/>
      <c r="J270" s="22"/>
      <c r="K270" s="81"/>
      <c r="M270" s="88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</row>
    <row r="271" spans="2:39" ht="41.25" customHeight="1" outlineLevel="1">
      <c r="B271" s="21"/>
      <c r="C271" s="57" t="str">
        <f t="shared" si="7"/>
        <v/>
      </c>
      <c r="D271" s="18"/>
      <c r="E271" s="18"/>
      <c r="F271" s="15"/>
      <c r="G271" s="19"/>
      <c r="H271" s="19"/>
      <c r="I271" s="19"/>
      <c r="J271" s="22"/>
      <c r="K271" s="81"/>
      <c r="M271" s="88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</row>
    <row r="272" spans="2:39" ht="41.25" customHeight="1" outlineLevel="1">
      <c r="B272" s="21"/>
      <c r="C272" s="57" t="str">
        <f t="shared" si="7"/>
        <v/>
      </c>
      <c r="D272" s="18"/>
      <c r="E272" s="18"/>
      <c r="F272" s="15"/>
      <c r="G272" s="19"/>
      <c r="H272" s="19"/>
      <c r="I272" s="19"/>
      <c r="J272" s="22"/>
      <c r="K272" s="81"/>
      <c r="M272" s="88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</row>
    <row r="273" spans="2:39" ht="41.25" customHeight="1" outlineLevel="1">
      <c r="B273" s="21"/>
      <c r="C273" s="57" t="str">
        <f t="shared" si="7"/>
        <v/>
      </c>
      <c r="D273" s="18"/>
      <c r="E273" s="18"/>
      <c r="F273" s="15"/>
      <c r="G273" s="19"/>
      <c r="H273" s="19"/>
      <c r="I273" s="19"/>
      <c r="J273" s="22"/>
      <c r="K273" s="81"/>
      <c r="M273" s="88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</row>
    <row r="274" spans="2:39" ht="41.25" customHeight="1" outlineLevel="1">
      <c r="B274" s="21"/>
      <c r="C274" s="57" t="str">
        <f t="shared" si="7"/>
        <v/>
      </c>
      <c r="D274" s="18"/>
      <c r="E274" s="18"/>
      <c r="F274" s="15"/>
      <c r="G274" s="19"/>
      <c r="H274" s="19"/>
      <c r="I274" s="19"/>
      <c r="J274" s="22"/>
      <c r="K274" s="81"/>
      <c r="M274" s="88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</row>
    <row r="275" spans="2:39" ht="41.25" customHeight="1" outlineLevel="1">
      <c r="B275" s="21"/>
      <c r="C275" s="57" t="str">
        <f t="shared" si="7"/>
        <v/>
      </c>
      <c r="D275" s="18"/>
      <c r="E275" s="18"/>
      <c r="F275" s="15"/>
      <c r="G275" s="19"/>
      <c r="H275" s="19"/>
      <c r="I275" s="19"/>
      <c r="J275" s="22"/>
      <c r="K275" s="81"/>
      <c r="M275" s="88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</row>
    <row r="276" spans="2:39" ht="41.25" customHeight="1" outlineLevel="1">
      <c r="B276" s="21"/>
      <c r="C276" s="57" t="str">
        <f t="shared" si="7"/>
        <v/>
      </c>
      <c r="D276" s="18"/>
      <c r="E276" s="18"/>
      <c r="F276" s="15"/>
      <c r="G276" s="19"/>
      <c r="H276" s="19"/>
      <c r="I276" s="19"/>
      <c r="J276" s="22"/>
      <c r="K276" s="81"/>
      <c r="M276" s="88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</row>
    <row r="277" spans="2:39" ht="41.25" customHeight="1" outlineLevel="1">
      <c r="B277" s="21"/>
      <c r="C277" s="57" t="str">
        <f t="shared" si="7"/>
        <v/>
      </c>
      <c r="D277" s="18"/>
      <c r="E277" s="18"/>
      <c r="F277" s="15"/>
      <c r="G277" s="19"/>
      <c r="H277" s="19"/>
      <c r="I277" s="19"/>
      <c r="J277" s="22"/>
      <c r="K277" s="81"/>
      <c r="M277" s="88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</row>
    <row r="278" spans="2:39" ht="41.25" customHeight="1" outlineLevel="1">
      <c r="B278" s="21"/>
      <c r="C278" s="57" t="str">
        <f t="shared" si="7"/>
        <v/>
      </c>
      <c r="D278" s="18"/>
      <c r="E278" s="18"/>
      <c r="F278" s="15"/>
      <c r="G278" s="19"/>
      <c r="H278" s="19"/>
      <c r="I278" s="19"/>
      <c r="J278" s="22"/>
      <c r="K278" s="81"/>
      <c r="M278" s="88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</row>
    <row r="279" spans="2:39" ht="41.25" customHeight="1" outlineLevel="1">
      <c r="B279" s="21"/>
      <c r="C279" s="57" t="str">
        <f t="shared" si="7"/>
        <v/>
      </c>
      <c r="D279" s="18"/>
      <c r="E279" s="18"/>
      <c r="F279" s="15"/>
      <c r="G279" s="19"/>
      <c r="H279" s="19"/>
      <c r="I279" s="19"/>
      <c r="J279" s="22"/>
      <c r="K279" s="81"/>
      <c r="M279" s="88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</row>
    <row r="280" spans="2:39" ht="41.25" customHeight="1" outlineLevel="1">
      <c r="B280" s="21"/>
      <c r="C280" s="57" t="str">
        <f t="shared" si="7"/>
        <v/>
      </c>
      <c r="D280" s="18"/>
      <c r="E280" s="18"/>
      <c r="F280" s="15"/>
      <c r="G280" s="19"/>
      <c r="H280" s="19"/>
      <c r="I280" s="19"/>
      <c r="J280" s="22"/>
      <c r="K280" s="81"/>
      <c r="M280" s="88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</row>
    <row r="281" spans="2:39" ht="41.25" customHeight="1" outlineLevel="1">
      <c r="B281" s="21"/>
      <c r="C281" s="57" t="str">
        <f t="shared" si="7"/>
        <v/>
      </c>
      <c r="D281" s="18"/>
      <c r="E281" s="18"/>
      <c r="F281" s="15"/>
      <c r="G281" s="19"/>
      <c r="H281" s="19"/>
      <c r="I281" s="19"/>
      <c r="J281" s="22"/>
      <c r="K281" s="81"/>
      <c r="M281" s="88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</row>
    <row r="282" spans="2:39" ht="41.25" customHeight="1" outlineLevel="1">
      <c r="B282" s="21"/>
      <c r="C282" s="57" t="str">
        <f t="shared" si="7"/>
        <v/>
      </c>
      <c r="D282" s="18"/>
      <c r="E282" s="18"/>
      <c r="F282" s="15"/>
      <c r="G282" s="19"/>
      <c r="H282" s="19"/>
      <c r="I282" s="19"/>
      <c r="J282" s="22"/>
      <c r="K282" s="81"/>
      <c r="M282" s="88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</row>
    <row r="283" spans="2:39" ht="41.25" customHeight="1" outlineLevel="1">
      <c r="B283" s="21"/>
      <c r="C283" s="57" t="str">
        <f t="shared" si="7"/>
        <v/>
      </c>
      <c r="D283" s="18"/>
      <c r="E283" s="18"/>
      <c r="F283" s="15"/>
      <c r="G283" s="19"/>
      <c r="H283" s="19"/>
      <c r="I283" s="19"/>
      <c r="J283" s="22"/>
      <c r="K283" s="81"/>
      <c r="M283" s="88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</row>
    <row r="284" spans="2:39" ht="41.25" customHeight="1" outlineLevel="1">
      <c r="B284" s="21"/>
      <c r="C284" s="57" t="str">
        <f t="shared" si="7"/>
        <v/>
      </c>
      <c r="D284" s="18"/>
      <c r="E284" s="18"/>
      <c r="F284" s="15"/>
      <c r="G284" s="19"/>
      <c r="H284" s="19"/>
      <c r="I284" s="19"/>
      <c r="J284" s="22"/>
      <c r="K284" s="81"/>
      <c r="M284" s="88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</row>
    <row r="285" spans="2:39" ht="41.25" customHeight="1" outlineLevel="1">
      <c r="B285" s="21"/>
      <c r="C285" s="57" t="str">
        <f t="shared" si="7"/>
        <v/>
      </c>
      <c r="D285" s="18"/>
      <c r="E285" s="18"/>
      <c r="F285" s="15"/>
      <c r="G285" s="19"/>
      <c r="H285" s="19"/>
      <c r="I285" s="19"/>
      <c r="J285" s="22"/>
      <c r="K285" s="81"/>
      <c r="M285" s="88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</row>
    <row r="286" spans="2:39" ht="41.25" customHeight="1" outlineLevel="1">
      <c r="B286" s="21"/>
      <c r="C286" s="57" t="str">
        <f t="shared" si="7"/>
        <v/>
      </c>
      <c r="D286" s="18"/>
      <c r="E286" s="18"/>
      <c r="F286" s="15"/>
      <c r="G286" s="19"/>
      <c r="H286" s="19"/>
      <c r="I286" s="19"/>
      <c r="J286" s="22"/>
      <c r="K286" s="81"/>
      <c r="M286" s="88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</row>
    <row r="287" spans="2:39" ht="41.25" customHeight="1" outlineLevel="1">
      <c r="B287" s="21"/>
      <c r="C287" s="57" t="str">
        <f t="shared" si="7"/>
        <v/>
      </c>
      <c r="D287" s="18"/>
      <c r="E287" s="18"/>
      <c r="F287" s="15"/>
      <c r="G287" s="19"/>
      <c r="H287" s="19"/>
      <c r="I287" s="19"/>
      <c r="J287" s="22"/>
      <c r="K287" s="81"/>
      <c r="M287" s="88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</row>
    <row r="288" spans="2:39" ht="41.25" customHeight="1" outlineLevel="1">
      <c r="B288" s="21"/>
      <c r="C288" s="57" t="str">
        <f t="shared" si="7"/>
        <v/>
      </c>
      <c r="D288" s="18"/>
      <c r="E288" s="18"/>
      <c r="F288" s="15"/>
      <c r="G288" s="19"/>
      <c r="H288" s="19"/>
      <c r="I288" s="19"/>
      <c r="J288" s="22"/>
      <c r="K288" s="81"/>
      <c r="M288" s="88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</row>
    <row r="289" spans="2:39" ht="41.25" customHeight="1" outlineLevel="1">
      <c r="B289" s="21"/>
      <c r="C289" s="57" t="str">
        <f t="shared" si="7"/>
        <v/>
      </c>
      <c r="D289" s="18"/>
      <c r="E289" s="18"/>
      <c r="F289" s="15"/>
      <c r="G289" s="19"/>
      <c r="H289" s="19"/>
      <c r="I289" s="19"/>
      <c r="J289" s="22"/>
      <c r="K289" s="81"/>
      <c r="M289" s="88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</row>
    <row r="290" spans="2:39" ht="41.25" customHeight="1" outlineLevel="1">
      <c r="B290" s="21"/>
      <c r="C290" s="57" t="str">
        <f t="shared" si="7"/>
        <v/>
      </c>
      <c r="D290" s="18"/>
      <c r="E290" s="18"/>
      <c r="F290" s="15"/>
      <c r="G290" s="19"/>
      <c r="H290" s="19"/>
      <c r="I290" s="19"/>
      <c r="J290" s="22"/>
      <c r="K290" s="81"/>
      <c r="M290" s="88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</row>
    <row r="291" spans="2:39" ht="41.25" customHeight="1" outlineLevel="1">
      <c r="B291" s="21"/>
      <c r="C291" s="57" t="str">
        <f t="shared" si="7"/>
        <v/>
      </c>
      <c r="D291" s="18"/>
      <c r="E291" s="18"/>
      <c r="F291" s="15"/>
      <c r="G291" s="19"/>
      <c r="H291" s="19"/>
      <c r="I291" s="19"/>
      <c r="J291" s="22"/>
      <c r="K291" s="81"/>
      <c r="M291" s="88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</row>
    <row r="292" spans="2:39" ht="41.25" customHeight="1" outlineLevel="1">
      <c r="B292" s="21"/>
      <c r="C292" s="57" t="str">
        <f t="shared" si="7"/>
        <v/>
      </c>
      <c r="D292" s="18"/>
      <c r="E292" s="18"/>
      <c r="F292" s="15"/>
      <c r="G292" s="19"/>
      <c r="H292" s="19"/>
      <c r="I292" s="19"/>
      <c r="J292" s="22"/>
      <c r="K292" s="81"/>
      <c r="M292" s="88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</row>
    <row r="293" spans="2:39" ht="41.25" customHeight="1" outlineLevel="1">
      <c r="B293" s="21"/>
      <c r="C293" s="57" t="str">
        <f t="shared" si="7"/>
        <v/>
      </c>
      <c r="D293" s="18"/>
      <c r="E293" s="18"/>
      <c r="F293" s="15"/>
      <c r="G293" s="19"/>
      <c r="H293" s="19"/>
      <c r="I293" s="19"/>
      <c r="J293" s="22"/>
      <c r="K293" s="81"/>
      <c r="M293" s="88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</row>
    <row r="294" spans="2:39" ht="41.25" customHeight="1" outlineLevel="1">
      <c r="B294" s="21"/>
      <c r="C294" s="57" t="str">
        <f t="shared" si="7"/>
        <v/>
      </c>
      <c r="D294" s="18"/>
      <c r="E294" s="18"/>
      <c r="F294" s="15"/>
      <c r="G294" s="19"/>
      <c r="H294" s="19"/>
      <c r="I294" s="19"/>
      <c r="J294" s="22"/>
      <c r="K294" s="81"/>
      <c r="M294" s="88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</row>
    <row r="295" spans="2:39" ht="41.25" customHeight="1" outlineLevel="1">
      <c r="B295" s="21"/>
      <c r="C295" s="57" t="str">
        <f t="shared" si="7"/>
        <v/>
      </c>
      <c r="D295" s="18"/>
      <c r="E295" s="18"/>
      <c r="F295" s="15"/>
      <c r="G295" s="19"/>
      <c r="H295" s="19"/>
      <c r="I295" s="19"/>
      <c r="J295" s="22"/>
      <c r="K295" s="81"/>
      <c r="M295" s="88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</row>
    <row r="296" spans="2:39" ht="41.25" customHeight="1" outlineLevel="1">
      <c r="B296" s="21"/>
      <c r="C296" s="57" t="str">
        <f t="shared" si="7"/>
        <v/>
      </c>
      <c r="D296" s="18"/>
      <c r="E296" s="18"/>
      <c r="F296" s="15"/>
      <c r="G296" s="19"/>
      <c r="H296" s="19"/>
      <c r="I296" s="19"/>
      <c r="J296" s="22"/>
      <c r="K296" s="81"/>
      <c r="M296" s="88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</row>
    <row r="297" spans="2:39" ht="41.25" customHeight="1" outlineLevel="1">
      <c r="B297" s="21"/>
      <c r="C297" s="57" t="str">
        <f t="shared" si="7"/>
        <v/>
      </c>
      <c r="D297" s="18"/>
      <c r="E297" s="18"/>
      <c r="F297" s="15"/>
      <c r="G297" s="19"/>
      <c r="H297" s="19"/>
      <c r="I297" s="19"/>
      <c r="J297" s="22"/>
      <c r="K297" s="81"/>
      <c r="M297" s="88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</row>
    <row r="298" spans="2:39" ht="41.25" customHeight="1" outlineLevel="1">
      <c r="B298" s="21"/>
      <c r="C298" s="57" t="str">
        <f t="shared" si="7"/>
        <v/>
      </c>
      <c r="D298" s="18"/>
      <c r="E298" s="18"/>
      <c r="F298" s="15"/>
      <c r="G298" s="19"/>
      <c r="H298" s="19"/>
      <c r="I298" s="19"/>
      <c r="J298" s="22"/>
      <c r="K298" s="81"/>
      <c r="M298" s="88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</row>
    <row r="299" spans="2:39" ht="41.25" customHeight="1" outlineLevel="1">
      <c r="B299" s="21"/>
      <c r="C299" s="57" t="str">
        <f t="shared" si="7"/>
        <v/>
      </c>
      <c r="D299" s="18"/>
      <c r="E299" s="18"/>
      <c r="F299" s="15"/>
      <c r="G299" s="19"/>
      <c r="H299" s="19"/>
      <c r="I299" s="19"/>
      <c r="J299" s="22"/>
      <c r="K299" s="81"/>
      <c r="M299" s="88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</row>
    <row r="300" spans="2:39" ht="41.25" customHeight="1" outlineLevel="1">
      <c r="B300" s="21"/>
      <c r="C300" s="57" t="str">
        <f t="shared" si="7"/>
        <v/>
      </c>
      <c r="D300" s="18"/>
      <c r="E300" s="18"/>
      <c r="F300" s="15"/>
      <c r="G300" s="19"/>
      <c r="H300" s="19"/>
      <c r="I300" s="19"/>
      <c r="J300" s="22"/>
      <c r="K300" s="81"/>
      <c r="M300" s="88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</row>
    <row r="301" spans="2:39" ht="41.25" customHeight="1" outlineLevel="1">
      <c r="B301" s="21"/>
      <c r="C301" s="57" t="str">
        <f t="shared" si="7"/>
        <v/>
      </c>
      <c r="D301" s="18"/>
      <c r="E301" s="18"/>
      <c r="F301" s="15"/>
      <c r="G301" s="19"/>
      <c r="H301" s="19"/>
      <c r="I301" s="19"/>
      <c r="J301" s="22"/>
      <c r="K301" s="81"/>
      <c r="M301" s="88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</row>
    <row r="302" spans="2:39" ht="41.25" customHeight="1" outlineLevel="1">
      <c r="B302" s="21"/>
      <c r="C302" s="57" t="str">
        <f t="shared" si="7"/>
        <v/>
      </c>
      <c r="D302" s="18"/>
      <c r="E302" s="18"/>
      <c r="F302" s="15"/>
      <c r="G302" s="19"/>
      <c r="H302" s="19"/>
      <c r="I302" s="19"/>
      <c r="J302" s="22"/>
      <c r="K302" s="81"/>
      <c r="M302" s="88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</row>
    <row r="303" spans="2:39" ht="41.25" customHeight="1" outlineLevel="1">
      <c r="B303" s="21"/>
      <c r="C303" s="57" t="str">
        <f t="shared" si="7"/>
        <v/>
      </c>
      <c r="D303" s="18"/>
      <c r="E303" s="18"/>
      <c r="F303" s="15"/>
      <c r="G303" s="19"/>
      <c r="H303" s="19"/>
      <c r="I303" s="19"/>
      <c r="J303" s="22"/>
      <c r="K303" s="81"/>
      <c r="M303" s="88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</row>
    <row r="304" spans="2:39" ht="41.25" customHeight="1" outlineLevel="1">
      <c r="B304" s="21"/>
      <c r="C304" s="57" t="str">
        <f t="shared" si="7"/>
        <v/>
      </c>
      <c r="D304" s="18"/>
      <c r="E304" s="18"/>
      <c r="F304" s="15"/>
      <c r="G304" s="19"/>
      <c r="H304" s="19"/>
      <c r="I304" s="19"/>
      <c r="J304" s="22"/>
      <c r="K304" s="81"/>
      <c r="M304" s="88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</row>
    <row r="305" spans="2:39" ht="41.25" customHeight="1" outlineLevel="1">
      <c r="B305" s="21"/>
      <c r="C305" s="57" t="str">
        <f t="shared" si="7"/>
        <v/>
      </c>
      <c r="D305" s="18"/>
      <c r="E305" s="18"/>
      <c r="F305" s="15"/>
      <c r="G305" s="19"/>
      <c r="H305" s="19"/>
      <c r="I305" s="19"/>
      <c r="J305" s="22"/>
      <c r="K305" s="81"/>
      <c r="M305" s="88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</row>
    <row r="306" spans="2:39" ht="41.25" customHeight="1" outlineLevel="1">
      <c r="B306" s="21"/>
      <c r="C306" s="57" t="str">
        <f t="shared" si="7"/>
        <v/>
      </c>
      <c r="D306" s="18"/>
      <c r="E306" s="18"/>
      <c r="F306" s="15"/>
      <c r="G306" s="19"/>
      <c r="H306" s="19"/>
      <c r="I306" s="19"/>
      <c r="J306" s="22"/>
      <c r="K306" s="81"/>
      <c r="M306" s="88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</row>
    <row r="307" spans="2:39" ht="41.25" customHeight="1" outlineLevel="1">
      <c r="B307" s="21"/>
      <c r="C307" s="57" t="str">
        <f t="shared" si="7"/>
        <v/>
      </c>
      <c r="D307" s="18"/>
      <c r="E307" s="18"/>
      <c r="F307" s="15"/>
      <c r="G307" s="19"/>
      <c r="H307" s="19"/>
      <c r="I307" s="19"/>
      <c r="J307" s="22"/>
      <c r="K307" s="81"/>
      <c r="M307" s="88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</row>
    <row r="308" spans="2:39" ht="41.25" customHeight="1" outlineLevel="1">
      <c r="B308" s="21"/>
      <c r="C308" s="57" t="str">
        <f t="shared" si="7"/>
        <v/>
      </c>
      <c r="D308" s="18"/>
      <c r="E308" s="18"/>
      <c r="F308" s="15"/>
      <c r="G308" s="19"/>
      <c r="H308" s="19"/>
      <c r="I308" s="19"/>
      <c r="J308" s="22"/>
      <c r="K308" s="81"/>
      <c r="M308" s="88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</row>
    <row r="309" spans="2:39" ht="41.25" customHeight="1" outlineLevel="1">
      <c r="B309" s="21"/>
      <c r="C309" s="57" t="str">
        <f t="shared" si="7"/>
        <v/>
      </c>
      <c r="D309" s="18"/>
      <c r="E309" s="18"/>
      <c r="F309" s="15"/>
      <c r="G309" s="19"/>
      <c r="H309" s="19"/>
      <c r="I309" s="19"/>
      <c r="J309" s="22"/>
      <c r="K309" s="81"/>
      <c r="M309" s="88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</row>
    <row r="310" spans="2:39" ht="41.25" customHeight="1" outlineLevel="1">
      <c r="B310" s="21"/>
      <c r="C310" s="57" t="str">
        <f t="shared" si="7"/>
        <v/>
      </c>
      <c r="D310" s="18"/>
      <c r="E310" s="18"/>
      <c r="F310" s="15"/>
      <c r="G310" s="19"/>
      <c r="H310" s="19"/>
      <c r="I310" s="19"/>
      <c r="J310" s="22"/>
      <c r="K310" s="81"/>
      <c r="M310" s="88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</row>
    <row r="311" spans="2:39" ht="41.25" customHeight="1" outlineLevel="1">
      <c r="B311" s="21"/>
      <c r="C311" s="57" t="str">
        <f t="shared" si="7"/>
        <v/>
      </c>
      <c r="D311" s="18"/>
      <c r="E311" s="18"/>
      <c r="F311" s="15"/>
      <c r="G311" s="19"/>
      <c r="H311" s="19"/>
      <c r="I311" s="19"/>
      <c r="J311" s="22"/>
      <c r="K311" s="81"/>
      <c r="M311" s="88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</row>
    <row r="312" spans="2:39" ht="41.25" customHeight="1" outlineLevel="1">
      <c r="B312" s="21"/>
      <c r="C312" s="57" t="str">
        <f t="shared" si="7"/>
        <v/>
      </c>
      <c r="D312" s="18"/>
      <c r="E312" s="18"/>
      <c r="F312" s="15"/>
      <c r="G312" s="19"/>
      <c r="H312" s="19"/>
      <c r="I312" s="19"/>
      <c r="J312" s="22"/>
      <c r="K312" s="81"/>
      <c r="M312" s="88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</row>
    <row r="313" spans="2:39" ht="41.25" customHeight="1" outlineLevel="1">
      <c r="B313" s="21"/>
      <c r="C313" s="57" t="str">
        <f t="shared" si="7"/>
        <v/>
      </c>
      <c r="D313" s="18"/>
      <c r="E313" s="18"/>
      <c r="F313" s="15"/>
      <c r="G313" s="19"/>
      <c r="H313" s="19"/>
      <c r="I313" s="19"/>
      <c r="J313" s="22"/>
      <c r="K313" s="81"/>
      <c r="M313" s="88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</row>
    <row r="314" spans="2:39" ht="41.25" customHeight="1" outlineLevel="1">
      <c r="B314" s="21"/>
      <c r="C314" s="57" t="str">
        <f t="shared" si="7"/>
        <v/>
      </c>
      <c r="D314" s="18"/>
      <c r="E314" s="18"/>
      <c r="F314" s="15"/>
      <c r="G314" s="19"/>
      <c r="H314" s="19"/>
      <c r="I314" s="19"/>
      <c r="J314" s="22"/>
      <c r="K314" s="81"/>
      <c r="M314" s="88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</row>
    <row r="315" spans="2:39" ht="41.25" customHeight="1" outlineLevel="1">
      <c r="B315" s="21"/>
      <c r="C315" s="57" t="str">
        <f t="shared" si="7"/>
        <v/>
      </c>
      <c r="D315" s="18"/>
      <c r="E315" s="18"/>
      <c r="F315" s="15"/>
      <c r="G315" s="19"/>
      <c r="H315" s="19"/>
      <c r="I315" s="19"/>
      <c r="J315" s="22"/>
      <c r="K315" s="81"/>
      <c r="M315" s="88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</row>
    <row r="316" spans="2:39" ht="41.25" customHeight="1" outlineLevel="1">
      <c r="B316" s="21"/>
      <c r="C316" s="57" t="str">
        <f t="shared" si="7"/>
        <v/>
      </c>
      <c r="D316" s="18"/>
      <c r="E316" s="18"/>
      <c r="F316" s="15"/>
      <c r="G316" s="19"/>
      <c r="H316" s="19"/>
      <c r="I316" s="19"/>
      <c r="J316" s="22"/>
      <c r="K316" s="81"/>
      <c r="M316" s="88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</row>
    <row r="317" spans="2:39" ht="41.25" customHeight="1" outlineLevel="1">
      <c r="B317" s="21"/>
      <c r="C317" s="57" t="str">
        <f t="shared" si="7"/>
        <v/>
      </c>
      <c r="D317" s="18"/>
      <c r="E317" s="18"/>
      <c r="F317" s="15"/>
      <c r="G317" s="19"/>
      <c r="H317" s="19"/>
      <c r="I317" s="19"/>
      <c r="J317" s="22"/>
      <c r="K317" s="81"/>
      <c r="M317" s="88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</row>
    <row r="318" spans="2:39" ht="41.25" customHeight="1" outlineLevel="1">
      <c r="B318" s="21"/>
      <c r="C318" s="57" t="str">
        <f t="shared" si="7"/>
        <v/>
      </c>
      <c r="D318" s="18"/>
      <c r="E318" s="18"/>
      <c r="F318" s="15"/>
      <c r="G318" s="19"/>
      <c r="H318" s="19"/>
      <c r="I318" s="19"/>
      <c r="J318" s="22"/>
      <c r="K318" s="81"/>
      <c r="M318" s="88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</row>
    <row r="319" spans="2:39" ht="41.25" customHeight="1" outlineLevel="1">
      <c r="B319" s="21"/>
      <c r="C319" s="57" t="str">
        <f t="shared" si="7"/>
        <v/>
      </c>
      <c r="D319" s="18"/>
      <c r="E319" s="18"/>
      <c r="F319" s="15"/>
      <c r="G319" s="19"/>
      <c r="H319" s="19"/>
      <c r="I319" s="19"/>
      <c r="J319" s="22"/>
      <c r="K319" s="81"/>
      <c r="M319" s="88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</row>
    <row r="320" spans="2:39" ht="41.25" customHeight="1" outlineLevel="1">
      <c r="B320" s="21"/>
      <c r="C320" s="57" t="str">
        <f t="shared" si="7"/>
        <v/>
      </c>
      <c r="D320" s="18"/>
      <c r="E320" s="18"/>
      <c r="F320" s="15"/>
      <c r="G320" s="19"/>
      <c r="H320" s="19"/>
      <c r="I320" s="19"/>
      <c r="J320" s="22"/>
      <c r="K320" s="81"/>
      <c r="M320" s="88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</row>
    <row r="321" spans="2:39" ht="41.25" customHeight="1" outlineLevel="1">
      <c r="B321" s="21"/>
      <c r="C321" s="57" t="str">
        <f t="shared" si="7"/>
        <v/>
      </c>
      <c r="D321" s="18"/>
      <c r="E321" s="18"/>
      <c r="F321" s="15"/>
      <c r="G321" s="19"/>
      <c r="H321" s="19"/>
      <c r="I321" s="19"/>
      <c r="J321" s="22"/>
      <c r="K321" s="81"/>
      <c r="M321" s="88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</row>
    <row r="322" spans="2:39" ht="41.25" customHeight="1" outlineLevel="1">
      <c r="B322" s="21"/>
      <c r="C322" s="57" t="str">
        <f t="shared" si="7"/>
        <v/>
      </c>
      <c r="D322" s="18"/>
      <c r="E322" s="18"/>
      <c r="F322" s="15"/>
      <c r="G322" s="19"/>
      <c r="H322" s="19"/>
      <c r="I322" s="19"/>
      <c r="J322" s="22"/>
      <c r="K322" s="81"/>
      <c r="M322" s="88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</row>
    <row r="323" spans="2:39" ht="41.25" customHeight="1" outlineLevel="1">
      <c r="B323" s="21"/>
      <c r="C323" s="57" t="str">
        <f t="shared" si="7"/>
        <v/>
      </c>
      <c r="D323" s="18"/>
      <c r="E323" s="18"/>
      <c r="F323" s="15"/>
      <c r="G323" s="19"/>
      <c r="H323" s="19"/>
      <c r="I323" s="19"/>
      <c r="J323" s="22"/>
      <c r="K323" s="81"/>
      <c r="M323" s="88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</row>
    <row r="324" spans="2:39" ht="41.25" customHeight="1" outlineLevel="1">
      <c r="B324" s="21"/>
      <c r="C324" s="57" t="str">
        <f t="shared" si="7"/>
        <v/>
      </c>
      <c r="D324" s="18"/>
      <c r="E324" s="18"/>
      <c r="F324" s="15"/>
      <c r="G324" s="19"/>
      <c r="H324" s="19"/>
      <c r="I324" s="19"/>
      <c r="J324" s="22"/>
      <c r="K324" s="81"/>
      <c r="M324" s="88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</row>
    <row r="325" spans="2:39" ht="41.25" customHeight="1" outlineLevel="1">
      <c r="B325" s="21"/>
      <c r="C325" s="57" t="str">
        <f t="shared" si="7"/>
        <v/>
      </c>
      <c r="D325" s="18"/>
      <c r="E325" s="18"/>
      <c r="F325" s="15"/>
      <c r="G325" s="19"/>
      <c r="H325" s="19"/>
      <c r="I325" s="19"/>
      <c r="J325" s="22"/>
      <c r="K325" s="81"/>
      <c r="M325" s="88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</row>
    <row r="326" spans="2:39" ht="41.25" customHeight="1" outlineLevel="1">
      <c r="B326" s="21"/>
      <c r="C326" s="57" t="str">
        <f t="shared" si="7"/>
        <v/>
      </c>
      <c r="D326" s="18"/>
      <c r="E326" s="18"/>
      <c r="F326" s="15"/>
      <c r="G326" s="19"/>
      <c r="H326" s="19"/>
      <c r="I326" s="19"/>
      <c r="J326" s="22"/>
      <c r="K326" s="81"/>
      <c r="M326" s="88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</row>
    <row r="327" spans="2:39" ht="41.25" customHeight="1" outlineLevel="1">
      <c r="B327" s="21"/>
      <c r="C327" s="57" t="str">
        <f t="shared" ref="C327:C390" si="8">IF(B327="","",MONTH(B327))</f>
        <v/>
      </c>
      <c r="D327" s="18"/>
      <c r="E327" s="18"/>
      <c r="F327" s="15"/>
      <c r="G327" s="19"/>
      <c r="H327" s="19"/>
      <c r="I327" s="19"/>
      <c r="J327" s="22"/>
      <c r="K327" s="81"/>
      <c r="M327" s="88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</row>
    <row r="328" spans="2:39" ht="41.25" customHeight="1" outlineLevel="1">
      <c r="B328" s="21"/>
      <c r="C328" s="57" t="str">
        <f t="shared" si="8"/>
        <v/>
      </c>
      <c r="D328" s="18"/>
      <c r="E328" s="18"/>
      <c r="F328" s="15"/>
      <c r="G328" s="19"/>
      <c r="H328" s="19"/>
      <c r="I328" s="19"/>
      <c r="J328" s="22"/>
      <c r="K328" s="81"/>
      <c r="M328" s="88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</row>
    <row r="329" spans="2:39" ht="41.25" customHeight="1" outlineLevel="1">
      <c r="B329" s="21"/>
      <c r="C329" s="57" t="str">
        <f t="shared" si="8"/>
        <v/>
      </c>
      <c r="D329" s="18"/>
      <c r="E329" s="18"/>
      <c r="F329" s="15"/>
      <c r="G329" s="19"/>
      <c r="H329" s="19"/>
      <c r="I329" s="19"/>
      <c r="J329" s="22"/>
      <c r="K329" s="81"/>
      <c r="M329" s="88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</row>
    <row r="330" spans="2:39" ht="41.25" customHeight="1" outlineLevel="1">
      <c r="B330" s="21"/>
      <c r="C330" s="57" t="str">
        <f t="shared" si="8"/>
        <v/>
      </c>
      <c r="D330" s="18"/>
      <c r="E330" s="18"/>
      <c r="F330" s="15"/>
      <c r="G330" s="19"/>
      <c r="H330" s="19"/>
      <c r="I330" s="19"/>
      <c r="J330" s="22"/>
      <c r="K330" s="81"/>
      <c r="M330" s="88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</row>
    <row r="331" spans="2:39" ht="41.25" customHeight="1" outlineLevel="1">
      <c r="B331" s="21"/>
      <c r="C331" s="57" t="str">
        <f t="shared" si="8"/>
        <v/>
      </c>
      <c r="D331" s="18"/>
      <c r="E331" s="18"/>
      <c r="F331" s="15"/>
      <c r="G331" s="19"/>
      <c r="H331" s="19"/>
      <c r="I331" s="19"/>
      <c r="J331" s="22"/>
      <c r="K331" s="81"/>
      <c r="M331" s="88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</row>
    <row r="332" spans="2:39" ht="41.25" customHeight="1" outlineLevel="1">
      <c r="B332" s="21"/>
      <c r="C332" s="57" t="str">
        <f t="shared" si="8"/>
        <v/>
      </c>
      <c r="D332" s="18"/>
      <c r="E332" s="18"/>
      <c r="F332" s="15"/>
      <c r="G332" s="19"/>
      <c r="H332" s="19"/>
      <c r="I332" s="19"/>
      <c r="J332" s="22"/>
      <c r="K332" s="81"/>
      <c r="M332" s="88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</row>
    <row r="333" spans="2:39" s="10" customFormat="1" ht="41.25" customHeight="1" outlineLevel="1">
      <c r="B333" s="21"/>
      <c r="C333" s="57" t="str">
        <f t="shared" si="8"/>
        <v/>
      </c>
      <c r="D333" s="18"/>
      <c r="E333" s="18"/>
      <c r="F333" s="15"/>
      <c r="G333" s="19"/>
      <c r="H333" s="19"/>
      <c r="I333" s="19"/>
      <c r="J333" s="22"/>
      <c r="K333" s="81"/>
      <c r="L333" s="22"/>
      <c r="M333" s="88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</row>
    <row r="334" spans="2:39" ht="41.25" customHeight="1" outlineLevel="1">
      <c r="B334" s="21"/>
      <c r="C334" s="57" t="str">
        <f t="shared" si="8"/>
        <v/>
      </c>
      <c r="D334" s="18"/>
      <c r="E334" s="18"/>
      <c r="F334" s="15"/>
      <c r="G334" s="19"/>
      <c r="H334" s="19"/>
      <c r="I334" s="19"/>
      <c r="J334" s="22"/>
      <c r="K334" s="81"/>
      <c r="M334" s="88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</row>
    <row r="335" spans="2:39" ht="41.25" customHeight="1" outlineLevel="1">
      <c r="B335" s="21"/>
      <c r="C335" s="57" t="str">
        <f t="shared" si="8"/>
        <v/>
      </c>
      <c r="D335" s="18"/>
      <c r="E335" s="18"/>
      <c r="F335" s="15"/>
      <c r="G335" s="19"/>
      <c r="H335" s="19"/>
      <c r="I335" s="19"/>
      <c r="J335" s="22"/>
      <c r="K335" s="81"/>
      <c r="M335" s="88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</row>
    <row r="336" spans="2:39" ht="41.25" customHeight="1" outlineLevel="1">
      <c r="B336" s="21"/>
      <c r="C336" s="57" t="str">
        <f t="shared" si="8"/>
        <v/>
      </c>
      <c r="D336" s="18"/>
      <c r="E336" s="18"/>
      <c r="F336" s="15"/>
      <c r="G336" s="19"/>
      <c r="H336" s="19"/>
      <c r="I336" s="19"/>
      <c r="J336" s="22"/>
      <c r="K336" s="81"/>
      <c r="M336" s="88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</row>
    <row r="337" spans="2:39" ht="41.25" customHeight="1" outlineLevel="1">
      <c r="B337" s="21"/>
      <c r="C337" s="57" t="str">
        <f t="shared" si="8"/>
        <v/>
      </c>
      <c r="D337" s="18"/>
      <c r="E337" s="18"/>
      <c r="F337" s="15"/>
      <c r="G337" s="19"/>
      <c r="H337" s="19"/>
      <c r="I337" s="19"/>
      <c r="J337" s="22"/>
      <c r="K337" s="81"/>
      <c r="M337" s="88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</row>
    <row r="338" spans="2:39" ht="41.25" customHeight="1" outlineLevel="1">
      <c r="B338" s="21"/>
      <c r="C338" s="57" t="str">
        <f t="shared" si="8"/>
        <v/>
      </c>
      <c r="D338" s="18"/>
      <c r="E338" s="18"/>
      <c r="F338" s="15"/>
      <c r="G338" s="19"/>
      <c r="H338" s="19"/>
      <c r="I338" s="19"/>
      <c r="J338" s="22"/>
      <c r="K338" s="81"/>
      <c r="M338" s="88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</row>
    <row r="339" spans="2:39" ht="41.25" customHeight="1" outlineLevel="1">
      <c r="B339" s="18"/>
      <c r="C339" s="57" t="str">
        <f t="shared" si="8"/>
        <v/>
      </c>
      <c r="D339" s="18"/>
      <c r="E339" s="18"/>
      <c r="F339" s="15"/>
      <c r="G339" s="19"/>
      <c r="H339" s="19"/>
      <c r="I339" s="19"/>
      <c r="J339" s="22"/>
      <c r="K339" s="81"/>
      <c r="M339" s="88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</row>
    <row r="340" spans="2:39" ht="41.25" customHeight="1" outlineLevel="1">
      <c r="B340" s="18"/>
      <c r="C340" s="57" t="str">
        <f t="shared" si="8"/>
        <v/>
      </c>
      <c r="D340" s="18"/>
      <c r="E340" s="18"/>
      <c r="F340" s="15"/>
      <c r="G340" s="19"/>
      <c r="H340" s="19"/>
      <c r="I340" s="19"/>
      <c r="J340" s="22"/>
      <c r="K340" s="81"/>
      <c r="M340" s="88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</row>
    <row r="341" spans="2:39" s="11" customFormat="1" ht="41.25" customHeight="1" outlineLevel="1">
      <c r="B341" s="24"/>
      <c r="C341" s="57" t="str">
        <f t="shared" si="8"/>
        <v/>
      </c>
      <c r="D341" s="24"/>
      <c r="E341" s="24"/>
      <c r="F341" s="25"/>
      <c r="G341" s="26"/>
      <c r="H341" s="26"/>
      <c r="I341" s="26"/>
      <c r="J341" s="27"/>
      <c r="K341" s="83"/>
      <c r="L341" s="27"/>
      <c r="M341" s="89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2"/>
      <c r="AL341" s="27"/>
      <c r="AM341" s="27"/>
    </row>
    <row r="342" spans="2:39" ht="41.25" customHeight="1" outlineLevel="1">
      <c r="B342" s="18"/>
      <c r="C342" s="57" t="str">
        <f t="shared" si="8"/>
        <v/>
      </c>
      <c r="D342" s="18"/>
      <c r="E342" s="18"/>
      <c r="F342" s="15"/>
      <c r="G342" s="19"/>
      <c r="H342" s="19"/>
      <c r="I342" s="19"/>
      <c r="J342" s="22"/>
      <c r="K342" s="81"/>
      <c r="M342" s="88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7"/>
      <c r="AL342" s="22"/>
      <c r="AM342" s="22"/>
    </row>
    <row r="343" spans="2:39" ht="41.25" customHeight="1" outlineLevel="1">
      <c r="B343" s="18"/>
      <c r="C343" s="57" t="str">
        <f t="shared" si="8"/>
        <v/>
      </c>
      <c r="D343" s="18"/>
      <c r="E343" s="18"/>
      <c r="F343" s="15"/>
      <c r="G343" s="19"/>
      <c r="H343" s="19"/>
      <c r="I343" s="19"/>
      <c r="J343" s="22"/>
      <c r="K343" s="81"/>
      <c r="M343" s="88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</row>
    <row r="344" spans="2:39" ht="41.25" customHeight="1" outlineLevel="1">
      <c r="B344" s="18"/>
      <c r="C344" s="57" t="str">
        <f t="shared" si="8"/>
        <v/>
      </c>
      <c r="D344" s="18"/>
      <c r="E344" s="18"/>
      <c r="F344" s="15"/>
      <c r="G344" s="19"/>
      <c r="H344" s="19"/>
      <c r="I344" s="19"/>
      <c r="J344" s="22"/>
      <c r="K344" s="81"/>
      <c r="M344" s="88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</row>
    <row r="345" spans="2:39" ht="41.25" customHeight="1" outlineLevel="1">
      <c r="B345" s="18"/>
      <c r="C345" s="57" t="str">
        <f t="shared" si="8"/>
        <v/>
      </c>
      <c r="D345" s="18"/>
      <c r="E345" s="18"/>
      <c r="F345" s="15"/>
      <c r="G345" s="19"/>
      <c r="H345" s="19"/>
      <c r="I345" s="19"/>
      <c r="J345" s="22"/>
      <c r="K345" s="81"/>
      <c r="M345" s="88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</row>
    <row r="346" spans="2:39" ht="41.25" customHeight="1" outlineLevel="1">
      <c r="B346" s="18"/>
      <c r="C346" s="57" t="str">
        <f t="shared" si="8"/>
        <v/>
      </c>
      <c r="D346" s="18"/>
      <c r="E346" s="18"/>
      <c r="F346" s="15"/>
      <c r="G346" s="19"/>
      <c r="H346" s="19"/>
      <c r="I346" s="19"/>
      <c r="J346" s="22"/>
      <c r="K346" s="81"/>
      <c r="M346" s="88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</row>
    <row r="347" spans="2:39" ht="41.25" customHeight="1" outlineLevel="1">
      <c r="B347" s="18"/>
      <c r="C347" s="57" t="str">
        <f t="shared" si="8"/>
        <v/>
      </c>
      <c r="D347" s="18"/>
      <c r="E347" s="18"/>
      <c r="F347" s="15"/>
      <c r="G347" s="19"/>
      <c r="H347" s="19"/>
      <c r="I347" s="19"/>
      <c r="J347" s="22"/>
      <c r="K347" s="81"/>
      <c r="M347" s="88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</row>
    <row r="348" spans="2:39" ht="41.25" customHeight="1" outlineLevel="1">
      <c r="B348" s="18"/>
      <c r="C348" s="57" t="str">
        <f t="shared" si="8"/>
        <v/>
      </c>
      <c r="D348" s="18"/>
      <c r="E348" s="18"/>
      <c r="F348" s="15"/>
      <c r="G348" s="19"/>
      <c r="H348" s="19"/>
      <c r="I348" s="19"/>
      <c r="J348" s="22"/>
      <c r="K348" s="81"/>
      <c r="M348" s="88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</row>
    <row r="349" spans="2:39" ht="41.25" customHeight="1" outlineLevel="1">
      <c r="B349" s="18"/>
      <c r="C349" s="57" t="str">
        <f t="shared" si="8"/>
        <v/>
      </c>
      <c r="D349" s="18"/>
      <c r="E349" s="18"/>
      <c r="F349" s="15"/>
      <c r="G349" s="19"/>
      <c r="H349" s="19"/>
      <c r="I349" s="19"/>
      <c r="J349" s="22"/>
      <c r="K349" s="81"/>
      <c r="M349" s="88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</row>
    <row r="350" spans="2:39" ht="41.25" customHeight="1" outlineLevel="1">
      <c r="B350" s="18"/>
      <c r="C350" s="57" t="str">
        <f t="shared" si="8"/>
        <v/>
      </c>
      <c r="D350" s="18"/>
      <c r="E350" s="18"/>
      <c r="F350" s="15"/>
      <c r="G350" s="19"/>
      <c r="H350" s="19"/>
      <c r="I350" s="19"/>
      <c r="J350" s="22"/>
      <c r="K350" s="81"/>
      <c r="M350" s="88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</row>
    <row r="351" spans="2:39" ht="41.25" customHeight="1" outlineLevel="1">
      <c r="B351" s="18"/>
      <c r="C351" s="57" t="str">
        <f t="shared" si="8"/>
        <v/>
      </c>
      <c r="D351" s="18"/>
      <c r="E351" s="18"/>
      <c r="F351" s="15"/>
      <c r="G351" s="19"/>
      <c r="H351" s="19"/>
      <c r="I351" s="19"/>
      <c r="J351" s="22"/>
      <c r="K351" s="81"/>
      <c r="M351" s="88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</row>
    <row r="352" spans="2:39" ht="41.25" customHeight="1" outlineLevel="1">
      <c r="B352" s="18"/>
      <c r="C352" s="57" t="str">
        <f t="shared" si="8"/>
        <v/>
      </c>
      <c r="D352" s="18"/>
      <c r="E352" s="18"/>
      <c r="F352" s="15"/>
      <c r="G352" s="19"/>
      <c r="H352" s="19"/>
      <c r="I352" s="19"/>
      <c r="J352" s="22"/>
      <c r="K352" s="81"/>
      <c r="M352" s="88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</row>
    <row r="353" spans="2:39" ht="41.25" customHeight="1" outlineLevel="1">
      <c r="B353" s="18"/>
      <c r="C353" s="57" t="str">
        <f t="shared" si="8"/>
        <v/>
      </c>
      <c r="D353" s="18"/>
      <c r="E353" s="18"/>
      <c r="F353" s="15"/>
      <c r="G353" s="19"/>
      <c r="H353" s="19"/>
      <c r="I353" s="19"/>
      <c r="J353" s="22"/>
      <c r="K353" s="81"/>
      <c r="M353" s="88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</row>
    <row r="354" spans="2:39" ht="41.25" customHeight="1" outlineLevel="1">
      <c r="B354" s="18"/>
      <c r="C354" s="57" t="str">
        <f t="shared" si="8"/>
        <v/>
      </c>
      <c r="D354" s="18"/>
      <c r="E354" s="18"/>
      <c r="F354" s="15"/>
      <c r="G354" s="19"/>
      <c r="H354" s="19"/>
      <c r="I354" s="19"/>
      <c r="J354" s="22"/>
      <c r="K354" s="81"/>
      <c r="M354" s="88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</row>
    <row r="355" spans="2:39" ht="41.25" customHeight="1" outlineLevel="1">
      <c r="B355" s="18"/>
      <c r="C355" s="57" t="str">
        <f t="shared" si="8"/>
        <v/>
      </c>
      <c r="D355" s="18"/>
      <c r="E355" s="18"/>
      <c r="F355" s="15"/>
      <c r="G355" s="19"/>
      <c r="H355" s="19"/>
      <c r="I355" s="19"/>
      <c r="J355" s="22"/>
      <c r="K355" s="81"/>
      <c r="M355" s="88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</row>
    <row r="356" spans="2:39" ht="41.25" customHeight="1" outlineLevel="1">
      <c r="B356" s="18"/>
      <c r="C356" s="57" t="str">
        <f t="shared" si="8"/>
        <v/>
      </c>
      <c r="D356" s="18"/>
      <c r="E356" s="18"/>
      <c r="F356" s="15"/>
      <c r="G356" s="19"/>
      <c r="H356" s="19"/>
      <c r="I356" s="19"/>
      <c r="J356" s="22"/>
      <c r="K356" s="81"/>
      <c r="M356" s="88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</row>
    <row r="357" spans="2:39" ht="41.25" customHeight="1" outlineLevel="1">
      <c r="B357" s="18"/>
      <c r="C357" s="57" t="str">
        <f t="shared" si="8"/>
        <v/>
      </c>
      <c r="D357" s="18"/>
      <c r="E357" s="18"/>
      <c r="F357" s="15"/>
      <c r="G357" s="19"/>
      <c r="H357" s="19"/>
      <c r="I357" s="19"/>
      <c r="J357" s="22"/>
      <c r="K357" s="81"/>
      <c r="M357" s="88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</row>
    <row r="358" spans="2:39" ht="41.25" customHeight="1" outlineLevel="1">
      <c r="B358" s="18"/>
      <c r="C358" s="57" t="str">
        <f t="shared" si="8"/>
        <v/>
      </c>
      <c r="D358" s="18"/>
      <c r="E358" s="18"/>
      <c r="F358" s="15"/>
      <c r="G358" s="19"/>
      <c r="H358" s="19"/>
      <c r="I358" s="19"/>
      <c r="J358" s="22"/>
      <c r="K358" s="81"/>
      <c r="M358" s="88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</row>
    <row r="359" spans="2:39" ht="41.25" customHeight="1" outlineLevel="1">
      <c r="B359" s="18"/>
      <c r="C359" s="57" t="str">
        <f t="shared" si="8"/>
        <v/>
      </c>
      <c r="D359" s="18"/>
      <c r="E359" s="18"/>
      <c r="F359" s="15"/>
      <c r="G359" s="19"/>
      <c r="H359" s="19"/>
      <c r="I359" s="19"/>
      <c r="J359" s="22"/>
      <c r="K359" s="81"/>
      <c r="M359" s="88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</row>
    <row r="360" spans="2:39" ht="41.25" customHeight="1" outlineLevel="1">
      <c r="B360" s="18"/>
      <c r="C360" s="57" t="str">
        <f t="shared" si="8"/>
        <v/>
      </c>
      <c r="D360" s="18"/>
      <c r="E360" s="18"/>
      <c r="F360" s="15"/>
      <c r="G360" s="19"/>
      <c r="H360" s="19"/>
      <c r="I360" s="19"/>
      <c r="J360" s="22"/>
      <c r="K360" s="81"/>
      <c r="M360" s="88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</row>
    <row r="361" spans="2:39" ht="41.25" customHeight="1" outlineLevel="1">
      <c r="B361" s="18"/>
      <c r="C361" s="57" t="str">
        <f t="shared" si="8"/>
        <v/>
      </c>
      <c r="D361" s="18"/>
      <c r="E361" s="18"/>
      <c r="F361" s="15"/>
      <c r="G361" s="19"/>
      <c r="H361" s="19"/>
      <c r="I361" s="19"/>
      <c r="J361" s="22"/>
      <c r="K361" s="81"/>
      <c r="M361" s="88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</row>
    <row r="362" spans="2:39" ht="41.25" customHeight="1" outlineLevel="1">
      <c r="B362" s="18"/>
      <c r="C362" s="57" t="str">
        <f t="shared" si="8"/>
        <v/>
      </c>
      <c r="D362" s="18"/>
      <c r="E362" s="18"/>
      <c r="F362" s="15"/>
      <c r="G362" s="19"/>
      <c r="H362" s="19"/>
      <c r="I362" s="19"/>
      <c r="J362" s="22"/>
      <c r="K362" s="81"/>
      <c r="M362" s="88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</row>
    <row r="363" spans="2:39" ht="41.25" customHeight="1" outlineLevel="1">
      <c r="B363" s="18"/>
      <c r="C363" s="57" t="str">
        <f t="shared" si="8"/>
        <v/>
      </c>
      <c r="D363" s="18"/>
      <c r="E363" s="18"/>
      <c r="F363" s="15"/>
      <c r="G363" s="19"/>
      <c r="H363" s="19"/>
      <c r="I363" s="19"/>
      <c r="J363" s="22"/>
      <c r="K363" s="81"/>
      <c r="M363" s="88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</row>
    <row r="364" spans="2:39" ht="41.25" customHeight="1" outlineLevel="1">
      <c r="B364" s="18"/>
      <c r="C364" s="57" t="str">
        <f t="shared" si="8"/>
        <v/>
      </c>
      <c r="D364" s="18"/>
      <c r="E364" s="18"/>
      <c r="F364" s="15"/>
      <c r="G364" s="19"/>
      <c r="H364" s="19"/>
      <c r="I364" s="19"/>
      <c r="J364" s="22"/>
      <c r="K364" s="81"/>
      <c r="M364" s="88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</row>
    <row r="365" spans="2:39" ht="41.25" customHeight="1" outlineLevel="1">
      <c r="B365" s="18"/>
      <c r="C365" s="57" t="str">
        <f t="shared" si="8"/>
        <v/>
      </c>
      <c r="D365" s="18"/>
      <c r="E365" s="18"/>
      <c r="F365" s="15"/>
      <c r="G365" s="19"/>
      <c r="H365" s="19"/>
      <c r="I365" s="19"/>
      <c r="J365" s="22"/>
      <c r="K365" s="81"/>
      <c r="M365" s="88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</row>
    <row r="366" spans="2:39" ht="41.25" customHeight="1" outlineLevel="1">
      <c r="B366" s="18"/>
      <c r="C366" s="57" t="str">
        <f t="shared" si="8"/>
        <v/>
      </c>
      <c r="D366" s="18"/>
      <c r="E366" s="18"/>
      <c r="F366" s="15"/>
      <c r="G366" s="19"/>
      <c r="H366" s="19"/>
      <c r="I366" s="19"/>
      <c r="J366" s="22"/>
      <c r="K366" s="81"/>
      <c r="M366" s="88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</row>
    <row r="367" spans="2:39" ht="41.25" customHeight="1" outlineLevel="1">
      <c r="B367" s="18"/>
      <c r="C367" s="57" t="str">
        <f t="shared" si="8"/>
        <v/>
      </c>
      <c r="D367" s="18"/>
      <c r="E367" s="18"/>
      <c r="F367" s="15"/>
      <c r="G367" s="19"/>
      <c r="H367" s="19"/>
      <c r="I367" s="19"/>
      <c r="J367" s="22"/>
      <c r="K367" s="81"/>
      <c r="M367" s="88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</row>
    <row r="368" spans="2:39" ht="41.25" customHeight="1" outlineLevel="1">
      <c r="B368" s="18"/>
      <c r="C368" s="57" t="str">
        <f t="shared" si="8"/>
        <v/>
      </c>
      <c r="D368" s="18"/>
      <c r="E368" s="18"/>
      <c r="F368" s="15"/>
      <c r="G368" s="19"/>
      <c r="H368" s="19"/>
      <c r="I368" s="19"/>
      <c r="J368" s="22"/>
      <c r="K368" s="81"/>
      <c r="M368" s="88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</row>
    <row r="369" spans="2:39" s="12" customFormat="1" ht="41.25" customHeight="1" outlineLevel="1">
      <c r="B369" s="28"/>
      <c r="C369" s="57" t="str">
        <f t="shared" si="8"/>
        <v/>
      </c>
      <c r="D369" s="28"/>
      <c r="E369" s="28"/>
      <c r="F369" s="29"/>
      <c r="G369" s="19"/>
      <c r="H369" s="19"/>
      <c r="I369" s="19"/>
      <c r="J369" s="33"/>
      <c r="K369" s="84"/>
      <c r="L369" s="33"/>
      <c r="M369" s="90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22"/>
      <c r="AL369" s="33"/>
      <c r="AM369" s="33"/>
    </row>
    <row r="370" spans="2:39" ht="41.25" customHeight="1" outlineLevel="1">
      <c r="B370" s="18"/>
      <c r="C370" s="57" t="str">
        <f t="shared" si="8"/>
        <v/>
      </c>
      <c r="D370" s="18"/>
      <c r="E370" s="18"/>
      <c r="F370" s="15"/>
      <c r="G370" s="19"/>
      <c r="H370" s="19"/>
      <c r="I370" s="19"/>
      <c r="J370" s="22"/>
      <c r="K370" s="81"/>
      <c r="M370" s="88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33"/>
      <c r="AL370" s="22"/>
      <c r="AM370" s="22"/>
    </row>
    <row r="371" spans="2:39" ht="41.25" customHeight="1" outlineLevel="1">
      <c r="B371" s="18"/>
      <c r="C371" s="57" t="str">
        <f t="shared" si="8"/>
        <v/>
      </c>
      <c r="D371" s="18"/>
      <c r="E371" s="18"/>
      <c r="F371" s="15"/>
      <c r="G371" s="19"/>
      <c r="H371" s="19"/>
      <c r="I371" s="19"/>
      <c r="J371" s="22"/>
      <c r="K371" s="81"/>
      <c r="M371" s="88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</row>
    <row r="372" spans="2:39" ht="41.25" customHeight="1" outlineLevel="1">
      <c r="B372" s="18"/>
      <c r="C372" s="57" t="str">
        <f t="shared" si="8"/>
        <v/>
      </c>
      <c r="D372" s="18"/>
      <c r="E372" s="18"/>
      <c r="F372" s="15"/>
      <c r="G372" s="19"/>
      <c r="H372" s="19"/>
      <c r="I372" s="19"/>
      <c r="J372" s="22"/>
      <c r="K372" s="81"/>
      <c r="M372" s="88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</row>
    <row r="373" spans="2:39" ht="41.25" customHeight="1" outlineLevel="1">
      <c r="B373" s="18"/>
      <c r="C373" s="57" t="str">
        <f t="shared" si="8"/>
        <v/>
      </c>
      <c r="D373" s="18"/>
      <c r="E373" s="18"/>
      <c r="F373" s="15"/>
      <c r="G373" s="19"/>
      <c r="H373" s="19"/>
      <c r="I373" s="19"/>
      <c r="J373" s="22"/>
      <c r="K373" s="81"/>
      <c r="M373" s="88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</row>
    <row r="374" spans="2:39" ht="41.25" customHeight="1" outlineLevel="1">
      <c r="B374" s="18"/>
      <c r="C374" s="57" t="str">
        <f t="shared" si="8"/>
        <v/>
      </c>
      <c r="D374" s="18"/>
      <c r="E374" s="18"/>
      <c r="F374" s="15"/>
      <c r="G374" s="19"/>
      <c r="H374" s="19"/>
      <c r="I374" s="19"/>
      <c r="J374" s="22"/>
      <c r="K374" s="81"/>
      <c r="M374" s="88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</row>
    <row r="375" spans="2:39" ht="41.25" customHeight="1" outlineLevel="1">
      <c r="B375" s="18"/>
      <c r="C375" s="57" t="str">
        <f t="shared" si="8"/>
        <v/>
      </c>
      <c r="D375" s="18"/>
      <c r="E375" s="18"/>
      <c r="F375" s="15"/>
      <c r="G375" s="19"/>
      <c r="H375" s="19"/>
      <c r="I375" s="19"/>
      <c r="J375" s="22"/>
      <c r="K375" s="81"/>
      <c r="M375" s="88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</row>
    <row r="376" spans="2:39" ht="41.25" customHeight="1" outlineLevel="1">
      <c r="B376" s="18"/>
      <c r="C376" s="57" t="str">
        <f t="shared" si="8"/>
        <v/>
      </c>
      <c r="D376" s="18"/>
      <c r="E376" s="18"/>
      <c r="F376" s="15"/>
      <c r="G376" s="19"/>
      <c r="H376" s="19"/>
      <c r="I376" s="19"/>
      <c r="J376" s="22"/>
      <c r="K376" s="81"/>
      <c r="M376" s="88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</row>
    <row r="377" spans="2:39" ht="41.25" customHeight="1" outlineLevel="1">
      <c r="B377" s="18"/>
      <c r="C377" s="57" t="str">
        <f t="shared" si="8"/>
        <v/>
      </c>
      <c r="D377" s="18"/>
      <c r="E377" s="18"/>
      <c r="F377" s="15"/>
      <c r="G377" s="19"/>
      <c r="H377" s="19"/>
      <c r="I377" s="19"/>
      <c r="J377" s="22"/>
      <c r="K377" s="81"/>
      <c r="M377" s="88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</row>
    <row r="378" spans="2:39" ht="41.25" customHeight="1" outlineLevel="1">
      <c r="B378" s="18"/>
      <c r="C378" s="57" t="str">
        <f t="shared" si="8"/>
        <v/>
      </c>
      <c r="D378" s="18"/>
      <c r="E378" s="18"/>
      <c r="F378" s="15"/>
      <c r="G378" s="19"/>
      <c r="H378" s="19"/>
      <c r="I378" s="19"/>
      <c r="J378" s="22"/>
      <c r="K378" s="81"/>
      <c r="M378" s="88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</row>
    <row r="379" spans="2:39" ht="41.25" customHeight="1" outlineLevel="1">
      <c r="B379" s="18"/>
      <c r="C379" s="57" t="str">
        <f t="shared" si="8"/>
        <v/>
      </c>
      <c r="D379" s="18"/>
      <c r="E379" s="18"/>
      <c r="F379" s="15"/>
      <c r="G379" s="19"/>
      <c r="H379" s="19"/>
      <c r="I379" s="19"/>
      <c r="J379" s="22"/>
      <c r="K379" s="81"/>
      <c r="M379" s="88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</row>
    <row r="380" spans="2:39" ht="41.25" customHeight="1" outlineLevel="1">
      <c r="B380" s="18"/>
      <c r="C380" s="57" t="str">
        <f t="shared" si="8"/>
        <v/>
      </c>
      <c r="D380" s="18"/>
      <c r="E380" s="18"/>
      <c r="F380" s="15"/>
      <c r="G380" s="19"/>
      <c r="H380" s="19"/>
      <c r="I380" s="19"/>
      <c r="J380" s="22"/>
      <c r="K380" s="81"/>
      <c r="M380" s="88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</row>
    <row r="381" spans="2:39" ht="41.25" customHeight="1" outlineLevel="1">
      <c r="B381" s="18"/>
      <c r="C381" s="57" t="str">
        <f t="shared" si="8"/>
        <v/>
      </c>
      <c r="D381" s="18"/>
      <c r="E381" s="18"/>
      <c r="F381" s="15"/>
      <c r="G381" s="19"/>
      <c r="H381" s="19"/>
      <c r="I381" s="19"/>
      <c r="J381" s="22"/>
      <c r="K381" s="81"/>
      <c r="M381" s="88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</row>
    <row r="382" spans="2:39" ht="41.25" customHeight="1" outlineLevel="1">
      <c r="B382" s="18"/>
      <c r="C382" s="57" t="str">
        <f t="shared" si="8"/>
        <v/>
      </c>
      <c r="D382" s="18"/>
      <c r="E382" s="18"/>
      <c r="F382" s="15"/>
      <c r="G382" s="19"/>
      <c r="H382" s="19"/>
      <c r="I382" s="19"/>
      <c r="J382" s="22"/>
      <c r="K382" s="81"/>
      <c r="M382" s="88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</row>
    <row r="383" spans="2:39" ht="41.25" customHeight="1" outlineLevel="1">
      <c r="B383" s="18"/>
      <c r="C383" s="57" t="str">
        <f t="shared" si="8"/>
        <v/>
      </c>
      <c r="D383" s="18"/>
      <c r="E383" s="18"/>
      <c r="F383" s="15"/>
      <c r="G383" s="19"/>
      <c r="H383" s="19"/>
      <c r="I383" s="19"/>
      <c r="J383" s="22"/>
      <c r="K383" s="81"/>
      <c r="M383" s="88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</row>
    <row r="384" spans="2:39" ht="41.25" customHeight="1" outlineLevel="1">
      <c r="B384" s="18"/>
      <c r="C384" s="57" t="str">
        <f t="shared" si="8"/>
        <v/>
      </c>
      <c r="D384" s="18"/>
      <c r="E384" s="18"/>
      <c r="F384" s="15"/>
      <c r="G384" s="19"/>
      <c r="H384" s="19"/>
      <c r="I384" s="19"/>
      <c r="J384" s="22"/>
      <c r="K384" s="81"/>
      <c r="M384" s="88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</row>
    <row r="385" spans="2:39" ht="41.25" customHeight="1" outlineLevel="1">
      <c r="B385" s="18"/>
      <c r="C385" s="57" t="str">
        <f t="shared" si="8"/>
        <v/>
      </c>
      <c r="D385" s="18"/>
      <c r="E385" s="18"/>
      <c r="F385" s="15"/>
      <c r="G385" s="19"/>
      <c r="H385" s="19"/>
      <c r="I385" s="19"/>
      <c r="J385" s="22"/>
      <c r="K385" s="81"/>
      <c r="M385" s="88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</row>
    <row r="386" spans="2:39" ht="41.25" customHeight="1" outlineLevel="1">
      <c r="B386" s="18"/>
      <c r="C386" s="57" t="str">
        <f t="shared" si="8"/>
        <v/>
      </c>
      <c r="D386" s="18"/>
      <c r="E386" s="18"/>
      <c r="F386" s="15"/>
      <c r="G386" s="19"/>
      <c r="H386" s="19"/>
      <c r="I386" s="19"/>
      <c r="J386" s="22"/>
      <c r="K386" s="81"/>
      <c r="M386" s="88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</row>
    <row r="387" spans="2:39" ht="41.25" customHeight="1" outlineLevel="1">
      <c r="B387" s="18"/>
      <c r="C387" s="57" t="str">
        <f t="shared" si="8"/>
        <v/>
      </c>
      <c r="D387" s="18"/>
      <c r="E387" s="18"/>
      <c r="F387" s="15"/>
      <c r="G387" s="19"/>
      <c r="H387" s="19"/>
      <c r="I387" s="19"/>
      <c r="J387" s="22"/>
      <c r="K387" s="81"/>
      <c r="M387" s="88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</row>
    <row r="388" spans="2:39" ht="41.25" customHeight="1" outlineLevel="1">
      <c r="B388" s="18"/>
      <c r="C388" s="57" t="str">
        <f t="shared" si="8"/>
        <v/>
      </c>
      <c r="D388" s="18"/>
      <c r="E388" s="18"/>
      <c r="F388" s="15"/>
      <c r="G388" s="19"/>
      <c r="H388" s="19"/>
      <c r="I388" s="19"/>
      <c r="J388" s="22"/>
      <c r="K388" s="81"/>
      <c r="M388" s="88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</row>
    <row r="389" spans="2:39" ht="41.25" customHeight="1" outlineLevel="1">
      <c r="B389" s="18"/>
      <c r="C389" s="57" t="str">
        <f t="shared" si="8"/>
        <v/>
      </c>
      <c r="D389" s="18"/>
      <c r="E389" s="18"/>
      <c r="F389" s="15"/>
      <c r="G389" s="19"/>
      <c r="H389" s="19"/>
      <c r="I389" s="19"/>
      <c r="J389" s="22"/>
      <c r="K389" s="81"/>
      <c r="M389" s="88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</row>
    <row r="390" spans="2:39" ht="41.25" customHeight="1" outlineLevel="1">
      <c r="B390" s="18"/>
      <c r="C390" s="57" t="str">
        <f t="shared" si="8"/>
        <v/>
      </c>
      <c r="D390" s="18"/>
      <c r="E390" s="18"/>
      <c r="F390" s="15"/>
      <c r="G390" s="19"/>
      <c r="H390" s="19"/>
      <c r="I390" s="19"/>
      <c r="J390" s="22"/>
      <c r="K390" s="81"/>
      <c r="M390" s="88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</row>
    <row r="391" spans="2:39" ht="41.25" customHeight="1" outlineLevel="1">
      <c r="B391" s="18"/>
      <c r="C391" s="57" t="str">
        <f t="shared" ref="C391:C404" si="9">IF(B391="","",MONTH(B391))</f>
        <v/>
      </c>
      <c r="D391" s="18"/>
      <c r="E391" s="18"/>
      <c r="F391" s="15"/>
      <c r="G391" s="19"/>
      <c r="H391" s="19"/>
      <c r="I391" s="19"/>
      <c r="J391" s="22"/>
      <c r="K391" s="81"/>
      <c r="M391" s="88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</row>
    <row r="392" spans="2:39" ht="41.25" customHeight="1" outlineLevel="1">
      <c r="B392" s="18"/>
      <c r="C392" s="57" t="str">
        <f t="shared" si="9"/>
        <v/>
      </c>
      <c r="D392" s="18"/>
      <c r="E392" s="18"/>
      <c r="F392" s="15"/>
      <c r="G392" s="19"/>
      <c r="H392" s="19"/>
      <c r="I392" s="19"/>
      <c r="J392" s="22"/>
      <c r="K392" s="81"/>
      <c r="M392" s="88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</row>
    <row r="393" spans="2:39" ht="41.25" customHeight="1" outlineLevel="1">
      <c r="B393" s="18"/>
      <c r="C393" s="57" t="str">
        <f t="shared" si="9"/>
        <v/>
      </c>
      <c r="D393" s="18"/>
      <c r="E393" s="18"/>
      <c r="F393" s="15"/>
      <c r="G393" s="19"/>
      <c r="H393" s="19"/>
      <c r="I393" s="19"/>
      <c r="J393" s="22"/>
      <c r="K393" s="81"/>
      <c r="M393" s="88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</row>
    <row r="394" spans="2:39" ht="41.25" customHeight="1" outlineLevel="1">
      <c r="B394" s="18"/>
      <c r="C394" s="57" t="str">
        <f t="shared" si="9"/>
        <v/>
      </c>
      <c r="D394" s="18"/>
      <c r="E394" s="18"/>
      <c r="F394" s="15"/>
      <c r="G394" s="19"/>
      <c r="H394" s="19"/>
      <c r="I394" s="19"/>
      <c r="J394" s="22"/>
      <c r="K394" s="81"/>
      <c r="M394" s="88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</row>
    <row r="395" spans="2:39" ht="41.25" customHeight="1" outlineLevel="1">
      <c r="B395" s="18"/>
      <c r="C395" s="57" t="str">
        <f t="shared" si="9"/>
        <v/>
      </c>
      <c r="D395" s="18"/>
      <c r="E395" s="18"/>
      <c r="F395" s="15"/>
      <c r="G395" s="19"/>
      <c r="H395" s="19"/>
      <c r="I395" s="19"/>
      <c r="J395" s="22"/>
      <c r="K395" s="81"/>
      <c r="M395" s="88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</row>
    <row r="396" spans="2:39" ht="41.25" customHeight="1" outlineLevel="1">
      <c r="B396" s="18"/>
      <c r="C396" s="57" t="str">
        <f t="shared" si="9"/>
        <v/>
      </c>
      <c r="D396" s="18"/>
      <c r="E396" s="18"/>
      <c r="F396" s="15"/>
      <c r="G396" s="19"/>
      <c r="H396" s="19"/>
      <c r="I396" s="19"/>
      <c r="J396" s="22"/>
      <c r="K396" s="81"/>
      <c r="M396" s="88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</row>
    <row r="397" spans="2:39" ht="41.25" customHeight="1" outlineLevel="1">
      <c r="B397" s="18"/>
      <c r="C397" s="57" t="str">
        <f t="shared" si="9"/>
        <v/>
      </c>
      <c r="D397" s="18"/>
      <c r="E397" s="18"/>
      <c r="F397" s="15"/>
      <c r="G397" s="19"/>
      <c r="H397" s="19"/>
      <c r="I397" s="19"/>
      <c r="J397" s="22"/>
      <c r="K397" s="81"/>
      <c r="M397" s="88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</row>
    <row r="398" spans="2:39" ht="41.25" customHeight="1" outlineLevel="1">
      <c r="B398" s="18"/>
      <c r="C398" s="57" t="str">
        <f t="shared" si="9"/>
        <v/>
      </c>
      <c r="D398" s="18"/>
      <c r="E398" s="18"/>
      <c r="F398" s="15"/>
      <c r="G398" s="19"/>
      <c r="H398" s="19"/>
      <c r="I398" s="19"/>
      <c r="J398" s="22"/>
      <c r="K398" s="81"/>
      <c r="M398" s="88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</row>
    <row r="399" spans="2:39" ht="41.25" customHeight="1" outlineLevel="1">
      <c r="B399" s="18"/>
      <c r="C399" s="57" t="str">
        <f t="shared" si="9"/>
        <v/>
      </c>
      <c r="D399" s="18"/>
      <c r="E399" s="18"/>
      <c r="F399" s="15"/>
      <c r="G399" s="19"/>
      <c r="H399" s="19"/>
      <c r="I399" s="19"/>
      <c r="J399" s="22"/>
      <c r="K399" s="81"/>
      <c r="M399" s="88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</row>
    <row r="400" spans="2:39" ht="41.25" customHeight="1" outlineLevel="1">
      <c r="B400" s="18"/>
      <c r="C400" s="57" t="str">
        <f t="shared" si="9"/>
        <v/>
      </c>
      <c r="D400" s="18"/>
      <c r="E400" s="18"/>
      <c r="F400" s="15"/>
      <c r="G400" s="19"/>
      <c r="H400" s="19"/>
      <c r="I400" s="19"/>
      <c r="J400" s="22"/>
      <c r="K400" s="81"/>
      <c r="M400" s="88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</row>
    <row r="401" spans="2:39" ht="41.25" customHeight="1" outlineLevel="1">
      <c r="B401" s="18"/>
      <c r="C401" s="57" t="str">
        <f t="shared" si="9"/>
        <v/>
      </c>
      <c r="D401" s="18"/>
      <c r="E401" s="18"/>
      <c r="F401" s="15"/>
      <c r="G401" s="19"/>
      <c r="H401" s="19"/>
      <c r="I401" s="19"/>
      <c r="J401" s="22"/>
      <c r="K401" s="81"/>
      <c r="M401" s="88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</row>
    <row r="402" spans="2:39" ht="41.25" customHeight="1" outlineLevel="1">
      <c r="B402" s="18"/>
      <c r="C402" s="57" t="str">
        <f t="shared" si="9"/>
        <v/>
      </c>
      <c r="D402" s="18"/>
      <c r="E402" s="18"/>
      <c r="F402" s="15"/>
      <c r="G402" s="19"/>
      <c r="H402" s="19"/>
      <c r="I402" s="19"/>
      <c r="J402" s="22"/>
      <c r="K402" s="81"/>
      <c r="M402" s="88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</row>
    <row r="403" spans="2:39" ht="41.25" customHeight="1" outlineLevel="1">
      <c r="B403" s="18"/>
      <c r="C403" s="57" t="str">
        <f t="shared" si="9"/>
        <v/>
      </c>
      <c r="D403" s="18"/>
      <c r="E403" s="18"/>
      <c r="F403" s="15"/>
      <c r="G403" s="19"/>
      <c r="H403" s="19"/>
      <c r="I403" s="19"/>
      <c r="J403" s="22"/>
      <c r="K403" s="81"/>
      <c r="M403" s="88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</row>
    <row r="404" spans="2:39" ht="41.25" customHeight="1" outlineLevel="1">
      <c r="B404" s="18"/>
      <c r="C404" s="57" t="str">
        <f t="shared" si="9"/>
        <v/>
      </c>
      <c r="D404" s="18"/>
      <c r="E404" s="18"/>
      <c r="F404" s="15"/>
      <c r="G404" s="19"/>
      <c r="H404" s="19"/>
      <c r="I404" s="19"/>
      <c r="J404" s="22"/>
      <c r="K404" s="81"/>
      <c r="M404" s="88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</row>
    <row r="405" spans="2:39" ht="29.4" customHeight="1">
      <c r="B405" s="30"/>
      <c r="C405" s="30"/>
      <c r="D405" s="30"/>
      <c r="E405" s="30"/>
      <c r="F405" s="30"/>
      <c r="G405" s="31"/>
      <c r="H405" s="31"/>
      <c r="I405" s="31"/>
      <c r="J405" s="34"/>
      <c r="K405" s="85"/>
      <c r="L405" s="34"/>
      <c r="M405" s="91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</row>
    <row r="406" spans="2:39">
      <c r="B406"/>
      <c r="C406"/>
    </row>
    <row r="407" spans="2:39">
      <c r="B407"/>
      <c r="C407"/>
    </row>
    <row r="408" spans="2:39" ht="27" customHeight="1"/>
    <row r="409" spans="2:39">
      <c r="B409" t="s">
        <v>11</v>
      </c>
      <c r="C409" t="s">
        <v>12</v>
      </c>
      <c r="D409"/>
      <c r="E409"/>
      <c r="F409"/>
      <c r="G409"/>
      <c r="H409"/>
      <c r="I409"/>
      <c r="J409"/>
      <c r="K409"/>
      <c r="L409" s="94"/>
      <c r="M409"/>
      <c r="N409"/>
      <c r="O409"/>
      <c r="P409"/>
      <c r="Q409"/>
      <c r="R409"/>
      <c r="S409"/>
    </row>
    <row r="410" spans="2:39">
      <c r="B410" s="7" t="s">
        <v>13</v>
      </c>
      <c r="C410"/>
      <c r="D410"/>
      <c r="E410"/>
      <c r="F410"/>
      <c r="G410"/>
      <c r="H410"/>
      <c r="I410"/>
      <c r="J410"/>
      <c r="K410"/>
      <c r="L410" s="94"/>
      <c r="M410"/>
      <c r="N410"/>
      <c r="O410"/>
      <c r="P410"/>
      <c r="Q410"/>
      <c r="R410"/>
      <c r="S410"/>
    </row>
    <row r="411" spans="2:39">
      <c r="B411" s="7" t="s">
        <v>6</v>
      </c>
      <c r="C411"/>
      <c r="D411"/>
      <c r="E411"/>
      <c r="F411"/>
      <c r="G411"/>
      <c r="H411"/>
      <c r="I411"/>
      <c r="J411"/>
      <c r="K411"/>
      <c r="L411" s="94"/>
      <c r="M411"/>
      <c r="N411"/>
      <c r="O411"/>
      <c r="P411"/>
      <c r="Q411"/>
      <c r="R411"/>
      <c r="S411"/>
    </row>
    <row r="412" spans="2:39">
      <c r="B412" s="7" t="s">
        <v>14</v>
      </c>
      <c r="C412"/>
      <c r="D412"/>
      <c r="E412"/>
      <c r="F412"/>
      <c r="G412"/>
      <c r="H412"/>
      <c r="I412"/>
      <c r="J412"/>
      <c r="K412"/>
      <c r="L412" s="94"/>
      <c r="M412"/>
      <c r="N412"/>
      <c r="O412"/>
      <c r="P412"/>
      <c r="Q412"/>
      <c r="R412"/>
      <c r="S412"/>
    </row>
    <row r="413" spans="2:39">
      <c r="B413"/>
      <c r="C413"/>
      <c r="D413"/>
      <c r="E413"/>
      <c r="F413"/>
      <c r="G413"/>
      <c r="H413"/>
      <c r="I413"/>
      <c r="J413"/>
      <c r="K413"/>
      <c r="L413" s="94"/>
      <c r="M413"/>
      <c r="N413"/>
      <c r="O413"/>
      <c r="P413"/>
      <c r="Q413"/>
      <c r="R413"/>
      <c r="S413"/>
    </row>
    <row r="414" spans="2:39">
      <c r="B414"/>
      <c r="C414"/>
      <c r="D414"/>
      <c r="E414"/>
      <c r="F414"/>
      <c r="G414"/>
      <c r="H414"/>
      <c r="I414"/>
      <c r="J414"/>
      <c r="K414"/>
      <c r="L414" s="94"/>
      <c r="M414"/>
      <c r="N414"/>
      <c r="O414"/>
      <c r="P414"/>
      <c r="Q414"/>
      <c r="R414"/>
      <c r="S414"/>
    </row>
    <row r="415" spans="2:39">
      <c r="B415"/>
      <c r="C415"/>
      <c r="D415"/>
      <c r="E415"/>
      <c r="F415"/>
      <c r="G415"/>
      <c r="H415"/>
      <c r="I415"/>
      <c r="J415"/>
      <c r="K415"/>
      <c r="L415" s="94"/>
      <c r="M415"/>
      <c r="N415"/>
      <c r="O415"/>
      <c r="P415"/>
      <c r="Q415"/>
      <c r="R415"/>
      <c r="S415"/>
    </row>
    <row r="416" spans="2:39">
      <c r="B416"/>
      <c r="C416"/>
      <c r="D416"/>
      <c r="E416"/>
      <c r="F416"/>
      <c r="G416"/>
      <c r="H416"/>
      <c r="I416"/>
      <c r="J416"/>
      <c r="K416"/>
      <c r="L416" s="94"/>
      <c r="M416"/>
      <c r="N416"/>
      <c r="O416"/>
      <c r="P416"/>
      <c r="Q416"/>
      <c r="R416"/>
      <c r="S416"/>
    </row>
    <row r="417" spans="2:19">
      <c r="B417"/>
      <c r="C417"/>
      <c r="D417"/>
      <c r="E417"/>
      <c r="F417"/>
      <c r="G417"/>
      <c r="H417"/>
      <c r="I417"/>
      <c r="J417"/>
      <c r="K417"/>
      <c r="L417" s="94"/>
      <c r="M417"/>
      <c r="N417"/>
      <c r="O417"/>
      <c r="P417"/>
      <c r="Q417"/>
      <c r="R417"/>
      <c r="S417"/>
    </row>
    <row r="418" spans="2:19">
      <c r="B418"/>
      <c r="C418"/>
      <c r="D418"/>
      <c r="E418"/>
      <c r="F418"/>
      <c r="G418"/>
      <c r="H418"/>
      <c r="I418"/>
      <c r="J418"/>
      <c r="K418"/>
      <c r="L418" s="94"/>
      <c r="M418"/>
      <c r="N418"/>
      <c r="O418"/>
      <c r="P418"/>
      <c r="Q418"/>
      <c r="R418"/>
      <c r="S418"/>
    </row>
    <row r="419" spans="2:19">
      <c r="B419"/>
      <c r="C419"/>
      <c r="D419"/>
      <c r="E419"/>
      <c r="F419"/>
      <c r="G419"/>
      <c r="H419"/>
      <c r="I419"/>
      <c r="J419"/>
      <c r="K419"/>
      <c r="L419" s="94"/>
      <c r="M419"/>
      <c r="N419"/>
      <c r="O419"/>
      <c r="P419"/>
      <c r="Q419"/>
      <c r="R419"/>
      <c r="S419"/>
    </row>
    <row r="420" spans="2:19">
      <c r="B420"/>
      <c r="C420"/>
      <c r="D420"/>
      <c r="E420"/>
      <c r="F420"/>
      <c r="G420"/>
      <c r="H420"/>
      <c r="I420"/>
      <c r="J420"/>
      <c r="K420"/>
      <c r="L420" s="94"/>
      <c r="M420"/>
      <c r="N420"/>
      <c r="O420"/>
      <c r="P420"/>
      <c r="Q420"/>
      <c r="R420"/>
      <c r="S420"/>
    </row>
    <row r="421" spans="2:19">
      <c r="B421"/>
      <c r="C421"/>
      <c r="D421"/>
      <c r="E421"/>
      <c r="F421"/>
      <c r="G421"/>
      <c r="H421"/>
      <c r="I421"/>
      <c r="J421"/>
      <c r="K421"/>
      <c r="L421" s="94"/>
      <c r="M421"/>
      <c r="N421"/>
      <c r="O421"/>
      <c r="P421"/>
      <c r="Q421"/>
      <c r="R421"/>
      <c r="S421"/>
    </row>
    <row r="422" spans="2:19">
      <c r="B422"/>
      <c r="C422"/>
      <c r="D422"/>
      <c r="E422"/>
      <c r="F422"/>
      <c r="G422"/>
      <c r="H422"/>
      <c r="I422"/>
      <c r="J422"/>
      <c r="K422"/>
      <c r="L422" s="94"/>
      <c r="M422"/>
      <c r="N422"/>
      <c r="O422"/>
      <c r="P422"/>
      <c r="Q422"/>
      <c r="R422"/>
      <c r="S422"/>
    </row>
    <row r="423" spans="2:19">
      <c r="B423"/>
      <c r="C423"/>
      <c r="D423"/>
      <c r="E423"/>
      <c r="F423"/>
      <c r="G423"/>
      <c r="H423"/>
      <c r="I423"/>
      <c r="J423"/>
      <c r="K423"/>
      <c r="L423" s="94"/>
      <c r="M423"/>
      <c r="N423"/>
      <c r="O423"/>
      <c r="P423"/>
      <c r="Q423"/>
      <c r="R423"/>
      <c r="S423"/>
    </row>
    <row r="424" spans="2:19">
      <c r="B424"/>
      <c r="C424"/>
      <c r="D424"/>
      <c r="E424"/>
      <c r="F424"/>
      <c r="G424"/>
      <c r="H424"/>
      <c r="I424"/>
      <c r="J424"/>
      <c r="K424"/>
      <c r="L424" s="94"/>
      <c r="M424"/>
      <c r="N424"/>
      <c r="O424"/>
      <c r="P424"/>
      <c r="Q424"/>
      <c r="R424"/>
      <c r="S424"/>
    </row>
    <row r="425" spans="2:19">
      <c r="B425"/>
      <c r="C425"/>
      <c r="D425"/>
      <c r="E425"/>
      <c r="F425"/>
      <c r="G425"/>
      <c r="H425"/>
      <c r="I425"/>
      <c r="J425"/>
      <c r="K425"/>
      <c r="L425" s="94"/>
      <c r="M425"/>
      <c r="N425"/>
      <c r="O425"/>
      <c r="P425"/>
      <c r="Q425"/>
      <c r="R425"/>
      <c r="S425"/>
    </row>
    <row r="426" spans="2:19">
      <c r="B426"/>
      <c r="C426"/>
      <c r="D426"/>
      <c r="E426"/>
      <c r="F426"/>
      <c r="G426"/>
      <c r="H426"/>
      <c r="I426"/>
      <c r="J426"/>
      <c r="K426"/>
      <c r="L426" s="94"/>
      <c r="M426"/>
      <c r="N426"/>
      <c r="O426"/>
      <c r="P426"/>
      <c r="Q426"/>
      <c r="R426"/>
      <c r="S426"/>
    </row>
    <row r="427" spans="2:19">
      <c r="B427"/>
      <c r="C427"/>
      <c r="D427"/>
      <c r="E427"/>
      <c r="F427" s="32"/>
      <c r="G427"/>
      <c r="H427"/>
      <c r="I427"/>
      <c r="J427"/>
      <c r="K427"/>
      <c r="L427" s="94"/>
      <c r="M427"/>
      <c r="N427"/>
      <c r="O427"/>
      <c r="P427"/>
      <c r="Q427"/>
      <c r="R427"/>
      <c r="S427"/>
    </row>
    <row r="428" spans="2:19">
      <c r="B428"/>
      <c r="C428"/>
      <c r="D428"/>
      <c r="E428"/>
      <c r="F428"/>
      <c r="G428"/>
      <c r="H428"/>
      <c r="I428"/>
      <c r="J428"/>
      <c r="K428"/>
      <c r="L428" s="94"/>
      <c r="M428"/>
      <c r="N428"/>
      <c r="O428"/>
      <c r="P428"/>
      <c r="Q428"/>
      <c r="R428"/>
      <c r="S428"/>
    </row>
    <row r="429" spans="2:19">
      <c r="B429"/>
      <c r="C429"/>
      <c r="D429"/>
      <c r="E429"/>
      <c r="F429"/>
      <c r="G429"/>
      <c r="H429"/>
      <c r="I429"/>
      <c r="J429"/>
      <c r="K429"/>
      <c r="L429" s="94"/>
      <c r="M429"/>
      <c r="N429"/>
      <c r="O429"/>
      <c r="P429"/>
      <c r="Q429"/>
      <c r="R429"/>
      <c r="S429"/>
    </row>
    <row r="430" spans="2:19">
      <c r="B430"/>
      <c r="C430"/>
      <c r="D430"/>
      <c r="E430"/>
      <c r="F430"/>
      <c r="G430"/>
      <c r="H430"/>
      <c r="I430"/>
      <c r="J430"/>
      <c r="K430"/>
      <c r="L430" s="94"/>
      <c r="M430"/>
      <c r="N430"/>
      <c r="O430"/>
      <c r="P430"/>
      <c r="Q430"/>
      <c r="R430"/>
      <c r="S430"/>
    </row>
    <row r="431" spans="2:19">
      <c r="B431"/>
      <c r="C431"/>
      <c r="D431"/>
      <c r="E431"/>
      <c r="F431"/>
      <c r="G431"/>
      <c r="H431"/>
      <c r="I431"/>
      <c r="J431"/>
      <c r="K431"/>
      <c r="L431" s="94"/>
      <c r="M431"/>
      <c r="N431"/>
      <c r="O431"/>
      <c r="P431"/>
      <c r="Q431"/>
      <c r="R431"/>
      <c r="S431"/>
    </row>
    <row r="432" spans="2:19">
      <c r="B432"/>
      <c r="C432"/>
      <c r="D432"/>
      <c r="E432"/>
      <c r="F432"/>
      <c r="G432"/>
      <c r="H432"/>
      <c r="I432"/>
      <c r="J432"/>
      <c r="K432"/>
      <c r="L432" s="94"/>
      <c r="M432"/>
      <c r="N432"/>
      <c r="O432"/>
      <c r="P432"/>
      <c r="Q432"/>
      <c r="R432"/>
      <c r="S432"/>
    </row>
    <row r="433" spans="2:19">
      <c r="B433"/>
      <c r="C433"/>
      <c r="D433"/>
      <c r="E433"/>
      <c r="F433"/>
      <c r="G433"/>
      <c r="H433"/>
      <c r="I433"/>
      <c r="J433"/>
      <c r="K433"/>
      <c r="L433" s="94"/>
      <c r="M433"/>
      <c r="N433"/>
      <c r="O433"/>
      <c r="P433"/>
      <c r="Q433"/>
      <c r="R433"/>
      <c r="S433"/>
    </row>
    <row r="434" spans="2:19">
      <c r="B434"/>
      <c r="C434"/>
      <c r="D434"/>
      <c r="E434"/>
      <c r="F434"/>
      <c r="G434"/>
      <c r="H434"/>
      <c r="I434"/>
      <c r="J434"/>
      <c r="K434"/>
      <c r="L434" s="94"/>
      <c r="M434"/>
      <c r="N434"/>
      <c r="O434"/>
      <c r="P434"/>
      <c r="Q434"/>
      <c r="R434"/>
      <c r="S434"/>
    </row>
    <row r="435" spans="2:19">
      <c r="B435"/>
      <c r="C435"/>
      <c r="D435"/>
      <c r="E435"/>
      <c r="F435"/>
      <c r="G435"/>
      <c r="H435"/>
      <c r="I435"/>
      <c r="J435"/>
      <c r="K435"/>
      <c r="L435" s="94"/>
      <c r="M435"/>
      <c r="N435"/>
      <c r="O435"/>
      <c r="P435"/>
      <c r="Q435"/>
      <c r="R435"/>
      <c r="S435"/>
    </row>
    <row r="436" spans="2:19">
      <c r="B436"/>
      <c r="C436"/>
      <c r="D436"/>
      <c r="E436"/>
      <c r="F436"/>
      <c r="G436"/>
      <c r="H436"/>
      <c r="I436"/>
      <c r="J436"/>
      <c r="K436"/>
      <c r="L436" s="94"/>
      <c r="M436"/>
      <c r="N436"/>
      <c r="O436"/>
      <c r="P436"/>
      <c r="Q436"/>
      <c r="R436"/>
      <c r="S436"/>
    </row>
    <row r="437" spans="2:19">
      <c r="B437"/>
      <c r="C437"/>
      <c r="D437"/>
      <c r="E437"/>
      <c r="F437"/>
      <c r="G437"/>
      <c r="H437"/>
      <c r="I437"/>
      <c r="J437"/>
      <c r="K437"/>
      <c r="L437" s="94"/>
      <c r="M437"/>
      <c r="N437"/>
      <c r="O437"/>
      <c r="P437"/>
      <c r="Q437"/>
      <c r="R437"/>
      <c r="S437"/>
    </row>
    <row r="438" spans="2:19">
      <c r="B438"/>
      <c r="C438"/>
      <c r="D438"/>
      <c r="E438"/>
      <c r="F438"/>
      <c r="G438"/>
      <c r="H438"/>
      <c r="I438"/>
      <c r="J438"/>
      <c r="K438"/>
      <c r="L438" s="94"/>
      <c r="M438"/>
      <c r="N438"/>
      <c r="O438"/>
      <c r="P438"/>
      <c r="Q438"/>
      <c r="R438"/>
      <c r="S438"/>
    </row>
    <row r="439" spans="2:19">
      <c r="B439"/>
      <c r="C439"/>
      <c r="D439"/>
      <c r="E439"/>
      <c r="F439"/>
      <c r="G439"/>
      <c r="H439"/>
      <c r="I439"/>
      <c r="J439"/>
      <c r="K439"/>
      <c r="L439" s="94"/>
      <c r="M439"/>
      <c r="N439"/>
      <c r="O439"/>
      <c r="P439"/>
      <c r="Q439"/>
      <c r="R439"/>
      <c r="S439"/>
    </row>
    <row r="440" spans="2:19">
      <c r="B440"/>
      <c r="C440"/>
      <c r="D440"/>
      <c r="E440"/>
      <c r="F440"/>
    </row>
  </sheetData>
  <mergeCells count="11">
    <mergeCell ref="T4:W4"/>
    <mergeCell ref="E1:G1"/>
    <mergeCell ref="E2:G2"/>
    <mergeCell ref="J4:K4"/>
    <mergeCell ref="L4:P4"/>
    <mergeCell ref="Q4:S4"/>
    <mergeCell ref="Y4:AA4"/>
    <mergeCell ref="AC4:AF4"/>
    <mergeCell ref="AG4:AH4"/>
    <mergeCell ref="AI4:AJ4"/>
    <mergeCell ref="AL4:AM4"/>
  </mergeCells>
  <conditionalFormatting sqref="C6:C404">
    <cfRule type="cellIs" dxfId="8" priority="1" operator="between">
      <formula>"B1"</formula>
      <formula>"B100"</formula>
    </cfRule>
    <cfRule type="cellIs" dxfId="7" priority="2" operator="equal">
      <formula>"HA"</formula>
    </cfRule>
    <cfRule type="cellIs" dxfId="6" priority="3" operator="equal">
      <formula>"LD"</formula>
    </cfRule>
  </conditionalFormatting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94783D5-12F1-4014-B3D1-DFEBBA949B5B}">
          <x14:formula1>
            <xm:f>LOOKUP!$A$2:$A$3</xm:f>
          </x14:formula1>
          <xm:sqref>E6:E167</xm:sqref>
        </x14:dataValidation>
        <x14:dataValidation type="list" allowBlank="1" showInputMessage="1" showErrorMessage="1" xr:uid="{44D9D207-D8EF-4859-925B-C7409D5F7278}">
          <x14:formula1>
            <xm:f>LOOKUP!$C$2:$C$6</xm:f>
          </x14:formula1>
          <xm:sqref>F6:F167</xm:sqref>
        </x14:dataValidation>
        <x14:dataValidation type="list" allowBlank="1" showInputMessage="1" showErrorMessage="1" xr:uid="{8867DE7E-C2C5-41A1-8355-FBA3983E69AB}">
          <x14:formula1>
            <xm:f>LOOKUP!$E$2:$E$9</xm:f>
          </x14:formula1>
          <xm:sqref>H6:H167</xm:sqref>
        </x14:dataValidation>
        <x14:dataValidation type="list" allowBlank="1" showInputMessage="1" showErrorMessage="1" xr:uid="{1872999A-CDC3-4E26-B43B-6D7BAB552BC4}">
          <x14:formula1>
            <xm:f>LOOKUP!$F$2:$F$9</xm:f>
          </x14:formula1>
          <xm:sqref>I6:I167</xm:sqref>
        </x14:dataValidation>
        <x14:dataValidation type="list" allowBlank="1" showInputMessage="1" showErrorMessage="1" xr:uid="{3A8EB841-5A92-4DD3-869B-FA3763395856}">
          <x14:formula1>
            <xm:f>LOOKUP!$D$2:$D$30</xm:f>
          </x14:formula1>
          <xm:sqref>G6:G1048576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BB002-028C-433A-B6C7-FE4541AED1B4}">
  <dimension ref="A1:CU440"/>
  <sheetViews>
    <sheetView zoomScale="50" zoomScaleNormal="50" workbookViewId="0">
      <selection activeCell="H16" sqref="H16"/>
    </sheetView>
  </sheetViews>
  <sheetFormatPr defaultColWidth="8.88671875" defaultRowHeight="18" outlineLevelRow="1"/>
  <cols>
    <col min="1" max="1" width="8.88671875" style="13"/>
    <col min="2" max="2" width="32.33203125" style="14" bestFit="1" customWidth="1"/>
    <col min="3" max="3" width="31.5546875" style="14" customWidth="1"/>
    <col min="4" max="4" width="29.109375" style="14" customWidth="1"/>
    <col min="5" max="6" width="16.6640625" style="14" customWidth="1"/>
    <col min="7" max="7" width="32.5546875" style="14" customWidth="1"/>
    <col min="8" max="8" width="36.5546875" style="14" bestFit="1" customWidth="1"/>
    <col min="9" max="9" width="22.6640625" style="14" bestFit="1" customWidth="1"/>
    <col min="10" max="11" width="36.33203125" style="13" bestFit="1" customWidth="1"/>
    <col min="12" max="12" width="25.33203125" style="22" customWidth="1"/>
    <col min="13" max="23" width="25.33203125" style="13" customWidth="1"/>
    <col min="24" max="27" width="32.6640625" style="13" customWidth="1"/>
    <col min="28" max="30" width="34.109375" style="13" customWidth="1"/>
    <col min="31" max="34" width="25.33203125" style="13" customWidth="1"/>
    <col min="35" max="35" width="34.109375" style="13" bestFit="1" customWidth="1"/>
    <col min="36" max="37" width="34.109375" style="13" customWidth="1"/>
    <col min="38" max="39" width="25.33203125" style="13" customWidth="1"/>
    <col min="40" max="16384" width="8.88671875" style="13"/>
  </cols>
  <sheetData>
    <row r="1" spans="2:39" ht="27" customHeight="1">
      <c r="E1" s="108" t="s">
        <v>60</v>
      </c>
      <c r="F1" s="108"/>
      <c r="G1" s="108"/>
      <c r="H1" s="16"/>
      <c r="I1" s="50"/>
      <c r="J1" s="68">
        <v>308.10000000000002</v>
      </c>
      <c r="K1" s="67">
        <v>487.82742006132287</v>
      </c>
      <c r="L1" s="92">
        <v>45.12</v>
      </c>
      <c r="M1" s="59">
        <v>68</v>
      </c>
      <c r="N1" s="59">
        <v>61.09</v>
      </c>
      <c r="O1" s="59">
        <v>61.09</v>
      </c>
      <c r="P1" s="59">
        <v>61.09</v>
      </c>
      <c r="Q1" s="59">
        <v>498.85</v>
      </c>
      <c r="R1" s="59">
        <v>513.01</v>
      </c>
      <c r="S1" s="59">
        <v>639</v>
      </c>
      <c r="T1" s="59">
        <v>443.78</v>
      </c>
      <c r="U1" s="59">
        <v>317.43</v>
      </c>
      <c r="V1" s="59">
        <v>184.75</v>
      </c>
      <c r="W1" s="59">
        <v>276.63</v>
      </c>
      <c r="X1" s="59">
        <v>439.59</v>
      </c>
      <c r="Y1" s="59">
        <v>794.42</v>
      </c>
      <c r="Z1" s="59">
        <v>726.72</v>
      </c>
      <c r="AA1" s="59"/>
      <c r="AB1" s="59">
        <v>66.52</v>
      </c>
      <c r="AC1" s="59">
        <v>78.930000000000007</v>
      </c>
      <c r="AD1" s="59">
        <v>79.930000000000007</v>
      </c>
      <c r="AE1" s="59">
        <v>108.19</v>
      </c>
      <c r="AF1" s="59">
        <v>94.13</v>
      </c>
      <c r="AG1" s="59">
        <v>343.33</v>
      </c>
      <c r="AH1" s="59">
        <v>136.44</v>
      </c>
      <c r="AI1" s="67">
        <v>69.959999999999994</v>
      </c>
      <c r="AJ1" s="67">
        <v>168.67893123083664</v>
      </c>
      <c r="AK1" s="67">
        <v>390.14016644765661</v>
      </c>
      <c r="AL1" s="59">
        <v>96.3</v>
      </c>
      <c r="AM1" s="60">
        <v>96.3</v>
      </c>
    </row>
    <row r="2" spans="2:39" ht="27" customHeight="1">
      <c r="E2" s="108" t="s">
        <v>59</v>
      </c>
      <c r="F2" s="108"/>
      <c r="G2" s="108"/>
      <c r="H2" s="51">
        <f>SUM(J2:AM2)</f>
        <v>36141.856447656595</v>
      </c>
      <c r="I2" s="50"/>
      <c r="J2" s="69">
        <f>J1*J3</f>
        <v>308.10000000000002</v>
      </c>
      <c r="K2" s="63">
        <f>K1*K3</f>
        <v>13171.340341655718</v>
      </c>
      <c r="L2" s="93">
        <f t="shared" ref="L2:AM2" si="0">L1*L3</f>
        <v>406.08</v>
      </c>
      <c r="M2" s="62">
        <f t="shared" si="0"/>
        <v>136</v>
      </c>
      <c r="N2" s="62">
        <f t="shared" si="0"/>
        <v>122.18</v>
      </c>
      <c r="O2" s="62">
        <f t="shared" si="0"/>
        <v>366.54</v>
      </c>
      <c r="P2" s="62">
        <f t="shared" si="0"/>
        <v>305.45000000000005</v>
      </c>
      <c r="Q2" s="62">
        <f t="shared" si="0"/>
        <v>0</v>
      </c>
      <c r="R2" s="62">
        <f t="shared" si="0"/>
        <v>0</v>
      </c>
      <c r="S2" s="62">
        <f t="shared" si="0"/>
        <v>1278</v>
      </c>
      <c r="T2" s="62">
        <f t="shared" si="0"/>
        <v>4881.58</v>
      </c>
      <c r="U2" s="62">
        <f t="shared" si="0"/>
        <v>0</v>
      </c>
      <c r="V2" s="62">
        <f t="shared" si="0"/>
        <v>184.75</v>
      </c>
      <c r="W2" s="62">
        <f t="shared" si="0"/>
        <v>276.63</v>
      </c>
      <c r="X2" s="62">
        <f t="shared" si="0"/>
        <v>0</v>
      </c>
      <c r="Y2" s="62">
        <f t="shared" si="0"/>
        <v>3177.68</v>
      </c>
      <c r="Z2" s="62">
        <f t="shared" si="0"/>
        <v>1453.44</v>
      </c>
      <c r="AA2" s="62">
        <f t="shared" si="0"/>
        <v>0</v>
      </c>
      <c r="AB2" s="62">
        <f t="shared" si="0"/>
        <v>665.19999999999993</v>
      </c>
      <c r="AC2" s="62">
        <f t="shared" si="0"/>
        <v>789.30000000000007</v>
      </c>
      <c r="AD2" s="62">
        <f t="shared" si="0"/>
        <v>0</v>
      </c>
      <c r="AE2" s="62">
        <f t="shared" si="0"/>
        <v>0</v>
      </c>
      <c r="AF2" s="62">
        <f t="shared" si="0"/>
        <v>941.3</v>
      </c>
      <c r="AG2" s="62">
        <f t="shared" si="0"/>
        <v>4806.62</v>
      </c>
      <c r="AH2" s="62">
        <f t="shared" si="0"/>
        <v>136.44</v>
      </c>
      <c r="AI2" s="63">
        <f t="shared" si="0"/>
        <v>349.79999999999995</v>
      </c>
      <c r="AJ2" s="63">
        <f t="shared" si="0"/>
        <v>2192.8261060008763</v>
      </c>
      <c r="AK2" s="63">
        <f t="shared" si="0"/>
        <v>0</v>
      </c>
      <c r="AL2" s="63">
        <f t="shared" si="0"/>
        <v>192.6</v>
      </c>
      <c r="AM2" s="64">
        <f t="shared" si="0"/>
        <v>0</v>
      </c>
    </row>
    <row r="3" spans="2:39" s="8" customFormat="1" ht="36.6" customHeight="1">
      <c r="B3" s="16"/>
      <c r="C3" s="16"/>
      <c r="D3" s="16"/>
      <c r="E3" s="16"/>
      <c r="F3" s="16"/>
      <c r="G3" s="16"/>
      <c r="H3" s="16"/>
      <c r="I3" s="16"/>
      <c r="J3" s="70">
        <f t="shared" ref="J3:Z3" si="1">SUM(J6:J404)</f>
        <v>1</v>
      </c>
      <c r="K3" s="75">
        <f t="shared" si="1"/>
        <v>27</v>
      </c>
      <c r="L3" s="52">
        <f t="shared" si="1"/>
        <v>9</v>
      </c>
      <c r="M3" s="54">
        <f t="shared" si="1"/>
        <v>2</v>
      </c>
      <c r="N3" s="54">
        <f t="shared" si="1"/>
        <v>2</v>
      </c>
      <c r="O3" s="54">
        <f t="shared" si="1"/>
        <v>6</v>
      </c>
      <c r="P3" s="55">
        <f t="shared" si="1"/>
        <v>5</v>
      </c>
      <c r="Q3" s="53">
        <f t="shared" si="1"/>
        <v>0</v>
      </c>
      <c r="R3" s="54">
        <f t="shared" si="1"/>
        <v>0</v>
      </c>
      <c r="S3" s="55">
        <f t="shared" si="1"/>
        <v>2</v>
      </c>
      <c r="T3" s="53">
        <f t="shared" si="1"/>
        <v>11</v>
      </c>
      <c r="U3" s="54">
        <f t="shared" si="1"/>
        <v>0</v>
      </c>
      <c r="V3" s="54">
        <f t="shared" si="1"/>
        <v>1</v>
      </c>
      <c r="W3" s="55">
        <f t="shared" si="1"/>
        <v>1</v>
      </c>
      <c r="X3" s="56">
        <f t="shared" si="1"/>
        <v>0</v>
      </c>
      <c r="Y3" s="53">
        <f t="shared" si="1"/>
        <v>4</v>
      </c>
      <c r="Z3" s="55">
        <f t="shared" si="1"/>
        <v>2</v>
      </c>
      <c r="AA3" s="55"/>
      <c r="AB3" s="52">
        <f>SUM(AB6:AB404)</f>
        <v>10</v>
      </c>
      <c r="AC3" s="53">
        <f>SUM(AC6:AC404)</f>
        <v>10</v>
      </c>
      <c r="AD3" s="54"/>
      <c r="AE3" s="54">
        <f t="shared" ref="AE3:AM3" si="2">SUM(AE6:AE404)</f>
        <v>0</v>
      </c>
      <c r="AF3" s="55">
        <f t="shared" si="2"/>
        <v>10</v>
      </c>
      <c r="AG3" s="53">
        <f t="shared" si="2"/>
        <v>14</v>
      </c>
      <c r="AH3" s="55">
        <f t="shared" si="2"/>
        <v>1</v>
      </c>
      <c r="AI3" s="70">
        <f t="shared" si="2"/>
        <v>5</v>
      </c>
      <c r="AJ3" s="71">
        <f t="shared" si="2"/>
        <v>13</v>
      </c>
      <c r="AK3" s="54">
        <f t="shared" si="2"/>
        <v>0</v>
      </c>
      <c r="AL3" s="53">
        <f t="shared" si="2"/>
        <v>2</v>
      </c>
      <c r="AM3" s="55">
        <f t="shared" si="2"/>
        <v>0</v>
      </c>
    </row>
    <row r="4" spans="2:39" s="40" customFormat="1" ht="21">
      <c r="B4" s="38"/>
      <c r="C4" s="38"/>
      <c r="D4" s="38"/>
      <c r="E4" s="38"/>
      <c r="F4" s="38"/>
      <c r="G4" s="38"/>
      <c r="H4" s="38"/>
      <c r="I4" s="38"/>
      <c r="J4" s="109" t="s">
        <v>2</v>
      </c>
      <c r="K4" s="110"/>
      <c r="L4" s="105" t="s">
        <v>48</v>
      </c>
      <c r="M4" s="106"/>
      <c r="N4" s="106"/>
      <c r="O4" s="106"/>
      <c r="P4" s="107"/>
      <c r="Q4" s="109" t="s">
        <v>49</v>
      </c>
      <c r="R4" s="111"/>
      <c r="S4" s="110"/>
      <c r="T4" s="105" t="s">
        <v>51</v>
      </c>
      <c r="U4" s="106"/>
      <c r="V4" s="106"/>
      <c r="W4" s="107"/>
      <c r="X4" s="41" t="s">
        <v>50</v>
      </c>
      <c r="Y4" s="105" t="s">
        <v>52</v>
      </c>
      <c r="Z4" s="106"/>
      <c r="AA4" s="106"/>
      <c r="AB4" s="49" t="s">
        <v>53</v>
      </c>
      <c r="AC4" s="105" t="s">
        <v>54</v>
      </c>
      <c r="AD4" s="106"/>
      <c r="AE4" s="106"/>
      <c r="AF4" s="107"/>
      <c r="AG4" s="109" t="s">
        <v>55</v>
      </c>
      <c r="AH4" s="110"/>
      <c r="AI4" s="105" t="s">
        <v>3</v>
      </c>
      <c r="AJ4" s="107"/>
      <c r="AK4" s="49"/>
      <c r="AL4" s="105" t="s">
        <v>4</v>
      </c>
      <c r="AM4" s="107"/>
    </row>
    <row r="5" spans="2:39" ht="94.95" customHeight="1">
      <c r="B5" s="17" t="s">
        <v>0</v>
      </c>
      <c r="C5" s="17" t="s">
        <v>9</v>
      </c>
      <c r="D5" s="17" t="s">
        <v>10</v>
      </c>
      <c r="E5" s="17" t="s">
        <v>5</v>
      </c>
      <c r="F5" s="17" t="s">
        <v>1</v>
      </c>
      <c r="G5" s="17" t="s">
        <v>56</v>
      </c>
      <c r="H5" s="17" t="s">
        <v>57</v>
      </c>
      <c r="I5" s="36" t="s">
        <v>58</v>
      </c>
      <c r="J5" s="42" t="s">
        <v>20</v>
      </c>
      <c r="K5" s="76" t="s">
        <v>141</v>
      </c>
      <c r="L5" s="17" t="s">
        <v>42</v>
      </c>
      <c r="M5" s="37" t="s">
        <v>43</v>
      </c>
      <c r="N5" s="17" t="s">
        <v>44</v>
      </c>
      <c r="O5" s="17" t="s">
        <v>45</v>
      </c>
      <c r="P5" s="17" t="s">
        <v>46</v>
      </c>
      <c r="Q5" s="42" t="s">
        <v>29</v>
      </c>
      <c r="R5" s="42" t="s">
        <v>30</v>
      </c>
      <c r="S5" s="42" t="s">
        <v>31</v>
      </c>
      <c r="T5" s="17" t="s">
        <v>28</v>
      </c>
      <c r="U5" s="37" t="s">
        <v>68</v>
      </c>
      <c r="V5" s="37" t="s">
        <v>34</v>
      </c>
      <c r="W5" s="37" t="s">
        <v>35</v>
      </c>
      <c r="X5" s="42" t="s">
        <v>33</v>
      </c>
      <c r="Y5" s="17" t="s">
        <v>39</v>
      </c>
      <c r="Z5" s="17" t="s">
        <v>40</v>
      </c>
      <c r="AA5" s="37" t="s">
        <v>143</v>
      </c>
      <c r="AB5" s="45" t="s">
        <v>22</v>
      </c>
      <c r="AC5" s="37" t="s">
        <v>23</v>
      </c>
      <c r="AD5" s="37" t="s">
        <v>155</v>
      </c>
      <c r="AE5" s="37" t="s">
        <v>24</v>
      </c>
      <c r="AF5" s="37" t="s">
        <v>25</v>
      </c>
      <c r="AG5" s="45" t="s">
        <v>26</v>
      </c>
      <c r="AH5" s="45" t="s">
        <v>27</v>
      </c>
      <c r="AI5" s="17" t="s">
        <v>21</v>
      </c>
      <c r="AJ5" s="17" t="s">
        <v>142</v>
      </c>
      <c r="AK5" s="41"/>
      <c r="AL5" s="37" t="s">
        <v>36</v>
      </c>
      <c r="AM5" s="37" t="s">
        <v>37</v>
      </c>
    </row>
    <row r="6" spans="2:39" s="14" customFormat="1" ht="41.25" customHeight="1">
      <c r="B6" s="18">
        <v>46204</v>
      </c>
      <c r="C6" s="57">
        <f t="shared" ref="C6" si="3">IF(B6="","",MONTH(B6))</f>
        <v>7</v>
      </c>
      <c r="D6" s="18" t="s">
        <v>7</v>
      </c>
      <c r="E6" s="18" t="s">
        <v>78</v>
      </c>
      <c r="F6" s="15" t="s">
        <v>18</v>
      </c>
      <c r="G6" s="19" t="s">
        <v>116</v>
      </c>
      <c r="H6" s="19" t="s">
        <v>148</v>
      </c>
      <c r="I6" s="19" t="s">
        <v>149</v>
      </c>
      <c r="J6" s="43"/>
      <c r="K6" s="77"/>
      <c r="L6" s="15"/>
      <c r="M6" s="86"/>
      <c r="N6" s="15"/>
      <c r="O6" s="15"/>
      <c r="P6" s="15"/>
      <c r="Q6" s="43"/>
      <c r="R6" s="43"/>
      <c r="S6" s="43"/>
      <c r="T6" s="15">
        <v>3</v>
      </c>
      <c r="U6" s="15"/>
      <c r="V6" s="15"/>
      <c r="W6" s="15"/>
      <c r="X6" s="43"/>
      <c r="Y6" s="15"/>
      <c r="Z6" s="15"/>
      <c r="AA6" s="15"/>
      <c r="AB6" s="43"/>
      <c r="AC6" s="15"/>
      <c r="AD6" s="15"/>
      <c r="AE6" s="15"/>
      <c r="AF6" s="15"/>
      <c r="AG6" s="43"/>
      <c r="AH6" s="43"/>
      <c r="AI6" s="15"/>
      <c r="AJ6" s="15"/>
      <c r="AK6" s="44"/>
      <c r="AL6" s="15"/>
      <c r="AM6" s="15"/>
    </row>
    <row r="7" spans="2:39" s="14" customFormat="1" ht="41.25" customHeight="1">
      <c r="B7" s="18">
        <v>46204</v>
      </c>
      <c r="C7" s="57">
        <f t="shared" ref="C7:C70" si="4">IF(B7="","",MONTH(B7))</f>
        <v>7</v>
      </c>
      <c r="D7" s="18" t="s">
        <v>7</v>
      </c>
      <c r="E7" s="18" t="s">
        <v>78</v>
      </c>
      <c r="F7" s="15" t="s">
        <v>88</v>
      </c>
      <c r="G7" s="19" t="s">
        <v>91</v>
      </c>
      <c r="H7" s="19" t="s">
        <v>148</v>
      </c>
      <c r="I7" s="19" t="s">
        <v>150</v>
      </c>
      <c r="J7" s="43"/>
      <c r="K7" s="77"/>
      <c r="L7" s="15"/>
      <c r="M7" s="86"/>
      <c r="N7" s="15"/>
      <c r="O7" s="15"/>
      <c r="P7" s="15"/>
      <c r="Q7" s="43"/>
      <c r="R7" s="43"/>
      <c r="S7" s="43"/>
      <c r="T7" s="15">
        <v>3</v>
      </c>
      <c r="U7" s="15"/>
      <c r="V7" s="15"/>
      <c r="W7" s="15"/>
      <c r="X7" s="43"/>
      <c r="Y7" s="15"/>
      <c r="Z7" s="15"/>
      <c r="AA7" s="15"/>
      <c r="AB7" s="43"/>
      <c r="AC7" s="15"/>
      <c r="AD7" s="15"/>
      <c r="AE7" s="15"/>
      <c r="AF7" s="15"/>
      <c r="AG7" s="43"/>
      <c r="AH7" s="43"/>
      <c r="AI7" s="15"/>
      <c r="AJ7" s="15"/>
      <c r="AK7" s="44"/>
      <c r="AL7" s="15"/>
      <c r="AM7" s="15"/>
    </row>
    <row r="8" spans="2:39" s="14" customFormat="1" ht="41.25" customHeight="1">
      <c r="B8" s="18">
        <v>46204</v>
      </c>
      <c r="C8" s="57">
        <f t="shared" si="4"/>
        <v>7</v>
      </c>
      <c r="D8" s="18" t="s">
        <v>7</v>
      </c>
      <c r="E8" s="18" t="s">
        <v>140</v>
      </c>
      <c r="F8" s="15" t="s">
        <v>88</v>
      </c>
      <c r="G8" s="74" t="s">
        <v>76</v>
      </c>
      <c r="H8" s="19" t="s">
        <v>148</v>
      </c>
      <c r="I8" s="19" t="s">
        <v>150</v>
      </c>
      <c r="J8" s="43"/>
      <c r="K8" s="77"/>
      <c r="L8" s="15"/>
      <c r="M8" s="86"/>
      <c r="N8" s="15"/>
      <c r="O8" s="15"/>
      <c r="P8" s="15"/>
      <c r="Q8" s="43"/>
      <c r="R8" s="43"/>
      <c r="S8" s="43"/>
      <c r="T8" s="15"/>
      <c r="U8" s="15"/>
      <c r="V8" s="15"/>
      <c r="W8" s="15"/>
      <c r="X8" s="43"/>
      <c r="Y8" s="15"/>
      <c r="Z8" s="15"/>
      <c r="AA8" s="15"/>
      <c r="AB8" s="43">
        <v>10</v>
      </c>
      <c r="AC8" s="15"/>
      <c r="AD8" s="15"/>
      <c r="AE8" s="15"/>
      <c r="AF8" s="15"/>
      <c r="AG8" s="43">
        <v>2</v>
      </c>
      <c r="AH8" s="43"/>
      <c r="AI8" s="15"/>
      <c r="AJ8" s="15"/>
      <c r="AK8" s="44"/>
      <c r="AL8" s="15"/>
      <c r="AM8" s="15"/>
    </row>
    <row r="9" spans="2:39" s="14" customFormat="1" ht="41.25" customHeight="1">
      <c r="B9" s="18">
        <v>46204</v>
      </c>
      <c r="C9" s="57">
        <f t="shared" si="4"/>
        <v>7</v>
      </c>
      <c r="D9" s="18" t="s">
        <v>7</v>
      </c>
      <c r="E9" s="18" t="s">
        <v>140</v>
      </c>
      <c r="F9" s="15" t="s">
        <v>18</v>
      </c>
      <c r="G9" s="19" t="s">
        <v>74</v>
      </c>
      <c r="H9" s="19" t="s">
        <v>148</v>
      </c>
      <c r="I9" s="19" t="s">
        <v>149</v>
      </c>
      <c r="J9" s="43"/>
      <c r="K9" s="77"/>
      <c r="L9" s="15"/>
      <c r="M9" s="86"/>
      <c r="N9" s="15"/>
      <c r="O9" s="15"/>
      <c r="P9" s="15"/>
      <c r="Q9" s="43"/>
      <c r="R9" s="43"/>
      <c r="S9" s="43"/>
      <c r="T9" s="15"/>
      <c r="U9" s="15"/>
      <c r="V9" s="15"/>
      <c r="W9" s="15"/>
      <c r="X9" s="43"/>
      <c r="Y9" s="15"/>
      <c r="Z9" s="15"/>
      <c r="AA9" s="15"/>
      <c r="AB9" s="43"/>
      <c r="AC9" s="15"/>
      <c r="AD9" s="15"/>
      <c r="AE9" s="15"/>
      <c r="AF9" s="15"/>
      <c r="AG9" s="43">
        <v>2</v>
      </c>
      <c r="AH9" s="43"/>
      <c r="AI9" s="15"/>
      <c r="AJ9" s="15"/>
      <c r="AK9" s="44"/>
      <c r="AL9" s="15"/>
      <c r="AM9" s="15"/>
    </row>
    <row r="10" spans="2:39" s="14" customFormat="1" ht="41.25" customHeight="1">
      <c r="B10" s="18">
        <v>46205</v>
      </c>
      <c r="C10" s="57">
        <f t="shared" si="4"/>
        <v>7</v>
      </c>
      <c r="D10" s="18" t="s">
        <v>7</v>
      </c>
      <c r="E10" s="18" t="s">
        <v>78</v>
      </c>
      <c r="F10" s="15" t="s">
        <v>88</v>
      </c>
      <c r="G10" s="19" t="s">
        <v>91</v>
      </c>
      <c r="H10" s="19" t="s">
        <v>148</v>
      </c>
      <c r="I10" s="19" t="s">
        <v>150</v>
      </c>
      <c r="J10" s="43"/>
      <c r="K10" s="77">
        <v>1</v>
      </c>
      <c r="L10" s="15"/>
      <c r="M10" s="86"/>
      <c r="N10" s="15"/>
      <c r="O10" s="15"/>
      <c r="P10" s="15"/>
      <c r="Q10" s="43"/>
      <c r="R10" s="43"/>
      <c r="S10" s="43"/>
      <c r="T10" s="15"/>
      <c r="U10" s="15"/>
      <c r="V10" s="15"/>
      <c r="W10" s="15"/>
      <c r="X10" s="43"/>
      <c r="Y10" s="15"/>
      <c r="Z10" s="15"/>
      <c r="AA10" s="15"/>
      <c r="AB10" s="43"/>
      <c r="AC10" s="15"/>
      <c r="AD10" s="15"/>
      <c r="AE10" s="15"/>
      <c r="AF10" s="15"/>
      <c r="AG10" s="43"/>
      <c r="AH10" s="43"/>
      <c r="AI10" s="15"/>
      <c r="AJ10" s="15"/>
      <c r="AK10" s="44"/>
      <c r="AL10" s="15"/>
      <c r="AM10" s="15"/>
    </row>
    <row r="11" spans="2:39" s="14" customFormat="1" ht="41.25" customHeight="1">
      <c r="B11" s="18">
        <v>46206</v>
      </c>
      <c r="C11" s="57">
        <f t="shared" si="4"/>
        <v>7</v>
      </c>
      <c r="D11" s="18" t="s">
        <v>7</v>
      </c>
      <c r="E11" s="18" t="s">
        <v>78</v>
      </c>
      <c r="F11" s="15" t="s">
        <v>88</v>
      </c>
      <c r="G11" s="19" t="s">
        <v>91</v>
      </c>
      <c r="H11" s="19" t="s">
        <v>148</v>
      </c>
      <c r="I11" s="19" t="s">
        <v>150</v>
      </c>
      <c r="J11" s="43"/>
      <c r="K11" s="77">
        <v>1</v>
      </c>
      <c r="L11" s="15"/>
      <c r="M11" s="86"/>
      <c r="N11" s="15"/>
      <c r="O11" s="15"/>
      <c r="P11" s="15"/>
      <c r="Q11" s="43"/>
      <c r="R11" s="43"/>
      <c r="S11" s="43"/>
      <c r="T11" s="15"/>
      <c r="U11" s="15"/>
      <c r="V11" s="15"/>
      <c r="W11" s="15"/>
      <c r="X11" s="43"/>
      <c r="Y11" s="15"/>
      <c r="Z11" s="15"/>
      <c r="AA11" s="15"/>
      <c r="AB11" s="43"/>
      <c r="AC11" s="15"/>
      <c r="AD11" s="15"/>
      <c r="AE11" s="15"/>
      <c r="AF11" s="15"/>
      <c r="AG11" s="43"/>
      <c r="AH11" s="43"/>
      <c r="AI11" s="15"/>
      <c r="AJ11" s="15"/>
      <c r="AK11" s="44"/>
      <c r="AL11" s="15"/>
      <c r="AM11" s="15"/>
    </row>
    <row r="12" spans="2:39" s="14" customFormat="1" ht="41.25" customHeight="1">
      <c r="B12" s="18">
        <v>46206</v>
      </c>
      <c r="C12" s="57">
        <f t="shared" si="4"/>
        <v>7</v>
      </c>
      <c r="D12" s="18" t="s">
        <v>7</v>
      </c>
      <c r="E12" s="18" t="s">
        <v>78</v>
      </c>
      <c r="F12" s="15" t="s">
        <v>18</v>
      </c>
      <c r="G12" s="19" t="s">
        <v>91</v>
      </c>
      <c r="H12" s="19" t="s">
        <v>148</v>
      </c>
      <c r="I12" s="19" t="s">
        <v>149</v>
      </c>
      <c r="J12" s="43"/>
      <c r="K12" s="77">
        <v>1</v>
      </c>
      <c r="L12" s="15"/>
      <c r="M12" s="86"/>
      <c r="N12" s="15"/>
      <c r="O12" s="15"/>
      <c r="P12" s="15"/>
      <c r="Q12" s="43"/>
      <c r="R12" s="43"/>
      <c r="S12" s="43"/>
      <c r="T12" s="15"/>
      <c r="U12" s="15"/>
      <c r="V12" s="15"/>
      <c r="W12" s="15"/>
      <c r="X12" s="43"/>
      <c r="Y12" s="15"/>
      <c r="Z12" s="15"/>
      <c r="AA12" s="15"/>
      <c r="AB12" s="43"/>
      <c r="AC12" s="15"/>
      <c r="AD12" s="15"/>
      <c r="AE12" s="15"/>
      <c r="AF12" s="15"/>
      <c r="AG12" s="43"/>
      <c r="AH12" s="43"/>
      <c r="AI12" s="15"/>
      <c r="AJ12" s="15"/>
      <c r="AK12" s="44"/>
      <c r="AL12" s="15"/>
      <c r="AM12" s="15"/>
    </row>
    <row r="13" spans="2:39" s="14" customFormat="1" ht="41.25" customHeight="1">
      <c r="B13" s="18">
        <v>46206</v>
      </c>
      <c r="C13" s="57">
        <f t="shared" ref="C13" si="5">IF(B13="","",MONTH(B13))</f>
        <v>7</v>
      </c>
      <c r="D13" s="18" t="s">
        <v>7</v>
      </c>
      <c r="E13" s="18" t="s">
        <v>78</v>
      </c>
      <c r="F13" s="15" t="s">
        <v>88</v>
      </c>
      <c r="G13" s="19" t="s">
        <v>91</v>
      </c>
      <c r="H13" s="19" t="s">
        <v>148</v>
      </c>
      <c r="I13" s="19" t="s">
        <v>150</v>
      </c>
      <c r="J13" s="43"/>
      <c r="K13" s="77"/>
      <c r="L13" s="15"/>
      <c r="M13" s="86"/>
      <c r="N13" s="15"/>
      <c r="O13" s="15"/>
      <c r="P13" s="15"/>
      <c r="Q13" s="43"/>
      <c r="R13" s="43"/>
      <c r="S13" s="43">
        <v>1</v>
      </c>
      <c r="T13" s="15"/>
      <c r="U13" s="15"/>
      <c r="V13" s="15"/>
      <c r="W13" s="15"/>
      <c r="X13" s="43"/>
      <c r="Y13" s="15"/>
      <c r="Z13" s="15"/>
      <c r="AA13" s="15"/>
      <c r="AB13" s="43"/>
      <c r="AC13" s="15"/>
      <c r="AD13" s="15"/>
      <c r="AE13" s="15"/>
      <c r="AF13" s="15"/>
      <c r="AG13" s="43"/>
      <c r="AH13" s="43"/>
      <c r="AI13" s="15"/>
      <c r="AJ13" s="15"/>
      <c r="AK13" s="44"/>
      <c r="AL13" s="15"/>
      <c r="AM13" s="15"/>
    </row>
    <row r="14" spans="2:39" s="14" customFormat="1" ht="41.25" customHeight="1">
      <c r="B14" s="18">
        <v>46207</v>
      </c>
      <c r="C14" s="57">
        <f t="shared" ref="C14:C45" si="6">IF(B14="","",MONTH(B14))</f>
        <v>7</v>
      </c>
      <c r="D14" s="18" t="s">
        <v>7</v>
      </c>
      <c r="E14" s="18" t="s">
        <v>78</v>
      </c>
      <c r="F14" s="15" t="s">
        <v>88</v>
      </c>
      <c r="G14" s="19" t="s">
        <v>91</v>
      </c>
      <c r="H14" s="19" t="s">
        <v>148</v>
      </c>
      <c r="I14" s="19" t="s">
        <v>150</v>
      </c>
      <c r="J14" s="43"/>
      <c r="K14" s="77"/>
      <c r="L14" s="15"/>
      <c r="M14" s="86"/>
      <c r="N14" s="15"/>
      <c r="O14" s="15"/>
      <c r="P14" s="15">
        <v>2</v>
      </c>
      <c r="Q14" s="43"/>
      <c r="R14" s="43"/>
      <c r="S14" s="43"/>
      <c r="T14" s="15"/>
      <c r="U14" s="15"/>
      <c r="V14" s="15"/>
      <c r="W14" s="15"/>
      <c r="X14" s="43"/>
      <c r="Y14" s="15"/>
      <c r="Z14" s="15"/>
      <c r="AA14" s="15"/>
      <c r="AB14" s="43"/>
      <c r="AC14" s="15"/>
      <c r="AD14" s="15">
        <v>10</v>
      </c>
      <c r="AE14" s="15"/>
      <c r="AF14" s="15"/>
      <c r="AG14" s="43"/>
      <c r="AH14" s="43"/>
      <c r="AI14" s="15"/>
      <c r="AJ14" s="15">
        <v>1</v>
      </c>
      <c r="AK14" s="44"/>
      <c r="AL14" s="15"/>
      <c r="AM14" s="15"/>
    </row>
    <row r="15" spans="2:39" s="14" customFormat="1" ht="41.25" customHeight="1">
      <c r="B15" s="18">
        <v>46207</v>
      </c>
      <c r="C15" s="57">
        <f t="shared" si="6"/>
        <v>7</v>
      </c>
      <c r="D15" s="18" t="s">
        <v>7</v>
      </c>
      <c r="E15" s="18" t="s">
        <v>140</v>
      </c>
      <c r="F15" s="15" t="s">
        <v>88</v>
      </c>
      <c r="G15" s="19" t="s">
        <v>76</v>
      </c>
      <c r="H15" s="19" t="s">
        <v>148</v>
      </c>
      <c r="I15" s="19" t="s">
        <v>150</v>
      </c>
      <c r="J15" s="43"/>
      <c r="K15" s="77">
        <v>1</v>
      </c>
      <c r="L15" s="15"/>
      <c r="M15" s="86"/>
      <c r="N15" s="15"/>
      <c r="O15" s="15"/>
      <c r="P15" s="15"/>
      <c r="Q15" s="43"/>
      <c r="R15" s="43"/>
      <c r="S15" s="43"/>
      <c r="T15" s="15"/>
      <c r="U15" s="15"/>
      <c r="V15" s="15"/>
      <c r="W15" s="15"/>
      <c r="X15" s="43"/>
      <c r="Y15" s="15"/>
      <c r="Z15" s="15"/>
      <c r="AA15" s="15"/>
      <c r="AB15" s="43"/>
      <c r="AC15" s="15"/>
      <c r="AD15" s="15">
        <v>10</v>
      </c>
      <c r="AE15" s="15"/>
      <c r="AF15" s="15"/>
      <c r="AG15" s="43"/>
      <c r="AH15" s="43"/>
      <c r="AI15" s="15"/>
      <c r="AJ15" s="15"/>
      <c r="AK15" s="44"/>
      <c r="AL15" s="15"/>
      <c r="AM15" s="15"/>
    </row>
    <row r="16" spans="2:39" s="14" customFormat="1" ht="41.25" customHeight="1">
      <c r="B16" s="18">
        <v>46207</v>
      </c>
      <c r="C16" s="57">
        <f t="shared" si="6"/>
        <v>7</v>
      </c>
      <c r="D16" s="18" t="s">
        <v>7</v>
      </c>
      <c r="E16" s="18" t="s">
        <v>140</v>
      </c>
      <c r="F16" s="15" t="s">
        <v>18</v>
      </c>
      <c r="G16" s="19" t="s">
        <v>156</v>
      </c>
      <c r="H16" s="19" t="s">
        <v>148</v>
      </c>
      <c r="I16" s="19" t="s">
        <v>149</v>
      </c>
      <c r="J16" s="43"/>
      <c r="K16" s="77"/>
      <c r="L16" s="15">
        <v>2</v>
      </c>
      <c r="M16" s="86"/>
      <c r="N16" s="15">
        <v>2</v>
      </c>
      <c r="O16" s="15"/>
      <c r="P16" s="15"/>
      <c r="Q16" s="43"/>
      <c r="R16" s="43"/>
      <c r="S16" s="43"/>
      <c r="T16" s="15"/>
      <c r="U16" s="15"/>
      <c r="V16" s="15"/>
      <c r="W16" s="15"/>
      <c r="X16" s="43"/>
      <c r="Y16" s="15"/>
      <c r="Z16" s="15"/>
      <c r="AA16" s="15"/>
      <c r="AB16" s="43"/>
      <c r="AC16" s="15"/>
      <c r="AD16" s="15"/>
      <c r="AE16" s="15"/>
      <c r="AF16" s="15"/>
      <c r="AG16" s="43"/>
      <c r="AH16" s="43"/>
      <c r="AI16" s="15"/>
      <c r="AJ16" s="15"/>
      <c r="AK16" s="44"/>
      <c r="AL16" s="15"/>
      <c r="AM16" s="15"/>
    </row>
    <row r="17" spans="2:39" s="14" customFormat="1" ht="41.25" customHeight="1">
      <c r="B17" s="18">
        <v>46208</v>
      </c>
      <c r="C17" s="57">
        <f t="shared" si="6"/>
        <v>7</v>
      </c>
      <c r="D17" s="18" t="s">
        <v>7</v>
      </c>
      <c r="E17" s="18" t="s">
        <v>78</v>
      </c>
      <c r="F17" s="15" t="s">
        <v>88</v>
      </c>
      <c r="G17" s="74" t="s">
        <v>91</v>
      </c>
      <c r="H17" s="19" t="s">
        <v>148</v>
      </c>
      <c r="I17" s="19" t="s">
        <v>150</v>
      </c>
      <c r="J17" s="43"/>
      <c r="K17" s="77">
        <v>1</v>
      </c>
      <c r="L17" s="15">
        <v>2</v>
      </c>
      <c r="M17" s="86">
        <v>2</v>
      </c>
      <c r="N17" s="15"/>
      <c r="O17" s="15"/>
      <c r="P17" s="15"/>
      <c r="Q17" s="43"/>
      <c r="R17" s="43"/>
      <c r="S17" s="43"/>
      <c r="T17" s="15"/>
      <c r="U17" s="15"/>
      <c r="V17" s="15"/>
      <c r="W17" s="15"/>
      <c r="X17" s="43"/>
      <c r="Y17" s="15"/>
      <c r="Z17" s="15"/>
      <c r="AA17" s="15"/>
      <c r="AB17" s="43"/>
      <c r="AC17" s="15"/>
      <c r="AD17" s="15"/>
      <c r="AE17" s="15"/>
      <c r="AF17" s="15"/>
      <c r="AG17" s="43"/>
      <c r="AH17" s="43"/>
      <c r="AI17" s="15"/>
      <c r="AJ17" s="15">
        <v>2</v>
      </c>
      <c r="AK17" s="44"/>
      <c r="AL17" s="15"/>
      <c r="AM17" s="15"/>
    </row>
    <row r="18" spans="2:39" s="14" customFormat="1" ht="41.25" customHeight="1">
      <c r="B18" s="18">
        <v>46208</v>
      </c>
      <c r="C18" s="57">
        <f t="shared" si="6"/>
        <v>7</v>
      </c>
      <c r="D18" s="18" t="s">
        <v>7</v>
      </c>
      <c r="E18" s="18" t="s">
        <v>78</v>
      </c>
      <c r="F18" s="15" t="s">
        <v>18</v>
      </c>
      <c r="G18" s="19" t="s">
        <v>167</v>
      </c>
      <c r="H18" s="19" t="s">
        <v>148</v>
      </c>
      <c r="I18" s="19" t="s">
        <v>149</v>
      </c>
      <c r="J18" s="43"/>
      <c r="K18" s="77"/>
      <c r="L18" s="15"/>
      <c r="M18" s="86"/>
      <c r="N18" s="15"/>
      <c r="O18" s="15"/>
      <c r="P18" s="15"/>
      <c r="Q18" s="43"/>
      <c r="R18" s="43"/>
      <c r="S18" s="43"/>
      <c r="T18" s="15"/>
      <c r="U18" s="15"/>
      <c r="V18" s="15"/>
      <c r="W18" s="15"/>
      <c r="X18" s="43"/>
      <c r="Y18" s="15"/>
      <c r="Z18" s="15"/>
      <c r="AA18" s="15"/>
      <c r="AB18" s="43"/>
      <c r="AC18" s="15"/>
      <c r="AD18" s="15"/>
      <c r="AE18" s="15"/>
      <c r="AF18" s="15"/>
      <c r="AG18" s="43"/>
      <c r="AH18" s="43">
        <v>1</v>
      </c>
      <c r="AI18" s="15"/>
      <c r="AJ18" s="15"/>
      <c r="AK18" s="44"/>
      <c r="AL18" s="15"/>
      <c r="AM18" s="15"/>
    </row>
    <row r="19" spans="2:39" s="14" customFormat="1" ht="41.25" customHeight="1">
      <c r="B19" s="18">
        <v>46209</v>
      </c>
      <c r="C19" s="57">
        <f t="shared" si="6"/>
        <v>7</v>
      </c>
      <c r="D19" s="18" t="s">
        <v>7</v>
      </c>
      <c r="E19" s="18" t="s">
        <v>140</v>
      </c>
      <c r="F19" s="15" t="s">
        <v>88</v>
      </c>
      <c r="G19" s="19" t="s">
        <v>76</v>
      </c>
      <c r="H19" s="19" t="s">
        <v>148</v>
      </c>
      <c r="I19" s="19" t="s">
        <v>150</v>
      </c>
      <c r="J19" s="43"/>
      <c r="K19" s="77">
        <v>1</v>
      </c>
      <c r="L19" s="15"/>
      <c r="M19" s="86"/>
      <c r="N19" s="15"/>
      <c r="O19" s="15"/>
      <c r="P19" s="15"/>
      <c r="Q19" s="43"/>
      <c r="R19" s="43"/>
      <c r="S19" s="43"/>
      <c r="T19" s="15"/>
      <c r="U19" s="15"/>
      <c r="V19" s="15"/>
      <c r="W19" s="15"/>
      <c r="X19" s="43"/>
      <c r="Y19" s="15"/>
      <c r="Z19" s="15"/>
      <c r="AA19" s="15"/>
      <c r="AB19" s="43"/>
      <c r="AC19" s="15">
        <v>10</v>
      </c>
      <c r="AD19" s="15"/>
      <c r="AE19" s="15"/>
      <c r="AF19" s="15"/>
      <c r="AG19" s="43"/>
      <c r="AH19" s="43"/>
      <c r="AI19" s="15"/>
      <c r="AJ19" s="15"/>
      <c r="AK19" s="44"/>
      <c r="AL19" s="15"/>
      <c r="AM19" s="15"/>
    </row>
    <row r="20" spans="2:39" s="14" customFormat="1" ht="41.25" customHeight="1">
      <c r="B20" s="18">
        <v>46209</v>
      </c>
      <c r="C20" s="57">
        <f t="shared" si="6"/>
        <v>7</v>
      </c>
      <c r="D20" s="18" t="s">
        <v>7</v>
      </c>
      <c r="E20" s="18" t="s">
        <v>140</v>
      </c>
      <c r="F20" s="15" t="s">
        <v>18</v>
      </c>
      <c r="G20" s="74" t="s">
        <v>156</v>
      </c>
      <c r="H20" s="19" t="s">
        <v>148</v>
      </c>
      <c r="I20" s="19" t="s">
        <v>149</v>
      </c>
      <c r="J20" s="43"/>
      <c r="K20" s="77">
        <v>1</v>
      </c>
      <c r="L20" s="15"/>
      <c r="M20" s="86"/>
      <c r="N20" s="15"/>
      <c r="O20" s="15"/>
      <c r="P20" s="15"/>
      <c r="Q20" s="43"/>
      <c r="R20" s="43"/>
      <c r="S20" s="43"/>
      <c r="T20" s="15"/>
      <c r="U20" s="15"/>
      <c r="V20" s="15"/>
      <c r="W20" s="15"/>
      <c r="X20" s="43"/>
      <c r="Y20" s="15"/>
      <c r="Z20" s="15"/>
      <c r="AA20" s="15">
        <v>2</v>
      </c>
      <c r="AB20" s="43"/>
      <c r="AC20" s="15"/>
      <c r="AD20" s="15"/>
      <c r="AE20" s="15"/>
      <c r="AF20" s="15"/>
      <c r="AG20" s="43"/>
      <c r="AH20" s="43"/>
      <c r="AI20" s="15"/>
      <c r="AJ20" s="15"/>
      <c r="AK20" s="44"/>
      <c r="AL20" s="15"/>
      <c r="AM20" s="15"/>
    </row>
    <row r="21" spans="2:39" s="14" customFormat="1" ht="41.25" customHeight="1">
      <c r="B21" s="18">
        <v>46211</v>
      </c>
      <c r="C21" s="57">
        <f t="shared" si="6"/>
        <v>7</v>
      </c>
      <c r="D21" s="18" t="s">
        <v>7</v>
      </c>
      <c r="E21" s="18" t="s">
        <v>140</v>
      </c>
      <c r="F21" s="15" t="s">
        <v>88</v>
      </c>
      <c r="G21" s="19" t="s">
        <v>91</v>
      </c>
      <c r="H21" s="19" t="s">
        <v>148</v>
      </c>
      <c r="I21" s="19" t="s">
        <v>150</v>
      </c>
      <c r="J21" s="43"/>
      <c r="K21" s="77">
        <v>1</v>
      </c>
      <c r="L21" s="15"/>
      <c r="M21" s="86"/>
      <c r="N21" s="15"/>
      <c r="O21" s="15"/>
      <c r="P21" s="15">
        <v>2</v>
      </c>
      <c r="Q21" s="43"/>
      <c r="R21" s="43"/>
      <c r="S21" s="43"/>
      <c r="T21" s="15"/>
      <c r="U21" s="15"/>
      <c r="V21" s="15"/>
      <c r="W21" s="15"/>
      <c r="X21" s="43"/>
      <c r="Y21" s="15"/>
      <c r="Z21" s="15"/>
      <c r="AA21" s="15"/>
      <c r="AB21" s="43"/>
      <c r="AC21" s="15"/>
      <c r="AD21" s="15"/>
      <c r="AE21" s="15"/>
      <c r="AF21" s="15"/>
      <c r="AG21" s="43"/>
      <c r="AH21" s="43"/>
      <c r="AI21" s="15"/>
      <c r="AJ21" s="15"/>
      <c r="AK21" s="44"/>
      <c r="AL21" s="15"/>
      <c r="AM21" s="15"/>
    </row>
    <row r="22" spans="2:39" s="14" customFormat="1" ht="41.25" customHeight="1">
      <c r="B22" s="18">
        <v>46211</v>
      </c>
      <c r="C22" s="57">
        <f t="shared" si="6"/>
        <v>7</v>
      </c>
      <c r="D22" s="18" t="s">
        <v>7</v>
      </c>
      <c r="E22" s="18" t="s">
        <v>140</v>
      </c>
      <c r="F22" s="15" t="s">
        <v>18</v>
      </c>
      <c r="G22" s="19" t="s">
        <v>156</v>
      </c>
      <c r="H22" s="19" t="s">
        <v>148</v>
      </c>
      <c r="I22" s="19" t="s">
        <v>149</v>
      </c>
      <c r="J22" s="43"/>
      <c r="K22" s="77"/>
      <c r="L22" s="15"/>
      <c r="M22" s="86"/>
      <c r="N22" s="15"/>
      <c r="O22" s="15"/>
      <c r="P22" s="15"/>
      <c r="Q22" s="43"/>
      <c r="R22" s="43"/>
      <c r="S22" s="43"/>
      <c r="T22" s="15"/>
      <c r="U22" s="15"/>
      <c r="V22" s="15"/>
      <c r="W22" s="15"/>
      <c r="X22" s="43"/>
      <c r="Y22" s="15"/>
      <c r="Z22" s="15"/>
      <c r="AA22" s="15"/>
      <c r="AB22" s="43"/>
      <c r="AC22" s="15"/>
      <c r="AD22" s="15"/>
      <c r="AE22" s="15"/>
      <c r="AF22" s="15"/>
      <c r="AG22" s="43">
        <v>3</v>
      </c>
      <c r="AH22" s="43"/>
      <c r="AI22" s="15"/>
      <c r="AJ22" s="15"/>
      <c r="AK22" s="44"/>
      <c r="AL22" s="15"/>
      <c r="AM22" s="15"/>
    </row>
    <row r="23" spans="2:39" s="14" customFormat="1" ht="41.25" customHeight="1">
      <c r="B23" s="18">
        <v>46211</v>
      </c>
      <c r="C23" s="57">
        <f t="shared" si="6"/>
        <v>7</v>
      </c>
      <c r="D23" s="18" t="s">
        <v>7</v>
      </c>
      <c r="E23" s="18" t="s">
        <v>78</v>
      </c>
      <c r="F23" s="15" t="s">
        <v>88</v>
      </c>
      <c r="G23" s="19" t="s">
        <v>91</v>
      </c>
      <c r="H23" s="19" t="s">
        <v>148</v>
      </c>
      <c r="I23" s="19" t="s">
        <v>150</v>
      </c>
      <c r="J23" s="43"/>
      <c r="K23" s="77"/>
      <c r="L23" s="15"/>
      <c r="M23" s="86"/>
      <c r="N23" s="15"/>
      <c r="O23" s="15"/>
      <c r="P23" s="15"/>
      <c r="Q23" s="43"/>
      <c r="R23" s="43"/>
      <c r="S23" s="43"/>
      <c r="T23" s="15">
        <v>3</v>
      </c>
      <c r="U23" s="15"/>
      <c r="V23" s="15"/>
      <c r="W23" s="15"/>
      <c r="X23" s="43"/>
      <c r="Y23" s="15"/>
      <c r="Z23" s="15"/>
      <c r="AA23" s="15"/>
      <c r="AB23" s="43"/>
      <c r="AC23" s="15"/>
      <c r="AD23" s="15"/>
      <c r="AE23" s="15"/>
      <c r="AF23" s="15"/>
      <c r="AG23" s="43"/>
      <c r="AH23" s="43"/>
      <c r="AI23" s="15"/>
      <c r="AJ23" s="15"/>
      <c r="AK23" s="44"/>
      <c r="AL23" s="15"/>
      <c r="AM23" s="15"/>
    </row>
    <row r="24" spans="2:39" s="14" customFormat="1" ht="41.25" customHeight="1">
      <c r="B24" s="18">
        <v>46213</v>
      </c>
      <c r="C24" s="57">
        <f t="shared" si="6"/>
        <v>7</v>
      </c>
      <c r="D24" s="18" t="s">
        <v>7</v>
      </c>
      <c r="E24" s="18" t="s">
        <v>78</v>
      </c>
      <c r="F24" s="15" t="s">
        <v>88</v>
      </c>
      <c r="G24" s="19" t="s">
        <v>76</v>
      </c>
      <c r="H24" s="19" t="s">
        <v>148</v>
      </c>
      <c r="I24" s="19" t="s">
        <v>150</v>
      </c>
      <c r="J24" s="43"/>
      <c r="K24" s="77">
        <v>2</v>
      </c>
      <c r="L24" s="15"/>
      <c r="M24" s="86"/>
      <c r="N24" s="15"/>
      <c r="O24" s="15"/>
      <c r="P24" s="15"/>
      <c r="Q24" s="43"/>
      <c r="R24" s="43"/>
      <c r="S24" s="43"/>
      <c r="T24" s="15"/>
      <c r="U24" s="15"/>
      <c r="V24" s="15"/>
      <c r="W24" s="15"/>
      <c r="X24" s="43"/>
      <c r="Y24" s="15"/>
      <c r="Z24" s="15"/>
      <c r="AA24" s="15"/>
      <c r="AB24" s="43"/>
      <c r="AC24" s="15"/>
      <c r="AD24" s="15"/>
      <c r="AE24" s="15"/>
      <c r="AF24" s="15"/>
      <c r="AG24" s="43"/>
      <c r="AH24" s="43"/>
      <c r="AI24" s="15"/>
      <c r="AJ24" s="15"/>
      <c r="AK24" s="44"/>
      <c r="AL24" s="15"/>
      <c r="AM24" s="15"/>
    </row>
    <row r="25" spans="2:39" s="14" customFormat="1" ht="41.25" customHeight="1">
      <c r="B25" s="18">
        <v>46213</v>
      </c>
      <c r="C25" s="57">
        <f t="shared" ref="C25:C26" si="7">IF(B25="","",MONTH(B25))</f>
        <v>7</v>
      </c>
      <c r="D25" s="18" t="s">
        <v>7</v>
      </c>
      <c r="E25" s="18" t="s">
        <v>78</v>
      </c>
      <c r="F25" s="15" t="s">
        <v>18</v>
      </c>
      <c r="G25" s="19" t="s">
        <v>76</v>
      </c>
      <c r="H25" s="19" t="s">
        <v>148</v>
      </c>
      <c r="I25" s="19" t="s">
        <v>149</v>
      </c>
      <c r="J25" s="43"/>
      <c r="K25" s="77">
        <v>1</v>
      </c>
      <c r="L25" s="15"/>
      <c r="M25" s="86"/>
      <c r="N25" s="15"/>
      <c r="O25" s="15"/>
      <c r="P25" s="15"/>
      <c r="Q25" s="43"/>
      <c r="R25" s="43"/>
      <c r="S25" s="43"/>
      <c r="T25" s="15"/>
      <c r="U25" s="15"/>
      <c r="V25" s="15"/>
      <c r="W25" s="15"/>
      <c r="X25" s="43"/>
      <c r="Y25" s="15"/>
      <c r="Z25" s="15"/>
      <c r="AA25" s="15"/>
      <c r="AB25" s="43"/>
      <c r="AC25" s="15"/>
      <c r="AD25" s="15"/>
      <c r="AE25" s="15"/>
      <c r="AF25" s="15"/>
      <c r="AG25" s="43"/>
      <c r="AH25" s="43"/>
      <c r="AI25" s="15"/>
      <c r="AJ25" s="15"/>
      <c r="AK25" s="44"/>
      <c r="AL25" s="15"/>
      <c r="AM25" s="15"/>
    </row>
    <row r="26" spans="2:39" s="14" customFormat="1" ht="41.25" customHeight="1">
      <c r="B26" s="18">
        <v>46213</v>
      </c>
      <c r="C26" s="57">
        <f t="shared" si="7"/>
        <v>7</v>
      </c>
      <c r="D26" s="18" t="s">
        <v>7</v>
      </c>
      <c r="E26" s="18" t="s">
        <v>78</v>
      </c>
      <c r="F26" s="15" t="s">
        <v>88</v>
      </c>
      <c r="G26" s="19" t="s">
        <v>131</v>
      </c>
      <c r="H26" s="19" t="s">
        <v>148</v>
      </c>
      <c r="I26" s="19" t="s">
        <v>150</v>
      </c>
      <c r="J26" s="43"/>
      <c r="K26" s="77"/>
      <c r="L26" s="15"/>
      <c r="M26" s="86"/>
      <c r="N26" s="15"/>
      <c r="O26" s="15"/>
      <c r="P26" s="15"/>
      <c r="Q26" s="43"/>
      <c r="R26" s="43"/>
      <c r="S26" s="43">
        <v>1</v>
      </c>
      <c r="T26" s="15"/>
      <c r="U26" s="15"/>
      <c r="V26" s="15"/>
      <c r="W26" s="15"/>
      <c r="X26" s="43"/>
      <c r="Y26" s="15"/>
      <c r="Z26" s="15"/>
      <c r="AA26" s="15"/>
      <c r="AB26" s="43"/>
      <c r="AC26" s="15"/>
      <c r="AD26" s="15"/>
      <c r="AE26" s="15"/>
      <c r="AF26" s="15"/>
      <c r="AG26" s="43"/>
      <c r="AH26" s="43"/>
      <c r="AI26" s="15"/>
      <c r="AJ26" s="15"/>
      <c r="AK26" s="44"/>
      <c r="AL26" s="15"/>
      <c r="AM26" s="15"/>
    </row>
    <row r="27" spans="2:39" s="14" customFormat="1" ht="41.25" customHeight="1">
      <c r="B27" s="18">
        <v>46214</v>
      </c>
      <c r="C27" s="57">
        <f t="shared" si="6"/>
        <v>7</v>
      </c>
      <c r="D27" s="18" t="s">
        <v>7</v>
      </c>
      <c r="E27" s="18" t="s">
        <v>78</v>
      </c>
      <c r="F27" s="15" t="s">
        <v>88</v>
      </c>
      <c r="G27" s="19" t="s">
        <v>131</v>
      </c>
      <c r="H27" s="19" t="s">
        <v>148</v>
      </c>
      <c r="I27" s="19" t="s">
        <v>150</v>
      </c>
      <c r="J27" s="43"/>
      <c r="K27" s="77">
        <v>1</v>
      </c>
      <c r="L27" s="15"/>
      <c r="M27" s="86"/>
      <c r="N27" s="15"/>
      <c r="O27" s="15"/>
      <c r="P27" s="15"/>
      <c r="Q27" s="43"/>
      <c r="R27" s="43"/>
      <c r="S27" s="43"/>
      <c r="T27" s="15"/>
      <c r="U27" s="15"/>
      <c r="V27" s="15"/>
      <c r="W27" s="15"/>
      <c r="X27" s="43"/>
      <c r="Y27" s="15"/>
      <c r="Z27" s="15"/>
      <c r="AA27" s="15"/>
      <c r="AB27" s="43"/>
      <c r="AC27" s="15"/>
      <c r="AD27" s="15"/>
      <c r="AE27" s="15"/>
      <c r="AF27" s="15"/>
      <c r="AG27" s="43"/>
      <c r="AH27" s="43"/>
      <c r="AI27" s="15"/>
      <c r="AJ27" s="15"/>
      <c r="AK27" s="44"/>
      <c r="AL27" s="15"/>
      <c r="AM27" s="15"/>
    </row>
    <row r="28" spans="2:39" s="14" customFormat="1" ht="41.25" customHeight="1">
      <c r="B28" s="18">
        <v>46215</v>
      </c>
      <c r="C28" s="57">
        <f t="shared" si="6"/>
        <v>7</v>
      </c>
      <c r="D28" s="18" t="s">
        <v>7</v>
      </c>
      <c r="E28" s="18" t="s">
        <v>78</v>
      </c>
      <c r="F28" s="15" t="s">
        <v>88</v>
      </c>
      <c r="G28" s="19" t="s">
        <v>168</v>
      </c>
      <c r="H28" s="19" t="s">
        <v>148</v>
      </c>
      <c r="I28" s="19" t="s">
        <v>150</v>
      </c>
      <c r="J28" s="43"/>
      <c r="K28" s="77">
        <v>2</v>
      </c>
      <c r="L28" s="15"/>
      <c r="M28" s="86"/>
      <c r="N28" s="15"/>
      <c r="O28" s="15"/>
      <c r="P28" s="15"/>
      <c r="Q28" s="43"/>
      <c r="R28" s="43"/>
      <c r="S28" s="43"/>
      <c r="T28" s="15"/>
      <c r="U28" s="15"/>
      <c r="V28" s="15"/>
      <c r="W28" s="15"/>
      <c r="X28" s="43"/>
      <c r="Y28" s="15"/>
      <c r="Z28" s="15"/>
      <c r="AA28" s="15"/>
      <c r="AB28" s="43"/>
      <c r="AC28" s="15"/>
      <c r="AD28" s="15"/>
      <c r="AE28" s="15"/>
      <c r="AF28" s="15"/>
      <c r="AG28" s="43"/>
      <c r="AH28" s="43"/>
      <c r="AI28" s="15">
        <v>1</v>
      </c>
      <c r="AJ28" s="15">
        <v>1</v>
      </c>
      <c r="AK28" s="44"/>
      <c r="AL28" s="15"/>
      <c r="AM28" s="15"/>
    </row>
    <row r="29" spans="2:39" s="14" customFormat="1" ht="41.25" customHeight="1">
      <c r="B29" s="18">
        <v>46215</v>
      </c>
      <c r="C29" s="57">
        <f t="shared" si="6"/>
        <v>7</v>
      </c>
      <c r="D29" s="18" t="s">
        <v>7</v>
      </c>
      <c r="E29" s="18" t="s">
        <v>140</v>
      </c>
      <c r="F29" s="15" t="s">
        <v>18</v>
      </c>
      <c r="G29" s="19" t="s">
        <v>156</v>
      </c>
      <c r="H29" s="19" t="s">
        <v>148</v>
      </c>
      <c r="I29" s="19" t="s">
        <v>149</v>
      </c>
      <c r="J29" s="43"/>
      <c r="K29" s="77">
        <v>1</v>
      </c>
      <c r="L29" s="15"/>
      <c r="M29" s="86"/>
      <c r="N29" s="15"/>
      <c r="O29" s="15"/>
      <c r="P29" s="15"/>
      <c r="Q29" s="43"/>
      <c r="R29" s="43"/>
      <c r="S29" s="43"/>
      <c r="T29" s="15"/>
      <c r="U29" s="15"/>
      <c r="V29" s="15"/>
      <c r="W29" s="15">
        <v>1</v>
      </c>
      <c r="X29" s="43"/>
      <c r="Y29" s="15"/>
      <c r="Z29" s="15"/>
      <c r="AA29" s="15"/>
      <c r="AB29" s="43"/>
      <c r="AC29" s="15"/>
      <c r="AD29" s="15"/>
      <c r="AE29" s="15"/>
      <c r="AF29" s="15"/>
      <c r="AG29" s="43"/>
      <c r="AH29" s="43"/>
      <c r="AI29" s="15"/>
      <c r="AJ29" s="15"/>
      <c r="AK29" s="44"/>
      <c r="AL29" s="15"/>
      <c r="AM29" s="15"/>
    </row>
    <row r="30" spans="2:39" s="14" customFormat="1" ht="41.25" customHeight="1">
      <c r="B30" s="18">
        <v>46215</v>
      </c>
      <c r="C30" s="57">
        <f t="shared" si="6"/>
        <v>7</v>
      </c>
      <c r="D30" s="18" t="s">
        <v>7</v>
      </c>
      <c r="E30" s="18" t="s">
        <v>140</v>
      </c>
      <c r="F30" s="15" t="s">
        <v>88</v>
      </c>
      <c r="G30" s="19" t="s">
        <v>74</v>
      </c>
      <c r="H30" s="19" t="s">
        <v>148</v>
      </c>
      <c r="I30" s="19" t="s">
        <v>150</v>
      </c>
      <c r="J30" s="43"/>
      <c r="K30" s="77">
        <v>2</v>
      </c>
      <c r="L30" s="15"/>
      <c r="M30" s="86"/>
      <c r="N30" s="15"/>
      <c r="O30" s="15"/>
      <c r="P30" s="15"/>
      <c r="Q30" s="43"/>
      <c r="R30" s="43"/>
      <c r="S30" s="43"/>
      <c r="T30" s="15"/>
      <c r="U30" s="15"/>
      <c r="V30" s="15"/>
      <c r="W30" s="15"/>
      <c r="X30" s="43"/>
      <c r="Y30" s="15"/>
      <c r="Z30" s="15"/>
      <c r="AA30" s="15"/>
      <c r="AB30" s="43"/>
      <c r="AC30" s="15"/>
      <c r="AD30" s="15"/>
      <c r="AE30" s="15"/>
      <c r="AF30" s="15"/>
      <c r="AG30" s="43"/>
      <c r="AH30" s="43"/>
      <c r="AI30" s="15"/>
      <c r="AJ30" s="15"/>
      <c r="AK30" s="44"/>
      <c r="AL30" s="15"/>
      <c r="AM30" s="15"/>
    </row>
    <row r="31" spans="2:39" s="14" customFormat="1" ht="41.25" customHeight="1">
      <c r="B31" s="18">
        <v>46216</v>
      </c>
      <c r="C31" s="57">
        <f t="shared" si="6"/>
        <v>7</v>
      </c>
      <c r="D31" s="18" t="s">
        <v>7</v>
      </c>
      <c r="E31" s="18" t="s">
        <v>78</v>
      </c>
      <c r="F31" s="15" t="s">
        <v>88</v>
      </c>
      <c r="G31" s="19" t="s">
        <v>76</v>
      </c>
      <c r="H31" s="19" t="s">
        <v>148</v>
      </c>
      <c r="I31" s="19" t="s">
        <v>150</v>
      </c>
      <c r="J31" s="43">
        <v>1</v>
      </c>
      <c r="K31" s="77"/>
      <c r="L31" s="15">
        <v>1</v>
      </c>
      <c r="M31" s="86"/>
      <c r="N31" s="15"/>
      <c r="O31" s="15"/>
      <c r="P31" s="15"/>
      <c r="Q31" s="43"/>
      <c r="R31" s="43"/>
      <c r="S31" s="43"/>
      <c r="T31" s="15"/>
      <c r="U31" s="15"/>
      <c r="V31" s="15"/>
      <c r="W31" s="15"/>
      <c r="X31" s="43"/>
      <c r="Y31" s="15"/>
      <c r="Z31" s="15"/>
      <c r="AA31" s="15"/>
      <c r="AB31" s="43"/>
      <c r="AC31" s="15"/>
      <c r="AD31" s="15"/>
      <c r="AE31" s="15"/>
      <c r="AF31" s="15"/>
      <c r="AG31" s="43"/>
      <c r="AH31" s="43"/>
      <c r="AI31" s="15">
        <v>2</v>
      </c>
      <c r="AJ31" s="15"/>
      <c r="AK31" s="44"/>
      <c r="AL31" s="15">
        <v>1</v>
      </c>
      <c r="AM31" s="15"/>
    </row>
    <row r="32" spans="2:39" s="14" customFormat="1" ht="41.25" customHeight="1">
      <c r="B32" s="18">
        <v>46217</v>
      </c>
      <c r="C32" s="57">
        <f t="shared" si="6"/>
        <v>7</v>
      </c>
      <c r="D32" s="18" t="s">
        <v>7</v>
      </c>
      <c r="E32" s="18" t="s">
        <v>78</v>
      </c>
      <c r="F32" s="15" t="s">
        <v>18</v>
      </c>
      <c r="G32" s="19" t="s">
        <v>168</v>
      </c>
      <c r="H32" s="19" t="s">
        <v>148</v>
      </c>
      <c r="I32" s="19" t="s">
        <v>149</v>
      </c>
      <c r="J32" s="43"/>
      <c r="K32" s="77">
        <v>2</v>
      </c>
      <c r="L32" s="15"/>
      <c r="M32" s="86"/>
      <c r="N32" s="15"/>
      <c r="O32" s="15"/>
      <c r="P32" s="15"/>
      <c r="Q32" s="43"/>
      <c r="R32" s="43"/>
      <c r="S32" s="43"/>
      <c r="T32" s="15"/>
      <c r="U32" s="15"/>
      <c r="V32" s="15"/>
      <c r="W32" s="15"/>
      <c r="X32" s="43"/>
      <c r="Y32" s="15"/>
      <c r="Z32" s="15"/>
      <c r="AA32" s="15"/>
      <c r="AB32" s="43"/>
      <c r="AC32" s="15"/>
      <c r="AD32" s="15"/>
      <c r="AE32" s="15"/>
      <c r="AF32" s="15">
        <v>2</v>
      </c>
      <c r="AG32" s="43">
        <v>3</v>
      </c>
      <c r="AH32" s="43"/>
      <c r="AI32" s="15"/>
      <c r="AJ32" s="15"/>
      <c r="AK32" s="44"/>
      <c r="AL32" s="15"/>
      <c r="AM32" s="15"/>
    </row>
    <row r="33" spans="1:39" s="14" customFormat="1" ht="41.25" customHeight="1">
      <c r="B33" s="18">
        <v>46218</v>
      </c>
      <c r="C33" s="57">
        <f t="shared" si="6"/>
        <v>7</v>
      </c>
      <c r="D33" s="18" t="s">
        <v>7</v>
      </c>
      <c r="E33" s="18" t="s">
        <v>140</v>
      </c>
      <c r="F33" s="15" t="s">
        <v>18</v>
      </c>
      <c r="G33" s="96"/>
      <c r="H33" s="19" t="s">
        <v>148</v>
      </c>
      <c r="I33" s="19" t="s">
        <v>149</v>
      </c>
      <c r="J33" s="43"/>
      <c r="K33" s="77"/>
      <c r="L33" s="15"/>
      <c r="M33" s="86"/>
      <c r="N33" s="15"/>
      <c r="O33" s="15">
        <v>2</v>
      </c>
      <c r="P33" s="15">
        <v>1</v>
      </c>
      <c r="Q33" s="43"/>
      <c r="R33" s="43"/>
      <c r="S33" s="43"/>
      <c r="T33" s="15"/>
      <c r="U33" s="15"/>
      <c r="V33" s="15"/>
      <c r="W33" s="15"/>
      <c r="X33" s="43"/>
      <c r="Y33" s="15"/>
      <c r="Z33" s="15"/>
      <c r="AA33" s="15"/>
      <c r="AB33" s="43"/>
      <c r="AC33" s="15"/>
      <c r="AD33" s="15"/>
      <c r="AE33" s="15"/>
      <c r="AF33" s="15">
        <v>6</v>
      </c>
      <c r="AG33" s="43"/>
      <c r="AH33" s="43"/>
      <c r="AI33" s="15"/>
      <c r="AJ33" s="15"/>
      <c r="AK33" s="44"/>
      <c r="AL33" s="15"/>
      <c r="AM33" s="15"/>
    </row>
    <row r="34" spans="1:39" s="14" customFormat="1" ht="41.25" customHeight="1">
      <c r="B34" s="18">
        <v>46219</v>
      </c>
      <c r="C34" s="57">
        <f t="shared" si="6"/>
        <v>7</v>
      </c>
      <c r="D34" s="18" t="s">
        <v>7</v>
      </c>
      <c r="E34" s="18" t="s">
        <v>140</v>
      </c>
      <c r="F34" s="15" t="s">
        <v>18</v>
      </c>
      <c r="G34" s="96"/>
      <c r="H34" s="19" t="s">
        <v>148</v>
      </c>
      <c r="I34" s="19" t="s">
        <v>149</v>
      </c>
      <c r="J34" s="43"/>
      <c r="K34" s="77">
        <v>1</v>
      </c>
      <c r="L34" s="15"/>
      <c r="M34" s="86"/>
      <c r="N34" s="15"/>
      <c r="O34" s="15"/>
      <c r="P34" s="15"/>
      <c r="Q34" s="43"/>
      <c r="R34" s="43"/>
      <c r="S34" s="43"/>
      <c r="T34" s="15"/>
      <c r="U34" s="15"/>
      <c r="V34" s="15"/>
      <c r="W34" s="15"/>
      <c r="X34" s="43"/>
      <c r="Y34" s="15"/>
      <c r="Z34" s="15"/>
      <c r="AA34" s="15">
        <v>1</v>
      </c>
      <c r="AB34" s="43"/>
      <c r="AC34" s="15"/>
      <c r="AD34" s="15"/>
      <c r="AE34" s="15"/>
      <c r="AF34" s="15"/>
      <c r="AG34" s="43"/>
      <c r="AH34" s="43"/>
      <c r="AI34" s="15"/>
      <c r="AJ34" s="15"/>
      <c r="AK34" s="44"/>
      <c r="AL34" s="15"/>
      <c r="AM34" s="15"/>
    </row>
    <row r="35" spans="1:39" s="14" customFormat="1" ht="41.25" customHeight="1">
      <c r="B35" s="18">
        <v>46219</v>
      </c>
      <c r="C35" s="57">
        <f t="shared" si="6"/>
        <v>7</v>
      </c>
      <c r="D35" s="18" t="s">
        <v>7</v>
      </c>
      <c r="E35" s="18" t="s">
        <v>140</v>
      </c>
      <c r="F35" s="15" t="s">
        <v>88</v>
      </c>
      <c r="G35" s="19" t="s">
        <v>131</v>
      </c>
      <c r="H35" s="19" t="s">
        <v>148</v>
      </c>
      <c r="I35" s="19" t="s">
        <v>150</v>
      </c>
      <c r="J35" s="43"/>
      <c r="K35" s="77"/>
      <c r="L35" s="15"/>
      <c r="M35" s="86"/>
      <c r="N35" s="15"/>
      <c r="O35" s="15"/>
      <c r="P35" s="15"/>
      <c r="Q35" s="43"/>
      <c r="R35" s="43"/>
      <c r="S35" s="43"/>
      <c r="T35" s="15"/>
      <c r="U35" s="15"/>
      <c r="V35" s="15"/>
      <c r="W35" s="15"/>
      <c r="X35" s="43"/>
      <c r="Y35" s="15">
        <v>1</v>
      </c>
      <c r="Z35" s="15"/>
      <c r="AA35" s="15"/>
      <c r="AB35" s="43"/>
      <c r="AC35" s="15"/>
      <c r="AD35" s="15"/>
      <c r="AE35" s="15"/>
      <c r="AF35" s="15"/>
      <c r="AG35" s="43"/>
      <c r="AH35" s="43"/>
      <c r="AI35" s="15">
        <v>2</v>
      </c>
      <c r="AJ35" s="15">
        <v>2</v>
      </c>
      <c r="AK35" s="44"/>
      <c r="AL35" s="15"/>
      <c r="AM35" s="15"/>
    </row>
    <row r="36" spans="1:39" s="14" customFormat="1" ht="41.25" customHeight="1">
      <c r="B36" s="18">
        <v>46220</v>
      </c>
      <c r="C36" s="57">
        <f t="shared" si="6"/>
        <v>7</v>
      </c>
      <c r="D36" s="18" t="s">
        <v>7</v>
      </c>
      <c r="E36" s="18" t="s">
        <v>78</v>
      </c>
      <c r="F36" s="15" t="s">
        <v>88</v>
      </c>
      <c r="G36" s="19" t="s">
        <v>116</v>
      </c>
      <c r="H36" s="19" t="s">
        <v>148</v>
      </c>
      <c r="I36" s="19" t="s">
        <v>150</v>
      </c>
      <c r="J36" s="43"/>
      <c r="K36" s="77">
        <v>1</v>
      </c>
      <c r="L36" s="15"/>
      <c r="M36" s="86"/>
      <c r="N36" s="15"/>
      <c r="O36" s="15"/>
      <c r="P36" s="15"/>
      <c r="Q36" s="43"/>
      <c r="R36" s="43"/>
      <c r="S36" s="43"/>
      <c r="T36" s="15"/>
      <c r="U36" s="15"/>
      <c r="V36" s="15"/>
      <c r="W36" s="15"/>
      <c r="X36" s="43"/>
      <c r="Y36" s="15"/>
      <c r="Z36" s="15"/>
      <c r="AA36" s="15"/>
      <c r="AB36" s="43"/>
      <c r="AC36" s="15"/>
      <c r="AD36" s="15"/>
      <c r="AE36" s="15"/>
      <c r="AF36" s="15"/>
      <c r="AG36" s="43"/>
      <c r="AH36" s="43"/>
      <c r="AI36" s="15"/>
      <c r="AJ36" s="15"/>
      <c r="AK36" s="44"/>
      <c r="AL36" s="15"/>
      <c r="AM36" s="15"/>
    </row>
    <row r="37" spans="1:39" s="14" customFormat="1" ht="41.25" customHeight="1">
      <c r="B37" s="18">
        <v>46220</v>
      </c>
      <c r="C37" s="57">
        <f t="shared" si="6"/>
        <v>7</v>
      </c>
      <c r="D37" s="18" t="s">
        <v>7</v>
      </c>
      <c r="E37" s="18" t="s">
        <v>140</v>
      </c>
      <c r="F37" s="15" t="s">
        <v>88</v>
      </c>
      <c r="G37" s="19" t="s">
        <v>131</v>
      </c>
      <c r="H37" s="19" t="s">
        <v>148</v>
      </c>
      <c r="I37" s="19" t="s">
        <v>150</v>
      </c>
      <c r="J37" s="43"/>
      <c r="K37" s="77"/>
      <c r="L37" s="15"/>
      <c r="M37" s="86"/>
      <c r="N37" s="15"/>
      <c r="O37" s="15"/>
      <c r="P37" s="15"/>
      <c r="Q37" s="43"/>
      <c r="R37" s="43"/>
      <c r="S37" s="43"/>
      <c r="T37" s="15"/>
      <c r="U37" s="15"/>
      <c r="V37" s="15"/>
      <c r="W37" s="15"/>
      <c r="X37" s="43"/>
      <c r="Y37" s="15">
        <v>1</v>
      </c>
      <c r="Z37" s="15"/>
      <c r="AA37" s="15"/>
      <c r="AB37" s="43"/>
      <c r="AC37" s="15"/>
      <c r="AD37" s="15"/>
      <c r="AE37" s="15"/>
      <c r="AF37" s="15"/>
      <c r="AG37" s="43"/>
      <c r="AH37" s="43"/>
      <c r="AI37" s="15"/>
      <c r="AJ37" s="15"/>
      <c r="AK37" s="44"/>
      <c r="AL37" s="15"/>
      <c r="AM37" s="15"/>
    </row>
    <row r="38" spans="1:39" s="14" customFormat="1" ht="41.25" customHeight="1">
      <c r="B38" s="18">
        <v>46221</v>
      </c>
      <c r="C38" s="57">
        <f t="shared" si="6"/>
        <v>7</v>
      </c>
      <c r="D38" s="18" t="s">
        <v>7</v>
      </c>
      <c r="E38" s="18" t="s">
        <v>140</v>
      </c>
      <c r="F38" s="15" t="s">
        <v>88</v>
      </c>
      <c r="G38" s="96"/>
      <c r="H38" s="19" t="s">
        <v>148</v>
      </c>
      <c r="I38" s="19" t="s">
        <v>150</v>
      </c>
      <c r="J38" s="43"/>
      <c r="K38" s="77"/>
      <c r="L38" s="15">
        <v>4</v>
      </c>
      <c r="M38" s="86"/>
      <c r="N38" s="15"/>
      <c r="O38" s="15">
        <v>4</v>
      </c>
      <c r="P38" s="15"/>
      <c r="Q38" s="43"/>
      <c r="R38" s="43"/>
      <c r="S38" s="43"/>
      <c r="T38" s="15"/>
      <c r="U38" s="15"/>
      <c r="V38" s="15"/>
      <c r="W38" s="15"/>
      <c r="X38" s="43"/>
      <c r="Y38" s="15"/>
      <c r="Z38" s="15"/>
      <c r="AA38" s="15">
        <v>2</v>
      </c>
      <c r="AB38" s="43"/>
      <c r="AC38" s="15"/>
      <c r="AD38" s="15"/>
      <c r="AE38" s="15"/>
      <c r="AF38" s="15"/>
      <c r="AG38" s="43"/>
      <c r="AH38" s="43"/>
      <c r="AI38" s="15"/>
      <c r="AJ38" s="15">
        <v>2</v>
      </c>
      <c r="AK38" s="44"/>
      <c r="AL38" s="15">
        <v>1</v>
      </c>
      <c r="AM38" s="15"/>
    </row>
    <row r="39" spans="1:39" s="14" customFormat="1" ht="41.25" customHeight="1">
      <c r="B39" s="18">
        <v>46222</v>
      </c>
      <c r="C39" s="57">
        <f t="shared" si="6"/>
        <v>7</v>
      </c>
      <c r="D39" s="18" t="s">
        <v>7</v>
      </c>
      <c r="E39" s="18" t="s">
        <v>78</v>
      </c>
      <c r="F39" s="15" t="s">
        <v>18</v>
      </c>
      <c r="G39" s="19" t="s">
        <v>116</v>
      </c>
      <c r="H39" s="19" t="s">
        <v>148</v>
      </c>
      <c r="I39" s="19" t="s">
        <v>149</v>
      </c>
      <c r="J39" s="43"/>
      <c r="K39" s="77"/>
      <c r="L39" s="15"/>
      <c r="M39" s="86"/>
      <c r="N39" s="15"/>
      <c r="O39" s="15"/>
      <c r="P39" s="15"/>
      <c r="Q39" s="43"/>
      <c r="R39" s="43"/>
      <c r="S39" s="43"/>
      <c r="T39" s="15">
        <v>2</v>
      </c>
      <c r="U39" s="15"/>
      <c r="V39" s="15"/>
      <c r="W39" s="15"/>
      <c r="X39" s="43"/>
      <c r="Y39" s="15"/>
      <c r="Z39" s="15"/>
      <c r="AA39" s="15"/>
      <c r="AB39" s="43"/>
      <c r="AC39" s="15"/>
      <c r="AD39" s="15"/>
      <c r="AE39" s="15"/>
      <c r="AF39" s="15"/>
      <c r="AG39" s="43"/>
      <c r="AH39" s="43"/>
      <c r="AI39" s="15"/>
      <c r="AJ39" s="15"/>
      <c r="AK39" s="44"/>
      <c r="AL39" s="15"/>
      <c r="AM39" s="15"/>
    </row>
    <row r="40" spans="1:39" s="14" customFormat="1" ht="41.25" customHeight="1">
      <c r="B40" s="18">
        <v>46222</v>
      </c>
      <c r="C40" s="57">
        <f t="shared" si="6"/>
        <v>7</v>
      </c>
      <c r="D40" s="18" t="s">
        <v>7</v>
      </c>
      <c r="E40" s="18" t="s">
        <v>78</v>
      </c>
      <c r="F40" s="15" t="s">
        <v>18</v>
      </c>
      <c r="G40" s="19" t="s">
        <v>116</v>
      </c>
      <c r="H40" s="19" t="s">
        <v>148</v>
      </c>
      <c r="I40" s="19" t="s">
        <v>149</v>
      </c>
      <c r="J40" s="43"/>
      <c r="K40" s="77"/>
      <c r="L40" s="15"/>
      <c r="M40" s="86"/>
      <c r="N40" s="15"/>
      <c r="O40" s="15"/>
      <c r="P40" s="15"/>
      <c r="Q40" s="43"/>
      <c r="R40" s="43"/>
      <c r="S40" s="43"/>
      <c r="T40" s="15"/>
      <c r="U40" s="15"/>
      <c r="V40" s="15"/>
      <c r="W40" s="15"/>
      <c r="X40" s="43"/>
      <c r="Y40" s="15"/>
      <c r="Z40" s="15"/>
      <c r="AA40" s="15"/>
      <c r="AB40" s="43"/>
      <c r="AC40" s="15"/>
      <c r="AD40" s="15"/>
      <c r="AE40" s="15"/>
      <c r="AF40" s="15">
        <v>2</v>
      </c>
      <c r="AG40" s="43"/>
      <c r="AH40" s="43"/>
      <c r="AI40" s="15"/>
      <c r="AJ40" s="15"/>
      <c r="AK40" s="44"/>
      <c r="AL40" s="15"/>
      <c r="AM40" s="15"/>
    </row>
    <row r="41" spans="1:39" s="14" customFormat="1" ht="41.25" customHeight="1">
      <c r="A41" s="35"/>
      <c r="B41" s="18">
        <v>46223</v>
      </c>
      <c r="C41" s="57">
        <f t="shared" si="6"/>
        <v>7</v>
      </c>
      <c r="D41" s="18" t="s">
        <v>7</v>
      </c>
      <c r="E41" s="18" t="s">
        <v>78</v>
      </c>
      <c r="F41" s="15" t="s">
        <v>88</v>
      </c>
      <c r="G41" s="19" t="s">
        <v>116</v>
      </c>
      <c r="H41" s="19" t="s">
        <v>148</v>
      </c>
      <c r="I41" s="19" t="s">
        <v>150</v>
      </c>
      <c r="J41" s="43"/>
      <c r="K41" s="77">
        <v>1</v>
      </c>
      <c r="L41" s="15"/>
      <c r="M41" s="86"/>
      <c r="N41" s="15"/>
      <c r="O41" s="15"/>
      <c r="P41" s="15"/>
      <c r="Q41" s="43"/>
      <c r="R41" s="43"/>
      <c r="S41" s="43"/>
      <c r="T41" s="15"/>
      <c r="U41" s="15"/>
      <c r="V41" s="15"/>
      <c r="W41" s="15"/>
      <c r="X41" s="43"/>
      <c r="Y41" s="15"/>
      <c r="Z41" s="15"/>
      <c r="AA41" s="15"/>
      <c r="AB41" s="43"/>
      <c r="AC41" s="15"/>
      <c r="AD41" s="15"/>
      <c r="AE41" s="15"/>
      <c r="AF41" s="15"/>
      <c r="AG41" s="43"/>
      <c r="AH41" s="43"/>
      <c r="AI41" s="15"/>
      <c r="AJ41" s="15"/>
      <c r="AK41" s="44"/>
      <c r="AL41" s="15"/>
      <c r="AM41" s="15"/>
    </row>
    <row r="42" spans="1:39" s="14" customFormat="1" ht="41.25" customHeight="1">
      <c r="B42" s="18">
        <v>46224</v>
      </c>
      <c r="C42" s="57">
        <f t="shared" si="6"/>
        <v>7</v>
      </c>
      <c r="D42" s="18" t="s">
        <v>7</v>
      </c>
      <c r="E42" s="18" t="s">
        <v>78</v>
      </c>
      <c r="F42" s="15" t="s">
        <v>18</v>
      </c>
      <c r="G42" s="19" t="s">
        <v>116</v>
      </c>
      <c r="H42" s="19" t="s">
        <v>148</v>
      </c>
      <c r="I42" s="19" t="s">
        <v>149</v>
      </c>
      <c r="J42" s="43"/>
      <c r="K42" s="77"/>
      <c r="L42" s="15"/>
      <c r="M42" s="86"/>
      <c r="N42" s="15"/>
      <c r="O42" s="15"/>
      <c r="P42" s="15"/>
      <c r="Q42" s="43"/>
      <c r="R42" s="43"/>
      <c r="S42" s="43"/>
      <c r="T42" s="15"/>
      <c r="U42" s="15"/>
      <c r="V42" s="15"/>
      <c r="W42" s="15"/>
      <c r="X42" s="43"/>
      <c r="Y42" s="15">
        <v>1</v>
      </c>
      <c r="Z42" s="15"/>
      <c r="AA42" s="15">
        <v>1</v>
      </c>
      <c r="AB42" s="43"/>
      <c r="AC42" s="15"/>
      <c r="AD42" s="15"/>
      <c r="AE42" s="15"/>
      <c r="AF42" s="15"/>
      <c r="AG42" s="43"/>
      <c r="AH42" s="43"/>
      <c r="AI42" s="15"/>
      <c r="AJ42" s="15">
        <v>3</v>
      </c>
      <c r="AK42" s="44"/>
      <c r="AL42" s="15"/>
      <c r="AM42" s="15"/>
    </row>
    <row r="43" spans="1:39" s="14" customFormat="1" ht="41.25" customHeight="1">
      <c r="B43" s="18">
        <v>46228</v>
      </c>
      <c r="C43" s="57">
        <f>IF(B43="","",MONTH(B43))</f>
        <v>7</v>
      </c>
      <c r="D43" s="18" t="s">
        <v>7</v>
      </c>
      <c r="E43" s="18" t="s">
        <v>140</v>
      </c>
      <c r="F43" s="15" t="s">
        <v>88</v>
      </c>
      <c r="G43" s="19" t="s">
        <v>161</v>
      </c>
      <c r="H43" s="19" t="s">
        <v>148</v>
      </c>
      <c r="I43" s="19" t="s">
        <v>150</v>
      </c>
      <c r="J43" s="43"/>
      <c r="K43" s="77">
        <v>1</v>
      </c>
      <c r="L43" s="15"/>
      <c r="M43" s="86"/>
      <c r="N43" s="15"/>
      <c r="O43" s="15"/>
      <c r="P43" s="15"/>
      <c r="Q43" s="43"/>
      <c r="R43" s="43"/>
      <c r="S43" s="43"/>
      <c r="T43" s="15"/>
      <c r="U43" s="15"/>
      <c r="V43" s="15"/>
      <c r="W43" s="15"/>
      <c r="X43" s="43"/>
      <c r="Y43" s="15"/>
      <c r="Z43" s="15"/>
      <c r="AA43" s="15"/>
      <c r="AB43" s="43"/>
      <c r="AC43" s="15"/>
      <c r="AD43" s="15"/>
      <c r="AE43" s="15"/>
      <c r="AF43" s="15"/>
      <c r="AG43" s="43"/>
      <c r="AH43" s="43"/>
      <c r="AI43" s="15"/>
      <c r="AJ43" s="15"/>
      <c r="AK43" s="44"/>
      <c r="AL43" s="15"/>
      <c r="AM43" s="15"/>
    </row>
    <row r="44" spans="1:39" s="14" customFormat="1" ht="41.25" customHeight="1">
      <c r="B44" s="18">
        <v>46228</v>
      </c>
      <c r="C44" s="57">
        <f>IF(B44="","",MONTH(B44))</f>
        <v>7</v>
      </c>
      <c r="D44" s="18" t="s">
        <v>7</v>
      </c>
      <c r="E44" s="18" t="s">
        <v>140</v>
      </c>
      <c r="F44" s="15" t="s">
        <v>88</v>
      </c>
      <c r="G44" s="19" t="s">
        <v>76</v>
      </c>
      <c r="H44" s="19" t="s">
        <v>148</v>
      </c>
      <c r="I44" s="19" t="s">
        <v>150</v>
      </c>
      <c r="J44" s="43"/>
      <c r="K44" s="77"/>
      <c r="L44" s="15"/>
      <c r="M44" s="86"/>
      <c r="N44" s="15"/>
      <c r="O44" s="15"/>
      <c r="P44" s="15"/>
      <c r="Q44" s="43"/>
      <c r="R44" s="43"/>
      <c r="S44" s="43"/>
      <c r="T44" s="15"/>
      <c r="U44" s="15"/>
      <c r="V44" s="15"/>
      <c r="W44" s="15"/>
      <c r="X44" s="43"/>
      <c r="Y44" s="15"/>
      <c r="Z44" s="15"/>
      <c r="AA44" s="15"/>
      <c r="AB44" s="43"/>
      <c r="AC44" s="15"/>
      <c r="AD44" s="15">
        <v>10</v>
      </c>
      <c r="AE44" s="15"/>
      <c r="AF44" s="15"/>
      <c r="AG44" s="43"/>
      <c r="AH44" s="43"/>
      <c r="AI44" s="15"/>
      <c r="AJ44" s="15"/>
      <c r="AK44" s="44"/>
      <c r="AL44" s="15"/>
      <c r="AM44" s="15"/>
    </row>
    <row r="45" spans="1:39" s="14" customFormat="1" ht="41.25" customHeight="1">
      <c r="B45" s="18">
        <v>46229</v>
      </c>
      <c r="C45" s="57">
        <f t="shared" si="6"/>
        <v>7</v>
      </c>
      <c r="D45" s="18" t="s">
        <v>7</v>
      </c>
      <c r="E45" s="18" t="s">
        <v>140</v>
      </c>
      <c r="F45" s="15" t="s">
        <v>88</v>
      </c>
      <c r="G45" s="19" t="s">
        <v>76</v>
      </c>
      <c r="H45" s="19" t="s">
        <v>148</v>
      </c>
      <c r="I45" s="19" t="s">
        <v>150</v>
      </c>
      <c r="J45" s="43"/>
      <c r="K45" s="77"/>
      <c r="L45" s="15"/>
      <c r="M45" s="86"/>
      <c r="N45" s="15"/>
      <c r="O45" s="15"/>
      <c r="P45" s="15"/>
      <c r="Q45" s="43"/>
      <c r="R45" s="43"/>
      <c r="S45" s="43"/>
      <c r="T45" s="15"/>
      <c r="U45" s="15"/>
      <c r="V45" s="15"/>
      <c r="W45" s="15"/>
      <c r="X45" s="43"/>
      <c r="Y45" s="15"/>
      <c r="Z45" s="15">
        <v>1</v>
      </c>
      <c r="AA45" s="15"/>
      <c r="AB45" s="43"/>
      <c r="AC45" s="15"/>
      <c r="AD45" s="15"/>
      <c r="AE45" s="15"/>
      <c r="AF45" s="15"/>
      <c r="AG45" s="43"/>
      <c r="AH45" s="43"/>
      <c r="AI45" s="15"/>
      <c r="AJ45" s="15"/>
      <c r="AK45" s="44"/>
      <c r="AL45" s="15"/>
      <c r="AM45" s="15"/>
    </row>
    <row r="46" spans="1:39" s="14" customFormat="1" ht="41.25" customHeight="1">
      <c r="B46" s="18">
        <v>46229</v>
      </c>
      <c r="C46" s="57">
        <f t="shared" si="4"/>
        <v>7</v>
      </c>
      <c r="D46" s="18" t="s">
        <v>7</v>
      </c>
      <c r="E46" s="18" t="s">
        <v>140</v>
      </c>
      <c r="F46" s="15" t="s">
        <v>88</v>
      </c>
      <c r="G46" s="19" t="s">
        <v>74</v>
      </c>
      <c r="H46" s="19" t="s">
        <v>148</v>
      </c>
      <c r="I46" s="19" t="s">
        <v>150</v>
      </c>
      <c r="J46" s="43"/>
      <c r="K46" s="77">
        <v>1</v>
      </c>
      <c r="L46" s="15"/>
      <c r="M46" s="86"/>
      <c r="N46" s="15"/>
      <c r="O46" s="15"/>
      <c r="P46" s="15"/>
      <c r="Q46" s="43"/>
      <c r="R46" s="43"/>
      <c r="S46" s="43"/>
      <c r="T46" s="15"/>
      <c r="U46" s="15"/>
      <c r="V46" s="15"/>
      <c r="W46" s="15"/>
      <c r="X46" s="43"/>
      <c r="Y46" s="15"/>
      <c r="Z46" s="15"/>
      <c r="AA46" s="15"/>
      <c r="AB46" s="43"/>
      <c r="AC46" s="15"/>
      <c r="AD46" s="15"/>
      <c r="AE46" s="15"/>
      <c r="AF46" s="15"/>
      <c r="AG46" s="43"/>
      <c r="AH46" s="43"/>
      <c r="AI46" s="15"/>
      <c r="AJ46" s="15"/>
      <c r="AK46" s="44"/>
      <c r="AL46" s="15"/>
      <c r="AM46" s="15"/>
    </row>
    <row r="47" spans="1:39" s="14" customFormat="1" ht="41.25" customHeight="1">
      <c r="B47" s="18">
        <v>46229</v>
      </c>
      <c r="C47" s="57">
        <f t="shared" si="4"/>
        <v>7</v>
      </c>
      <c r="D47" s="18" t="s">
        <v>7</v>
      </c>
      <c r="E47" s="18" t="s">
        <v>140</v>
      </c>
      <c r="F47" s="15" t="s">
        <v>18</v>
      </c>
      <c r="G47" s="19" t="s">
        <v>169</v>
      </c>
      <c r="H47" s="19" t="s">
        <v>148</v>
      </c>
      <c r="I47" s="19" t="s">
        <v>150</v>
      </c>
      <c r="J47" s="43"/>
      <c r="K47" s="77">
        <v>2</v>
      </c>
      <c r="L47" s="15"/>
      <c r="M47" s="86"/>
      <c r="N47" s="15"/>
      <c r="O47" s="15"/>
      <c r="P47" s="15"/>
      <c r="Q47" s="43"/>
      <c r="R47" s="43"/>
      <c r="S47" s="43"/>
      <c r="T47" s="15"/>
      <c r="U47" s="15"/>
      <c r="V47" s="15"/>
      <c r="W47" s="15"/>
      <c r="X47" s="43"/>
      <c r="Y47" s="15"/>
      <c r="Z47" s="15"/>
      <c r="AA47" s="15"/>
      <c r="AB47" s="43"/>
      <c r="AC47" s="15"/>
      <c r="AD47" s="15"/>
      <c r="AE47" s="15"/>
      <c r="AF47" s="15"/>
      <c r="AG47" s="43"/>
      <c r="AH47" s="43"/>
      <c r="AI47" s="15"/>
      <c r="AJ47" s="15"/>
      <c r="AK47" s="44"/>
      <c r="AL47" s="15"/>
      <c r="AM47" s="15"/>
    </row>
    <row r="48" spans="1:39" s="14" customFormat="1" ht="41.25" customHeight="1">
      <c r="B48" s="18">
        <v>46229</v>
      </c>
      <c r="C48" s="57">
        <f t="shared" si="4"/>
        <v>7</v>
      </c>
      <c r="D48" s="18" t="s">
        <v>7</v>
      </c>
      <c r="E48" s="18" t="s">
        <v>140</v>
      </c>
      <c r="F48" s="15" t="s">
        <v>18</v>
      </c>
      <c r="G48" s="19" t="s">
        <v>75</v>
      </c>
      <c r="H48" s="19" t="s">
        <v>148</v>
      </c>
      <c r="I48" s="19" t="s">
        <v>150</v>
      </c>
      <c r="J48" s="43"/>
      <c r="K48" s="77"/>
      <c r="L48" s="15"/>
      <c r="M48" s="86"/>
      <c r="N48" s="15"/>
      <c r="O48" s="15"/>
      <c r="P48" s="15"/>
      <c r="Q48" s="43"/>
      <c r="R48" s="43"/>
      <c r="S48" s="43"/>
      <c r="T48" s="15"/>
      <c r="U48" s="15"/>
      <c r="V48" s="15"/>
      <c r="W48" s="15"/>
      <c r="X48" s="43"/>
      <c r="Y48" s="15"/>
      <c r="Z48" s="15"/>
      <c r="AA48" s="15">
        <v>1</v>
      </c>
      <c r="AB48" s="43"/>
      <c r="AC48" s="15"/>
      <c r="AD48" s="15"/>
      <c r="AE48" s="15"/>
      <c r="AF48" s="15"/>
      <c r="AG48" s="43"/>
      <c r="AH48" s="43"/>
      <c r="AI48" s="15"/>
      <c r="AJ48" s="15"/>
      <c r="AK48" s="44"/>
      <c r="AL48" s="15"/>
      <c r="AM48" s="15"/>
    </row>
    <row r="49" spans="2:39" s="14" customFormat="1" ht="41.25" customHeight="1">
      <c r="B49" s="18">
        <v>46229</v>
      </c>
      <c r="C49" s="57">
        <f t="shared" si="4"/>
        <v>7</v>
      </c>
      <c r="D49" s="18" t="s">
        <v>7</v>
      </c>
      <c r="E49" s="18" t="s">
        <v>140</v>
      </c>
      <c r="F49" s="15" t="s">
        <v>88</v>
      </c>
      <c r="G49" s="19" t="s">
        <v>161</v>
      </c>
      <c r="H49" s="19" t="s">
        <v>148</v>
      </c>
      <c r="I49" s="19" t="s">
        <v>150</v>
      </c>
      <c r="J49" s="43"/>
      <c r="K49" s="77"/>
      <c r="L49" s="15"/>
      <c r="M49" s="86"/>
      <c r="N49" s="15"/>
      <c r="O49" s="15"/>
      <c r="P49" s="15"/>
      <c r="Q49" s="43"/>
      <c r="R49" s="43"/>
      <c r="S49" s="43"/>
      <c r="T49" s="15"/>
      <c r="U49" s="15"/>
      <c r="V49" s="15"/>
      <c r="W49" s="15"/>
      <c r="X49" s="43"/>
      <c r="Y49" s="15"/>
      <c r="Z49" s="15"/>
      <c r="AA49" s="15"/>
      <c r="AB49" s="43"/>
      <c r="AC49" s="15"/>
      <c r="AD49" s="15"/>
      <c r="AE49" s="15"/>
      <c r="AF49" s="15"/>
      <c r="AG49" s="43">
        <v>4</v>
      </c>
      <c r="AH49" s="43"/>
      <c r="AI49" s="15"/>
      <c r="AJ49" s="15"/>
      <c r="AK49" s="44"/>
      <c r="AL49" s="15"/>
      <c r="AM49" s="15"/>
    </row>
    <row r="50" spans="2:39" s="14" customFormat="1" ht="41.25" customHeight="1">
      <c r="B50" s="18">
        <v>46230</v>
      </c>
      <c r="C50" s="57">
        <f t="shared" si="4"/>
        <v>7</v>
      </c>
      <c r="D50" s="18" t="s">
        <v>7</v>
      </c>
      <c r="E50" s="18" t="s">
        <v>78</v>
      </c>
      <c r="F50" s="15" t="s">
        <v>88</v>
      </c>
      <c r="G50" s="19" t="s">
        <v>74</v>
      </c>
      <c r="H50" s="19" t="s">
        <v>148</v>
      </c>
      <c r="I50" s="19" t="s">
        <v>150</v>
      </c>
      <c r="J50" s="43"/>
      <c r="K50" s="77"/>
      <c r="L50" s="15"/>
      <c r="M50" s="86"/>
      <c r="N50" s="15"/>
      <c r="O50" s="15"/>
      <c r="P50" s="15"/>
      <c r="Q50" s="43"/>
      <c r="R50" s="43"/>
      <c r="S50" s="43"/>
      <c r="T50" s="15"/>
      <c r="U50" s="15"/>
      <c r="V50" s="15"/>
      <c r="W50" s="15"/>
      <c r="X50" s="43"/>
      <c r="Y50" s="15"/>
      <c r="Z50" s="15"/>
      <c r="AA50" s="15">
        <v>1</v>
      </c>
      <c r="AB50" s="43"/>
      <c r="AC50" s="15"/>
      <c r="AD50" s="15"/>
      <c r="AE50" s="15"/>
      <c r="AF50" s="15"/>
      <c r="AG50" s="43"/>
      <c r="AH50" s="43"/>
      <c r="AI50" s="15"/>
      <c r="AJ50" s="15"/>
      <c r="AK50" s="43"/>
      <c r="AL50" s="15"/>
      <c r="AM50" s="72"/>
    </row>
    <row r="51" spans="2:39" s="14" customFormat="1" ht="41.25" customHeight="1">
      <c r="B51" s="18">
        <v>46230</v>
      </c>
      <c r="C51" s="57">
        <v>7</v>
      </c>
      <c r="D51" s="18" t="s">
        <v>7</v>
      </c>
      <c r="E51" s="18" t="s">
        <v>78</v>
      </c>
      <c r="F51" s="15" t="s">
        <v>88</v>
      </c>
      <c r="G51" s="19" t="s">
        <v>74</v>
      </c>
      <c r="H51" s="19" t="s">
        <v>148</v>
      </c>
      <c r="I51" s="19" t="s">
        <v>150</v>
      </c>
      <c r="J51" s="44"/>
      <c r="K51" s="78"/>
      <c r="L51" s="19"/>
      <c r="M51" s="87"/>
      <c r="N51" s="19"/>
      <c r="O51" s="19"/>
      <c r="P51" s="19"/>
      <c r="Q51" s="44"/>
      <c r="R51" s="44"/>
      <c r="S51" s="44"/>
      <c r="T51" s="19"/>
      <c r="U51" s="19"/>
      <c r="V51" s="19"/>
      <c r="W51" s="19"/>
      <c r="X51" s="44"/>
      <c r="Y51" s="19"/>
      <c r="Z51" s="19">
        <v>1</v>
      </c>
      <c r="AA51" s="19"/>
      <c r="AB51" s="44"/>
      <c r="AC51" s="19"/>
      <c r="AD51" s="19"/>
      <c r="AE51" s="19"/>
      <c r="AF51" s="19"/>
      <c r="AG51" s="44"/>
      <c r="AH51" s="44"/>
      <c r="AI51" s="19"/>
      <c r="AJ51" s="19"/>
      <c r="AK51" s="43"/>
      <c r="AL51" s="19"/>
      <c r="AM51" s="19"/>
    </row>
    <row r="52" spans="2:39" s="14" customFormat="1" ht="41.25" customHeight="1">
      <c r="B52" s="18">
        <v>46231</v>
      </c>
      <c r="C52" s="57">
        <f t="shared" si="4"/>
        <v>7</v>
      </c>
      <c r="D52" s="18" t="s">
        <v>7</v>
      </c>
      <c r="E52" s="18" t="s">
        <v>78</v>
      </c>
      <c r="F52" s="15" t="s">
        <v>18</v>
      </c>
      <c r="G52" s="19" t="s">
        <v>169</v>
      </c>
      <c r="H52" s="19" t="s">
        <v>148</v>
      </c>
      <c r="I52" s="19" t="s">
        <v>150</v>
      </c>
      <c r="J52" s="44"/>
      <c r="K52" s="78"/>
      <c r="L52" s="19"/>
      <c r="M52" s="87"/>
      <c r="N52" s="19"/>
      <c r="O52" s="19"/>
      <c r="P52" s="19"/>
      <c r="Q52" s="44"/>
      <c r="R52" s="44"/>
      <c r="S52" s="44"/>
      <c r="T52" s="19"/>
      <c r="U52" s="19"/>
      <c r="V52" s="19"/>
      <c r="W52" s="19"/>
      <c r="X52" s="44"/>
      <c r="Y52" s="19"/>
      <c r="Z52" s="19"/>
      <c r="AA52" s="19">
        <v>1</v>
      </c>
      <c r="AB52" s="44"/>
      <c r="AC52" s="19"/>
      <c r="AD52" s="19"/>
      <c r="AE52" s="19"/>
      <c r="AF52" s="19"/>
      <c r="AG52" s="44"/>
      <c r="AH52" s="44"/>
      <c r="AI52" s="19"/>
      <c r="AJ52" s="19"/>
      <c r="AK52" s="44"/>
      <c r="AL52" s="19"/>
      <c r="AM52" s="19"/>
    </row>
    <row r="53" spans="2:39" s="14" customFormat="1" ht="41.25" customHeight="1">
      <c r="B53" s="18">
        <v>46231</v>
      </c>
      <c r="C53" s="57">
        <f t="shared" si="4"/>
        <v>7</v>
      </c>
      <c r="D53" s="18" t="s">
        <v>7</v>
      </c>
      <c r="E53" s="18" t="s">
        <v>78</v>
      </c>
      <c r="F53" s="15" t="s">
        <v>18</v>
      </c>
      <c r="G53" s="19" t="s">
        <v>169</v>
      </c>
      <c r="H53" s="19" t="s">
        <v>148</v>
      </c>
      <c r="I53" s="19" t="s">
        <v>150</v>
      </c>
      <c r="J53" s="43"/>
      <c r="K53" s="77"/>
      <c r="L53" s="15"/>
      <c r="M53" s="86"/>
      <c r="N53" s="15"/>
      <c r="O53" s="15"/>
      <c r="P53" s="15"/>
      <c r="Q53" s="43"/>
      <c r="R53" s="43"/>
      <c r="S53" s="43"/>
      <c r="T53" s="15"/>
      <c r="U53" s="15"/>
      <c r="V53" s="15"/>
      <c r="W53" s="15"/>
      <c r="X53" s="43"/>
      <c r="Y53" s="15">
        <v>1</v>
      </c>
      <c r="Z53" s="15"/>
      <c r="AA53" s="15"/>
      <c r="AB53" s="43"/>
      <c r="AC53" s="15"/>
      <c r="AD53" s="15"/>
      <c r="AE53" s="15"/>
      <c r="AF53" s="15"/>
      <c r="AG53" s="43"/>
      <c r="AH53" s="43"/>
      <c r="AI53" s="15"/>
      <c r="AJ53" s="15"/>
      <c r="AK53" s="44"/>
      <c r="AL53" s="15"/>
      <c r="AM53" s="15"/>
    </row>
    <row r="54" spans="2:39" s="14" customFormat="1" ht="41.25" customHeight="1">
      <c r="B54" s="18">
        <v>46231</v>
      </c>
      <c r="C54" s="57">
        <f t="shared" si="4"/>
        <v>7</v>
      </c>
      <c r="D54" s="18" t="s">
        <v>7</v>
      </c>
      <c r="E54" s="18" t="s">
        <v>140</v>
      </c>
      <c r="F54" s="15" t="s">
        <v>18</v>
      </c>
      <c r="G54" s="19" t="s">
        <v>161</v>
      </c>
      <c r="H54" s="19" t="s">
        <v>148</v>
      </c>
      <c r="I54" s="19" t="s">
        <v>150</v>
      </c>
      <c r="J54" s="43"/>
      <c r="K54" s="77">
        <v>1</v>
      </c>
      <c r="L54" s="15"/>
      <c r="M54" s="86"/>
      <c r="N54" s="15"/>
      <c r="O54" s="15"/>
      <c r="P54" s="15"/>
      <c r="Q54" s="43"/>
      <c r="R54" s="43"/>
      <c r="S54" s="43"/>
      <c r="T54" s="15"/>
      <c r="U54" s="15"/>
      <c r="V54" s="15"/>
      <c r="W54" s="15"/>
      <c r="X54" s="43"/>
      <c r="Y54" s="15"/>
      <c r="Z54" s="15"/>
      <c r="AA54" s="15"/>
      <c r="AB54" s="43"/>
      <c r="AC54" s="15"/>
      <c r="AD54" s="15"/>
      <c r="AE54" s="15"/>
      <c r="AF54" s="15"/>
      <c r="AG54" s="43"/>
      <c r="AH54" s="43"/>
      <c r="AI54" s="15"/>
      <c r="AJ54" s="15"/>
      <c r="AK54" s="43"/>
      <c r="AL54" s="15"/>
      <c r="AM54" s="15"/>
    </row>
    <row r="55" spans="2:39" s="14" customFormat="1" ht="41.25" customHeight="1">
      <c r="B55" s="18">
        <v>46231</v>
      </c>
      <c r="C55" s="57">
        <f t="shared" si="4"/>
        <v>7</v>
      </c>
      <c r="D55" s="18" t="s">
        <v>7</v>
      </c>
      <c r="E55" s="18" t="s">
        <v>140</v>
      </c>
      <c r="F55" s="15" t="s">
        <v>18</v>
      </c>
      <c r="G55" s="19" t="s">
        <v>161</v>
      </c>
      <c r="H55" s="19" t="s">
        <v>148</v>
      </c>
      <c r="I55" s="19" t="s">
        <v>150</v>
      </c>
      <c r="J55" s="44"/>
      <c r="K55" s="78"/>
      <c r="L55" s="19"/>
      <c r="M55" s="87"/>
      <c r="N55" s="19"/>
      <c r="O55" s="19"/>
      <c r="P55" s="19"/>
      <c r="Q55" s="44"/>
      <c r="R55" s="44"/>
      <c r="S55" s="44"/>
      <c r="T55" s="19"/>
      <c r="U55" s="19"/>
      <c r="V55" s="19"/>
      <c r="W55" s="19"/>
      <c r="X55" s="44"/>
      <c r="Y55" s="19"/>
      <c r="Z55" s="19"/>
      <c r="AA55" s="19"/>
      <c r="AB55" s="44"/>
      <c r="AC55" s="19"/>
      <c r="AD55" s="19"/>
      <c r="AE55" s="19"/>
      <c r="AF55" s="19"/>
      <c r="AG55" s="44"/>
      <c r="AH55" s="44"/>
      <c r="AI55" s="19"/>
      <c r="AJ55" s="19">
        <v>2</v>
      </c>
      <c r="AK55" s="43"/>
      <c r="AL55" s="19"/>
      <c r="AM55" s="19"/>
    </row>
    <row r="56" spans="2:39" s="14" customFormat="1" ht="41.25" customHeight="1">
      <c r="B56" s="18">
        <v>46231</v>
      </c>
      <c r="C56" s="57">
        <f t="shared" si="4"/>
        <v>7</v>
      </c>
      <c r="D56" s="18" t="s">
        <v>7</v>
      </c>
      <c r="E56" s="18" t="s">
        <v>140</v>
      </c>
      <c r="F56" s="15" t="s">
        <v>18</v>
      </c>
      <c r="G56" s="19" t="s">
        <v>161</v>
      </c>
      <c r="H56" s="19" t="s">
        <v>148</v>
      </c>
      <c r="I56" s="19" t="s">
        <v>150</v>
      </c>
      <c r="J56" s="47"/>
      <c r="K56" s="79"/>
      <c r="L56" s="22"/>
      <c r="M56" s="88"/>
      <c r="N56" s="22"/>
      <c r="O56" s="22"/>
      <c r="P56" s="22"/>
      <c r="Q56" s="47"/>
      <c r="R56" s="47"/>
      <c r="S56" s="47"/>
      <c r="T56" s="22"/>
      <c r="U56" s="22"/>
      <c r="V56" s="22">
        <v>1</v>
      </c>
      <c r="W56" s="22"/>
      <c r="X56" s="47"/>
      <c r="Y56" s="22"/>
      <c r="Z56" s="22"/>
      <c r="AA56" s="22"/>
      <c r="AB56" s="47"/>
      <c r="AC56" s="22"/>
      <c r="AD56" s="22"/>
      <c r="AE56" s="22"/>
      <c r="AF56" s="22"/>
      <c r="AG56" s="47"/>
      <c r="AH56" s="47"/>
      <c r="AI56" s="22"/>
      <c r="AJ56" s="22"/>
      <c r="AK56" s="44"/>
      <c r="AL56" s="22"/>
      <c r="AM56" s="22"/>
    </row>
    <row r="57" spans="2:39" s="14" customFormat="1" ht="41.25" customHeight="1">
      <c r="B57" s="18"/>
      <c r="C57" s="57" t="str">
        <f t="shared" si="4"/>
        <v/>
      </c>
      <c r="D57" s="18"/>
      <c r="E57" s="18"/>
      <c r="F57" s="15"/>
      <c r="G57" s="19"/>
      <c r="H57" s="19"/>
      <c r="I57" s="19"/>
      <c r="J57" s="47"/>
      <c r="K57" s="79"/>
      <c r="L57" s="22"/>
      <c r="M57" s="88"/>
      <c r="N57" s="22"/>
      <c r="O57" s="22"/>
      <c r="P57" s="22"/>
      <c r="Q57" s="47"/>
      <c r="R57" s="47"/>
      <c r="S57" s="47"/>
      <c r="T57" s="22"/>
      <c r="U57" s="22"/>
      <c r="V57" s="22"/>
      <c r="W57" s="22"/>
      <c r="X57" s="47"/>
      <c r="Y57" s="22"/>
      <c r="Z57" s="22"/>
      <c r="AA57" s="22"/>
      <c r="AB57" s="47"/>
      <c r="AC57" s="22"/>
      <c r="AD57" s="22"/>
      <c r="AE57" s="22"/>
      <c r="AF57" s="22"/>
      <c r="AG57" s="47"/>
      <c r="AH57" s="47"/>
      <c r="AI57" s="22"/>
      <c r="AJ57" s="22"/>
      <c r="AK57" s="47"/>
      <c r="AL57" s="22"/>
      <c r="AM57" s="22"/>
    </row>
    <row r="58" spans="2:39" s="14" customFormat="1" ht="41.25" customHeight="1">
      <c r="B58" s="18"/>
      <c r="C58" s="57" t="str">
        <f t="shared" si="4"/>
        <v/>
      </c>
      <c r="D58" s="18"/>
      <c r="E58" s="18"/>
      <c r="F58" s="15"/>
      <c r="G58" s="19"/>
      <c r="H58" s="19"/>
      <c r="I58" s="19"/>
      <c r="J58" s="47"/>
      <c r="K58" s="79"/>
      <c r="L58" s="22"/>
      <c r="M58" s="88"/>
      <c r="N58" s="22"/>
      <c r="O58" s="22"/>
      <c r="P58" s="22"/>
      <c r="Q58" s="47"/>
      <c r="R58" s="47"/>
      <c r="S58" s="47"/>
      <c r="T58" s="22"/>
      <c r="U58" s="22"/>
      <c r="V58" s="22"/>
      <c r="W58" s="22"/>
      <c r="X58" s="47"/>
      <c r="Y58" s="22"/>
      <c r="Z58" s="22"/>
      <c r="AA58" s="22"/>
      <c r="AB58" s="47"/>
      <c r="AC58" s="22"/>
      <c r="AD58" s="22"/>
      <c r="AE58" s="22"/>
      <c r="AF58" s="22"/>
      <c r="AG58" s="47"/>
      <c r="AH58" s="47"/>
      <c r="AI58" s="22"/>
      <c r="AJ58" s="22"/>
      <c r="AK58" s="47"/>
      <c r="AL58" s="22"/>
      <c r="AM58" s="22"/>
    </row>
    <row r="59" spans="2:39" s="14" customFormat="1" ht="41.25" customHeight="1">
      <c r="B59" s="18"/>
      <c r="C59" s="57" t="str">
        <f t="shared" si="4"/>
        <v/>
      </c>
      <c r="D59" s="18"/>
      <c r="E59" s="18"/>
      <c r="F59" s="15"/>
      <c r="G59" s="19"/>
      <c r="H59" s="19"/>
      <c r="I59" s="19"/>
      <c r="J59" s="47"/>
      <c r="K59" s="79"/>
      <c r="L59" s="22"/>
      <c r="M59" s="88"/>
      <c r="N59" s="22"/>
      <c r="O59" s="22"/>
      <c r="P59" s="22"/>
      <c r="Q59" s="47"/>
      <c r="R59" s="47"/>
      <c r="S59" s="47"/>
      <c r="T59" s="22"/>
      <c r="U59" s="22"/>
      <c r="V59" s="22"/>
      <c r="W59" s="22"/>
      <c r="X59" s="47"/>
      <c r="Y59" s="22"/>
      <c r="Z59" s="22"/>
      <c r="AA59" s="22"/>
      <c r="AB59" s="47"/>
      <c r="AC59" s="22"/>
      <c r="AD59" s="22"/>
      <c r="AE59" s="22"/>
      <c r="AF59" s="22"/>
      <c r="AG59" s="47"/>
      <c r="AH59" s="47"/>
      <c r="AI59" s="22"/>
      <c r="AJ59" s="22"/>
      <c r="AK59" s="47"/>
      <c r="AL59" s="22"/>
      <c r="AM59" s="22"/>
    </row>
    <row r="60" spans="2:39" s="14" customFormat="1" ht="41.25" customHeight="1">
      <c r="B60" s="18"/>
      <c r="C60" s="57" t="str">
        <f t="shared" si="4"/>
        <v/>
      </c>
      <c r="D60" s="18"/>
      <c r="E60" s="18"/>
      <c r="F60" s="15"/>
      <c r="G60" s="19"/>
      <c r="H60" s="19"/>
      <c r="I60" s="19"/>
      <c r="J60" s="47"/>
      <c r="K60" s="79"/>
      <c r="L60" s="22"/>
      <c r="M60" s="88"/>
      <c r="N60" s="22"/>
      <c r="O60" s="22"/>
      <c r="P60" s="22"/>
      <c r="Q60" s="47"/>
      <c r="R60" s="47"/>
      <c r="S60" s="47"/>
      <c r="T60" s="22"/>
      <c r="U60" s="22"/>
      <c r="V60" s="22"/>
      <c r="W60" s="22"/>
      <c r="X60" s="47"/>
      <c r="Y60" s="22"/>
      <c r="Z60" s="22"/>
      <c r="AA60" s="22"/>
      <c r="AB60" s="47"/>
      <c r="AC60" s="22"/>
      <c r="AD60" s="22"/>
      <c r="AE60" s="22"/>
      <c r="AF60" s="22"/>
      <c r="AG60" s="47"/>
      <c r="AH60" s="47"/>
      <c r="AI60" s="22"/>
      <c r="AJ60" s="22"/>
      <c r="AK60" s="47"/>
      <c r="AL60" s="22"/>
      <c r="AM60" s="22"/>
    </row>
    <row r="61" spans="2:39" s="14" customFormat="1" ht="41.25" customHeight="1">
      <c r="B61" s="18"/>
      <c r="C61" s="57" t="str">
        <f t="shared" si="4"/>
        <v/>
      </c>
      <c r="D61" s="18"/>
      <c r="E61" s="18"/>
      <c r="F61" s="15"/>
      <c r="G61" s="19"/>
      <c r="H61" s="19"/>
      <c r="I61" s="19"/>
      <c r="J61" s="43"/>
      <c r="K61" s="77"/>
      <c r="L61" s="15"/>
      <c r="M61" s="86"/>
      <c r="N61" s="15"/>
      <c r="O61" s="15"/>
      <c r="P61" s="15"/>
      <c r="Q61" s="43"/>
      <c r="R61" s="43"/>
      <c r="S61" s="43"/>
      <c r="T61" s="15"/>
      <c r="U61" s="15"/>
      <c r="V61" s="15"/>
      <c r="W61" s="15"/>
      <c r="X61" s="43"/>
      <c r="Y61" s="15"/>
      <c r="Z61" s="15"/>
      <c r="AA61" s="15"/>
      <c r="AB61" s="43"/>
      <c r="AC61" s="15"/>
      <c r="AD61" s="15"/>
      <c r="AE61" s="15"/>
      <c r="AF61" s="15"/>
      <c r="AG61" s="43"/>
      <c r="AH61" s="43"/>
      <c r="AI61" s="15"/>
      <c r="AJ61" s="15"/>
      <c r="AK61" s="47"/>
      <c r="AL61" s="15"/>
      <c r="AM61" s="15"/>
    </row>
    <row r="62" spans="2:39" s="14" customFormat="1" ht="41.25" customHeight="1">
      <c r="B62" s="18"/>
      <c r="C62" s="57" t="str">
        <f t="shared" si="4"/>
        <v/>
      </c>
      <c r="D62" s="18"/>
      <c r="E62" s="18"/>
      <c r="F62" s="15"/>
      <c r="G62" s="19"/>
      <c r="H62" s="19"/>
      <c r="I62" s="19"/>
      <c r="J62" s="43"/>
      <c r="K62" s="77"/>
      <c r="L62" s="15"/>
      <c r="M62" s="86"/>
      <c r="N62" s="15"/>
      <c r="O62" s="15"/>
      <c r="P62" s="15"/>
      <c r="Q62" s="43"/>
      <c r="R62" s="43"/>
      <c r="S62" s="43"/>
      <c r="T62" s="15"/>
      <c r="U62" s="15"/>
      <c r="V62" s="15"/>
      <c r="W62" s="15"/>
      <c r="X62" s="43"/>
      <c r="Y62" s="15"/>
      <c r="Z62" s="15"/>
      <c r="AA62" s="15"/>
      <c r="AB62" s="43"/>
      <c r="AC62" s="15"/>
      <c r="AD62" s="15"/>
      <c r="AE62" s="15"/>
      <c r="AF62" s="15"/>
      <c r="AG62" s="43"/>
      <c r="AH62" s="43"/>
      <c r="AI62" s="15"/>
      <c r="AJ62" s="15"/>
      <c r="AK62" s="43"/>
      <c r="AL62" s="15"/>
      <c r="AM62" s="15"/>
    </row>
    <row r="63" spans="2:39" s="14" customFormat="1" ht="41.25" customHeight="1">
      <c r="B63" s="18"/>
      <c r="C63" s="57" t="str">
        <f t="shared" si="4"/>
        <v/>
      </c>
      <c r="D63" s="18"/>
      <c r="E63" s="18"/>
      <c r="F63" s="15"/>
      <c r="G63" s="19"/>
      <c r="H63" s="19"/>
      <c r="I63" s="19"/>
      <c r="J63" s="43"/>
      <c r="K63" s="77"/>
      <c r="L63" s="15"/>
      <c r="M63" s="86"/>
      <c r="N63" s="15"/>
      <c r="O63" s="15"/>
      <c r="P63" s="15"/>
      <c r="Q63" s="43"/>
      <c r="R63" s="43"/>
      <c r="S63" s="43"/>
      <c r="T63" s="15"/>
      <c r="U63" s="15"/>
      <c r="V63" s="15"/>
      <c r="W63" s="15"/>
      <c r="X63" s="43"/>
      <c r="Y63" s="15"/>
      <c r="Z63" s="15"/>
      <c r="AA63" s="15"/>
      <c r="AB63" s="43"/>
      <c r="AC63" s="15"/>
      <c r="AD63" s="15"/>
      <c r="AE63" s="15"/>
      <c r="AF63" s="15"/>
      <c r="AG63" s="43"/>
      <c r="AH63" s="43"/>
      <c r="AI63" s="15"/>
      <c r="AJ63" s="15"/>
      <c r="AK63" s="43"/>
      <c r="AL63" s="15"/>
      <c r="AM63" s="15"/>
    </row>
    <row r="64" spans="2:39" s="14" customFormat="1" ht="41.25" customHeight="1">
      <c r="B64" s="18"/>
      <c r="C64" s="57" t="str">
        <f t="shared" si="4"/>
        <v/>
      </c>
      <c r="D64" s="18"/>
      <c r="E64" s="18"/>
      <c r="F64" s="15"/>
      <c r="G64" s="19"/>
      <c r="H64" s="19"/>
      <c r="I64" s="19"/>
      <c r="J64" s="15"/>
      <c r="K64" s="80"/>
      <c r="L64" s="15"/>
      <c r="M64" s="86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43"/>
      <c r="AL64" s="15"/>
      <c r="AM64" s="15"/>
    </row>
    <row r="65" spans="2:39" s="14" customFormat="1" ht="41.25" customHeight="1">
      <c r="B65" s="18"/>
      <c r="C65" s="57" t="str">
        <f t="shared" si="4"/>
        <v/>
      </c>
      <c r="D65" s="18"/>
      <c r="E65" s="18"/>
      <c r="F65" s="15"/>
      <c r="G65" s="19"/>
      <c r="H65" s="19"/>
      <c r="I65" s="19"/>
      <c r="J65" s="15"/>
      <c r="K65" s="80"/>
      <c r="L65" s="15"/>
      <c r="M65" s="8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</row>
    <row r="66" spans="2:39" s="14" customFormat="1" ht="41.25" customHeight="1">
      <c r="B66" s="18"/>
      <c r="C66" s="57" t="str">
        <f t="shared" si="4"/>
        <v/>
      </c>
      <c r="D66" s="18"/>
      <c r="E66" s="18"/>
      <c r="F66" s="15"/>
      <c r="G66" s="19"/>
      <c r="H66" s="19"/>
      <c r="I66" s="19"/>
      <c r="J66" s="15"/>
      <c r="K66" s="80"/>
      <c r="L66" s="15"/>
      <c r="M66" s="86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</row>
    <row r="67" spans="2:39" s="14" customFormat="1" ht="41.25" customHeight="1">
      <c r="B67" s="18"/>
      <c r="C67" s="57" t="str">
        <f t="shared" si="4"/>
        <v/>
      </c>
      <c r="D67" s="18"/>
      <c r="E67" s="18"/>
      <c r="F67" s="15"/>
      <c r="G67" s="19"/>
      <c r="H67" s="19"/>
      <c r="I67" s="19"/>
      <c r="J67" s="22"/>
      <c r="K67" s="81"/>
      <c r="L67" s="22"/>
      <c r="M67" s="88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15"/>
      <c r="AL67" s="22"/>
      <c r="AM67" s="22"/>
    </row>
    <row r="68" spans="2:39" s="14" customFormat="1" ht="41.25" customHeight="1">
      <c r="B68" s="18"/>
      <c r="C68" s="57" t="str">
        <f t="shared" si="4"/>
        <v/>
      </c>
      <c r="D68" s="18"/>
      <c r="E68" s="18"/>
      <c r="F68" s="15"/>
      <c r="G68" s="19"/>
      <c r="H68" s="19"/>
      <c r="I68" s="19"/>
      <c r="J68" s="22"/>
      <c r="K68" s="81"/>
      <c r="L68" s="22"/>
      <c r="M68" s="88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</row>
    <row r="69" spans="2:39" s="14" customFormat="1" ht="41.25" customHeight="1">
      <c r="B69" s="18"/>
      <c r="C69" s="57" t="str">
        <f t="shared" si="4"/>
        <v/>
      </c>
      <c r="D69" s="18"/>
      <c r="E69" s="18"/>
      <c r="F69" s="15"/>
      <c r="G69" s="19"/>
      <c r="H69" s="19"/>
      <c r="I69" s="19"/>
      <c r="J69" s="15"/>
      <c r="K69" s="80"/>
      <c r="L69" s="15"/>
      <c r="M69" s="86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22"/>
      <c r="AL69" s="15"/>
      <c r="AM69" s="15"/>
    </row>
    <row r="70" spans="2:39" s="14" customFormat="1" ht="41.25" customHeight="1">
      <c r="B70" s="18"/>
      <c r="C70" s="57" t="str">
        <f t="shared" si="4"/>
        <v/>
      </c>
      <c r="D70" s="18"/>
      <c r="E70" s="18"/>
      <c r="F70" s="15"/>
      <c r="G70" s="19"/>
      <c r="H70" s="19"/>
      <c r="I70" s="19"/>
      <c r="J70" s="15"/>
      <c r="K70" s="80"/>
      <c r="L70" s="15"/>
      <c r="M70" s="86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</row>
    <row r="71" spans="2:39" s="14" customFormat="1" ht="41.25" customHeight="1">
      <c r="B71" s="18"/>
      <c r="C71" s="57" t="str">
        <f t="shared" ref="C71:C134" si="8">IF(B71="","",MONTH(B71))</f>
        <v/>
      </c>
      <c r="D71" s="18"/>
      <c r="E71" s="18"/>
      <c r="F71" s="15"/>
      <c r="G71" s="19"/>
      <c r="H71" s="19"/>
      <c r="I71" s="19"/>
      <c r="J71" s="15"/>
      <c r="K71" s="80"/>
      <c r="L71" s="15"/>
      <c r="M71" s="86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</row>
    <row r="72" spans="2:39" s="14" customFormat="1" ht="41.25" customHeight="1">
      <c r="B72" s="18"/>
      <c r="C72" s="57" t="str">
        <f t="shared" si="8"/>
        <v/>
      </c>
      <c r="D72" s="18"/>
      <c r="E72" s="18"/>
      <c r="F72" s="15"/>
      <c r="G72" s="19"/>
      <c r="H72" s="19"/>
      <c r="I72" s="19"/>
      <c r="J72" s="15"/>
      <c r="K72" s="80"/>
      <c r="L72" s="15"/>
      <c r="M72" s="86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</row>
    <row r="73" spans="2:39" ht="41.25" customHeight="1">
      <c r="B73" s="18"/>
      <c r="C73" s="57" t="str">
        <f t="shared" si="8"/>
        <v/>
      </c>
      <c r="D73" s="18"/>
      <c r="E73" s="18"/>
      <c r="F73" s="15"/>
      <c r="G73" s="19"/>
      <c r="H73" s="19"/>
      <c r="I73" s="19"/>
      <c r="J73" s="15"/>
      <c r="K73" s="80"/>
      <c r="L73" s="15"/>
      <c r="M73" s="86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</row>
    <row r="74" spans="2:39" ht="41.25" customHeight="1">
      <c r="B74" s="18"/>
      <c r="C74" s="57" t="str">
        <f t="shared" si="8"/>
        <v/>
      </c>
      <c r="D74" s="18"/>
      <c r="E74" s="18"/>
      <c r="F74" s="15"/>
      <c r="G74" s="19"/>
      <c r="H74" s="19"/>
      <c r="I74" s="19"/>
      <c r="J74" s="19"/>
      <c r="K74" s="82"/>
      <c r="L74" s="19"/>
      <c r="M74" s="87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5"/>
      <c r="AL74" s="19"/>
      <c r="AM74" s="19"/>
    </row>
    <row r="75" spans="2:39" ht="41.25" customHeight="1">
      <c r="B75" s="18"/>
      <c r="C75" s="57" t="str">
        <f t="shared" si="8"/>
        <v/>
      </c>
      <c r="D75" s="18"/>
      <c r="E75" s="18"/>
      <c r="F75" s="15"/>
      <c r="G75" s="19"/>
      <c r="H75" s="19"/>
      <c r="I75" s="19"/>
      <c r="J75" s="15"/>
      <c r="K75" s="80"/>
      <c r="L75" s="15"/>
      <c r="M75" s="8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9"/>
      <c r="AL75" s="15"/>
      <c r="AM75" s="15"/>
    </row>
    <row r="76" spans="2:39" ht="41.25" customHeight="1">
      <c r="B76" s="18"/>
      <c r="C76" s="57" t="str">
        <f t="shared" si="8"/>
        <v/>
      </c>
      <c r="D76" s="18"/>
      <c r="E76" s="18"/>
      <c r="F76" s="15"/>
      <c r="G76" s="19"/>
      <c r="H76" s="19"/>
      <c r="I76" s="19"/>
      <c r="J76" s="15"/>
      <c r="K76" s="80"/>
      <c r="L76" s="15"/>
      <c r="M76" s="86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</row>
    <row r="77" spans="2:39" ht="41.25" customHeight="1">
      <c r="B77" s="18"/>
      <c r="C77" s="57" t="str">
        <f t="shared" si="8"/>
        <v/>
      </c>
      <c r="D77" s="18"/>
      <c r="E77" s="18"/>
      <c r="F77" s="15"/>
      <c r="G77" s="19"/>
      <c r="H77" s="19"/>
      <c r="I77" s="19"/>
      <c r="J77" s="15"/>
      <c r="K77" s="80"/>
      <c r="L77" s="15"/>
      <c r="M77" s="86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</row>
    <row r="78" spans="2:39" ht="41.25" customHeight="1">
      <c r="B78" s="18"/>
      <c r="C78" s="57" t="str">
        <f t="shared" si="8"/>
        <v/>
      </c>
      <c r="D78" s="18"/>
      <c r="E78" s="18"/>
      <c r="F78" s="15"/>
      <c r="G78" s="19"/>
      <c r="H78" s="19"/>
      <c r="I78" s="19"/>
      <c r="J78" s="15"/>
      <c r="K78" s="80"/>
      <c r="L78" s="15"/>
      <c r="M78" s="86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</row>
    <row r="79" spans="2:39" ht="41.25" customHeight="1">
      <c r="B79" s="18"/>
      <c r="C79" s="57" t="str">
        <f t="shared" si="8"/>
        <v/>
      </c>
      <c r="D79" s="18"/>
      <c r="E79" s="18"/>
      <c r="F79" s="15"/>
      <c r="G79" s="19"/>
      <c r="H79" s="19"/>
      <c r="I79" s="19"/>
      <c r="J79" s="15"/>
      <c r="K79" s="80"/>
      <c r="L79" s="15"/>
      <c r="M79" s="86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</row>
    <row r="80" spans="2:39" ht="41.25" customHeight="1">
      <c r="B80" s="18"/>
      <c r="C80" s="57" t="str">
        <f t="shared" si="8"/>
        <v/>
      </c>
      <c r="D80" s="18"/>
      <c r="E80" s="18"/>
      <c r="F80" s="15"/>
      <c r="G80" s="19"/>
      <c r="H80" s="19"/>
      <c r="I80" s="19"/>
      <c r="J80" s="22"/>
      <c r="K80" s="81"/>
      <c r="M80" s="88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15"/>
      <c r="AL80" s="22"/>
      <c r="AM80" s="22"/>
    </row>
    <row r="81" spans="2:39" ht="41.25" customHeight="1">
      <c r="B81" s="18"/>
      <c r="C81" s="57" t="str">
        <f t="shared" si="8"/>
        <v/>
      </c>
      <c r="D81" s="18"/>
      <c r="E81" s="18"/>
      <c r="F81" s="15"/>
      <c r="G81" s="19"/>
      <c r="H81" s="19"/>
      <c r="I81" s="19"/>
      <c r="J81" s="22"/>
      <c r="K81" s="81"/>
      <c r="M81" s="88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</row>
    <row r="82" spans="2:39" ht="41.25" customHeight="1">
      <c r="B82" s="18"/>
      <c r="C82" s="57" t="str">
        <f t="shared" si="8"/>
        <v/>
      </c>
      <c r="D82" s="18"/>
      <c r="E82" s="18"/>
      <c r="F82" s="15"/>
      <c r="G82" s="19"/>
      <c r="H82" s="19"/>
      <c r="I82" s="19"/>
      <c r="J82" s="22"/>
      <c r="K82" s="81"/>
      <c r="M82" s="88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</row>
    <row r="83" spans="2:39" ht="41.25" customHeight="1">
      <c r="B83" s="18"/>
      <c r="C83" s="57" t="str">
        <f t="shared" si="8"/>
        <v/>
      </c>
      <c r="D83" s="18"/>
      <c r="E83" s="18"/>
      <c r="F83" s="15"/>
      <c r="G83" s="19"/>
      <c r="H83" s="19"/>
      <c r="I83" s="19"/>
      <c r="J83" s="22"/>
      <c r="K83" s="81"/>
      <c r="M83" s="88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</row>
    <row r="84" spans="2:39" ht="41.25" customHeight="1">
      <c r="B84" s="18"/>
      <c r="C84" s="57" t="str">
        <f t="shared" si="8"/>
        <v/>
      </c>
      <c r="D84" s="18"/>
      <c r="E84" s="18"/>
      <c r="F84" s="15"/>
      <c r="G84" s="19"/>
      <c r="H84" s="19"/>
      <c r="I84" s="19"/>
      <c r="J84" s="22"/>
      <c r="K84" s="81"/>
      <c r="M84" s="88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</row>
    <row r="85" spans="2:39" ht="41.25" customHeight="1">
      <c r="B85" s="18"/>
      <c r="C85" s="57" t="str">
        <f t="shared" si="8"/>
        <v/>
      </c>
      <c r="D85" s="18"/>
      <c r="E85" s="18"/>
      <c r="F85" s="15"/>
      <c r="G85" s="19"/>
      <c r="H85" s="19"/>
      <c r="I85" s="19"/>
      <c r="J85" s="22"/>
      <c r="K85" s="81"/>
      <c r="M85" s="88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</row>
    <row r="86" spans="2:39" ht="41.25" customHeight="1">
      <c r="B86" s="18"/>
      <c r="C86" s="57" t="str">
        <f t="shared" si="8"/>
        <v/>
      </c>
      <c r="D86" s="18"/>
      <c r="E86" s="18"/>
      <c r="F86" s="15"/>
      <c r="G86" s="19"/>
      <c r="H86" s="19"/>
      <c r="I86" s="19"/>
      <c r="J86" s="22"/>
      <c r="K86" s="81"/>
      <c r="M86" s="88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</row>
    <row r="87" spans="2:39" ht="41.25" customHeight="1">
      <c r="B87" s="18"/>
      <c r="C87" s="57" t="str">
        <f t="shared" si="8"/>
        <v/>
      </c>
      <c r="D87" s="18"/>
      <c r="E87" s="18"/>
      <c r="F87" s="15"/>
      <c r="G87" s="19"/>
      <c r="H87" s="19"/>
      <c r="I87" s="19"/>
      <c r="J87" s="22"/>
      <c r="K87" s="81"/>
      <c r="M87" s="88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</row>
    <row r="88" spans="2:39" ht="41.25" customHeight="1">
      <c r="B88" s="18"/>
      <c r="C88" s="57" t="str">
        <f t="shared" si="8"/>
        <v/>
      </c>
      <c r="D88" s="18"/>
      <c r="E88" s="18"/>
      <c r="F88" s="15"/>
      <c r="G88" s="19"/>
      <c r="H88" s="19"/>
      <c r="I88" s="19"/>
      <c r="J88" s="22"/>
      <c r="K88" s="81"/>
      <c r="M88" s="88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</row>
    <row r="89" spans="2:39" ht="41.25" customHeight="1">
      <c r="B89" s="18"/>
      <c r="C89" s="57" t="str">
        <f t="shared" si="8"/>
        <v/>
      </c>
      <c r="D89" s="18"/>
      <c r="E89" s="18"/>
      <c r="F89" s="15"/>
      <c r="G89" s="19"/>
      <c r="H89" s="19"/>
      <c r="I89" s="19"/>
      <c r="J89" s="22"/>
      <c r="K89" s="81"/>
      <c r="M89" s="88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</row>
    <row r="90" spans="2:39" ht="41.25" customHeight="1">
      <c r="B90" s="18"/>
      <c r="C90" s="57" t="str">
        <f t="shared" si="8"/>
        <v/>
      </c>
      <c r="D90" s="18"/>
      <c r="E90" s="18"/>
      <c r="F90" s="15"/>
      <c r="G90" s="19"/>
      <c r="H90" s="19"/>
      <c r="I90" s="19"/>
      <c r="J90" s="22"/>
      <c r="K90" s="81"/>
      <c r="M90" s="88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</row>
    <row r="91" spans="2:39" ht="41.25" customHeight="1">
      <c r="B91" s="18"/>
      <c r="C91" s="57" t="str">
        <f t="shared" si="8"/>
        <v/>
      </c>
      <c r="D91" s="18"/>
      <c r="E91" s="18"/>
      <c r="F91" s="15"/>
      <c r="G91" s="19"/>
      <c r="H91" s="19"/>
      <c r="I91" s="19"/>
      <c r="J91" s="22"/>
      <c r="K91" s="81"/>
      <c r="M91" s="88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</row>
    <row r="92" spans="2:39" ht="41.25" customHeight="1">
      <c r="B92" s="18"/>
      <c r="C92" s="57" t="str">
        <f t="shared" si="8"/>
        <v/>
      </c>
      <c r="D92" s="18"/>
      <c r="E92" s="18"/>
      <c r="F92" s="15"/>
      <c r="G92" s="19"/>
      <c r="H92" s="19"/>
      <c r="I92" s="19"/>
      <c r="J92" s="22"/>
      <c r="K92" s="81"/>
      <c r="M92" s="88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</row>
    <row r="93" spans="2:39" ht="41.25" customHeight="1">
      <c r="B93" s="18"/>
      <c r="C93" s="57" t="str">
        <f t="shared" si="8"/>
        <v/>
      </c>
      <c r="D93" s="18"/>
      <c r="E93" s="18"/>
      <c r="F93" s="15"/>
      <c r="G93" s="19"/>
      <c r="H93" s="19"/>
      <c r="I93" s="19"/>
      <c r="J93" s="22"/>
      <c r="K93" s="81"/>
      <c r="M93" s="88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</row>
    <row r="94" spans="2:39" ht="41.25" customHeight="1">
      <c r="B94" s="18"/>
      <c r="C94" s="57" t="str">
        <f t="shared" si="8"/>
        <v/>
      </c>
      <c r="D94" s="18"/>
      <c r="E94" s="18"/>
      <c r="F94" s="15"/>
      <c r="G94" s="19"/>
      <c r="H94" s="19"/>
      <c r="I94" s="19"/>
      <c r="J94" s="22"/>
      <c r="K94" s="81"/>
      <c r="M94" s="88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</row>
    <row r="95" spans="2:39" ht="41.25" customHeight="1">
      <c r="B95" s="18"/>
      <c r="C95" s="57" t="str">
        <f t="shared" si="8"/>
        <v/>
      </c>
      <c r="D95" s="18"/>
      <c r="E95" s="18"/>
      <c r="F95" s="15"/>
      <c r="G95" s="19"/>
      <c r="H95" s="19"/>
      <c r="I95" s="19"/>
      <c r="J95" s="22"/>
      <c r="K95" s="81"/>
      <c r="M95" s="88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</row>
    <row r="96" spans="2:39" ht="41.25" customHeight="1">
      <c r="B96" s="18"/>
      <c r="C96" s="57" t="str">
        <f t="shared" si="8"/>
        <v/>
      </c>
      <c r="D96" s="18"/>
      <c r="E96" s="18"/>
      <c r="F96" s="15"/>
      <c r="G96" s="19"/>
      <c r="H96" s="19"/>
      <c r="I96" s="19"/>
      <c r="J96" s="22"/>
      <c r="K96" s="81"/>
      <c r="M96" s="88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</row>
    <row r="97" spans="2:39" ht="41.25" customHeight="1">
      <c r="B97" s="18"/>
      <c r="C97" s="57" t="str">
        <f t="shared" si="8"/>
        <v/>
      </c>
      <c r="D97" s="18"/>
      <c r="E97" s="18"/>
      <c r="F97" s="15"/>
      <c r="G97" s="19"/>
      <c r="H97" s="19"/>
      <c r="I97" s="19"/>
      <c r="J97" s="22"/>
      <c r="K97" s="81"/>
      <c r="M97" s="88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</row>
    <row r="98" spans="2:39" ht="41.25" customHeight="1">
      <c r="B98" s="18"/>
      <c r="C98" s="57" t="str">
        <f t="shared" si="8"/>
        <v/>
      </c>
      <c r="D98" s="18"/>
      <c r="E98" s="18"/>
      <c r="F98" s="15"/>
      <c r="G98" s="19"/>
      <c r="H98" s="19"/>
      <c r="I98" s="19"/>
      <c r="J98" s="22"/>
      <c r="K98" s="81"/>
      <c r="M98" s="88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</row>
    <row r="99" spans="2:39" ht="41.25" customHeight="1">
      <c r="B99" s="18"/>
      <c r="C99" s="57" t="str">
        <f t="shared" si="8"/>
        <v/>
      </c>
      <c r="D99" s="18"/>
      <c r="E99" s="18"/>
      <c r="F99" s="15"/>
      <c r="G99" s="19"/>
      <c r="H99" s="19"/>
      <c r="I99" s="19"/>
      <c r="J99" s="22"/>
      <c r="K99" s="81"/>
      <c r="M99" s="88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</row>
    <row r="100" spans="2:39" ht="41.25" customHeight="1">
      <c r="B100" s="18"/>
      <c r="C100" s="57" t="str">
        <f t="shared" si="8"/>
        <v/>
      </c>
      <c r="D100" s="18"/>
      <c r="E100" s="18"/>
      <c r="F100" s="15"/>
      <c r="G100" s="19"/>
      <c r="H100" s="19"/>
      <c r="I100" s="19"/>
      <c r="J100" s="22"/>
      <c r="K100" s="81"/>
      <c r="M100" s="88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</row>
    <row r="101" spans="2:39" ht="41.25" customHeight="1">
      <c r="B101" s="18"/>
      <c r="C101" s="57" t="str">
        <f t="shared" si="8"/>
        <v/>
      </c>
      <c r="D101" s="18"/>
      <c r="E101" s="18"/>
      <c r="F101" s="15"/>
      <c r="G101" s="19"/>
      <c r="H101" s="19"/>
      <c r="I101" s="19"/>
      <c r="J101" s="22"/>
      <c r="K101" s="81"/>
      <c r="M101" s="88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</row>
    <row r="102" spans="2:39" ht="41.25" customHeight="1">
      <c r="B102" s="18"/>
      <c r="C102" s="57" t="str">
        <f t="shared" si="8"/>
        <v/>
      </c>
      <c r="D102" s="18"/>
      <c r="E102" s="18"/>
      <c r="F102" s="15"/>
      <c r="G102" s="19"/>
      <c r="H102" s="19"/>
      <c r="I102" s="19"/>
      <c r="J102" s="22"/>
      <c r="K102" s="81"/>
      <c r="M102" s="88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</row>
    <row r="103" spans="2:39" ht="41.25" customHeight="1">
      <c r="B103" s="18"/>
      <c r="C103" s="57" t="str">
        <f t="shared" si="8"/>
        <v/>
      </c>
      <c r="D103" s="18"/>
      <c r="E103" s="18"/>
      <c r="F103" s="15"/>
      <c r="G103" s="19"/>
      <c r="H103" s="19"/>
      <c r="I103" s="19"/>
      <c r="J103" s="22"/>
      <c r="K103" s="81"/>
      <c r="M103" s="88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</row>
    <row r="104" spans="2:39" ht="41.25" customHeight="1">
      <c r="B104" s="18"/>
      <c r="C104" s="57" t="str">
        <f t="shared" si="8"/>
        <v/>
      </c>
      <c r="D104" s="18"/>
      <c r="E104" s="18"/>
      <c r="F104" s="15"/>
      <c r="G104" s="19"/>
      <c r="H104" s="19"/>
      <c r="I104" s="19"/>
      <c r="J104" s="22"/>
      <c r="K104" s="81"/>
      <c r="M104" s="88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</row>
    <row r="105" spans="2:39" ht="41.25" customHeight="1">
      <c r="B105" s="18"/>
      <c r="C105" s="57" t="str">
        <f t="shared" si="8"/>
        <v/>
      </c>
      <c r="D105" s="18"/>
      <c r="E105" s="18"/>
      <c r="F105" s="15"/>
      <c r="G105" s="19"/>
      <c r="H105" s="19"/>
      <c r="I105" s="19"/>
      <c r="J105" s="22"/>
      <c r="K105" s="81"/>
      <c r="M105" s="88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</row>
    <row r="106" spans="2:39" ht="41.25" customHeight="1">
      <c r="B106" s="18"/>
      <c r="C106" s="57" t="str">
        <f t="shared" si="8"/>
        <v/>
      </c>
      <c r="D106" s="18"/>
      <c r="E106" s="18"/>
      <c r="F106" s="15"/>
      <c r="G106" s="19"/>
      <c r="H106" s="19"/>
      <c r="I106" s="19"/>
      <c r="J106" s="22"/>
      <c r="K106" s="81"/>
      <c r="M106" s="88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</row>
    <row r="107" spans="2:39" ht="41.25" customHeight="1">
      <c r="B107" s="18"/>
      <c r="C107" s="57" t="str">
        <f t="shared" si="8"/>
        <v/>
      </c>
      <c r="D107" s="18"/>
      <c r="E107" s="18"/>
      <c r="F107" s="15"/>
      <c r="G107" s="19"/>
      <c r="H107" s="19"/>
      <c r="I107" s="19"/>
      <c r="J107" s="22"/>
      <c r="K107" s="81"/>
      <c r="M107" s="88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</row>
    <row r="108" spans="2:39" ht="41.25" customHeight="1">
      <c r="B108" s="18"/>
      <c r="C108" s="57" t="str">
        <f t="shared" si="8"/>
        <v/>
      </c>
      <c r="D108" s="18"/>
      <c r="E108" s="18"/>
      <c r="F108" s="15"/>
      <c r="G108" s="19"/>
      <c r="H108" s="19"/>
      <c r="I108" s="19"/>
      <c r="J108" s="22"/>
      <c r="K108" s="81"/>
      <c r="M108" s="88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</row>
    <row r="109" spans="2:39" ht="41.25" customHeight="1">
      <c r="B109" s="18"/>
      <c r="C109" s="57" t="str">
        <f t="shared" si="8"/>
        <v/>
      </c>
      <c r="D109" s="18"/>
      <c r="E109" s="18"/>
      <c r="F109" s="15"/>
      <c r="G109" s="19"/>
      <c r="H109" s="19"/>
      <c r="I109" s="19"/>
      <c r="J109" s="22"/>
      <c r="K109" s="81"/>
      <c r="M109" s="88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</row>
    <row r="110" spans="2:39" ht="41.25" customHeight="1">
      <c r="B110" s="18"/>
      <c r="C110" s="57" t="str">
        <f t="shared" si="8"/>
        <v/>
      </c>
      <c r="D110" s="18"/>
      <c r="E110" s="18"/>
      <c r="F110" s="15"/>
      <c r="G110" s="19"/>
      <c r="H110" s="19"/>
      <c r="I110" s="19"/>
      <c r="J110" s="22"/>
      <c r="K110" s="81"/>
      <c r="M110" s="88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</row>
    <row r="111" spans="2:39" ht="41.25" customHeight="1">
      <c r="B111" s="18"/>
      <c r="C111" s="57" t="str">
        <f t="shared" si="8"/>
        <v/>
      </c>
      <c r="D111" s="18"/>
      <c r="E111" s="18"/>
      <c r="F111" s="15"/>
      <c r="G111" s="19"/>
      <c r="H111" s="19"/>
      <c r="I111" s="19"/>
      <c r="J111" s="22"/>
      <c r="K111" s="81"/>
      <c r="M111" s="88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</row>
    <row r="112" spans="2:39" ht="41.25" customHeight="1">
      <c r="B112" s="18"/>
      <c r="C112" s="57" t="str">
        <f t="shared" si="8"/>
        <v/>
      </c>
      <c r="D112" s="18"/>
      <c r="E112" s="18"/>
      <c r="F112" s="15"/>
      <c r="G112" s="19"/>
      <c r="H112" s="19"/>
      <c r="I112" s="19"/>
      <c r="J112" s="22"/>
      <c r="K112" s="81"/>
      <c r="M112" s="88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</row>
    <row r="113" spans="2:39" ht="41.25" customHeight="1">
      <c r="B113" s="18"/>
      <c r="C113" s="57" t="str">
        <f t="shared" si="8"/>
        <v/>
      </c>
      <c r="D113" s="18"/>
      <c r="E113" s="18"/>
      <c r="F113" s="15"/>
      <c r="G113" s="19"/>
      <c r="H113" s="19"/>
      <c r="I113" s="19"/>
      <c r="J113" s="22"/>
      <c r="K113" s="81"/>
      <c r="M113" s="88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</row>
    <row r="114" spans="2:39" ht="41.25" customHeight="1">
      <c r="B114" s="18"/>
      <c r="C114" s="57" t="str">
        <f t="shared" si="8"/>
        <v/>
      </c>
      <c r="D114" s="18"/>
      <c r="E114" s="18"/>
      <c r="F114" s="15"/>
      <c r="G114" s="19"/>
      <c r="H114" s="19"/>
      <c r="I114" s="19"/>
      <c r="J114" s="22"/>
      <c r="K114" s="81"/>
      <c r="M114" s="88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</row>
    <row r="115" spans="2:39" ht="41.25" customHeight="1">
      <c r="B115" s="18"/>
      <c r="C115" s="57" t="str">
        <f t="shared" si="8"/>
        <v/>
      </c>
      <c r="D115" s="18"/>
      <c r="E115" s="18"/>
      <c r="F115" s="15"/>
      <c r="G115" s="19"/>
      <c r="H115" s="19"/>
      <c r="I115" s="19"/>
      <c r="J115" s="22"/>
      <c r="K115" s="81"/>
      <c r="M115" s="88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</row>
    <row r="116" spans="2:39" ht="41.25" customHeight="1">
      <c r="B116" s="18"/>
      <c r="C116" s="57" t="str">
        <f t="shared" si="8"/>
        <v/>
      </c>
      <c r="D116" s="18"/>
      <c r="E116" s="18"/>
      <c r="F116" s="15"/>
      <c r="G116" s="19"/>
      <c r="H116" s="19"/>
      <c r="I116" s="19"/>
      <c r="J116" s="22"/>
      <c r="K116" s="81"/>
      <c r="M116" s="88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</row>
    <row r="117" spans="2:39" ht="41.25" customHeight="1">
      <c r="B117" s="18"/>
      <c r="C117" s="57" t="str">
        <f t="shared" si="8"/>
        <v/>
      </c>
      <c r="D117" s="18"/>
      <c r="E117" s="18"/>
      <c r="F117" s="15"/>
      <c r="G117" s="19"/>
      <c r="H117" s="19"/>
      <c r="I117" s="19"/>
      <c r="J117" s="22"/>
      <c r="K117" s="81"/>
      <c r="M117" s="88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</row>
    <row r="118" spans="2:39" ht="41.25" customHeight="1">
      <c r="B118" s="18"/>
      <c r="C118" s="57" t="str">
        <f t="shared" si="8"/>
        <v/>
      </c>
      <c r="D118" s="18"/>
      <c r="E118" s="18"/>
      <c r="F118" s="15"/>
      <c r="G118" s="19"/>
      <c r="H118" s="19"/>
      <c r="I118" s="19"/>
      <c r="J118" s="22"/>
      <c r="K118" s="81"/>
      <c r="M118" s="88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</row>
    <row r="119" spans="2:39" ht="41.25" customHeight="1">
      <c r="B119" s="18"/>
      <c r="C119" s="57" t="str">
        <f t="shared" si="8"/>
        <v/>
      </c>
      <c r="D119" s="18"/>
      <c r="E119" s="18"/>
      <c r="F119" s="15"/>
      <c r="G119" s="19"/>
      <c r="H119" s="19"/>
      <c r="I119" s="19"/>
      <c r="J119" s="22"/>
      <c r="K119" s="81"/>
      <c r="M119" s="88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</row>
    <row r="120" spans="2:39" ht="41.25" customHeight="1">
      <c r="B120" s="18"/>
      <c r="C120" s="57" t="str">
        <f t="shared" si="8"/>
        <v/>
      </c>
      <c r="D120" s="18"/>
      <c r="E120" s="18"/>
      <c r="F120" s="15"/>
      <c r="G120" s="19"/>
      <c r="H120" s="19"/>
      <c r="I120" s="19"/>
      <c r="J120" s="22"/>
      <c r="K120" s="81"/>
      <c r="M120" s="88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</row>
    <row r="121" spans="2:39" ht="41.25" customHeight="1">
      <c r="B121" s="18"/>
      <c r="C121" s="57" t="str">
        <f t="shared" si="8"/>
        <v/>
      </c>
      <c r="D121" s="18"/>
      <c r="E121" s="18"/>
      <c r="F121" s="15"/>
      <c r="G121" s="19"/>
      <c r="H121" s="19"/>
      <c r="I121" s="19"/>
      <c r="J121" s="22"/>
      <c r="K121" s="81"/>
      <c r="M121" s="88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</row>
    <row r="122" spans="2:39" ht="41.25" customHeight="1">
      <c r="B122" s="18"/>
      <c r="C122" s="57" t="str">
        <f t="shared" si="8"/>
        <v/>
      </c>
      <c r="D122" s="18"/>
      <c r="E122" s="18"/>
      <c r="F122" s="15"/>
      <c r="G122" s="19"/>
      <c r="H122" s="19"/>
      <c r="I122" s="19"/>
      <c r="J122" s="22"/>
      <c r="K122" s="81"/>
      <c r="M122" s="88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</row>
    <row r="123" spans="2:39" ht="41.25" customHeight="1">
      <c r="B123" s="18"/>
      <c r="C123" s="57" t="str">
        <f t="shared" si="8"/>
        <v/>
      </c>
      <c r="D123" s="18"/>
      <c r="E123" s="18"/>
      <c r="F123" s="15"/>
      <c r="G123" s="19"/>
      <c r="H123" s="19"/>
      <c r="I123" s="19"/>
      <c r="J123" s="22"/>
      <c r="K123" s="81"/>
      <c r="M123" s="88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</row>
    <row r="124" spans="2:39" ht="41.25" customHeight="1">
      <c r="B124" s="18"/>
      <c r="C124" s="57" t="str">
        <f t="shared" si="8"/>
        <v/>
      </c>
      <c r="D124" s="18"/>
      <c r="E124" s="18"/>
      <c r="F124" s="15"/>
      <c r="G124" s="19"/>
      <c r="H124" s="19"/>
      <c r="I124" s="19"/>
      <c r="J124" s="22"/>
      <c r="K124" s="81"/>
      <c r="M124" s="88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</row>
    <row r="125" spans="2:39" ht="41.25" customHeight="1">
      <c r="B125" s="18"/>
      <c r="C125" s="57" t="str">
        <f t="shared" si="8"/>
        <v/>
      </c>
      <c r="D125" s="18"/>
      <c r="E125" s="18"/>
      <c r="F125" s="15"/>
      <c r="G125" s="19"/>
      <c r="H125" s="19"/>
      <c r="I125" s="19"/>
      <c r="J125" s="22"/>
      <c r="K125" s="81"/>
      <c r="M125" s="88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</row>
    <row r="126" spans="2:39" ht="41.25" customHeight="1">
      <c r="B126" s="18"/>
      <c r="C126" s="57" t="str">
        <f t="shared" si="8"/>
        <v/>
      </c>
      <c r="D126" s="18"/>
      <c r="E126" s="18"/>
      <c r="F126" s="15"/>
      <c r="G126" s="19"/>
      <c r="H126" s="19"/>
      <c r="I126" s="19"/>
      <c r="J126" s="22"/>
      <c r="K126" s="81"/>
      <c r="M126" s="88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</row>
    <row r="127" spans="2:39" ht="41.25" customHeight="1">
      <c r="B127" s="18"/>
      <c r="C127" s="57" t="str">
        <f t="shared" si="8"/>
        <v/>
      </c>
      <c r="D127" s="18"/>
      <c r="E127" s="18"/>
      <c r="F127" s="15"/>
      <c r="G127" s="19"/>
      <c r="H127" s="19"/>
      <c r="I127" s="19"/>
      <c r="J127" s="22"/>
      <c r="K127" s="81"/>
      <c r="M127" s="88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</row>
    <row r="128" spans="2:39" ht="41.25" customHeight="1">
      <c r="B128" s="18"/>
      <c r="C128" s="57" t="str">
        <f t="shared" si="8"/>
        <v/>
      </c>
      <c r="D128" s="18"/>
      <c r="E128" s="18"/>
      <c r="F128" s="15"/>
      <c r="G128" s="19"/>
      <c r="H128" s="19"/>
      <c r="I128" s="19"/>
      <c r="J128" s="22"/>
      <c r="K128" s="81"/>
      <c r="M128" s="88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</row>
    <row r="129" spans="1:99" ht="41.25" customHeight="1">
      <c r="B129" s="18"/>
      <c r="C129" s="57" t="str">
        <f t="shared" si="8"/>
        <v/>
      </c>
      <c r="D129" s="18"/>
      <c r="E129" s="18"/>
      <c r="F129" s="15"/>
      <c r="G129" s="19"/>
      <c r="H129" s="19"/>
      <c r="I129" s="19"/>
      <c r="J129" s="22"/>
      <c r="K129" s="81"/>
      <c r="M129" s="88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</row>
    <row r="130" spans="1:99" ht="41.25" customHeight="1">
      <c r="B130" s="18"/>
      <c r="C130" s="57" t="str">
        <f t="shared" si="8"/>
        <v/>
      </c>
      <c r="D130" s="18"/>
      <c r="E130" s="18"/>
      <c r="F130" s="15"/>
      <c r="G130" s="19"/>
      <c r="H130" s="19"/>
      <c r="I130" s="19"/>
      <c r="J130" s="22"/>
      <c r="K130" s="81"/>
      <c r="M130" s="88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</row>
    <row r="131" spans="1:99" ht="41.25" customHeight="1">
      <c r="B131" s="18"/>
      <c r="C131" s="57" t="str">
        <f t="shared" si="8"/>
        <v/>
      </c>
      <c r="D131" s="18"/>
      <c r="E131" s="18"/>
      <c r="F131" s="15"/>
      <c r="G131" s="19"/>
      <c r="H131" s="19"/>
      <c r="I131" s="19"/>
      <c r="J131" s="22"/>
      <c r="K131" s="81"/>
      <c r="M131" s="88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</row>
    <row r="132" spans="1:99" ht="41.25" customHeight="1">
      <c r="B132" s="18"/>
      <c r="C132" s="57" t="str">
        <f t="shared" si="8"/>
        <v/>
      </c>
      <c r="D132" s="18"/>
      <c r="E132" s="18"/>
      <c r="F132" s="15"/>
      <c r="G132" s="19"/>
      <c r="H132" s="19"/>
      <c r="I132" s="19"/>
      <c r="J132" s="22"/>
      <c r="K132" s="81"/>
      <c r="M132" s="88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</row>
    <row r="133" spans="1:99" ht="41.25" customHeight="1">
      <c r="B133" s="18"/>
      <c r="C133" s="57" t="str">
        <f t="shared" si="8"/>
        <v/>
      </c>
      <c r="D133" s="18"/>
      <c r="E133" s="18"/>
      <c r="F133" s="15"/>
      <c r="G133" s="19"/>
      <c r="H133" s="19"/>
      <c r="I133" s="19"/>
      <c r="J133" s="22"/>
      <c r="K133" s="81"/>
      <c r="M133" s="88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</row>
    <row r="134" spans="1:99" ht="41.25" customHeight="1">
      <c r="B134" s="18"/>
      <c r="C134" s="57" t="str">
        <f t="shared" si="8"/>
        <v/>
      </c>
      <c r="D134" s="18"/>
      <c r="E134" s="18"/>
      <c r="F134" s="15"/>
      <c r="G134" s="19"/>
      <c r="H134" s="19"/>
      <c r="I134" s="19"/>
      <c r="J134" s="22"/>
      <c r="K134" s="81"/>
      <c r="M134" s="88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</row>
    <row r="135" spans="1:99" ht="41.25" customHeight="1">
      <c r="B135" s="18"/>
      <c r="C135" s="57" t="str">
        <f t="shared" ref="C135:C198" si="9">IF(B135="","",MONTH(B135))</f>
        <v/>
      </c>
      <c r="D135" s="18"/>
      <c r="E135" s="18"/>
      <c r="F135" s="15"/>
      <c r="G135" s="19"/>
      <c r="H135" s="19"/>
      <c r="I135" s="19"/>
      <c r="J135" s="22"/>
      <c r="K135" s="81"/>
      <c r="M135" s="88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</row>
    <row r="136" spans="1:99" ht="41.25" customHeight="1">
      <c r="B136" s="18"/>
      <c r="C136" s="57" t="str">
        <f t="shared" si="9"/>
        <v/>
      </c>
      <c r="D136" s="18"/>
      <c r="E136" s="18"/>
      <c r="F136" s="15"/>
      <c r="G136" s="19"/>
      <c r="H136" s="19"/>
      <c r="I136" s="19"/>
      <c r="J136" s="22"/>
      <c r="K136" s="81"/>
      <c r="M136" s="88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</row>
    <row r="137" spans="1:99" ht="41.25" customHeight="1">
      <c r="B137" s="18"/>
      <c r="C137" s="57" t="str">
        <f t="shared" si="9"/>
        <v/>
      </c>
      <c r="D137" s="18"/>
      <c r="E137" s="18"/>
      <c r="F137" s="15"/>
      <c r="G137" s="19"/>
      <c r="H137" s="19"/>
      <c r="I137" s="19"/>
      <c r="J137" s="22"/>
      <c r="K137" s="81"/>
      <c r="M137" s="88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</row>
    <row r="138" spans="1:99" ht="41.25" customHeight="1">
      <c r="B138" s="18"/>
      <c r="C138" s="57" t="str">
        <f t="shared" si="9"/>
        <v/>
      </c>
      <c r="D138" s="18"/>
      <c r="E138" s="18"/>
      <c r="F138" s="15"/>
      <c r="G138" s="19"/>
      <c r="H138" s="19"/>
      <c r="I138" s="19"/>
      <c r="J138" s="22"/>
      <c r="K138" s="81"/>
      <c r="M138" s="88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</row>
    <row r="139" spans="1:99" ht="41.25" customHeight="1">
      <c r="B139" s="18"/>
      <c r="C139" s="57" t="str">
        <f t="shared" si="9"/>
        <v/>
      </c>
      <c r="D139" s="18"/>
      <c r="E139" s="18"/>
      <c r="F139" s="15"/>
      <c r="G139" s="19"/>
      <c r="H139" s="19"/>
      <c r="I139" s="19"/>
      <c r="J139" s="22"/>
      <c r="K139" s="81"/>
      <c r="M139" s="88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</row>
    <row r="140" spans="1:99" s="9" customFormat="1" ht="41.25" customHeight="1">
      <c r="A140" s="13"/>
      <c r="B140" s="18"/>
      <c r="C140" s="57" t="str">
        <f t="shared" si="9"/>
        <v/>
      </c>
      <c r="D140" s="18"/>
      <c r="E140" s="18"/>
      <c r="F140" s="15"/>
      <c r="G140" s="19"/>
      <c r="H140" s="19"/>
      <c r="I140" s="19"/>
      <c r="J140" s="22"/>
      <c r="K140" s="81"/>
      <c r="L140" s="22"/>
      <c r="M140" s="88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</row>
    <row r="141" spans="1:99" ht="41.25" customHeight="1">
      <c r="B141" s="18"/>
      <c r="C141" s="57" t="str">
        <f t="shared" si="9"/>
        <v/>
      </c>
      <c r="D141" s="18"/>
      <c r="E141" s="18"/>
      <c r="F141" s="15"/>
      <c r="G141" s="19"/>
      <c r="H141" s="19"/>
      <c r="I141" s="19"/>
      <c r="J141" s="22"/>
      <c r="K141" s="81"/>
      <c r="M141" s="88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</row>
    <row r="142" spans="1:99" ht="41.25" customHeight="1">
      <c r="B142" s="18"/>
      <c r="C142" s="57" t="str">
        <f t="shared" si="9"/>
        <v/>
      </c>
      <c r="D142" s="18"/>
      <c r="E142" s="18"/>
      <c r="F142" s="15"/>
      <c r="G142" s="19"/>
      <c r="H142" s="19"/>
      <c r="I142" s="19"/>
      <c r="J142" s="22"/>
      <c r="K142" s="81"/>
      <c r="M142" s="88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</row>
    <row r="143" spans="1:99" ht="41.25" customHeight="1">
      <c r="B143" s="18"/>
      <c r="C143" s="57" t="str">
        <f t="shared" si="9"/>
        <v/>
      </c>
      <c r="D143" s="18"/>
      <c r="E143" s="18"/>
      <c r="F143" s="15"/>
      <c r="G143" s="19"/>
      <c r="H143" s="19"/>
      <c r="I143" s="19"/>
      <c r="J143" s="22"/>
      <c r="K143" s="81"/>
      <c r="M143" s="88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</row>
    <row r="144" spans="1:99" ht="41.25" customHeight="1">
      <c r="B144" s="18"/>
      <c r="C144" s="57" t="str">
        <f t="shared" si="9"/>
        <v/>
      </c>
      <c r="D144" s="18"/>
      <c r="E144" s="18"/>
      <c r="F144" s="15"/>
      <c r="G144" s="19"/>
      <c r="H144" s="19"/>
      <c r="I144" s="19"/>
      <c r="J144" s="22"/>
      <c r="K144" s="81"/>
      <c r="M144" s="88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</row>
    <row r="145" spans="2:39" ht="41.25" customHeight="1">
      <c r="B145" s="18"/>
      <c r="C145" s="57" t="str">
        <f t="shared" si="9"/>
        <v/>
      </c>
      <c r="D145" s="18"/>
      <c r="E145" s="18"/>
      <c r="F145" s="15"/>
      <c r="G145" s="19"/>
      <c r="H145" s="19"/>
      <c r="I145" s="19"/>
      <c r="J145" s="22"/>
      <c r="K145" s="81"/>
      <c r="M145" s="88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</row>
    <row r="146" spans="2:39" ht="41.25" customHeight="1">
      <c r="B146" s="18"/>
      <c r="C146" s="57" t="str">
        <f t="shared" si="9"/>
        <v/>
      </c>
      <c r="D146" s="18"/>
      <c r="E146" s="18"/>
      <c r="F146" s="15"/>
      <c r="G146" s="19"/>
      <c r="H146" s="19"/>
      <c r="I146" s="19"/>
      <c r="J146" s="22"/>
      <c r="K146" s="81"/>
      <c r="M146" s="88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</row>
    <row r="147" spans="2:39" ht="41.25" customHeight="1">
      <c r="B147" s="18"/>
      <c r="C147" s="57" t="str">
        <f t="shared" si="9"/>
        <v/>
      </c>
      <c r="D147" s="18"/>
      <c r="E147" s="18"/>
      <c r="F147" s="15"/>
      <c r="G147" s="19"/>
      <c r="H147" s="19"/>
      <c r="I147" s="19"/>
      <c r="J147" s="22"/>
      <c r="K147" s="81"/>
      <c r="M147" s="88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</row>
    <row r="148" spans="2:39" ht="41.25" customHeight="1">
      <c r="B148" s="18"/>
      <c r="C148" s="57" t="str">
        <f t="shared" si="9"/>
        <v/>
      </c>
      <c r="D148" s="18"/>
      <c r="E148" s="18"/>
      <c r="F148" s="15"/>
      <c r="G148" s="19"/>
      <c r="H148" s="19"/>
      <c r="I148" s="19"/>
      <c r="J148" s="22"/>
      <c r="K148" s="81"/>
      <c r="M148" s="88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</row>
    <row r="149" spans="2:39" ht="41.25" customHeight="1">
      <c r="B149" s="18"/>
      <c r="C149" s="57" t="str">
        <f t="shared" si="9"/>
        <v/>
      </c>
      <c r="D149" s="18"/>
      <c r="E149" s="18"/>
      <c r="F149" s="15"/>
      <c r="G149" s="19"/>
      <c r="H149" s="19"/>
      <c r="I149" s="19"/>
      <c r="J149" s="22"/>
      <c r="K149" s="81"/>
      <c r="M149" s="88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</row>
    <row r="150" spans="2:39" ht="41.25" customHeight="1">
      <c r="B150" s="18"/>
      <c r="C150" s="57" t="str">
        <f t="shared" si="9"/>
        <v/>
      </c>
      <c r="D150" s="18"/>
      <c r="E150" s="18"/>
      <c r="F150" s="15"/>
      <c r="G150" s="19"/>
      <c r="H150" s="19"/>
      <c r="I150" s="19"/>
      <c r="J150" s="22"/>
      <c r="K150" s="81"/>
      <c r="M150" s="88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</row>
    <row r="151" spans="2:39" ht="41.25" customHeight="1">
      <c r="B151" s="18"/>
      <c r="C151" s="57" t="str">
        <f t="shared" si="9"/>
        <v/>
      </c>
      <c r="D151" s="18"/>
      <c r="E151" s="18"/>
      <c r="F151" s="15"/>
      <c r="G151" s="19"/>
      <c r="H151" s="19"/>
      <c r="I151" s="19"/>
      <c r="J151" s="22"/>
      <c r="K151" s="81"/>
      <c r="M151" s="88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</row>
    <row r="152" spans="2:39" ht="41.25" customHeight="1">
      <c r="B152" s="18"/>
      <c r="C152" s="57" t="str">
        <f t="shared" si="9"/>
        <v/>
      </c>
      <c r="D152" s="18"/>
      <c r="E152" s="18"/>
      <c r="F152" s="15"/>
      <c r="G152" s="19"/>
      <c r="H152" s="19"/>
      <c r="I152" s="19"/>
      <c r="J152" s="22"/>
      <c r="K152" s="81"/>
      <c r="M152" s="88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</row>
    <row r="153" spans="2:39" ht="41.25" customHeight="1">
      <c r="B153" s="18"/>
      <c r="C153" s="57" t="str">
        <f t="shared" si="9"/>
        <v/>
      </c>
      <c r="D153" s="18"/>
      <c r="E153" s="18"/>
      <c r="F153" s="15"/>
      <c r="G153" s="19"/>
      <c r="H153" s="19"/>
      <c r="I153" s="19"/>
      <c r="J153" s="22"/>
      <c r="K153" s="81"/>
      <c r="M153" s="88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</row>
    <row r="154" spans="2:39" ht="41.25" customHeight="1">
      <c r="B154" s="18"/>
      <c r="C154" s="57" t="str">
        <f t="shared" si="9"/>
        <v/>
      </c>
      <c r="D154" s="18"/>
      <c r="E154" s="18"/>
      <c r="F154" s="15"/>
      <c r="G154" s="19"/>
      <c r="H154" s="19"/>
      <c r="I154" s="19"/>
      <c r="J154" s="22"/>
      <c r="K154" s="81"/>
      <c r="M154" s="88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</row>
    <row r="155" spans="2:39" ht="41.25" customHeight="1">
      <c r="B155" s="18"/>
      <c r="C155" s="57" t="str">
        <f t="shared" si="9"/>
        <v/>
      </c>
      <c r="D155" s="18"/>
      <c r="E155" s="18"/>
      <c r="F155" s="15"/>
      <c r="G155" s="19"/>
      <c r="H155" s="19"/>
      <c r="I155" s="19"/>
      <c r="J155" s="22"/>
      <c r="K155" s="81"/>
      <c r="M155" s="88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</row>
    <row r="156" spans="2:39" ht="41.25" customHeight="1">
      <c r="B156" s="18"/>
      <c r="C156" s="57" t="str">
        <f t="shared" si="9"/>
        <v/>
      </c>
      <c r="D156" s="18"/>
      <c r="E156" s="18"/>
      <c r="F156" s="15"/>
      <c r="G156" s="19"/>
      <c r="H156" s="19"/>
      <c r="I156" s="19"/>
      <c r="J156" s="22"/>
      <c r="K156" s="81"/>
      <c r="M156" s="88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</row>
    <row r="157" spans="2:39" ht="41.25" customHeight="1">
      <c r="B157" s="18"/>
      <c r="C157" s="57" t="str">
        <f t="shared" si="9"/>
        <v/>
      </c>
      <c r="D157" s="18"/>
      <c r="E157" s="18"/>
      <c r="F157" s="15"/>
      <c r="G157" s="19"/>
      <c r="H157" s="19"/>
      <c r="I157" s="19"/>
      <c r="J157" s="22"/>
      <c r="K157" s="81"/>
      <c r="M157" s="88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</row>
    <row r="158" spans="2:39" ht="41.25" customHeight="1">
      <c r="B158" s="18"/>
      <c r="C158" s="57" t="str">
        <f t="shared" si="9"/>
        <v/>
      </c>
      <c r="D158" s="18"/>
      <c r="E158" s="18"/>
      <c r="F158" s="15"/>
      <c r="G158" s="19"/>
      <c r="H158" s="19"/>
      <c r="I158" s="19"/>
      <c r="J158" s="22"/>
      <c r="K158" s="81"/>
      <c r="M158" s="88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</row>
    <row r="159" spans="2:39" ht="41.25" customHeight="1">
      <c r="B159" s="18"/>
      <c r="C159" s="57" t="str">
        <f t="shared" si="9"/>
        <v/>
      </c>
      <c r="D159" s="18"/>
      <c r="E159" s="18"/>
      <c r="F159" s="15"/>
      <c r="G159" s="19"/>
      <c r="H159" s="19"/>
      <c r="I159" s="19"/>
      <c r="J159" s="22"/>
      <c r="K159" s="81"/>
      <c r="M159" s="88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</row>
    <row r="160" spans="2:39" ht="41.25" customHeight="1">
      <c r="B160" s="18"/>
      <c r="C160" s="57" t="str">
        <f t="shared" si="9"/>
        <v/>
      </c>
      <c r="D160" s="18"/>
      <c r="E160" s="18"/>
      <c r="F160" s="15"/>
      <c r="G160" s="19"/>
      <c r="H160" s="19"/>
      <c r="I160" s="19"/>
      <c r="J160" s="22"/>
      <c r="K160" s="81"/>
      <c r="M160" s="88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</row>
    <row r="161" spans="2:39" ht="41.25" customHeight="1">
      <c r="B161" s="18"/>
      <c r="C161" s="57" t="str">
        <f t="shared" si="9"/>
        <v/>
      </c>
      <c r="D161" s="18"/>
      <c r="E161" s="18"/>
      <c r="F161" s="15"/>
      <c r="G161" s="19"/>
      <c r="H161" s="19"/>
      <c r="I161" s="19"/>
      <c r="J161" s="22"/>
      <c r="K161" s="81"/>
      <c r="M161" s="88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</row>
    <row r="162" spans="2:39" ht="41.25" customHeight="1">
      <c r="B162" s="18"/>
      <c r="C162" s="57" t="str">
        <f t="shared" si="9"/>
        <v/>
      </c>
      <c r="D162" s="18"/>
      <c r="E162" s="18"/>
      <c r="F162" s="15"/>
      <c r="G162" s="19"/>
      <c r="H162" s="19"/>
      <c r="I162" s="19"/>
      <c r="J162" s="22"/>
      <c r="K162" s="81"/>
      <c r="M162" s="88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</row>
    <row r="163" spans="2:39" ht="41.25" customHeight="1">
      <c r="B163" s="18"/>
      <c r="C163" s="57" t="str">
        <f t="shared" si="9"/>
        <v/>
      </c>
      <c r="D163" s="18"/>
      <c r="E163" s="18"/>
      <c r="F163" s="15"/>
      <c r="G163" s="19"/>
      <c r="H163" s="19"/>
      <c r="I163" s="19"/>
      <c r="J163" s="22"/>
      <c r="K163" s="81"/>
      <c r="M163" s="88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</row>
    <row r="164" spans="2:39" ht="41.25" customHeight="1">
      <c r="B164" s="18"/>
      <c r="C164" s="57" t="str">
        <f t="shared" si="9"/>
        <v/>
      </c>
      <c r="D164" s="18"/>
      <c r="E164" s="18"/>
      <c r="F164" s="15"/>
      <c r="G164" s="19"/>
      <c r="H164" s="19"/>
      <c r="I164" s="19"/>
      <c r="J164" s="22"/>
      <c r="K164" s="81"/>
      <c r="M164" s="88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</row>
    <row r="165" spans="2:39" ht="41.25" customHeight="1">
      <c r="B165" s="18"/>
      <c r="C165" s="57" t="str">
        <f t="shared" si="9"/>
        <v/>
      </c>
      <c r="D165" s="18"/>
      <c r="E165" s="18"/>
      <c r="F165" s="15"/>
      <c r="G165" s="19"/>
      <c r="H165" s="19"/>
      <c r="I165" s="19"/>
      <c r="J165" s="22"/>
      <c r="K165" s="81"/>
      <c r="M165" s="88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</row>
    <row r="166" spans="2:39" ht="41.25" customHeight="1">
      <c r="B166" s="18"/>
      <c r="C166" s="57" t="str">
        <f t="shared" si="9"/>
        <v/>
      </c>
      <c r="D166" s="18"/>
      <c r="E166" s="18"/>
      <c r="F166" s="15"/>
      <c r="G166" s="19"/>
      <c r="H166" s="19"/>
      <c r="I166" s="19"/>
      <c r="J166" s="22"/>
      <c r="K166" s="81"/>
      <c r="M166" s="88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</row>
    <row r="167" spans="2:39" ht="41.25" customHeight="1">
      <c r="B167" s="18"/>
      <c r="C167" s="57" t="str">
        <f t="shared" si="9"/>
        <v/>
      </c>
      <c r="D167" s="18"/>
      <c r="E167" s="18"/>
      <c r="F167" s="15"/>
      <c r="G167" s="19"/>
      <c r="H167" s="19"/>
      <c r="I167" s="19"/>
      <c r="J167" s="22"/>
      <c r="K167" s="81"/>
      <c r="M167" s="88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</row>
    <row r="168" spans="2:39" ht="41.25" customHeight="1">
      <c r="B168" s="18"/>
      <c r="C168" s="57" t="str">
        <f t="shared" si="9"/>
        <v/>
      </c>
      <c r="D168" s="18"/>
      <c r="E168" s="18"/>
      <c r="F168" s="15"/>
      <c r="G168" s="19"/>
      <c r="H168" s="19"/>
      <c r="I168" s="19"/>
      <c r="J168" s="22"/>
      <c r="K168" s="81"/>
      <c r="M168" s="88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</row>
    <row r="169" spans="2:39" ht="41.25" customHeight="1">
      <c r="B169" s="18"/>
      <c r="C169" s="57" t="str">
        <f t="shared" si="9"/>
        <v/>
      </c>
      <c r="D169" s="18"/>
      <c r="E169" s="18"/>
      <c r="F169" s="15"/>
      <c r="G169" s="19"/>
      <c r="H169" s="19"/>
      <c r="I169" s="19"/>
      <c r="J169" s="22"/>
      <c r="K169" s="81"/>
      <c r="M169" s="88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</row>
    <row r="170" spans="2:39" ht="41.25" customHeight="1">
      <c r="B170" s="18"/>
      <c r="C170" s="57" t="str">
        <f t="shared" si="9"/>
        <v/>
      </c>
      <c r="D170" s="18"/>
      <c r="E170" s="18"/>
      <c r="F170" s="15"/>
      <c r="G170" s="19"/>
      <c r="H170" s="19"/>
      <c r="I170" s="19"/>
      <c r="J170" s="22"/>
      <c r="K170" s="81"/>
      <c r="M170" s="88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</row>
    <row r="171" spans="2:39" ht="41.25" customHeight="1">
      <c r="B171" s="18"/>
      <c r="C171" s="57" t="str">
        <f t="shared" si="9"/>
        <v/>
      </c>
      <c r="D171" s="18"/>
      <c r="E171" s="18"/>
      <c r="F171" s="15"/>
      <c r="G171" s="19"/>
      <c r="H171" s="19"/>
      <c r="I171" s="19"/>
      <c r="J171" s="22"/>
      <c r="K171" s="81"/>
      <c r="M171" s="88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</row>
    <row r="172" spans="2:39" ht="41.25" customHeight="1">
      <c r="B172" s="18"/>
      <c r="C172" s="57" t="str">
        <f t="shared" si="9"/>
        <v/>
      </c>
      <c r="D172" s="18"/>
      <c r="E172" s="18"/>
      <c r="F172" s="15"/>
      <c r="G172" s="19"/>
      <c r="H172" s="19"/>
      <c r="I172" s="19"/>
      <c r="J172" s="22"/>
      <c r="K172" s="81"/>
      <c r="M172" s="88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</row>
    <row r="173" spans="2:39" ht="41.25" customHeight="1">
      <c r="B173" s="18"/>
      <c r="C173" s="57" t="str">
        <f t="shared" si="9"/>
        <v/>
      </c>
      <c r="D173" s="18"/>
      <c r="E173" s="18"/>
      <c r="F173" s="15"/>
      <c r="G173" s="19"/>
      <c r="H173" s="19"/>
      <c r="I173" s="19"/>
      <c r="J173" s="22"/>
      <c r="K173" s="81"/>
      <c r="M173" s="88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</row>
    <row r="174" spans="2:39" ht="41.25" customHeight="1">
      <c r="B174" s="18"/>
      <c r="C174" s="57" t="str">
        <f t="shared" si="9"/>
        <v/>
      </c>
      <c r="D174" s="18"/>
      <c r="E174" s="18"/>
      <c r="F174" s="15"/>
      <c r="G174" s="19"/>
      <c r="H174" s="19"/>
      <c r="I174" s="19"/>
      <c r="J174" s="22"/>
      <c r="K174" s="81"/>
      <c r="M174" s="88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</row>
    <row r="175" spans="2:39" ht="41.25" customHeight="1">
      <c r="B175" s="18"/>
      <c r="C175" s="57" t="str">
        <f t="shared" si="9"/>
        <v/>
      </c>
      <c r="D175" s="18"/>
      <c r="E175" s="18"/>
      <c r="F175" s="15"/>
      <c r="G175" s="19"/>
      <c r="H175" s="19"/>
      <c r="I175" s="19"/>
      <c r="J175" s="22"/>
      <c r="K175" s="81"/>
      <c r="M175" s="88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</row>
    <row r="176" spans="2:39" ht="41.25" customHeight="1">
      <c r="B176" s="18"/>
      <c r="C176" s="57" t="str">
        <f t="shared" si="9"/>
        <v/>
      </c>
      <c r="D176" s="18"/>
      <c r="E176" s="18"/>
      <c r="F176" s="15"/>
      <c r="G176" s="19"/>
      <c r="H176" s="19"/>
      <c r="I176" s="19"/>
      <c r="J176" s="22"/>
      <c r="K176" s="81"/>
      <c r="M176" s="88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</row>
    <row r="177" spans="2:39" ht="41.25" customHeight="1">
      <c r="B177" s="18"/>
      <c r="C177" s="57" t="str">
        <f t="shared" si="9"/>
        <v/>
      </c>
      <c r="D177" s="18"/>
      <c r="E177" s="18"/>
      <c r="F177" s="15"/>
      <c r="G177" s="19"/>
      <c r="H177" s="19"/>
      <c r="I177" s="19"/>
      <c r="J177" s="22"/>
      <c r="K177" s="81"/>
      <c r="M177" s="88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</row>
    <row r="178" spans="2:39" ht="41.25" customHeight="1">
      <c r="B178" s="18"/>
      <c r="C178" s="57" t="str">
        <f t="shared" si="9"/>
        <v/>
      </c>
      <c r="D178" s="18"/>
      <c r="E178" s="18"/>
      <c r="F178" s="15"/>
      <c r="G178" s="19"/>
      <c r="H178" s="19"/>
      <c r="I178" s="19"/>
      <c r="J178" s="22"/>
      <c r="K178" s="81"/>
      <c r="M178" s="88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</row>
    <row r="179" spans="2:39" ht="41.25" customHeight="1">
      <c r="B179" s="18"/>
      <c r="C179" s="57" t="str">
        <f t="shared" si="9"/>
        <v/>
      </c>
      <c r="D179" s="18"/>
      <c r="E179" s="18"/>
      <c r="F179" s="15"/>
      <c r="G179" s="19"/>
      <c r="H179" s="19"/>
      <c r="I179" s="19"/>
      <c r="J179" s="22"/>
      <c r="K179" s="81"/>
      <c r="M179" s="88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</row>
    <row r="180" spans="2:39" ht="41.25" customHeight="1">
      <c r="B180" s="18"/>
      <c r="C180" s="57" t="str">
        <f t="shared" si="9"/>
        <v/>
      </c>
      <c r="D180" s="18"/>
      <c r="E180" s="18"/>
      <c r="F180" s="15"/>
      <c r="G180" s="19"/>
      <c r="H180" s="19"/>
      <c r="I180" s="19"/>
      <c r="J180" s="22"/>
      <c r="K180" s="81"/>
      <c r="M180" s="88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</row>
    <row r="181" spans="2:39" ht="41.25" customHeight="1">
      <c r="B181" s="18"/>
      <c r="C181" s="57" t="str">
        <f t="shared" si="9"/>
        <v/>
      </c>
      <c r="D181" s="18"/>
      <c r="E181" s="18"/>
      <c r="F181" s="15"/>
      <c r="G181" s="19"/>
      <c r="H181" s="19"/>
      <c r="I181" s="19"/>
      <c r="J181" s="22"/>
      <c r="K181" s="81"/>
      <c r="M181" s="88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</row>
    <row r="182" spans="2:39" ht="41.25" customHeight="1">
      <c r="B182" s="18"/>
      <c r="C182" s="57" t="str">
        <f t="shared" si="9"/>
        <v/>
      </c>
      <c r="D182" s="18"/>
      <c r="E182" s="18"/>
      <c r="F182" s="15"/>
      <c r="G182" s="19"/>
      <c r="H182" s="19"/>
      <c r="I182" s="19"/>
      <c r="J182" s="22"/>
      <c r="K182" s="81"/>
      <c r="M182" s="88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</row>
    <row r="183" spans="2:39" ht="41.25" customHeight="1">
      <c r="B183" s="18"/>
      <c r="C183" s="57" t="str">
        <f t="shared" si="9"/>
        <v/>
      </c>
      <c r="D183" s="18"/>
      <c r="E183" s="18"/>
      <c r="F183" s="15"/>
      <c r="G183" s="19"/>
      <c r="H183" s="19"/>
      <c r="I183" s="19"/>
      <c r="J183" s="22"/>
      <c r="K183" s="81"/>
      <c r="M183" s="88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</row>
    <row r="184" spans="2:39" ht="41.25" customHeight="1">
      <c r="B184" s="18"/>
      <c r="C184" s="57" t="str">
        <f t="shared" si="9"/>
        <v/>
      </c>
      <c r="D184" s="18"/>
      <c r="E184" s="18"/>
      <c r="F184" s="15"/>
      <c r="G184" s="19"/>
      <c r="H184" s="19"/>
      <c r="I184" s="19"/>
      <c r="J184" s="22"/>
      <c r="K184" s="81"/>
      <c r="M184" s="88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</row>
    <row r="185" spans="2:39" ht="41.25" customHeight="1">
      <c r="B185" s="18"/>
      <c r="C185" s="57" t="str">
        <f t="shared" si="9"/>
        <v/>
      </c>
      <c r="D185" s="18"/>
      <c r="E185" s="18"/>
      <c r="F185" s="15"/>
      <c r="G185" s="19"/>
      <c r="H185" s="19"/>
      <c r="I185" s="19"/>
      <c r="J185" s="22"/>
      <c r="K185" s="81"/>
      <c r="M185" s="88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</row>
    <row r="186" spans="2:39" ht="41.25" customHeight="1">
      <c r="B186" s="18"/>
      <c r="C186" s="57" t="str">
        <f t="shared" si="9"/>
        <v/>
      </c>
      <c r="D186" s="18"/>
      <c r="E186" s="18"/>
      <c r="F186" s="15"/>
      <c r="G186" s="19"/>
      <c r="H186" s="19"/>
      <c r="I186" s="19"/>
      <c r="J186" s="22"/>
      <c r="K186" s="81"/>
      <c r="M186" s="88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</row>
    <row r="187" spans="2:39" ht="41.25" customHeight="1">
      <c r="B187" s="18"/>
      <c r="C187" s="57" t="str">
        <f t="shared" si="9"/>
        <v/>
      </c>
      <c r="D187" s="18"/>
      <c r="E187" s="18"/>
      <c r="F187" s="15"/>
      <c r="G187" s="19"/>
      <c r="H187" s="19"/>
      <c r="I187" s="19"/>
      <c r="J187" s="22"/>
      <c r="K187" s="81"/>
      <c r="M187" s="88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</row>
    <row r="188" spans="2:39" ht="41.25" customHeight="1">
      <c r="B188" s="18"/>
      <c r="C188" s="57" t="str">
        <f t="shared" si="9"/>
        <v/>
      </c>
      <c r="D188" s="18"/>
      <c r="E188" s="18"/>
      <c r="F188" s="15"/>
      <c r="G188" s="19"/>
      <c r="H188" s="19"/>
      <c r="I188" s="19"/>
      <c r="J188" s="22"/>
      <c r="K188" s="81"/>
      <c r="M188" s="88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</row>
    <row r="189" spans="2:39" ht="41.25" customHeight="1">
      <c r="B189" s="18"/>
      <c r="C189" s="57" t="str">
        <f t="shared" si="9"/>
        <v/>
      </c>
      <c r="D189" s="18"/>
      <c r="E189" s="18"/>
      <c r="F189" s="15"/>
      <c r="G189" s="19"/>
      <c r="H189" s="19"/>
      <c r="I189" s="19"/>
      <c r="J189" s="22"/>
      <c r="K189" s="81"/>
      <c r="M189" s="88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</row>
    <row r="190" spans="2:39" ht="41.25" customHeight="1">
      <c r="B190" s="18"/>
      <c r="C190" s="57" t="str">
        <f t="shared" si="9"/>
        <v/>
      </c>
      <c r="D190" s="18"/>
      <c r="E190" s="18"/>
      <c r="F190" s="15"/>
      <c r="G190" s="19"/>
      <c r="H190" s="19"/>
      <c r="I190" s="19"/>
      <c r="J190" s="22"/>
      <c r="K190" s="81"/>
      <c r="M190" s="88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</row>
    <row r="191" spans="2:39" ht="41.25" customHeight="1">
      <c r="B191" s="18"/>
      <c r="C191" s="57" t="str">
        <f t="shared" si="9"/>
        <v/>
      </c>
      <c r="D191" s="18"/>
      <c r="E191" s="18"/>
      <c r="F191" s="15"/>
      <c r="G191" s="19"/>
      <c r="H191" s="19"/>
      <c r="I191" s="19"/>
      <c r="J191" s="22"/>
      <c r="K191" s="81"/>
      <c r="M191" s="88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</row>
    <row r="192" spans="2:39" ht="41.25" customHeight="1">
      <c r="B192" s="18"/>
      <c r="C192" s="57" t="str">
        <f t="shared" si="9"/>
        <v/>
      </c>
      <c r="D192" s="18"/>
      <c r="E192" s="18"/>
      <c r="F192" s="15"/>
      <c r="G192" s="19"/>
      <c r="H192" s="19"/>
      <c r="I192" s="19"/>
      <c r="J192" s="22"/>
      <c r="K192" s="81"/>
      <c r="M192" s="88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</row>
    <row r="193" spans="2:39" ht="41.25" customHeight="1">
      <c r="B193" s="18"/>
      <c r="C193" s="57" t="str">
        <f t="shared" si="9"/>
        <v/>
      </c>
      <c r="D193" s="18"/>
      <c r="E193" s="18"/>
      <c r="F193" s="15"/>
      <c r="G193" s="19"/>
      <c r="H193" s="19"/>
      <c r="I193" s="19"/>
      <c r="J193" s="22"/>
      <c r="K193" s="81"/>
      <c r="M193" s="88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</row>
    <row r="194" spans="2:39" ht="41.25" customHeight="1">
      <c r="B194" s="18"/>
      <c r="C194" s="57" t="str">
        <f t="shared" si="9"/>
        <v/>
      </c>
      <c r="D194" s="18"/>
      <c r="E194" s="18"/>
      <c r="F194" s="15"/>
      <c r="G194" s="19"/>
      <c r="H194" s="19"/>
      <c r="I194" s="19"/>
      <c r="J194" s="22"/>
      <c r="K194" s="81"/>
      <c r="M194" s="88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</row>
    <row r="195" spans="2:39" ht="41.25" customHeight="1">
      <c r="B195" s="18"/>
      <c r="C195" s="57" t="str">
        <f t="shared" si="9"/>
        <v/>
      </c>
      <c r="D195" s="18"/>
      <c r="E195" s="18"/>
      <c r="F195" s="15"/>
      <c r="G195" s="19"/>
      <c r="H195" s="19"/>
      <c r="I195" s="19"/>
      <c r="J195" s="22"/>
      <c r="K195" s="81"/>
      <c r="M195" s="88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</row>
    <row r="196" spans="2:39" ht="41.25" customHeight="1">
      <c r="B196" s="18"/>
      <c r="C196" s="57" t="str">
        <f t="shared" si="9"/>
        <v/>
      </c>
      <c r="D196" s="18"/>
      <c r="E196" s="18"/>
      <c r="F196" s="15"/>
      <c r="G196" s="19"/>
      <c r="H196" s="19"/>
      <c r="I196" s="19"/>
      <c r="J196" s="22"/>
      <c r="K196" s="81"/>
      <c r="M196" s="88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</row>
    <row r="197" spans="2:39" ht="41.25" customHeight="1">
      <c r="B197" s="18"/>
      <c r="C197" s="57" t="str">
        <f t="shared" si="9"/>
        <v/>
      </c>
      <c r="D197" s="18"/>
      <c r="E197" s="18"/>
      <c r="F197" s="15"/>
      <c r="G197" s="19"/>
      <c r="H197" s="19"/>
      <c r="I197" s="19"/>
      <c r="J197" s="22"/>
      <c r="K197" s="81"/>
      <c r="M197" s="88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</row>
    <row r="198" spans="2:39" ht="41.25" customHeight="1">
      <c r="B198" s="18"/>
      <c r="C198" s="57" t="str">
        <f t="shared" si="9"/>
        <v/>
      </c>
      <c r="D198" s="18"/>
      <c r="E198" s="18"/>
      <c r="F198" s="15"/>
      <c r="G198" s="19"/>
      <c r="H198" s="19"/>
      <c r="I198" s="19"/>
      <c r="J198" s="22"/>
      <c r="K198" s="81"/>
      <c r="M198" s="88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</row>
    <row r="199" spans="2:39" ht="41.25" customHeight="1">
      <c r="B199" s="18"/>
      <c r="C199" s="57" t="str">
        <f t="shared" ref="C199:C262" si="10">IF(B199="","",MONTH(B199))</f>
        <v/>
      </c>
      <c r="D199" s="18"/>
      <c r="E199" s="18"/>
      <c r="F199" s="15"/>
      <c r="G199" s="19"/>
      <c r="H199" s="19"/>
      <c r="I199" s="19"/>
      <c r="J199" s="22"/>
      <c r="K199" s="81"/>
      <c r="M199" s="88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</row>
    <row r="200" spans="2:39" ht="41.25" customHeight="1">
      <c r="B200" s="18"/>
      <c r="C200" s="57" t="str">
        <f t="shared" si="10"/>
        <v/>
      </c>
      <c r="D200" s="18"/>
      <c r="E200" s="18"/>
      <c r="F200" s="15"/>
      <c r="G200" s="19"/>
      <c r="H200" s="19"/>
      <c r="I200" s="19"/>
      <c r="J200" s="22"/>
      <c r="K200" s="81"/>
      <c r="M200" s="88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</row>
    <row r="201" spans="2:39" ht="41.25" customHeight="1">
      <c r="B201" s="18"/>
      <c r="C201" s="57" t="str">
        <f t="shared" si="10"/>
        <v/>
      </c>
      <c r="D201" s="18"/>
      <c r="E201" s="18"/>
      <c r="F201" s="15"/>
      <c r="G201" s="19"/>
      <c r="H201" s="19"/>
      <c r="I201" s="19"/>
      <c r="J201" s="22"/>
      <c r="K201" s="81"/>
      <c r="M201" s="88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</row>
    <row r="202" spans="2:39" ht="41.25" customHeight="1">
      <c r="B202" s="18"/>
      <c r="C202" s="57" t="str">
        <f t="shared" si="10"/>
        <v/>
      </c>
      <c r="D202" s="18"/>
      <c r="E202" s="18"/>
      <c r="F202" s="15"/>
      <c r="G202" s="19"/>
      <c r="H202" s="19"/>
      <c r="I202" s="19"/>
      <c r="J202" s="22"/>
      <c r="K202" s="81"/>
      <c r="M202" s="88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</row>
    <row r="203" spans="2:39" ht="41.25" customHeight="1">
      <c r="B203" s="18"/>
      <c r="C203" s="57" t="str">
        <f t="shared" si="10"/>
        <v/>
      </c>
      <c r="D203" s="18"/>
      <c r="E203" s="18"/>
      <c r="F203" s="15"/>
      <c r="G203" s="19"/>
      <c r="H203" s="19"/>
      <c r="I203" s="19"/>
      <c r="J203" s="22"/>
      <c r="K203" s="81"/>
      <c r="M203" s="88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</row>
    <row r="204" spans="2:39" ht="41.25" customHeight="1">
      <c r="B204" s="18"/>
      <c r="C204" s="57" t="str">
        <f t="shared" si="10"/>
        <v/>
      </c>
      <c r="D204" s="18"/>
      <c r="E204" s="18"/>
      <c r="F204" s="15"/>
      <c r="G204" s="19"/>
      <c r="H204" s="19"/>
      <c r="I204" s="19"/>
      <c r="J204" s="22"/>
      <c r="K204" s="81"/>
      <c r="M204" s="88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</row>
    <row r="205" spans="2:39" ht="41.25" customHeight="1">
      <c r="B205" s="18"/>
      <c r="C205" s="57" t="str">
        <f t="shared" si="10"/>
        <v/>
      </c>
      <c r="D205" s="18"/>
      <c r="E205" s="18"/>
      <c r="F205" s="15"/>
      <c r="G205" s="19"/>
      <c r="H205" s="19"/>
      <c r="I205" s="19"/>
      <c r="J205" s="22"/>
      <c r="K205" s="81"/>
      <c r="M205" s="88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</row>
    <row r="206" spans="2:39" ht="41.25" customHeight="1">
      <c r="B206" s="18"/>
      <c r="C206" s="57" t="str">
        <f t="shared" si="10"/>
        <v/>
      </c>
      <c r="D206" s="18"/>
      <c r="E206" s="18"/>
      <c r="F206" s="15"/>
      <c r="G206" s="19"/>
      <c r="H206" s="19"/>
      <c r="I206" s="19"/>
      <c r="J206" s="22"/>
      <c r="K206" s="81"/>
      <c r="M206" s="88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</row>
    <row r="207" spans="2:39" ht="41.25" customHeight="1">
      <c r="B207" s="18"/>
      <c r="C207" s="57" t="str">
        <f t="shared" si="10"/>
        <v/>
      </c>
      <c r="D207" s="18"/>
      <c r="E207" s="18"/>
      <c r="F207" s="15"/>
      <c r="G207" s="19"/>
      <c r="H207" s="19"/>
      <c r="I207" s="19"/>
      <c r="J207" s="22"/>
      <c r="K207" s="81"/>
      <c r="M207" s="88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</row>
    <row r="208" spans="2:39" ht="41.25" customHeight="1">
      <c r="B208" s="18"/>
      <c r="C208" s="57" t="str">
        <f t="shared" si="10"/>
        <v/>
      </c>
      <c r="D208" s="18"/>
      <c r="E208" s="18"/>
      <c r="F208" s="15"/>
      <c r="G208" s="19"/>
      <c r="H208" s="19"/>
      <c r="I208" s="19"/>
      <c r="J208" s="22"/>
      <c r="K208" s="81"/>
      <c r="M208" s="88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</row>
    <row r="209" spans="1:39" ht="41.25" customHeight="1">
      <c r="B209" s="18"/>
      <c r="C209" s="57" t="str">
        <f t="shared" si="10"/>
        <v/>
      </c>
      <c r="D209" s="18"/>
      <c r="E209" s="18"/>
      <c r="F209" s="15"/>
      <c r="G209" s="19"/>
      <c r="H209" s="19"/>
      <c r="I209" s="19"/>
      <c r="J209" s="22"/>
      <c r="K209" s="81"/>
      <c r="M209" s="88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</row>
    <row r="210" spans="1:39" ht="41.25" customHeight="1">
      <c r="B210" s="18"/>
      <c r="C210" s="57" t="str">
        <f t="shared" si="10"/>
        <v/>
      </c>
      <c r="D210" s="18"/>
      <c r="E210" s="18"/>
      <c r="F210" s="15"/>
      <c r="G210" s="19"/>
      <c r="H210" s="19"/>
      <c r="I210" s="19"/>
      <c r="J210" s="22"/>
      <c r="K210" s="81"/>
      <c r="M210" s="88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</row>
    <row r="211" spans="1:39" ht="41.25" customHeight="1">
      <c r="B211" s="18"/>
      <c r="C211" s="57" t="str">
        <f t="shared" si="10"/>
        <v/>
      </c>
      <c r="D211" s="18"/>
      <c r="E211" s="18"/>
      <c r="F211" s="15"/>
      <c r="G211" s="19"/>
      <c r="H211" s="19"/>
      <c r="I211" s="19"/>
      <c r="J211" s="22"/>
      <c r="K211" s="81"/>
      <c r="M211" s="88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</row>
    <row r="212" spans="1:39" ht="41.25" customHeight="1">
      <c r="B212" s="18"/>
      <c r="C212" s="57" t="str">
        <f t="shared" si="10"/>
        <v/>
      </c>
      <c r="D212" s="18"/>
      <c r="E212" s="18"/>
      <c r="F212" s="15"/>
      <c r="G212" s="19"/>
      <c r="H212" s="19"/>
      <c r="I212" s="19"/>
      <c r="J212" s="22"/>
      <c r="K212" s="81"/>
      <c r="M212" s="88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</row>
    <row r="213" spans="1:39" s="9" customFormat="1" ht="41.25" customHeight="1">
      <c r="A213" s="13"/>
      <c r="B213" s="18"/>
      <c r="C213" s="57" t="str">
        <f t="shared" si="10"/>
        <v/>
      </c>
      <c r="D213" s="18"/>
      <c r="E213" s="18"/>
      <c r="F213" s="15"/>
      <c r="G213" s="19"/>
      <c r="H213" s="19"/>
      <c r="I213" s="19"/>
      <c r="J213" s="22"/>
      <c r="K213" s="81"/>
      <c r="L213" s="22"/>
      <c r="M213" s="88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</row>
    <row r="214" spans="1:39" ht="41.25" customHeight="1">
      <c r="B214" s="18"/>
      <c r="C214" s="57" t="str">
        <f t="shared" si="10"/>
        <v/>
      </c>
      <c r="D214" s="18"/>
      <c r="E214" s="18"/>
      <c r="F214" s="15"/>
      <c r="G214" s="19"/>
      <c r="H214" s="19"/>
      <c r="I214" s="19"/>
      <c r="J214" s="22"/>
      <c r="K214" s="81"/>
      <c r="M214" s="88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</row>
    <row r="215" spans="1:39" ht="41.25" customHeight="1">
      <c r="B215" s="18"/>
      <c r="C215" s="57" t="str">
        <f t="shared" si="10"/>
        <v/>
      </c>
      <c r="D215" s="18"/>
      <c r="E215" s="18"/>
      <c r="F215" s="15"/>
      <c r="G215" s="19"/>
      <c r="H215" s="19"/>
      <c r="I215" s="19"/>
      <c r="J215" s="22"/>
      <c r="K215" s="81"/>
      <c r="M215" s="88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</row>
    <row r="216" spans="1:39" ht="41.25" customHeight="1">
      <c r="B216" s="18"/>
      <c r="C216" s="57" t="str">
        <f t="shared" si="10"/>
        <v/>
      </c>
      <c r="D216" s="18"/>
      <c r="E216" s="18"/>
      <c r="F216" s="15"/>
      <c r="G216" s="19"/>
      <c r="H216" s="19"/>
      <c r="I216" s="19"/>
      <c r="J216" s="22"/>
      <c r="K216" s="81"/>
      <c r="M216" s="88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</row>
    <row r="217" spans="1:39" ht="41.25" customHeight="1">
      <c r="B217" s="18"/>
      <c r="C217" s="57" t="str">
        <f t="shared" si="10"/>
        <v/>
      </c>
      <c r="D217" s="18"/>
      <c r="E217" s="18"/>
      <c r="F217" s="15"/>
      <c r="G217" s="19"/>
      <c r="H217" s="19"/>
      <c r="I217" s="19"/>
      <c r="J217" s="22"/>
      <c r="K217" s="81"/>
      <c r="M217" s="88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</row>
    <row r="218" spans="1:39" ht="41.25" customHeight="1">
      <c r="B218" s="18"/>
      <c r="C218" s="57" t="str">
        <f t="shared" si="10"/>
        <v/>
      </c>
      <c r="D218" s="18"/>
      <c r="E218" s="18"/>
      <c r="F218" s="15"/>
      <c r="G218" s="19"/>
      <c r="H218" s="19"/>
      <c r="I218" s="19"/>
      <c r="J218" s="22"/>
      <c r="K218" s="81"/>
      <c r="M218" s="88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</row>
    <row r="219" spans="1:39" ht="41.25" customHeight="1">
      <c r="B219" s="18"/>
      <c r="C219" s="57" t="str">
        <f t="shared" si="10"/>
        <v/>
      </c>
      <c r="D219" s="18"/>
      <c r="E219" s="18"/>
      <c r="F219" s="15"/>
      <c r="G219" s="19"/>
      <c r="H219" s="19"/>
      <c r="I219" s="19"/>
      <c r="J219" s="22"/>
      <c r="K219" s="81"/>
      <c r="M219" s="88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</row>
    <row r="220" spans="1:39" ht="41.25" customHeight="1">
      <c r="B220" s="18"/>
      <c r="C220" s="57" t="str">
        <f t="shared" si="10"/>
        <v/>
      </c>
      <c r="D220" s="18"/>
      <c r="E220" s="18"/>
      <c r="F220" s="15"/>
      <c r="G220" s="19"/>
      <c r="H220" s="19"/>
      <c r="I220" s="19"/>
      <c r="J220" s="22"/>
      <c r="K220" s="81"/>
      <c r="M220" s="88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</row>
    <row r="221" spans="1:39" ht="41.25" customHeight="1">
      <c r="B221" s="18"/>
      <c r="C221" s="57" t="str">
        <f t="shared" si="10"/>
        <v/>
      </c>
      <c r="D221" s="18"/>
      <c r="E221" s="18"/>
      <c r="F221" s="15"/>
      <c r="G221" s="19"/>
      <c r="H221" s="19"/>
      <c r="I221" s="19"/>
      <c r="J221" s="22"/>
      <c r="K221" s="81"/>
      <c r="M221" s="88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</row>
    <row r="222" spans="1:39" ht="41.25" customHeight="1">
      <c r="B222" s="18"/>
      <c r="C222" s="57" t="str">
        <f t="shared" si="10"/>
        <v/>
      </c>
      <c r="D222" s="18"/>
      <c r="E222" s="18"/>
      <c r="F222" s="15"/>
      <c r="G222" s="19"/>
      <c r="H222" s="19"/>
      <c r="I222" s="19"/>
      <c r="J222" s="22"/>
      <c r="K222" s="81"/>
      <c r="M222" s="88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</row>
    <row r="223" spans="1:39" ht="41.25" customHeight="1">
      <c r="B223" s="18"/>
      <c r="C223" s="57" t="str">
        <f t="shared" si="10"/>
        <v/>
      </c>
      <c r="D223" s="18"/>
      <c r="E223" s="18"/>
      <c r="F223" s="15"/>
      <c r="G223" s="19"/>
      <c r="H223" s="19"/>
      <c r="I223" s="19"/>
      <c r="J223" s="22"/>
      <c r="K223" s="81"/>
      <c r="M223" s="88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</row>
    <row r="224" spans="1:39" ht="41.25" customHeight="1">
      <c r="B224" s="18"/>
      <c r="C224" s="57" t="str">
        <f t="shared" si="10"/>
        <v/>
      </c>
      <c r="D224" s="18"/>
      <c r="E224" s="18"/>
      <c r="F224" s="15"/>
      <c r="G224" s="19"/>
      <c r="H224" s="19"/>
      <c r="I224" s="19"/>
      <c r="J224" s="22"/>
      <c r="K224" s="81"/>
      <c r="M224" s="88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</row>
    <row r="225" spans="2:39" ht="41.25" customHeight="1">
      <c r="B225" s="18"/>
      <c r="C225" s="57" t="str">
        <f t="shared" si="10"/>
        <v/>
      </c>
      <c r="D225" s="18"/>
      <c r="E225" s="18"/>
      <c r="F225" s="15"/>
      <c r="G225" s="19"/>
      <c r="H225" s="19"/>
      <c r="I225" s="19"/>
      <c r="J225" s="22"/>
      <c r="K225" s="81"/>
      <c r="M225" s="88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</row>
    <row r="226" spans="2:39" ht="41.25" customHeight="1">
      <c r="B226" s="18"/>
      <c r="C226" s="57" t="str">
        <f t="shared" si="10"/>
        <v/>
      </c>
      <c r="D226" s="18"/>
      <c r="E226" s="18"/>
      <c r="F226" s="15"/>
      <c r="G226" s="19"/>
      <c r="H226" s="19"/>
      <c r="I226" s="19"/>
      <c r="J226" s="22"/>
      <c r="K226" s="81"/>
      <c r="M226" s="88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</row>
    <row r="227" spans="2:39" ht="41.25" customHeight="1">
      <c r="B227" s="18"/>
      <c r="C227" s="57" t="str">
        <f t="shared" si="10"/>
        <v/>
      </c>
      <c r="D227" s="18"/>
      <c r="E227" s="18"/>
      <c r="F227" s="15"/>
      <c r="G227" s="19"/>
      <c r="H227" s="19"/>
      <c r="I227" s="19"/>
      <c r="J227" s="22"/>
      <c r="K227" s="81"/>
      <c r="M227" s="88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</row>
    <row r="228" spans="2:39" ht="41.25" customHeight="1">
      <c r="B228" s="18"/>
      <c r="C228" s="57" t="str">
        <f t="shared" si="10"/>
        <v/>
      </c>
      <c r="D228" s="18"/>
      <c r="E228" s="18"/>
      <c r="F228" s="15"/>
      <c r="G228" s="19"/>
      <c r="H228" s="19"/>
      <c r="I228" s="19"/>
      <c r="J228" s="22"/>
      <c r="K228" s="81"/>
      <c r="M228" s="88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</row>
    <row r="229" spans="2:39" ht="41.25" customHeight="1">
      <c r="B229" s="18"/>
      <c r="C229" s="57" t="str">
        <f t="shared" si="10"/>
        <v/>
      </c>
      <c r="D229" s="18"/>
      <c r="E229" s="18"/>
      <c r="F229" s="15"/>
      <c r="G229" s="19"/>
      <c r="H229" s="19"/>
      <c r="I229" s="19"/>
      <c r="J229" s="22"/>
      <c r="K229" s="81"/>
      <c r="M229" s="88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</row>
    <row r="230" spans="2:39" ht="41.25" customHeight="1">
      <c r="B230" s="18"/>
      <c r="C230" s="57" t="str">
        <f t="shared" si="10"/>
        <v/>
      </c>
      <c r="D230" s="18"/>
      <c r="E230" s="18"/>
      <c r="F230" s="15"/>
      <c r="G230" s="19"/>
      <c r="H230" s="19"/>
      <c r="I230" s="19"/>
      <c r="J230" s="22"/>
      <c r="K230" s="81"/>
      <c r="M230" s="88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</row>
    <row r="231" spans="2:39" ht="41.25" customHeight="1">
      <c r="B231" s="18"/>
      <c r="C231" s="57" t="str">
        <f t="shared" si="10"/>
        <v/>
      </c>
      <c r="D231" s="18"/>
      <c r="E231" s="18"/>
      <c r="F231" s="15"/>
      <c r="G231" s="19"/>
      <c r="H231" s="19"/>
      <c r="I231" s="19"/>
      <c r="J231" s="22"/>
      <c r="K231" s="81"/>
      <c r="M231" s="88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</row>
    <row r="232" spans="2:39" ht="41.25" customHeight="1">
      <c r="B232" s="18"/>
      <c r="C232" s="57" t="str">
        <f t="shared" si="10"/>
        <v/>
      </c>
      <c r="D232" s="18"/>
      <c r="E232" s="18"/>
      <c r="F232" s="15"/>
      <c r="G232" s="19"/>
      <c r="H232" s="19"/>
      <c r="I232" s="19"/>
      <c r="J232" s="22"/>
      <c r="K232" s="81"/>
      <c r="M232" s="88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</row>
    <row r="233" spans="2:39" ht="41.25" customHeight="1">
      <c r="B233" s="18"/>
      <c r="C233" s="57" t="str">
        <f t="shared" si="10"/>
        <v/>
      </c>
      <c r="D233" s="18"/>
      <c r="E233" s="18"/>
      <c r="F233" s="15"/>
      <c r="G233" s="19"/>
      <c r="H233" s="19"/>
      <c r="I233" s="19"/>
      <c r="J233" s="22"/>
      <c r="K233" s="81"/>
      <c r="M233" s="88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</row>
    <row r="234" spans="2:39" ht="41.25" customHeight="1">
      <c r="B234" s="18"/>
      <c r="C234" s="57" t="str">
        <f t="shared" si="10"/>
        <v/>
      </c>
      <c r="D234" s="18"/>
      <c r="E234" s="18"/>
      <c r="F234" s="15"/>
      <c r="G234" s="19"/>
      <c r="H234" s="19"/>
      <c r="I234" s="19"/>
      <c r="J234" s="22"/>
      <c r="K234" s="81"/>
      <c r="M234" s="88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</row>
    <row r="235" spans="2:39" ht="41.25" customHeight="1">
      <c r="B235" s="18"/>
      <c r="C235" s="57" t="str">
        <f t="shared" si="10"/>
        <v/>
      </c>
      <c r="D235" s="18"/>
      <c r="E235" s="18"/>
      <c r="F235" s="15"/>
      <c r="G235" s="19"/>
      <c r="H235" s="19"/>
      <c r="I235" s="19"/>
      <c r="J235" s="22"/>
      <c r="K235" s="81"/>
      <c r="M235" s="88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</row>
    <row r="236" spans="2:39" ht="41.25" customHeight="1">
      <c r="B236" s="18"/>
      <c r="C236" s="57" t="str">
        <f t="shared" si="10"/>
        <v/>
      </c>
      <c r="D236" s="18"/>
      <c r="E236" s="18"/>
      <c r="F236" s="15"/>
      <c r="G236" s="19"/>
      <c r="H236" s="19"/>
      <c r="I236" s="19"/>
      <c r="J236" s="22"/>
      <c r="K236" s="81"/>
      <c r="M236" s="88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</row>
    <row r="237" spans="2:39" ht="41.25" customHeight="1">
      <c r="B237" s="18"/>
      <c r="C237" s="57" t="str">
        <f t="shared" si="10"/>
        <v/>
      </c>
      <c r="D237" s="18"/>
      <c r="E237" s="18"/>
      <c r="F237" s="15"/>
      <c r="G237" s="19"/>
      <c r="H237" s="19"/>
      <c r="I237" s="19"/>
      <c r="J237" s="22"/>
      <c r="K237" s="81"/>
      <c r="M237" s="88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</row>
    <row r="238" spans="2:39" ht="41.25" customHeight="1">
      <c r="B238" s="18"/>
      <c r="C238" s="57" t="str">
        <f t="shared" si="10"/>
        <v/>
      </c>
      <c r="D238" s="18"/>
      <c r="E238" s="18"/>
      <c r="F238" s="15"/>
      <c r="G238" s="19"/>
      <c r="H238" s="19"/>
      <c r="I238" s="19"/>
      <c r="J238" s="22"/>
      <c r="K238" s="81"/>
      <c r="M238" s="88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</row>
    <row r="239" spans="2:39" ht="41.25" customHeight="1">
      <c r="B239" s="18"/>
      <c r="C239" s="57" t="str">
        <f t="shared" si="10"/>
        <v/>
      </c>
      <c r="D239" s="18"/>
      <c r="E239" s="18"/>
      <c r="F239" s="15"/>
      <c r="G239" s="19"/>
      <c r="H239" s="19"/>
      <c r="I239" s="19"/>
      <c r="J239" s="22"/>
      <c r="K239" s="81"/>
      <c r="M239" s="88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</row>
    <row r="240" spans="2:39" ht="41.25" customHeight="1">
      <c r="B240" s="18"/>
      <c r="C240" s="57" t="str">
        <f t="shared" si="10"/>
        <v/>
      </c>
      <c r="D240" s="18"/>
      <c r="E240" s="18"/>
      <c r="F240" s="15"/>
      <c r="G240" s="19"/>
      <c r="H240" s="19"/>
      <c r="I240" s="19"/>
      <c r="J240" s="22"/>
      <c r="K240" s="81"/>
      <c r="M240" s="88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</row>
    <row r="241" spans="2:39" ht="41.25" customHeight="1">
      <c r="B241" s="18"/>
      <c r="C241" s="57" t="str">
        <f t="shared" si="10"/>
        <v/>
      </c>
      <c r="D241" s="18"/>
      <c r="E241" s="18"/>
      <c r="F241" s="15"/>
      <c r="G241" s="19"/>
      <c r="H241" s="19"/>
      <c r="I241" s="19"/>
      <c r="J241" s="22"/>
      <c r="K241" s="81"/>
      <c r="M241" s="88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</row>
    <row r="242" spans="2:39" ht="41.25" customHeight="1">
      <c r="B242" s="18"/>
      <c r="C242" s="57" t="str">
        <f t="shared" si="10"/>
        <v/>
      </c>
      <c r="D242" s="18"/>
      <c r="E242" s="18"/>
      <c r="F242" s="15"/>
      <c r="G242" s="19"/>
      <c r="H242" s="19"/>
      <c r="I242" s="19"/>
      <c r="J242" s="22"/>
      <c r="K242" s="81"/>
      <c r="M242" s="88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</row>
    <row r="243" spans="2:39" ht="41.25" customHeight="1">
      <c r="B243" s="18"/>
      <c r="C243" s="57" t="str">
        <f t="shared" si="10"/>
        <v/>
      </c>
      <c r="D243" s="18"/>
      <c r="E243" s="18"/>
      <c r="F243" s="15"/>
      <c r="G243" s="19"/>
      <c r="H243" s="19"/>
      <c r="I243" s="19"/>
      <c r="J243" s="22"/>
      <c r="K243" s="81"/>
      <c r="M243" s="88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</row>
    <row r="244" spans="2:39" ht="41.25" customHeight="1">
      <c r="B244" s="18"/>
      <c r="C244" s="57" t="str">
        <f t="shared" si="10"/>
        <v/>
      </c>
      <c r="D244" s="18"/>
      <c r="E244" s="18"/>
      <c r="F244" s="15"/>
      <c r="G244" s="19"/>
      <c r="H244" s="19"/>
      <c r="I244" s="19"/>
      <c r="J244" s="22"/>
      <c r="K244" s="81"/>
      <c r="M244" s="88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</row>
    <row r="245" spans="2:39" ht="41.25" customHeight="1">
      <c r="B245" s="18"/>
      <c r="C245" s="57" t="str">
        <f t="shared" si="10"/>
        <v/>
      </c>
      <c r="D245" s="18"/>
      <c r="E245" s="18"/>
      <c r="F245" s="15"/>
      <c r="G245" s="19"/>
      <c r="H245" s="19"/>
      <c r="I245" s="19"/>
      <c r="J245" s="22"/>
      <c r="K245" s="81"/>
      <c r="M245" s="88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</row>
    <row r="246" spans="2:39" ht="41.25" customHeight="1">
      <c r="B246" s="18"/>
      <c r="C246" s="57" t="str">
        <f t="shared" si="10"/>
        <v/>
      </c>
      <c r="D246" s="18"/>
      <c r="E246" s="18"/>
      <c r="F246" s="15"/>
      <c r="G246" s="19"/>
      <c r="H246" s="19"/>
      <c r="I246" s="19"/>
      <c r="J246" s="22"/>
      <c r="K246" s="81"/>
      <c r="M246" s="88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</row>
    <row r="247" spans="2:39" ht="41.25" customHeight="1">
      <c r="B247" s="18"/>
      <c r="C247" s="57" t="str">
        <f t="shared" si="10"/>
        <v/>
      </c>
      <c r="D247" s="18"/>
      <c r="E247" s="18"/>
      <c r="F247" s="15"/>
      <c r="G247" s="19"/>
      <c r="H247" s="19"/>
      <c r="I247" s="19"/>
      <c r="J247" s="22"/>
      <c r="K247" s="81"/>
      <c r="M247" s="88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</row>
    <row r="248" spans="2:39" ht="41.25" customHeight="1">
      <c r="B248" s="18"/>
      <c r="C248" s="57" t="str">
        <f t="shared" si="10"/>
        <v/>
      </c>
      <c r="D248" s="18"/>
      <c r="E248" s="18"/>
      <c r="F248" s="15"/>
      <c r="G248" s="19"/>
      <c r="H248" s="19"/>
      <c r="I248" s="19"/>
      <c r="J248" s="22"/>
      <c r="K248" s="81"/>
      <c r="M248" s="88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</row>
    <row r="249" spans="2:39" ht="41.25" customHeight="1">
      <c r="B249" s="18"/>
      <c r="C249" s="57" t="str">
        <f t="shared" si="10"/>
        <v/>
      </c>
      <c r="D249" s="18"/>
      <c r="E249" s="18"/>
      <c r="F249" s="15"/>
      <c r="G249" s="19"/>
      <c r="H249" s="19"/>
      <c r="I249" s="19"/>
      <c r="J249" s="22"/>
      <c r="K249" s="81"/>
      <c r="M249" s="88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</row>
    <row r="250" spans="2:39" ht="41.25" customHeight="1">
      <c r="B250" s="18"/>
      <c r="C250" s="57" t="str">
        <f t="shared" si="10"/>
        <v/>
      </c>
      <c r="D250" s="18"/>
      <c r="E250" s="18"/>
      <c r="F250" s="15"/>
      <c r="G250" s="19"/>
      <c r="H250" s="19"/>
      <c r="I250" s="19"/>
      <c r="J250" s="22"/>
      <c r="K250" s="81"/>
      <c r="M250" s="88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</row>
    <row r="251" spans="2:39" ht="41.25" customHeight="1">
      <c r="B251" s="18"/>
      <c r="C251" s="57" t="str">
        <f t="shared" si="10"/>
        <v/>
      </c>
      <c r="D251" s="18"/>
      <c r="E251" s="18"/>
      <c r="F251" s="15"/>
      <c r="G251" s="19"/>
      <c r="H251" s="19"/>
      <c r="I251" s="19"/>
      <c r="J251" s="22"/>
      <c r="K251" s="81"/>
      <c r="M251" s="88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</row>
    <row r="252" spans="2:39" ht="41.25" customHeight="1">
      <c r="B252" s="18"/>
      <c r="C252" s="57" t="str">
        <f t="shared" si="10"/>
        <v/>
      </c>
      <c r="D252" s="18"/>
      <c r="E252" s="18"/>
      <c r="F252" s="15"/>
      <c r="G252" s="19"/>
      <c r="H252" s="19"/>
      <c r="I252" s="19"/>
      <c r="J252" s="22"/>
      <c r="K252" s="81"/>
      <c r="M252" s="88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</row>
    <row r="253" spans="2:39" ht="41.25" customHeight="1">
      <c r="B253" s="18"/>
      <c r="C253" s="57" t="str">
        <f t="shared" si="10"/>
        <v/>
      </c>
      <c r="D253" s="18"/>
      <c r="E253" s="18"/>
      <c r="F253" s="15"/>
      <c r="G253" s="19"/>
      <c r="H253" s="19"/>
      <c r="I253" s="19"/>
      <c r="J253" s="22"/>
      <c r="K253" s="81"/>
      <c r="M253" s="88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</row>
    <row r="254" spans="2:39" ht="41.25" customHeight="1">
      <c r="B254" s="18"/>
      <c r="C254" s="57" t="str">
        <f t="shared" si="10"/>
        <v/>
      </c>
      <c r="D254" s="18"/>
      <c r="E254" s="18"/>
      <c r="F254" s="15"/>
      <c r="G254" s="19"/>
      <c r="H254" s="19"/>
      <c r="I254" s="19"/>
      <c r="J254" s="22"/>
      <c r="K254" s="81"/>
      <c r="M254" s="88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</row>
    <row r="255" spans="2:39" ht="41.25" customHeight="1">
      <c r="B255" s="18"/>
      <c r="C255" s="57" t="str">
        <f t="shared" si="10"/>
        <v/>
      </c>
      <c r="D255" s="18"/>
      <c r="E255" s="18"/>
      <c r="F255" s="15"/>
      <c r="G255" s="19"/>
      <c r="H255" s="19"/>
      <c r="I255" s="19"/>
      <c r="J255" s="22"/>
      <c r="K255" s="81"/>
      <c r="M255" s="88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</row>
    <row r="256" spans="2:39" ht="41.25" customHeight="1">
      <c r="B256" s="18"/>
      <c r="C256" s="57" t="str">
        <f t="shared" si="10"/>
        <v/>
      </c>
      <c r="D256" s="18"/>
      <c r="E256" s="18"/>
      <c r="F256" s="15"/>
      <c r="G256" s="19"/>
      <c r="H256" s="19"/>
      <c r="I256" s="19"/>
      <c r="J256" s="22"/>
      <c r="K256" s="81"/>
      <c r="M256" s="88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</row>
    <row r="257" spans="2:39" ht="41.25" customHeight="1">
      <c r="B257" s="18"/>
      <c r="C257" s="57" t="str">
        <f t="shared" si="10"/>
        <v/>
      </c>
      <c r="D257" s="18"/>
      <c r="E257" s="18"/>
      <c r="F257" s="15"/>
      <c r="G257" s="19"/>
      <c r="H257" s="19"/>
      <c r="I257" s="19"/>
      <c r="J257" s="22"/>
      <c r="K257" s="81"/>
      <c r="M257" s="88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</row>
    <row r="258" spans="2:39" ht="41.25" customHeight="1">
      <c r="B258" s="18"/>
      <c r="C258" s="57" t="str">
        <f t="shared" si="10"/>
        <v/>
      </c>
      <c r="D258" s="18"/>
      <c r="E258" s="18"/>
      <c r="F258" s="15"/>
      <c r="G258" s="19"/>
      <c r="H258" s="19"/>
      <c r="I258" s="19"/>
      <c r="J258" s="22"/>
      <c r="K258" s="81"/>
      <c r="M258" s="88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</row>
    <row r="259" spans="2:39" ht="41.25" customHeight="1">
      <c r="B259" s="18"/>
      <c r="C259" s="57" t="str">
        <f t="shared" si="10"/>
        <v/>
      </c>
      <c r="D259" s="18"/>
      <c r="E259" s="18"/>
      <c r="F259" s="15"/>
      <c r="G259" s="19"/>
      <c r="H259" s="19"/>
      <c r="I259" s="19"/>
      <c r="J259" s="22"/>
      <c r="K259" s="81"/>
      <c r="M259" s="88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</row>
    <row r="260" spans="2:39" ht="41.25" customHeight="1">
      <c r="B260" s="18"/>
      <c r="C260" s="57" t="str">
        <f t="shared" si="10"/>
        <v/>
      </c>
      <c r="D260" s="18"/>
      <c r="E260" s="18"/>
      <c r="F260" s="15"/>
      <c r="G260" s="19"/>
      <c r="H260" s="19"/>
      <c r="I260" s="19"/>
      <c r="J260" s="22"/>
      <c r="K260" s="81"/>
      <c r="M260" s="88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</row>
    <row r="261" spans="2:39" ht="41.25" customHeight="1">
      <c r="B261" s="18"/>
      <c r="C261" s="57" t="str">
        <f t="shared" si="10"/>
        <v/>
      </c>
      <c r="D261" s="18"/>
      <c r="E261" s="18"/>
      <c r="F261" s="15"/>
      <c r="G261" s="19"/>
      <c r="H261" s="19"/>
      <c r="I261" s="19"/>
      <c r="J261" s="22"/>
      <c r="K261" s="81"/>
      <c r="M261" s="88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</row>
    <row r="262" spans="2:39" ht="41.25" customHeight="1">
      <c r="B262" s="18"/>
      <c r="C262" s="57" t="str">
        <f t="shared" si="10"/>
        <v/>
      </c>
      <c r="D262" s="18"/>
      <c r="E262" s="18"/>
      <c r="F262" s="15"/>
      <c r="G262" s="19"/>
      <c r="H262" s="19"/>
      <c r="I262" s="19"/>
      <c r="J262" s="22"/>
      <c r="K262" s="81"/>
      <c r="M262" s="88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</row>
    <row r="263" spans="2:39" ht="41.25" customHeight="1">
      <c r="B263" s="18"/>
      <c r="C263" s="57" t="str">
        <f t="shared" ref="C263:C326" si="11">IF(B263="","",MONTH(B263))</f>
        <v/>
      </c>
      <c r="D263" s="18"/>
      <c r="E263" s="18"/>
      <c r="F263" s="15"/>
      <c r="G263" s="19"/>
      <c r="H263" s="19"/>
      <c r="I263" s="19"/>
      <c r="J263" s="22"/>
      <c r="K263" s="81"/>
      <c r="M263" s="88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</row>
    <row r="264" spans="2:39" ht="41.25" customHeight="1" outlineLevel="1">
      <c r="B264" s="18"/>
      <c r="C264" s="57" t="str">
        <f t="shared" si="11"/>
        <v/>
      </c>
      <c r="D264" s="18"/>
      <c r="E264" s="18"/>
      <c r="F264" s="15"/>
      <c r="G264" s="19"/>
      <c r="H264" s="19"/>
      <c r="I264" s="19"/>
      <c r="J264" s="22"/>
      <c r="K264" s="81"/>
      <c r="M264" s="88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</row>
    <row r="265" spans="2:39" ht="41.25" customHeight="1" outlineLevel="1">
      <c r="B265" s="18"/>
      <c r="C265" s="57" t="str">
        <f t="shared" si="11"/>
        <v/>
      </c>
      <c r="D265" s="18"/>
      <c r="E265" s="18"/>
      <c r="F265" s="15"/>
      <c r="G265" s="19"/>
      <c r="H265" s="19"/>
      <c r="I265" s="19"/>
      <c r="J265" s="22"/>
      <c r="K265" s="81"/>
      <c r="M265" s="88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</row>
    <row r="266" spans="2:39" ht="41.25" customHeight="1" outlineLevel="1">
      <c r="B266" s="18"/>
      <c r="C266" s="57" t="str">
        <f t="shared" si="11"/>
        <v/>
      </c>
      <c r="D266" s="18"/>
      <c r="E266" s="18"/>
      <c r="F266" s="15"/>
      <c r="G266" s="19"/>
      <c r="H266" s="19"/>
      <c r="I266" s="19"/>
      <c r="J266" s="22"/>
      <c r="K266" s="81"/>
      <c r="M266" s="88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</row>
    <row r="267" spans="2:39" ht="41.25" customHeight="1" outlineLevel="1">
      <c r="B267" s="18"/>
      <c r="C267" s="57" t="str">
        <f t="shared" si="11"/>
        <v/>
      </c>
      <c r="D267" s="18"/>
      <c r="E267" s="18"/>
      <c r="F267" s="15"/>
      <c r="G267" s="19"/>
      <c r="H267" s="19"/>
      <c r="I267" s="19"/>
      <c r="J267" s="22"/>
      <c r="K267" s="81"/>
      <c r="M267" s="88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</row>
    <row r="268" spans="2:39" ht="41.25" customHeight="1" outlineLevel="1">
      <c r="B268" s="18"/>
      <c r="C268" s="57" t="str">
        <f t="shared" si="11"/>
        <v/>
      </c>
      <c r="D268" s="18"/>
      <c r="E268" s="18"/>
      <c r="F268" s="15"/>
      <c r="G268" s="19"/>
      <c r="H268" s="19"/>
      <c r="I268" s="19"/>
      <c r="J268" s="22"/>
      <c r="K268" s="81"/>
      <c r="M268" s="88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</row>
    <row r="269" spans="2:39" ht="41.25" customHeight="1" outlineLevel="1">
      <c r="B269" s="18"/>
      <c r="C269" s="57" t="str">
        <f t="shared" si="11"/>
        <v/>
      </c>
      <c r="D269" s="18"/>
      <c r="E269" s="18"/>
      <c r="F269" s="15"/>
      <c r="G269" s="19"/>
      <c r="H269" s="19"/>
      <c r="I269" s="19"/>
      <c r="J269" s="22"/>
      <c r="K269" s="81"/>
      <c r="M269" s="88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</row>
    <row r="270" spans="2:39" ht="41.25" customHeight="1" outlineLevel="1">
      <c r="B270" s="18"/>
      <c r="C270" s="57" t="str">
        <f t="shared" si="11"/>
        <v/>
      </c>
      <c r="D270" s="18"/>
      <c r="E270" s="18"/>
      <c r="F270" s="15"/>
      <c r="G270" s="19"/>
      <c r="H270" s="19"/>
      <c r="I270" s="19"/>
      <c r="J270" s="22"/>
      <c r="K270" s="81"/>
      <c r="M270" s="88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</row>
    <row r="271" spans="2:39" ht="41.25" customHeight="1" outlineLevel="1">
      <c r="B271" s="18"/>
      <c r="C271" s="57" t="str">
        <f t="shared" si="11"/>
        <v/>
      </c>
      <c r="D271" s="18"/>
      <c r="E271" s="18"/>
      <c r="F271" s="15"/>
      <c r="G271" s="19"/>
      <c r="H271" s="19"/>
      <c r="I271" s="19"/>
      <c r="J271" s="22"/>
      <c r="K271" s="81"/>
      <c r="M271" s="88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</row>
    <row r="272" spans="2:39" ht="41.25" customHeight="1" outlineLevel="1">
      <c r="B272" s="18"/>
      <c r="C272" s="57" t="str">
        <f t="shared" si="11"/>
        <v/>
      </c>
      <c r="D272" s="18"/>
      <c r="E272" s="18"/>
      <c r="F272" s="15"/>
      <c r="G272" s="19"/>
      <c r="H272" s="19"/>
      <c r="I272" s="19"/>
      <c r="J272" s="22"/>
      <c r="K272" s="81"/>
      <c r="M272" s="88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</row>
    <row r="273" spans="2:39" ht="41.25" customHeight="1" outlineLevel="1">
      <c r="B273" s="18"/>
      <c r="C273" s="57" t="str">
        <f t="shared" si="11"/>
        <v/>
      </c>
      <c r="D273" s="18"/>
      <c r="E273" s="18"/>
      <c r="F273" s="15"/>
      <c r="G273" s="19"/>
      <c r="H273" s="19"/>
      <c r="I273" s="19"/>
      <c r="J273" s="22"/>
      <c r="K273" s="81"/>
      <c r="M273" s="88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</row>
    <row r="274" spans="2:39" ht="41.25" customHeight="1" outlineLevel="1">
      <c r="B274" s="18"/>
      <c r="C274" s="57" t="str">
        <f t="shared" si="11"/>
        <v/>
      </c>
      <c r="D274" s="18"/>
      <c r="E274" s="18"/>
      <c r="F274" s="15"/>
      <c r="G274" s="19"/>
      <c r="H274" s="19"/>
      <c r="I274" s="19"/>
      <c r="J274" s="22"/>
      <c r="K274" s="81"/>
      <c r="M274" s="88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</row>
    <row r="275" spans="2:39" ht="41.25" customHeight="1" outlineLevel="1">
      <c r="B275" s="18"/>
      <c r="C275" s="57" t="str">
        <f t="shared" si="11"/>
        <v/>
      </c>
      <c r="D275" s="18"/>
      <c r="E275" s="18"/>
      <c r="F275" s="15"/>
      <c r="G275" s="19"/>
      <c r="H275" s="19"/>
      <c r="I275" s="19"/>
      <c r="J275" s="22"/>
      <c r="K275" s="81"/>
      <c r="M275" s="88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</row>
    <row r="276" spans="2:39" ht="41.25" customHeight="1" outlineLevel="1">
      <c r="B276" s="18"/>
      <c r="C276" s="57" t="str">
        <f t="shared" si="11"/>
        <v/>
      </c>
      <c r="D276" s="18"/>
      <c r="E276" s="18"/>
      <c r="F276" s="15"/>
      <c r="G276" s="19"/>
      <c r="H276" s="19"/>
      <c r="I276" s="19"/>
      <c r="J276" s="22"/>
      <c r="K276" s="81"/>
      <c r="M276" s="88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</row>
    <row r="277" spans="2:39" ht="41.25" customHeight="1" outlineLevel="1">
      <c r="B277" s="18"/>
      <c r="C277" s="57" t="str">
        <f t="shared" si="11"/>
        <v/>
      </c>
      <c r="D277" s="18"/>
      <c r="E277" s="18"/>
      <c r="F277" s="15"/>
      <c r="G277" s="19"/>
      <c r="H277" s="19"/>
      <c r="I277" s="19"/>
      <c r="J277" s="22"/>
      <c r="K277" s="81"/>
      <c r="M277" s="88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</row>
    <row r="278" spans="2:39" ht="41.25" customHeight="1" outlineLevel="1">
      <c r="B278" s="18"/>
      <c r="C278" s="57" t="str">
        <f t="shared" si="11"/>
        <v/>
      </c>
      <c r="D278" s="18"/>
      <c r="E278" s="18"/>
      <c r="F278" s="15"/>
      <c r="G278" s="19"/>
      <c r="H278" s="19"/>
      <c r="I278" s="19"/>
      <c r="J278" s="22"/>
      <c r="K278" s="81"/>
      <c r="M278" s="88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</row>
    <row r="279" spans="2:39" ht="41.25" customHeight="1" outlineLevel="1">
      <c r="B279" s="18"/>
      <c r="C279" s="57" t="str">
        <f t="shared" si="11"/>
        <v/>
      </c>
      <c r="D279" s="18"/>
      <c r="E279" s="18"/>
      <c r="F279" s="15"/>
      <c r="G279" s="19"/>
      <c r="H279" s="19"/>
      <c r="I279" s="19"/>
      <c r="J279" s="22"/>
      <c r="K279" s="81"/>
      <c r="M279" s="88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</row>
    <row r="280" spans="2:39" ht="41.25" customHeight="1" outlineLevel="1">
      <c r="B280" s="18"/>
      <c r="C280" s="57" t="str">
        <f t="shared" si="11"/>
        <v/>
      </c>
      <c r="D280" s="18"/>
      <c r="E280" s="18"/>
      <c r="F280" s="15"/>
      <c r="G280" s="19"/>
      <c r="H280" s="19"/>
      <c r="I280" s="19"/>
      <c r="J280" s="22"/>
      <c r="K280" s="81"/>
      <c r="M280" s="88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</row>
    <row r="281" spans="2:39" ht="41.25" customHeight="1" outlineLevel="1">
      <c r="B281" s="18"/>
      <c r="C281" s="57" t="str">
        <f t="shared" si="11"/>
        <v/>
      </c>
      <c r="D281" s="18"/>
      <c r="E281" s="18"/>
      <c r="F281" s="15"/>
      <c r="G281" s="19"/>
      <c r="H281" s="19"/>
      <c r="I281" s="19"/>
      <c r="J281" s="22"/>
      <c r="K281" s="81"/>
      <c r="M281" s="88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</row>
    <row r="282" spans="2:39" ht="41.25" customHeight="1" outlineLevel="1">
      <c r="B282" s="18"/>
      <c r="C282" s="57" t="str">
        <f t="shared" si="11"/>
        <v/>
      </c>
      <c r="D282" s="18"/>
      <c r="E282" s="18"/>
      <c r="F282" s="15"/>
      <c r="G282" s="19"/>
      <c r="H282" s="19"/>
      <c r="I282" s="19"/>
      <c r="J282" s="22"/>
      <c r="K282" s="81"/>
      <c r="M282" s="88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</row>
    <row r="283" spans="2:39" ht="41.25" customHeight="1" outlineLevel="1">
      <c r="B283" s="18"/>
      <c r="C283" s="57" t="str">
        <f t="shared" si="11"/>
        <v/>
      </c>
      <c r="D283" s="18"/>
      <c r="E283" s="18"/>
      <c r="F283" s="15"/>
      <c r="G283" s="19"/>
      <c r="H283" s="19"/>
      <c r="I283" s="19"/>
      <c r="J283" s="22"/>
      <c r="K283" s="81"/>
      <c r="M283" s="88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</row>
    <row r="284" spans="2:39" ht="41.25" customHeight="1" outlineLevel="1">
      <c r="B284" s="18"/>
      <c r="C284" s="57" t="str">
        <f t="shared" si="11"/>
        <v/>
      </c>
      <c r="D284" s="18"/>
      <c r="E284" s="18"/>
      <c r="F284" s="15"/>
      <c r="G284" s="19"/>
      <c r="H284" s="19"/>
      <c r="I284" s="19"/>
      <c r="J284" s="22"/>
      <c r="K284" s="81"/>
      <c r="M284" s="88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</row>
    <row r="285" spans="2:39" ht="41.25" customHeight="1" outlineLevel="1">
      <c r="B285" s="18"/>
      <c r="C285" s="57" t="str">
        <f t="shared" si="11"/>
        <v/>
      </c>
      <c r="D285" s="18"/>
      <c r="E285" s="18"/>
      <c r="F285" s="15"/>
      <c r="G285" s="19"/>
      <c r="H285" s="19"/>
      <c r="I285" s="19"/>
      <c r="J285" s="22"/>
      <c r="K285" s="81"/>
      <c r="M285" s="88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</row>
    <row r="286" spans="2:39" ht="41.25" customHeight="1" outlineLevel="1">
      <c r="B286" s="18"/>
      <c r="C286" s="57" t="str">
        <f t="shared" si="11"/>
        <v/>
      </c>
      <c r="D286" s="18"/>
      <c r="E286" s="18"/>
      <c r="F286" s="15"/>
      <c r="G286" s="19"/>
      <c r="H286" s="19"/>
      <c r="I286" s="19"/>
      <c r="J286" s="22"/>
      <c r="K286" s="81"/>
      <c r="M286" s="88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</row>
    <row r="287" spans="2:39" ht="41.25" customHeight="1" outlineLevel="1">
      <c r="B287" s="18"/>
      <c r="C287" s="57" t="str">
        <f t="shared" si="11"/>
        <v/>
      </c>
      <c r="D287" s="18"/>
      <c r="E287" s="18"/>
      <c r="F287" s="15"/>
      <c r="G287" s="19"/>
      <c r="H287" s="19"/>
      <c r="I287" s="19"/>
      <c r="J287" s="22"/>
      <c r="K287" s="81"/>
      <c r="M287" s="88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</row>
    <row r="288" spans="2:39" ht="41.25" customHeight="1" outlineLevel="1">
      <c r="B288" s="18"/>
      <c r="C288" s="57" t="str">
        <f t="shared" si="11"/>
        <v/>
      </c>
      <c r="D288" s="18"/>
      <c r="E288" s="18"/>
      <c r="F288" s="15"/>
      <c r="G288" s="19"/>
      <c r="H288" s="19"/>
      <c r="I288" s="19"/>
      <c r="J288" s="22"/>
      <c r="K288" s="81"/>
      <c r="M288" s="88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</row>
    <row r="289" spans="2:39" ht="41.25" customHeight="1" outlineLevel="1">
      <c r="B289" s="18"/>
      <c r="C289" s="57" t="str">
        <f t="shared" si="11"/>
        <v/>
      </c>
      <c r="D289" s="18"/>
      <c r="E289" s="18"/>
      <c r="F289" s="15"/>
      <c r="G289" s="19"/>
      <c r="H289" s="19"/>
      <c r="I289" s="19"/>
      <c r="J289" s="22"/>
      <c r="K289" s="81"/>
      <c r="M289" s="88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</row>
    <row r="290" spans="2:39" ht="41.25" customHeight="1" outlineLevel="1">
      <c r="B290" s="18"/>
      <c r="C290" s="57" t="str">
        <f t="shared" si="11"/>
        <v/>
      </c>
      <c r="D290" s="18"/>
      <c r="E290" s="18"/>
      <c r="F290" s="15"/>
      <c r="G290" s="19"/>
      <c r="H290" s="19"/>
      <c r="I290" s="19"/>
      <c r="J290" s="22"/>
      <c r="K290" s="81"/>
      <c r="M290" s="88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</row>
    <row r="291" spans="2:39" ht="41.25" customHeight="1" outlineLevel="1">
      <c r="B291" s="18"/>
      <c r="C291" s="57" t="str">
        <f t="shared" si="11"/>
        <v/>
      </c>
      <c r="D291" s="18"/>
      <c r="E291" s="18"/>
      <c r="F291" s="15"/>
      <c r="G291" s="19"/>
      <c r="H291" s="19"/>
      <c r="I291" s="19"/>
      <c r="J291" s="22"/>
      <c r="K291" s="81"/>
      <c r="M291" s="88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</row>
    <row r="292" spans="2:39" ht="41.25" customHeight="1" outlineLevel="1">
      <c r="B292" s="18"/>
      <c r="C292" s="57" t="str">
        <f t="shared" si="11"/>
        <v/>
      </c>
      <c r="D292" s="18"/>
      <c r="E292" s="18"/>
      <c r="F292" s="15"/>
      <c r="G292" s="19"/>
      <c r="H292" s="19"/>
      <c r="I292" s="19"/>
      <c r="J292" s="22"/>
      <c r="K292" s="81"/>
      <c r="M292" s="88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</row>
    <row r="293" spans="2:39" ht="41.25" customHeight="1" outlineLevel="1">
      <c r="B293" s="18"/>
      <c r="C293" s="57" t="str">
        <f t="shared" si="11"/>
        <v/>
      </c>
      <c r="D293" s="18"/>
      <c r="E293" s="18"/>
      <c r="F293" s="15"/>
      <c r="G293" s="19"/>
      <c r="H293" s="19"/>
      <c r="I293" s="19"/>
      <c r="J293" s="22"/>
      <c r="K293" s="81"/>
      <c r="M293" s="88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</row>
    <row r="294" spans="2:39" ht="41.25" customHeight="1" outlineLevel="1">
      <c r="B294" s="18"/>
      <c r="C294" s="57" t="str">
        <f t="shared" si="11"/>
        <v/>
      </c>
      <c r="D294" s="18"/>
      <c r="E294" s="18"/>
      <c r="F294" s="15"/>
      <c r="G294" s="19"/>
      <c r="H294" s="19"/>
      <c r="I294" s="19"/>
      <c r="J294" s="22"/>
      <c r="K294" s="81"/>
      <c r="M294" s="88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</row>
    <row r="295" spans="2:39" ht="41.25" customHeight="1" outlineLevel="1">
      <c r="B295" s="18"/>
      <c r="C295" s="57" t="str">
        <f t="shared" si="11"/>
        <v/>
      </c>
      <c r="D295" s="18"/>
      <c r="E295" s="18"/>
      <c r="F295" s="15"/>
      <c r="G295" s="19"/>
      <c r="H295" s="19"/>
      <c r="I295" s="19"/>
      <c r="J295" s="22"/>
      <c r="K295" s="81"/>
      <c r="M295" s="88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</row>
    <row r="296" spans="2:39" ht="41.25" customHeight="1" outlineLevel="1">
      <c r="B296" s="18"/>
      <c r="C296" s="57" t="str">
        <f t="shared" si="11"/>
        <v/>
      </c>
      <c r="D296" s="18"/>
      <c r="E296" s="18"/>
      <c r="F296" s="15"/>
      <c r="G296" s="19"/>
      <c r="H296" s="19"/>
      <c r="I296" s="19"/>
      <c r="J296" s="22"/>
      <c r="K296" s="81"/>
      <c r="M296" s="88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</row>
    <row r="297" spans="2:39" ht="41.25" customHeight="1" outlineLevel="1">
      <c r="B297" s="18"/>
      <c r="C297" s="57" t="str">
        <f t="shared" si="11"/>
        <v/>
      </c>
      <c r="D297" s="18"/>
      <c r="E297" s="18"/>
      <c r="F297" s="15"/>
      <c r="G297" s="19"/>
      <c r="H297" s="19"/>
      <c r="I297" s="19"/>
      <c r="J297" s="22"/>
      <c r="K297" s="81"/>
      <c r="M297" s="88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</row>
    <row r="298" spans="2:39" ht="41.25" customHeight="1" outlineLevel="1">
      <c r="B298" s="18"/>
      <c r="C298" s="57" t="str">
        <f t="shared" si="11"/>
        <v/>
      </c>
      <c r="D298" s="18"/>
      <c r="E298" s="18"/>
      <c r="F298" s="15"/>
      <c r="G298" s="19"/>
      <c r="H298" s="19"/>
      <c r="I298" s="19"/>
      <c r="J298" s="22"/>
      <c r="K298" s="81"/>
      <c r="M298" s="88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</row>
    <row r="299" spans="2:39" ht="41.25" customHeight="1" outlineLevel="1">
      <c r="B299" s="18"/>
      <c r="C299" s="57" t="str">
        <f t="shared" si="11"/>
        <v/>
      </c>
      <c r="D299" s="18"/>
      <c r="E299" s="18"/>
      <c r="F299" s="15"/>
      <c r="G299" s="19"/>
      <c r="H299" s="19"/>
      <c r="I299" s="19"/>
      <c r="J299" s="22"/>
      <c r="K299" s="81"/>
      <c r="M299" s="88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</row>
    <row r="300" spans="2:39" ht="41.25" customHeight="1" outlineLevel="1">
      <c r="B300" s="18"/>
      <c r="C300" s="57" t="str">
        <f t="shared" si="11"/>
        <v/>
      </c>
      <c r="D300" s="18"/>
      <c r="E300" s="18"/>
      <c r="F300" s="15"/>
      <c r="G300" s="19"/>
      <c r="H300" s="19"/>
      <c r="I300" s="19"/>
      <c r="J300" s="22"/>
      <c r="K300" s="81"/>
      <c r="M300" s="88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</row>
    <row r="301" spans="2:39" ht="41.25" customHeight="1" outlineLevel="1">
      <c r="B301" s="18"/>
      <c r="C301" s="57" t="str">
        <f t="shared" si="11"/>
        <v/>
      </c>
      <c r="D301" s="18"/>
      <c r="E301" s="18"/>
      <c r="F301" s="15"/>
      <c r="G301" s="19"/>
      <c r="H301" s="19"/>
      <c r="I301" s="19"/>
      <c r="J301" s="22"/>
      <c r="K301" s="81"/>
      <c r="M301" s="88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</row>
    <row r="302" spans="2:39" ht="41.25" customHeight="1" outlineLevel="1">
      <c r="B302" s="18"/>
      <c r="C302" s="57" t="str">
        <f t="shared" si="11"/>
        <v/>
      </c>
      <c r="D302" s="18"/>
      <c r="E302" s="18"/>
      <c r="F302" s="15"/>
      <c r="G302" s="19"/>
      <c r="H302" s="19"/>
      <c r="I302" s="19"/>
      <c r="J302" s="22"/>
      <c r="K302" s="81"/>
      <c r="M302" s="88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</row>
    <row r="303" spans="2:39" ht="41.25" customHeight="1" outlineLevel="1">
      <c r="B303" s="18"/>
      <c r="C303" s="57" t="str">
        <f t="shared" si="11"/>
        <v/>
      </c>
      <c r="D303" s="18"/>
      <c r="E303" s="18"/>
      <c r="F303" s="15"/>
      <c r="G303" s="19"/>
      <c r="H303" s="19"/>
      <c r="I303" s="19"/>
      <c r="J303" s="22"/>
      <c r="K303" s="81"/>
      <c r="M303" s="88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</row>
    <row r="304" spans="2:39" ht="41.25" customHeight="1" outlineLevel="1">
      <c r="B304" s="18"/>
      <c r="C304" s="57" t="str">
        <f t="shared" si="11"/>
        <v/>
      </c>
      <c r="D304" s="18"/>
      <c r="E304" s="18"/>
      <c r="F304" s="15"/>
      <c r="G304" s="19"/>
      <c r="H304" s="19"/>
      <c r="I304" s="19"/>
      <c r="J304" s="22"/>
      <c r="K304" s="81"/>
      <c r="M304" s="88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</row>
    <row r="305" spans="2:39" ht="41.25" customHeight="1" outlineLevel="1">
      <c r="B305" s="18"/>
      <c r="C305" s="57" t="str">
        <f t="shared" si="11"/>
        <v/>
      </c>
      <c r="D305" s="18"/>
      <c r="E305" s="18"/>
      <c r="F305" s="15"/>
      <c r="G305" s="19"/>
      <c r="H305" s="19"/>
      <c r="I305" s="19"/>
      <c r="J305" s="22"/>
      <c r="K305" s="81"/>
      <c r="M305" s="88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</row>
    <row r="306" spans="2:39" ht="41.25" customHeight="1" outlineLevel="1">
      <c r="B306" s="18"/>
      <c r="C306" s="57" t="str">
        <f t="shared" si="11"/>
        <v/>
      </c>
      <c r="D306" s="18"/>
      <c r="E306" s="18"/>
      <c r="F306" s="15"/>
      <c r="G306" s="19"/>
      <c r="H306" s="19"/>
      <c r="I306" s="19"/>
      <c r="J306" s="22"/>
      <c r="K306" s="81"/>
      <c r="M306" s="88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</row>
    <row r="307" spans="2:39" ht="41.25" customHeight="1" outlineLevel="1">
      <c r="B307" s="18"/>
      <c r="C307" s="57" t="str">
        <f t="shared" si="11"/>
        <v/>
      </c>
      <c r="D307" s="18"/>
      <c r="E307" s="18"/>
      <c r="F307" s="15"/>
      <c r="G307" s="19"/>
      <c r="H307" s="19"/>
      <c r="I307" s="19"/>
      <c r="J307" s="22"/>
      <c r="K307" s="81"/>
      <c r="M307" s="88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</row>
    <row r="308" spans="2:39" ht="41.25" customHeight="1" outlineLevel="1">
      <c r="B308" s="18"/>
      <c r="C308" s="57" t="str">
        <f t="shared" si="11"/>
        <v/>
      </c>
      <c r="D308" s="18"/>
      <c r="E308" s="18"/>
      <c r="F308" s="15"/>
      <c r="G308" s="19"/>
      <c r="H308" s="19"/>
      <c r="I308" s="19"/>
      <c r="J308" s="22"/>
      <c r="K308" s="81"/>
      <c r="M308" s="88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</row>
    <row r="309" spans="2:39" ht="41.25" customHeight="1" outlineLevel="1">
      <c r="B309" s="18"/>
      <c r="C309" s="57" t="str">
        <f t="shared" si="11"/>
        <v/>
      </c>
      <c r="D309" s="18"/>
      <c r="E309" s="18"/>
      <c r="F309" s="15"/>
      <c r="G309" s="19"/>
      <c r="H309" s="19"/>
      <c r="I309" s="19"/>
      <c r="J309" s="22"/>
      <c r="K309" s="81"/>
      <c r="M309" s="88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</row>
    <row r="310" spans="2:39" ht="41.25" customHeight="1" outlineLevel="1">
      <c r="B310" s="18"/>
      <c r="C310" s="57" t="str">
        <f t="shared" si="11"/>
        <v/>
      </c>
      <c r="D310" s="18"/>
      <c r="E310" s="18"/>
      <c r="F310" s="15"/>
      <c r="G310" s="19"/>
      <c r="H310" s="19"/>
      <c r="I310" s="19"/>
      <c r="J310" s="22"/>
      <c r="K310" s="81"/>
      <c r="M310" s="88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</row>
    <row r="311" spans="2:39" ht="41.25" customHeight="1" outlineLevel="1">
      <c r="B311" s="18"/>
      <c r="C311" s="57" t="str">
        <f t="shared" si="11"/>
        <v/>
      </c>
      <c r="D311" s="18"/>
      <c r="E311" s="18"/>
      <c r="F311" s="15"/>
      <c r="G311" s="19"/>
      <c r="H311" s="19"/>
      <c r="I311" s="19"/>
      <c r="J311" s="22"/>
      <c r="K311" s="81"/>
      <c r="M311" s="88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</row>
    <row r="312" spans="2:39" ht="41.25" customHeight="1" outlineLevel="1">
      <c r="B312" s="18"/>
      <c r="C312" s="57" t="str">
        <f t="shared" si="11"/>
        <v/>
      </c>
      <c r="D312" s="18"/>
      <c r="E312" s="18"/>
      <c r="F312" s="15"/>
      <c r="G312" s="19"/>
      <c r="H312" s="19"/>
      <c r="I312" s="19"/>
      <c r="J312" s="22"/>
      <c r="K312" s="81"/>
      <c r="M312" s="88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</row>
    <row r="313" spans="2:39" ht="41.25" customHeight="1" outlineLevel="1">
      <c r="B313" s="18"/>
      <c r="C313" s="57" t="str">
        <f t="shared" si="11"/>
        <v/>
      </c>
      <c r="D313" s="18"/>
      <c r="E313" s="18"/>
      <c r="F313" s="15"/>
      <c r="G313" s="19"/>
      <c r="H313" s="19"/>
      <c r="I313" s="19"/>
      <c r="J313" s="22"/>
      <c r="K313" s="81"/>
      <c r="M313" s="88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</row>
    <row r="314" spans="2:39" ht="41.25" customHeight="1" outlineLevel="1">
      <c r="B314" s="18"/>
      <c r="C314" s="57" t="str">
        <f t="shared" si="11"/>
        <v/>
      </c>
      <c r="D314" s="18"/>
      <c r="E314" s="18"/>
      <c r="F314" s="15"/>
      <c r="G314" s="19"/>
      <c r="H314" s="19"/>
      <c r="I314" s="19"/>
      <c r="J314" s="22"/>
      <c r="K314" s="81"/>
      <c r="M314" s="88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</row>
    <row r="315" spans="2:39" ht="41.25" customHeight="1" outlineLevel="1">
      <c r="B315" s="18"/>
      <c r="C315" s="57" t="str">
        <f t="shared" si="11"/>
        <v/>
      </c>
      <c r="D315" s="18"/>
      <c r="E315" s="18"/>
      <c r="F315" s="15"/>
      <c r="G315" s="19"/>
      <c r="H315" s="19"/>
      <c r="I315" s="19"/>
      <c r="J315" s="22"/>
      <c r="K315" s="81"/>
      <c r="M315" s="88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</row>
    <row r="316" spans="2:39" ht="41.25" customHeight="1" outlineLevel="1">
      <c r="B316" s="18"/>
      <c r="C316" s="57" t="str">
        <f t="shared" si="11"/>
        <v/>
      </c>
      <c r="D316" s="18"/>
      <c r="E316" s="18"/>
      <c r="F316" s="15"/>
      <c r="G316" s="19"/>
      <c r="H316" s="19"/>
      <c r="I316" s="19"/>
      <c r="J316" s="22"/>
      <c r="K316" s="81"/>
      <c r="M316" s="88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</row>
    <row r="317" spans="2:39" ht="41.25" customHeight="1" outlineLevel="1">
      <c r="B317" s="18"/>
      <c r="C317" s="57" t="str">
        <f t="shared" si="11"/>
        <v/>
      </c>
      <c r="D317" s="18"/>
      <c r="E317" s="18"/>
      <c r="F317" s="15"/>
      <c r="G317" s="19"/>
      <c r="H317" s="19"/>
      <c r="I317" s="19"/>
      <c r="J317" s="22"/>
      <c r="K317" s="81"/>
      <c r="M317" s="88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</row>
    <row r="318" spans="2:39" ht="41.25" customHeight="1" outlineLevel="1">
      <c r="B318" s="18"/>
      <c r="C318" s="57" t="str">
        <f t="shared" si="11"/>
        <v/>
      </c>
      <c r="D318" s="18"/>
      <c r="E318" s="18"/>
      <c r="F318" s="15"/>
      <c r="G318" s="19"/>
      <c r="H318" s="19"/>
      <c r="I318" s="19"/>
      <c r="J318" s="22"/>
      <c r="K318" s="81"/>
      <c r="M318" s="88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</row>
    <row r="319" spans="2:39" ht="41.25" customHeight="1" outlineLevel="1">
      <c r="B319" s="18"/>
      <c r="C319" s="57" t="str">
        <f t="shared" si="11"/>
        <v/>
      </c>
      <c r="D319" s="18"/>
      <c r="E319" s="18"/>
      <c r="F319" s="15"/>
      <c r="G319" s="19"/>
      <c r="H319" s="19"/>
      <c r="I319" s="19"/>
      <c r="J319" s="22"/>
      <c r="K319" s="81"/>
      <c r="M319" s="88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</row>
    <row r="320" spans="2:39" ht="41.25" customHeight="1" outlineLevel="1">
      <c r="B320" s="18"/>
      <c r="C320" s="57" t="str">
        <f t="shared" si="11"/>
        <v/>
      </c>
      <c r="D320" s="18"/>
      <c r="E320" s="18"/>
      <c r="F320" s="15"/>
      <c r="G320" s="19"/>
      <c r="H320" s="19"/>
      <c r="I320" s="19"/>
      <c r="J320" s="22"/>
      <c r="K320" s="81"/>
      <c r="M320" s="88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</row>
    <row r="321" spans="2:39" ht="41.25" customHeight="1" outlineLevel="1">
      <c r="B321" s="18"/>
      <c r="C321" s="57" t="str">
        <f t="shared" si="11"/>
        <v/>
      </c>
      <c r="D321" s="18"/>
      <c r="E321" s="18"/>
      <c r="F321" s="15"/>
      <c r="G321" s="19"/>
      <c r="H321" s="19"/>
      <c r="I321" s="19"/>
      <c r="J321" s="22"/>
      <c r="K321" s="81"/>
      <c r="M321" s="88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</row>
    <row r="322" spans="2:39" ht="41.25" customHeight="1" outlineLevel="1">
      <c r="B322" s="18"/>
      <c r="C322" s="57" t="str">
        <f t="shared" si="11"/>
        <v/>
      </c>
      <c r="D322" s="18"/>
      <c r="E322" s="18"/>
      <c r="F322" s="15"/>
      <c r="G322" s="19"/>
      <c r="H322" s="19"/>
      <c r="I322" s="19"/>
      <c r="J322" s="22"/>
      <c r="K322" s="81"/>
      <c r="M322" s="88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</row>
    <row r="323" spans="2:39" ht="41.25" customHeight="1" outlineLevel="1">
      <c r="B323" s="18"/>
      <c r="C323" s="57" t="str">
        <f t="shared" si="11"/>
        <v/>
      </c>
      <c r="D323" s="18"/>
      <c r="E323" s="18"/>
      <c r="F323" s="15"/>
      <c r="G323" s="19"/>
      <c r="H323" s="19"/>
      <c r="I323" s="19"/>
      <c r="J323" s="22"/>
      <c r="K323" s="81"/>
      <c r="M323" s="88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</row>
    <row r="324" spans="2:39" ht="41.25" customHeight="1" outlineLevel="1">
      <c r="B324" s="18"/>
      <c r="C324" s="57" t="str">
        <f t="shared" si="11"/>
        <v/>
      </c>
      <c r="D324" s="18"/>
      <c r="E324" s="18"/>
      <c r="F324" s="15"/>
      <c r="G324" s="19"/>
      <c r="H324" s="19"/>
      <c r="I324" s="19"/>
      <c r="J324" s="22"/>
      <c r="K324" s="81"/>
      <c r="M324" s="88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</row>
    <row r="325" spans="2:39" ht="41.25" customHeight="1" outlineLevel="1">
      <c r="B325" s="18"/>
      <c r="C325" s="57" t="str">
        <f t="shared" si="11"/>
        <v/>
      </c>
      <c r="D325" s="18"/>
      <c r="E325" s="18"/>
      <c r="F325" s="15"/>
      <c r="G325" s="19"/>
      <c r="H325" s="19"/>
      <c r="I325" s="19"/>
      <c r="J325" s="22"/>
      <c r="K325" s="81"/>
      <c r="M325" s="88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</row>
    <row r="326" spans="2:39" ht="41.25" customHeight="1" outlineLevel="1">
      <c r="B326" s="18"/>
      <c r="C326" s="57" t="str">
        <f t="shared" si="11"/>
        <v/>
      </c>
      <c r="D326" s="18"/>
      <c r="E326" s="18"/>
      <c r="F326" s="15"/>
      <c r="G326" s="19"/>
      <c r="H326" s="19"/>
      <c r="I326" s="19"/>
      <c r="J326" s="22"/>
      <c r="K326" s="81"/>
      <c r="M326" s="88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</row>
    <row r="327" spans="2:39" ht="41.25" customHeight="1" outlineLevel="1">
      <c r="B327" s="18"/>
      <c r="C327" s="57" t="str">
        <f t="shared" ref="C327:C390" si="12">IF(B327="","",MONTH(B327))</f>
        <v/>
      </c>
      <c r="D327" s="18"/>
      <c r="E327" s="18"/>
      <c r="F327" s="15"/>
      <c r="G327" s="19"/>
      <c r="H327" s="19"/>
      <c r="I327" s="19"/>
      <c r="J327" s="22"/>
      <c r="K327" s="81"/>
      <c r="M327" s="88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</row>
    <row r="328" spans="2:39" ht="41.25" customHeight="1" outlineLevel="1">
      <c r="B328" s="18"/>
      <c r="C328" s="57" t="str">
        <f t="shared" si="12"/>
        <v/>
      </c>
      <c r="D328" s="18"/>
      <c r="E328" s="18"/>
      <c r="F328" s="15"/>
      <c r="G328" s="19"/>
      <c r="H328" s="19"/>
      <c r="I328" s="19"/>
      <c r="J328" s="22"/>
      <c r="K328" s="81"/>
      <c r="M328" s="88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</row>
    <row r="329" spans="2:39" ht="41.25" customHeight="1" outlineLevel="1">
      <c r="B329" s="18"/>
      <c r="C329" s="57" t="str">
        <f t="shared" si="12"/>
        <v/>
      </c>
      <c r="D329" s="18"/>
      <c r="E329" s="18"/>
      <c r="F329" s="15"/>
      <c r="G329" s="19"/>
      <c r="H329" s="19"/>
      <c r="I329" s="19"/>
      <c r="J329" s="22"/>
      <c r="K329" s="81"/>
      <c r="M329" s="88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</row>
    <row r="330" spans="2:39" ht="41.25" customHeight="1" outlineLevel="1">
      <c r="B330" s="18"/>
      <c r="C330" s="57" t="str">
        <f t="shared" si="12"/>
        <v/>
      </c>
      <c r="D330" s="18"/>
      <c r="E330" s="18"/>
      <c r="F330" s="15"/>
      <c r="G330" s="19"/>
      <c r="H330" s="19"/>
      <c r="I330" s="19"/>
      <c r="J330" s="22"/>
      <c r="K330" s="81"/>
      <c r="M330" s="88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</row>
    <row r="331" spans="2:39" ht="41.25" customHeight="1" outlineLevel="1">
      <c r="B331" s="18"/>
      <c r="C331" s="57" t="str">
        <f t="shared" si="12"/>
        <v/>
      </c>
      <c r="D331" s="18"/>
      <c r="E331" s="18"/>
      <c r="F331" s="15"/>
      <c r="G331" s="19"/>
      <c r="H331" s="19"/>
      <c r="I331" s="19"/>
      <c r="J331" s="22"/>
      <c r="K331" s="81"/>
      <c r="M331" s="88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</row>
    <row r="332" spans="2:39" ht="41.25" customHeight="1" outlineLevel="1">
      <c r="B332" s="18"/>
      <c r="C332" s="57" t="str">
        <f t="shared" si="12"/>
        <v/>
      </c>
      <c r="D332" s="18"/>
      <c r="E332" s="18"/>
      <c r="F332" s="15"/>
      <c r="G332" s="19"/>
      <c r="H332" s="19"/>
      <c r="I332" s="19"/>
      <c r="J332" s="22"/>
      <c r="K332" s="81"/>
      <c r="M332" s="88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</row>
    <row r="333" spans="2:39" s="10" customFormat="1" ht="41.25" customHeight="1" outlineLevel="1">
      <c r="B333" s="18"/>
      <c r="C333" s="57" t="str">
        <f t="shared" si="12"/>
        <v/>
      </c>
      <c r="D333" s="18"/>
      <c r="E333" s="18"/>
      <c r="F333" s="15"/>
      <c r="G333" s="19"/>
      <c r="H333" s="19"/>
      <c r="I333" s="19"/>
      <c r="J333" s="22"/>
      <c r="K333" s="81"/>
      <c r="L333" s="22"/>
      <c r="M333" s="88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</row>
    <row r="334" spans="2:39" ht="41.25" customHeight="1" outlineLevel="1">
      <c r="B334" s="18"/>
      <c r="C334" s="57" t="str">
        <f t="shared" si="12"/>
        <v/>
      </c>
      <c r="D334" s="18"/>
      <c r="E334" s="18"/>
      <c r="F334" s="15"/>
      <c r="G334" s="19"/>
      <c r="H334" s="19"/>
      <c r="I334" s="19"/>
      <c r="J334" s="22"/>
      <c r="K334" s="81"/>
      <c r="M334" s="88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</row>
    <row r="335" spans="2:39" ht="41.25" customHeight="1" outlineLevel="1">
      <c r="B335" s="18"/>
      <c r="C335" s="57" t="str">
        <f t="shared" si="12"/>
        <v/>
      </c>
      <c r="D335" s="18"/>
      <c r="E335" s="18"/>
      <c r="F335" s="15"/>
      <c r="G335" s="19"/>
      <c r="H335" s="19"/>
      <c r="I335" s="19"/>
      <c r="J335" s="22"/>
      <c r="K335" s="81"/>
      <c r="M335" s="88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</row>
    <row r="336" spans="2:39" ht="41.25" customHeight="1" outlineLevel="1">
      <c r="B336" s="18"/>
      <c r="C336" s="57" t="str">
        <f t="shared" si="12"/>
        <v/>
      </c>
      <c r="D336" s="18"/>
      <c r="E336" s="18"/>
      <c r="F336" s="15"/>
      <c r="G336" s="19"/>
      <c r="H336" s="19"/>
      <c r="I336" s="19"/>
      <c r="J336" s="22"/>
      <c r="K336" s="81"/>
      <c r="M336" s="88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</row>
    <row r="337" spans="2:39" ht="41.25" customHeight="1" outlineLevel="1">
      <c r="B337" s="18"/>
      <c r="C337" s="57" t="str">
        <f t="shared" si="12"/>
        <v/>
      </c>
      <c r="D337" s="18"/>
      <c r="E337" s="18"/>
      <c r="F337" s="15"/>
      <c r="G337" s="19"/>
      <c r="H337" s="19"/>
      <c r="I337" s="19"/>
      <c r="J337" s="22"/>
      <c r="K337" s="81"/>
      <c r="M337" s="88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</row>
    <row r="338" spans="2:39" ht="41.25" customHeight="1" outlineLevel="1">
      <c r="B338" s="18"/>
      <c r="C338" s="57" t="str">
        <f t="shared" si="12"/>
        <v/>
      </c>
      <c r="D338" s="18"/>
      <c r="E338" s="18"/>
      <c r="F338" s="15"/>
      <c r="G338" s="19"/>
      <c r="H338" s="19"/>
      <c r="I338" s="19"/>
      <c r="J338" s="22"/>
      <c r="K338" s="81"/>
      <c r="M338" s="88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</row>
    <row r="339" spans="2:39" ht="41.25" customHeight="1" outlineLevel="1">
      <c r="B339" s="18"/>
      <c r="C339" s="57" t="str">
        <f t="shared" si="12"/>
        <v/>
      </c>
      <c r="D339" s="18"/>
      <c r="E339" s="18"/>
      <c r="F339" s="15"/>
      <c r="G339" s="19"/>
      <c r="H339" s="19"/>
      <c r="I339" s="19"/>
      <c r="J339" s="22"/>
      <c r="K339" s="81"/>
      <c r="M339" s="88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</row>
    <row r="340" spans="2:39" ht="41.25" customHeight="1" outlineLevel="1">
      <c r="B340" s="18"/>
      <c r="C340" s="57" t="str">
        <f t="shared" si="12"/>
        <v/>
      </c>
      <c r="D340" s="18"/>
      <c r="E340" s="18"/>
      <c r="F340" s="15"/>
      <c r="G340" s="19"/>
      <c r="H340" s="19"/>
      <c r="I340" s="19"/>
      <c r="J340" s="22"/>
      <c r="K340" s="81"/>
      <c r="M340" s="88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</row>
    <row r="341" spans="2:39" s="11" customFormat="1" ht="41.25" customHeight="1" outlineLevel="1">
      <c r="B341" s="18"/>
      <c r="C341" s="57" t="str">
        <f t="shared" si="12"/>
        <v/>
      </c>
      <c r="D341" s="18"/>
      <c r="E341" s="24"/>
      <c r="F341" s="25"/>
      <c r="G341" s="26"/>
      <c r="H341" s="26"/>
      <c r="I341" s="26"/>
      <c r="J341" s="27"/>
      <c r="K341" s="83"/>
      <c r="L341" s="27"/>
      <c r="M341" s="89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2"/>
      <c r="AL341" s="27"/>
      <c r="AM341" s="27"/>
    </row>
    <row r="342" spans="2:39" ht="41.25" customHeight="1" outlineLevel="1">
      <c r="B342" s="18"/>
      <c r="C342" s="57" t="str">
        <f t="shared" si="12"/>
        <v/>
      </c>
      <c r="D342" s="18"/>
      <c r="E342" s="18"/>
      <c r="F342" s="15"/>
      <c r="G342" s="19"/>
      <c r="H342" s="19"/>
      <c r="I342" s="19"/>
      <c r="J342" s="22"/>
      <c r="K342" s="81"/>
      <c r="M342" s="88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7"/>
      <c r="AL342" s="22"/>
      <c r="AM342" s="22"/>
    </row>
    <row r="343" spans="2:39" ht="41.25" customHeight="1" outlineLevel="1">
      <c r="B343" s="18"/>
      <c r="C343" s="57" t="str">
        <f t="shared" si="12"/>
        <v/>
      </c>
      <c r="D343" s="18"/>
      <c r="E343" s="18"/>
      <c r="F343" s="15"/>
      <c r="G343" s="19"/>
      <c r="H343" s="19"/>
      <c r="I343" s="19"/>
      <c r="J343" s="22"/>
      <c r="K343" s="81"/>
      <c r="M343" s="88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</row>
    <row r="344" spans="2:39" ht="41.25" customHeight="1" outlineLevel="1">
      <c r="B344" s="18"/>
      <c r="C344" s="57" t="str">
        <f t="shared" si="12"/>
        <v/>
      </c>
      <c r="D344" s="18"/>
      <c r="E344" s="18"/>
      <c r="F344" s="15"/>
      <c r="G344" s="19"/>
      <c r="H344" s="19"/>
      <c r="I344" s="19"/>
      <c r="J344" s="22"/>
      <c r="K344" s="81"/>
      <c r="M344" s="88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</row>
    <row r="345" spans="2:39" ht="41.25" customHeight="1" outlineLevel="1">
      <c r="B345" s="18"/>
      <c r="C345" s="57" t="str">
        <f t="shared" si="12"/>
        <v/>
      </c>
      <c r="D345" s="18"/>
      <c r="E345" s="18"/>
      <c r="F345" s="15"/>
      <c r="G345" s="19"/>
      <c r="H345" s="19"/>
      <c r="I345" s="19"/>
      <c r="J345" s="22"/>
      <c r="K345" s="81"/>
      <c r="M345" s="88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</row>
    <row r="346" spans="2:39" ht="41.25" customHeight="1" outlineLevel="1">
      <c r="B346" s="18"/>
      <c r="C346" s="57" t="str">
        <f t="shared" si="12"/>
        <v/>
      </c>
      <c r="D346" s="18"/>
      <c r="E346" s="18"/>
      <c r="F346" s="15"/>
      <c r="G346" s="19"/>
      <c r="H346" s="19"/>
      <c r="I346" s="19"/>
      <c r="J346" s="22"/>
      <c r="K346" s="81"/>
      <c r="M346" s="88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</row>
    <row r="347" spans="2:39" ht="41.25" customHeight="1" outlineLevel="1">
      <c r="B347" s="18"/>
      <c r="C347" s="57" t="str">
        <f t="shared" si="12"/>
        <v/>
      </c>
      <c r="D347" s="18"/>
      <c r="E347" s="18"/>
      <c r="F347" s="15"/>
      <c r="G347" s="19"/>
      <c r="H347" s="19"/>
      <c r="I347" s="19"/>
      <c r="J347" s="22"/>
      <c r="K347" s="81"/>
      <c r="M347" s="88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</row>
    <row r="348" spans="2:39" ht="41.25" customHeight="1" outlineLevel="1">
      <c r="B348" s="18"/>
      <c r="C348" s="57" t="str">
        <f t="shared" si="12"/>
        <v/>
      </c>
      <c r="D348" s="18"/>
      <c r="E348" s="18"/>
      <c r="F348" s="15"/>
      <c r="G348" s="19"/>
      <c r="H348" s="19"/>
      <c r="I348" s="19"/>
      <c r="J348" s="22"/>
      <c r="K348" s="81"/>
      <c r="M348" s="88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</row>
    <row r="349" spans="2:39" ht="41.25" customHeight="1" outlineLevel="1">
      <c r="B349" s="18"/>
      <c r="C349" s="57" t="str">
        <f t="shared" si="12"/>
        <v/>
      </c>
      <c r="D349" s="18"/>
      <c r="E349" s="18"/>
      <c r="F349" s="15"/>
      <c r="G349" s="19"/>
      <c r="H349" s="19"/>
      <c r="I349" s="19"/>
      <c r="J349" s="22"/>
      <c r="K349" s="81"/>
      <c r="M349" s="88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</row>
    <row r="350" spans="2:39" ht="41.25" customHeight="1" outlineLevel="1">
      <c r="B350" s="18"/>
      <c r="C350" s="57" t="str">
        <f t="shared" si="12"/>
        <v/>
      </c>
      <c r="D350" s="18"/>
      <c r="E350" s="18"/>
      <c r="F350" s="15"/>
      <c r="G350" s="19"/>
      <c r="H350" s="19"/>
      <c r="I350" s="19"/>
      <c r="J350" s="22"/>
      <c r="K350" s="81"/>
      <c r="M350" s="88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</row>
    <row r="351" spans="2:39" ht="41.25" customHeight="1" outlineLevel="1">
      <c r="B351" s="18"/>
      <c r="C351" s="57" t="str">
        <f t="shared" si="12"/>
        <v/>
      </c>
      <c r="D351" s="18"/>
      <c r="E351" s="18"/>
      <c r="F351" s="15"/>
      <c r="G351" s="19"/>
      <c r="H351" s="19"/>
      <c r="I351" s="19"/>
      <c r="J351" s="22"/>
      <c r="K351" s="81"/>
      <c r="M351" s="88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</row>
    <row r="352" spans="2:39" ht="41.25" customHeight="1" outlineLevel="1">
      <c r="B352" s="18"/>
      <c r="C352" s="57" t="str">
        <f t="shared" si="12"/>
        <v/>
      </c>
      <c r="D352" s="18"/>
      <c r="E352" s="18"/>
      <c r="F352" s="15"/>
      <c r="G352" s="19"/>
      <c r="H352" s="19"/>
      <c r="I352" s="19"/>
      <c r="J352" s="22"/>
      <c r="K352" s="81"/>
      <c r="M352" s="88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</row>
    <row r="353" spans="2:39" ht="41.25" customHeight="1" outlineLevel="1">
      <c r="B353" s="18"/>
      <c r="C353" s="57" t="str">
        <f t="shared" si="12"/>
        <v/>
      </c>
      <c r="D353" s="18"/>
      <c r="E353" s="18"/>
      <c r="F353" s="15"/>
      <c r="G353" s="19"/>
      <c r="H353" s="19"/>
      <c r="I353" s="19"/>
      <c r="J353" s="22"/>
      <c r="K353" s="81"/>
      <c r="M353" s="88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</row>
    <row r="354" spans="2:39" ht="41.25" customHeight="1" outlineLevel="1">
      <c r="B354" s="18"/>
      <c r="C354" s="57" t="str">
        <f t="shared" si="12"/>
        <v/>
      </c>
      <c r="D354" s="18"/>
      <c r="E354" s="18"/>
      <c r="F354" s="15"/>
      <c r="G354" s="19"/>
      <c r="H354" s="19"/>
      <c r="I354" s="19"/>
      <c r="J354" s="22"/>
      <c r="K354" s="81"/>
      <c r="M354" s="88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</row>
    <row r="355" spans="2:39" ht="41.25" customHeight="1" outlineLevel="1">
      <c r="B355" s="18"/>
      <c r="C355" s="57" t="str">
        <f t="shared" si="12"/>
        <v/>
      </c>
      <c r="D355" s="18"/>
      <c r="E355" s="18"/>
      <c r="F355" s="15"/>
      <c r="G355" s="19"/>
      <c r="H355" s="19"/>
      <c r="I355" s="19"/>
      <c r="J355" s="22"/>
      <c r="K355" s="81"/>
      <c r="M355" s="88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</row>
    <row r="356" spans="2:39" ht="41.25" customHeight="1" outlineLevel="1">
      <c r="B356" s="18"/>
      <c r="C356" s="57" t="str">
        <f t="shared" si="12"/>
        <v/>
      </c>
      <c r="D356" s="18"/>
      <c r="E356" s="18"/>
      <c r="F356" s="15"/>
      <c r="G356" s="19"/>
      <c r="H356" s="19"/>
      <c r="I356" s="19"/>
      <c r="J356" s="22"/>
      <c r="K356" s="81"/>
      <c r="M356" s="88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</row>
    <row r="357" spans="2:39" ht="41.25" customHeight="1" outlineLevel="1">
      <c r="B357" s="18"/>
      <c r="C357" s="57" t="str">
        <f t="shared" si="12"/>
        <v/>
      </c>
      <c r="D357" s="18"/>
      <c r="E357" s="18"/>
      <c r="F357" s="15"/>
      <c r="G357" s="19"/>
      <c r="H357" s="19"/>
      <c r="I357" s="19"/>
      <c r="J357" s="22"/>
      <c r="K357" s="81"/>
      <c r="M357" s="88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</row>
    <row r="358" spans="2:39" ht="41.25" customHeight="1" outlineLevel="1">
      <c r="B358" s="18"/>
      <c r="C358" s="57" t="str">
        <f t="shared" si="12"/>
        <v/>
      </c>
      <c r="D358" s="18"/>
      <c r="E358" s="18"/>
      <c r="F358" s="15"/>
      <c r="G358" s="19"/>
      <c r="H358" s="19"/>
      <c r="I358" s="19"/>
      <c r="J358" s="22"/>
      <c r="K358" s="81"/>
      <c r="M358" s="88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</row>
    <row r="359" spans="2:39" ht="41.25" customHeight="1" outlineLevel="1">
      <c r="B359" s="18"/>
      <c r="C359" s="57" t="str">
        <f t="shared" si="12"/>
        <v/>
      </c>
      <c r="D359" s="18"/>
      <c r="E359" s="18"/>
      <c r="F359" s="15"/>
      <c r="G359" s="19"/>
      <c r="H359" s="19"/>
      <c r="I359" s="19"/>
      <c r="J359" s="22"/>
      <c r="K359" s="81"/>
      <c r="M359" s="88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</row>
    <row r="360" spans="2:39" ht="41.25" customHeight="1" outlineLevel="1">
      <c r="B360" s="18"/>
      <c r="C360" s="57" t="str">
        <f t="shared" si="12"/>
        <v/>
      </c>
      <c r="D360" s="18"/>
      <c r="E360" s="18"/>
      <c r="F360" s="15"/>
      <c r="G360" s="19"/>
      <c r="H360" s="19"/>
      <c r="I360" s="19"/>
      <c r="J360" s="22"/>
      <c r="K360" s="81"/>
      <c r="M360" s="88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</row>
    <row r="361" spans="2:39" ht="41.25" customHeight="1" outlineLevel="1">
      <c r="B361" s="18"/>
      <c r="C361" s="57" t="str">
        <f t="shared" si="12"/>
        <v/>
      </c>
      <c r="D361" s="18"/>
      <c r="E361" s="18"/>
      <c r="F361" s="15"/>
      <c r="G361" s="19"/>
      <c r="H361" s="19"/>
      <c r="I361" s="19"/>
      <c r="J361" s="22"/>
      <c r="K361" s="81"/>
      <c r="M361" s="88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</row>
    <row r="362" spans="2:39" ht="41.25" customHeight="1" outlineLevel="1">
      <c r="B362" s="18"/>
      <c r="C362" s="57" t="str">
        <f t="shared" si="12"/>
        <v/>
      </c>
      <c r="D362" s="18"/>
      <c r="E362" s="18"/>
      <c r="F362" s="15"/>
      <c r="G362" s="19"/>
      <c r="H362" s="19"/>
      <c r="I362" s="19"/>
      <c r="J362" s="22"/>
      <c r="K362" s="81"/>
      <c r="M362" s="88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</row>
    <row r="363" spans="2:39" ht="41.25" customHeight="1" outlineLevel="1">
      <c r="B363" s="18"/>
      <c r="C363" s="57" t="str">
        <f t="shared" si="12"/>
        <v/>
      </c>
      <c r="D363" s="18"/>
      <c r="E363" s="18"/>
      <c r="F363" s="15"/>
      <c r="G363" s="19"/>
      <c r="H363" s="19"/>
      <c r="I363" s="19"/>
      <c r="J363" s="22"/>
      <c r="K363" s="81"/>
      <c r="M363" s="88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</row>
    <row r="364" spans="2:39" ht="41.25" customHeight="1" outlineLevel="1">
      <c r="B364" s="18"/>
      <c r="C364" s="57" t="str">
        <f t="shared" si="12"/>
        <v/>
      </c>
      <c r="D364" s="18"/>
      <c r="E364" s="18"/>
      <c r="F364" s="15"/>
      <c r="G364" s="19"/>
      <c r="H364" s="19"/>
      <c r="I364" s="19"/>
      <c r="J364" s="22"/>
      <c r="K364" s="81"/>
      <c r="M364" s="88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</row>
    <row r="365" spans="2:39" ht="41.25" customHeight="1" outlineLevel="1">
      <c r="B365" s="18"/>
      <c r="C365" s="57" t="str">
        <f t="shared" si="12"/>
        <v/>
      </c>
      <c r="D365" s="18"/>
      <c r="E365" s="18"/>
      <c r="F365" s="15"/>
      <c r="G365" s="19"/>
      <c r="H365" s="19"/>
      <c r="I365" s="19"/>
      <c r="J365" s="22"/>
      <c r="K365" s="81"/>
      <c r="M365" s="88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</row>
    <row r="366" spans="2:39" ht="41.25" customHeight="1" outlineLevel="1">
      <c r="B366" s="18"/>
      <c r="C366" s="57" t="str">
        <f t="shared" si="12"/>
        <v/>
      </c>
      <c r="D366" s="18"/>
      <c r="E366" s="18"/>
      <c r="F366" s="15"/>
      <c r="G366" s="19"/>
      <c r="H366" s="19"/>
      <c r="I366" s="19"/>
      <c r="J366" s="22"/>
      <c r="K366" s="81"/>
      <c r="M366" s="88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</row>
    <row r="367" spans="2:39" ht="41.25" customHeight="1" outlineLevel="1">
      <c r="B367" s="18"/>
      <c r="C367" s="57" t="str">
        <f t="shared" si="12"/>
        <v/>
      </c>
      <c r="D367" s="18"/>
      <c r="E367" s="18"/>
      <c r="F367" s="15"/>
      <c r="G367" s="19"/>
      <c r="H367" s="19"/>
      <c r="I367" s="19"/>
      <c r="J367" s="22"/>
      <c r="K367" s="81"/>
      <c r="M367" s="88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</row>
    <row r="368" spans="2:39" ht="41.25" customHeight="1" outlineLevel="1">
      <c r="B368" s="18"/>
      <c r="C368" s="57" t="str">
        <f t="shared" si="12"/>
        <v/>
      </c>
      <c r="D368" s="18"/>
      <c r="E368" s="18"/>
      <c r="F368" s="15"/>
      <c r="G368" s="19"/>
      <c r="H368" s="19"/>
      <c r="I368" s="19"/>
      <c r="J368" s="22"/>
      <c r="K368" s="81"/>
      <c r="M368" s="88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</row>
    <row r="369" spans="2:39" s="12" customFormat="1" ht="41.25" customHeight="1" outlineLevel="1">
      <c r="B369" s="18"/>
      <c r="C369" s="57" t="str">
        <f t="shared" si="12"/>
        <v/>
      </c>
      <c r="D369" s="18"/>
      <c r="E369" s="28"/>
      <c r="F369" s="29"/>
      <c r="G369" s="19"/>
      <c r="H369" s="19"/>
      <c r="I369" s="19"/>
      <c r="J369" s="33"/>
      <c r="K369" s="84"/>
      <c r="L369" s="33"/>
      <c r="M369" s="90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22"/>
      <c r="AL369" s="33"/>
      <c r="AM369" s="33"/>
    </row>
    <row r="370" spans="2:39" ht="41.25" customHeight="1" outlineLevel="1">
      <c r="B370" s="18"/>
      <c r="C370" s="57" t="str">
        <f t="shared" si="12"/>
        <v/>
      </c>
      <c r="D370" s="18"/>
      <c r="E370" s="18"/>
      <c r="F370" s="15"/>
      <c r="G370" s="19"/>
      <c r="H370" s="19"/>
      <c r="I370" s="19"/>
      <c r="J370" s="22"/>
      <c r="K370" s="81"/>
      <c r="M370" s="88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33"/>
      <c r="AL370" s="22"/>
      <c r="AM370" s="22"/>
    </row>
    <row r="371" spans="2:39" ht="41.25" customHeight="1" outlineLevel="1">
      <c r="B371" s="18"/>
      <c r="C371" s="57" t="str">
        <f t="shared" si="12"/>
        <v/>
      </c>
      <c r="D371" s="18"/>
      <c r="E371" s="18"/>
      <c r="F371" s="15"/>
      <c r="G371" s="19"/>
      <c r="H371" s="19"/>
      <c r="I371" s="19"/>
      <c r="J371" s="22"/>
      <c r="K371" s="81"/>
      <c r="M371" s="88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</row>
    <row r="372" spans="2:39" ht="41.25" customHeight="1" outlineLevel="1">
      <c r="B372" s="18"/>
      <c r="C372" s="57" t="str">
        <f t="shared" si="12"/>
        <v/>
      </c>
      <c r="D372" s="18"/>
      <c r="E372" s="18"/>
      <c r="F372" s="15"/>
      <c r="G372" s="19"/>
      <c r="H372" s="19"/>
      <c r="I372" s="19"/>
      <c r="J372" s="22"/>
      <c r="K372" s="81"/>
      <c r="M372" s="88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</row>
    <row r="373" spans="2:39" ht="41.25" customHeight="1" outlineLevel="1">
      <c r="B373" s="18"/>
      <c r="C373" s="57" t="str">
        <f t="shared" si="12"/>
        <v/>
      </c>
      <c r="D373" s="18"/>
      <c r="E373" s="18"/>
      <c r="F373" s="15"/>
      <c r="G373" s="19"/>
      <c r="H373" s="19"/>
      <c r="I373" s="19"/>
      <c r="J373" s="22"/>
      <c r="K373" s="81"/>
      <c r="M373" s="88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</row>
    <row r="374" spans="2:39" ht="41.25" customHeight="1" outlineLevel="1">
      <c r="B374" s="18"/>
      <c r="C374" s="57" t="str">
        <f t="shared" si="12"/>
        <v/>
      </c>
      <c r="D374" s="18"/>
      <c r="E374" s="18"/>
      <c r="F374" s="15"/>
      <c r="G374" s="19"/>
      <c r="H374" s="19"/>
      <c r="I374" s="19"/>
      <c r="J374" s="22"/>
      <c r="K374" s="81"/>
      <c r="M374" s="88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</row>
    <row r="375" spans="2:39" ht="41.25" customHeight="1" outlineLevel="1">
      <c r="B375" s="18"/>
      <c r="C375" s="57" t="str">
        <f t="shared" si="12"/>
        <v/>
      </c>
      <c r="D375" s="18"/>
      <c r="E375" s="18"/>
      <c r="F375" s="15"/>
      <c r="G375" s="19"/>
      <c r="H375" s="19"/>
      <c r="I375" s="19"/>
      <c r="J375" s="22"/>
      <c r="K375" s="81"/>
      <c r="M375" s="88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</row>
    <row r="376" spans="2:39" ht="41.25" customHeight="1" outlineLevel="1">
      <c r="B376" s="18"/>
      <c r="C376" s="57" t="str">
        <f t="shared" si="12"/>
        <v/>
      </c>
      <c r="D376" s="18"/>
      <c r="E376" s="18"/>
      <c r="F376" s="15"/>
      <c r="G376" s="19"/>
      <c r="H376" s="19"/>
      <c r="I376" s="19"/>
      <c r="J376" s="22"/>
      <c r="K376" s="81"/>
      <c r="M376" s="88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</row>
    <row r="377" spans="2:39" ht="41.25" customHeight="1" outlineLevel="1">
      <c r="B377" s="18"/>
      <c r="C377" s="57" t="str">
        <f t="shared" si="12"/>
        <v/>
      </c>
      <c r="D377" s="18"/>
      <c r="E377" s="18"/>
      <c r="F377" s="15"/>
      <c r="G377" s="19"/>
      <c r="H377" s="19"/>
      <c r="I377" s="19"/>
      <c r="J377" s="22"/>
      <c r="K377" s="81"/>
      <c r="M377" s="88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</row>
    <row r="378" spans="2:39" ht="41.25" customHeight="1" outlineLevel="1">
      <c r="B378" s="18"/>
      <c r="C378" s="57" t="str">
        <f t="shared" si="12"/>
        <v/>
      </c>
      <c r="D378" s="18"/>
      <c r="E378" s="18"/>
      <c r="F378" s="15"/>
      <c r="G378" s="19"/>
      <c r="H378" s="19"/>
      <c r="I378" s="19"/>
      <c r="J378" s="22"/>
      <c r="K378" s="81"/>
      <c r="M378" s="88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</row>
    <row r="379" spans="2:39" ht="41.25" customHeight="1" outlineLevel="1">
      <c r="B379" s="18"/>
      <c r="C379" s="57" t="str">
        <f t="shared" si="12"/>
        <v/>
      </c>
      <c r="D379" s="18"/>
      <c r="E379" s="18"/>
      <c r="F379" s="15"/>
      <c r="G379" s="19"/>
      <c r="H379" s="19"/>
      <c r="I379" s="19"/>
      <c r="J379" s="22"/>
      <c r="K379" s="81"/>
      <c r="M379" s="88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</row>
    <row r="380" spans="2:39" ht="41.25" customHeight="1" outlineLevel="1">
      <c r="B380" s="18"/>
      <c r="C380" s="57" t="str">
        <f t="shared" si="12"/>
        <v/>
      </c>
      <c r="D380" s="18"/>
      <c r="E380" s="18"/>
      <c r="F380" s="15"/>
      <c r="G380" s="19"/>
      <c r="H380" s="19"/>
      <c r="I380" s="19"/>
      <c r="J380" s="22"/>
      <c r="K380" s="81"/>
      <c r="M380" s="88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</row>
    <row r="381" spans="2:39" ht="41.25" customHeight="1" outlineLevel="1">
      <c r="B381" s="18"/>
      <c r="C381" s="57" t="str">
        <f t="shared" si="12"/>
        <v/>
      </c>
      <c r="D381" s="18"/>
      <c r="E381" s="18"/>
      <c r="F381" s="15"/>
      <c r="G381" s="19"/>
      <c r="H381" s="19"/>
      <c r="I381" s="19"/>
      <c r="J381" s="22"/>
      <c r="K381" s="81"/>
      <c r="M381" s="88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</row>
    <row r="382" spans="2:39" ht="41.25" customHeight="1" outlineLevel="1">
      <c r="B382" s="18"/>
      <c r="C382" s="57" t="str">
        <f t="shared" si="12"/>
        <v/>
      </c>
      <c r="D382" s="18"/>
      <c r="E382" s="18"/>
      <c r="F382" s="15"/>
      <c r="G382" s="19"/>
      <c r="H382" s="19"/>
      <c r="I382" s="19"/>
      <c r="J382" s="22"/>
      <c r="K382" s="81"/>
      <c r="M382" s="88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</row>
    <row r="383" spans="2:39" ht="41.25" customHeight="1" outlineLevel="1">
      <c r="B383" s="18"/>
      <c r="C383" s="57" t="str">
        <f t="shared" si="12"/>
        <v/>
      </c>
      <c r="D383" s="18"/>
      <c r="E383" s="18"/>
      <c r="F383" s="15"/>
      <c r="G383" s="19"/>
      <c r="H383" s="19"/>
      <c r="I383" s="19"/>
      <c r="J383" s="22"/>
      <c r="K383" s="81"/>
      <c r="M383" s="88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</row>
    <row r="384" spans="2:39" ht="41.25" customHeight="1" outlineLevel="1">
      <c r="B384" s="18"/>
      <c r="C384" s="57" t="str">
        <f t="shared" si="12"/>
        <v/>
      </c>
      <c r="D384" s="18"/>
      <c r="E384" s="18"/>
      <c r="F384" s="15"/>
      <c r="G384" s="19"/>
      <c r="H384" s="19"/>
      <c r="I384" s="19"/>
      <c r="J384" s="22"/>
      <c r="K384" s="81"/>
      <c r="M384" s="88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</row>
    <row r="385" spans="2:39" ht="41.25" customHeight="1" outlineLevel="1">
      <c r="B385" s="18"/>
      <c r="C385" s="57" t="str">
        <f t="shared" si="12"/>
        <v/>
      </c>
      <c r="D385" s="18"/>
      <c r="E385" s="18"/>
      <c r="F385" s="15"/>
      <c r="G385" s="19"/>
      <c r="H385" s="19"/>
      <c r="I385" s="19"/>
      <c r="J385" s="22"/>
      <c r="K385" s="81"/>
      <c r="M385" s="88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</row>
    <row r="386" spans="2:39" ht="41.25" customHeight="1" outlineLevel="1">
      <c r="B386" s="18"/>
      <c r="C386" s="57" t="str">
        <f t="shared" si="12"/>
        <v/>
      </c>
      <c r="D386" s="18"/>
      <c r="E386" s="18"/>
      <c r="F386" s="15"/>
      <c r="G386" s="19"/>
      <c r="H386" s="19"/>
      <c r="I386" s="19"/>
      <c r="J386" s="22"/>
      <c r="K386" s="81"/>
      <c r="M386" s="88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</row>
    <row r="387" spans="2:39" ht="41.25" customHeight="1" outlineLevel="1">
      <c r="B387" s="18"/>
      <c r="C387" s="57" t="str">
        <f t="shared" si="12"/>
        <v/>
      </c>
      <c r="D387" s="18"/>
      <c r="E387" s="18"/>
      <c r="F387" s="15"/>
      <c r="G387" s="19"/>
      <c r="H387" s="19"/>
      <c r="I387" s="19"/>
      <c r="J387" s="22"/>
      <c r="K387" s="81"/>
      <c r="M387" s="88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</row>
    <row r="388" spans="2:39" ht="41.25" customHeight="1" outlineLevel="1">
      <c r="B388" s="18"/>
      <c r="C388" s="57" t="str">
        <f t="shared" si="12"/>
        <v/>
      </c>
      <c r="D388" s="18"/>
      <c r="E388" s="18"/>
      <c r="F388" s="15"/>
      <c r="G388" s="19"/>
      <c r="H388" s="19"/>
      <c r="I388" s="19"/>
      <c r="J388" s="22"/>
      <c r="K388" s="81"/>
      <c r="M388" s="88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</row>
    <row r="389" spans="2:39" ht="41.25" customHeight="1" outlineLevel="1">
      <c r="B389" s="18"/>
      <c r="C389" s="57" t="str">
        <f t="shared" si="12"/>
        <v/>
      </c>
      <c r="D389" s="18"/>
      <c r="E389" s="18"/>
      <c r="F389" s="15"/>
      <c r="G389" s="19"/>
      <c r="H389" s="19"/>
      <c r="I389" s="19"/>
      <c r="J389" s="22"/>
      <c r="K389" s="81"/>
      <c r="M389" s="88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</row>
    <row r="390" spans="2:39" ht="41.25" customHeight="1" outlineLevel="1">
      <c r="B390" s="18"/>
      <c r="C390" s="57" t="str">
        <f t="shared" si="12"/>
        <v/>
      </c>
      <c r="D390" s="18"/>
      <c r="E390" s="18"/>
      <c r="F390" s="15"/>
      <c r="G390" s="19"/>
      <c r="H390" s="19"/>
      <c r="I390" s="19"/>
      <c r="J390" s="22"/>
      <c r="K390" s="81"/>
      <c r="M390" s="88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</row>
    <row r="391" spans="2:39" ht="41.25" customHeight="1" outlineLevel="1">
      <c r="B391" s="18"/>
      <c r="C391" s="57" t="str">
        <f t="shared" ref="C391:C404" si="13">IF(B391="","",MONTH(B391))</f>
        <v/>
      </c>
      <c r="D391" s="18"/>
      <c r="E391" s="18"/>
      <c r="F391" s="15"/>
      <c r="G391" s="19"/>
      <c r="H391" s="19"/>
      <c r="I391" s="19"/>
      <c r="J391" s="22"/>
      <c r="K391" s="81"/>
      <c r="M391" s="88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</row>
    <row r="392" spans="2:39" ht="41.25" customHeight="1" outlineLevel="1">
      <c r="B392" s="18"/>
      <c r="C392" s="57" t="str">
        <f t="shared" si="13"/>
        <v/>
      </c>
      <c r="D392" s="18"/>
      <c r="E392" s="18"/>
      <c r="F392" s="15"/>
      <c r="G392" s="19"/>
      <c r="H392" s="19"/>
      <c r="I392" s="19"/>
      <c r="J392" s="22"/>
      <c r="K392" s="81"/>
      <c r="M392" s="88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</row>
    <row r="393" spans="2:39" ht="41.25" customHeight="1" outlineLevel="1">
      <c r="B393" s="18"/>
      <c r="C393" s="57" t="str">
        <f t="shared" si="13"/>
        <v/>
      </c>
      <c r="D393" s="18"/>
      <c r="E393" s="18"/>
      <c r="F393" s="15"/>
      <c r="G393" s="19"/>
      <c r="H393" s="19"/>
      <c r="I393" s="19"/>
      <c r="J393" s="22"/>
      <c r="K393" s="81"/>
      <c r="M393" s="88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</row>
    <row r="394" spans="2:39" ht="41.25" customHeight="1" outlineLevel="1">
      <c r="B394" s="18"/>
      <c r="C394" s="57" t="str">
        <f t="shared" si="13"/>
        <v/>
      </c>
      <c r="D394" s="18"/>
      <c r="E394" s="18"/>
      <c r="F394" s="15"/>
      <c r="G394" s="19"/>
      <c r="H394" s="19"/>
      <c r="I394" s="19"/>
      <c r="J394" s="22"/>
      <c r="K394" s="81"/>
      <c r="M394" s="88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</row>
    <row r="395" spans="2:39" ht="41.25" customHeight="1" outlineLevel="1">
      <c r="B395" s="18"/>
      <c r="C395" s="57" t="str">
        <f t="shared" si="13"/>
        <v/>
      </c>
      <c r="D395" s="18"/>
      <c r="E395" s="18"/>
      <c r="F395" s="15"/>
      <c r="G395" s="19"/>
      <c r="H395" s="19"/>
      <c r="I395" s="19"/>
      <c r="J395" s="22"/>
      <c r="K395" s="81"/>
      <c r="M395" s="88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</row>
    <row r="396" spans="2:39" ht="41.25" customHeight="1" outlineLevel="1">
      <c r="B396" s="18"/>
      <c r="C396" s="57" t="str">
        <f t="shared" si="13"/>
        <v/>
      </c>
      <c r="D396" s="18"/>
      <c r="E396" s="18"/>
      <c r="F396" s="15"/>
      <c r="G396" s="19"/>
      <c r="H396" s="19"/>
      <c r="I396" s="19"/>
      <c r="J396" s="22"/>
      <c r="K396" s="81"/>
      <c r="M396" s="88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</row>
    <row r="397" spans="2:39" ht="41.25" customHeight="1" outlineLevel="1">
      <c r="B397" s="18"/>
      <c r="C397" s="57" t="str">
        <f t="shared" si="13"/>
        <v/>
      </c>
      <c r="D397" s="18"/>
      <c r="E397" s="18"/>
      <c r="F397" s="15"/>
      <c r="G397" s="19"/>
      <c r="H397" s="19"/>
      <c r="I397" s="19"/>
      <c r="J397" s="22"/>
      <c r="K397" s="81"/>
      <c r="M397" s="88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</row>
    <row r="398" spans="2:39" ht="41.25" customHeight="1" outlineLevel="1">
      <c r="B398" s="18"/>
      <c r="C398" s="57" t="str">
        <f t="shared" si="13"/>
        <v/>
      </c>
      <c r="D398" s="18"/>
      <c r="E398" s="18"/>
      <c r="F398" s="15"/>
      <c r="G398" s="19"/>
      <c r="H398" s="19"/>
      <c r="I398" s="19"/>
      <c r="J398" s="22"/>
      <c r="K398" s="81"/>
      <c r="M398" s="88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</row>
    <row r="399" spans="2:39" ht="41.25" customHeight="1" outlineLevel="1">
      <c r="B399" s="18"/>
      <c r="C399" s="57" t="str">
        <f t="shared" si="13"/>
        <v/>
      </c>
      <c r="D399" s="18"/>
      <c r="E399" s="18"/>
      <c r="F399" s="15"/>
      <c r="G399" s="19"/>
      <c r="H399" s="19"/>
      <c r="I399" s="19"/>
      <c r="J399" s="22"/>
      <c r="K399" s="81"/>
      <c r="M399" s="88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</row>
    <row r="400" spans="2:39" ht="41.25" customHeight="1" outlineLevel="1">
      <c r="B400" s="18"/>
      <c r="C400" s="57" t="str">
        <f t="shared" si="13"/>
        <v/>
      </c>
      <c r="D400" s="18"/>
      <c r="E400" s="18"/>
      <c r="F400" s="15"/>
      <c r="G400" s="19"/>
      <c r="H400" s="19"/>
      <c r="I400" s="19"/>
      <c r="J400" s="22"/>
      <c r="K400" s="81"/>
      <c r="M400" s="88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</row>
    <row r="401" spans="2:39" ht="41.25" customHeight="1" outlineLevel="1">
      <c r="B401" s="18"/>
      <c r="C401" s="57" t="str">
        <f t="shared" si="13"/>
        <v/>
      </c>
      <c r="D401" s="18"/>
      <c r="E401" s="18"/>
      <c r="F401" s="15"/>
      <c r="G401" s="19"/>
      <c r="H401" s="19"/>
      <c r="I401" s="19"/>
      <c r="J401" s="22"/>
      <c r="K401" s="81"/>
      <c r="M401" s="88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</row>
    <row r="402" spans="2:39" ht="41.25" customHeight="1" outlineLevel="1">
      <c r="B402" s="18"/>
      <c r="C402" s="57" t="str">
        <f t="shared" si="13"/>
        <v/>
      </c>
      <c r="D402" s="18"/>
      <c r="E402" s="18"/>
      <c r="F402" s="15"/>
      <c r="G402" s="19"/>
      <c r="H402" s="19"/>
      <c r="I402" s="19"/>
      <c r="J402" s="22"/>
      <c r="K402" s="81"/>
      <c r="M402" s="88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</row>
    <row r="403" spans="2:39" ht="41.25" customHeight="1" outlineLevel="1">
      <c r="B403" s="18"/>
      <c r="C403" s="57" t="str">
        <f t="shared" si="13"/>
        <v/>
      </c>
      <c r="D403" s="18"/>
      <c r="E403" s="18"/>
      <c r="F403" s="15"/>
      <c r="G403" s="19"/>
      <c r="H403" s="19"/>
      <c r="I403" s="19"/>
      <c r="J403" s="22"/>
      <c r="K403" s="81"/>
      <c r="M403" s="88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</row>
    <row r="404" spans="2:39" ht="41.25" customHeight="1" outlineLevel="1">
      <c r="B404" s="18"/>
      <c r="C404" s="57" t="str">
        <f t="shared" si="13"/>
        <v/>
      </c>
      <c r="D404" s="18"/>
      <c r="E404" s="18"/>
      <c r="F404" s="15"/>
      <c r="G404" s="19"/>
      <c r="H404" s="19"/>
      <c r="I404" s="19"/>
      <c r="J404" s="22"/>
      <c r="K404" s="81"/>
      <c r="M404" s="88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</row>
    <row r="405" spans="2:39" ht="29.4" customHeight="1">
      <c r="B405" s="30"/>
      <c r="C405" s="30"/>
      <c r="D405" s="30"/>
      <c r="E405" s="30"/>
      <c r="F405" s="30"/>
      <c r="G405" s="31"/>
      <c r="H405" s="31"/>
      <c r="I405" s="31"/>
      <c r="J405" s="34"/>
      <c r="K405" s="85"/>
      <c r="L405" s="34"/>
      <c r="M405" s="91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</row>
    <row r="406" spans="2:39">
      <c r="B406"/>
      <c r="C406"/>
    </row>
    <row r="407" spans="2:39">
      <c r="B407"/>
      <c r="C407"/>
    </row>
    <row r="408" spans="2:39" ht="27" customHeight="1"/>
    <row r="409" spans="2:39">
      <c r="B409" t="s">
        <v>11</v>
      </c>
      <c r="C409" t="s">
        <v>12</v>
      </c>
      <c r="D409"/>
      <c r="E409"/>
      <c r="F409"/>
      <c r="G409"/>
      <c r="H409"/>
      <c r="I409"/>
      <c r="J409"/>
      <c r="K409"/>
      <c r="L409" s="94"/>
      <c r="M409"/>
      <c r="N409"/>
      <c r="O409"/>
      <c r="P409"/>
      <c r="Q409"/>
      <c r="R409"/>
      <c r="S409"/>
    </row>
    <row r="410" spans="2:39">
      <c r="B410" s="7" t="s">
        <v>13</v>
      </c>
      <c r="C410"/>
      <c r="D410"/>
      <c r="E410"/>
      <c r="F410"/>
      <c r="G410"/>
      <c r="H410"/>
      <c r="I410"/>
      <c r="J410"/>
      <c r="K410"/>
      <c r="L410" s="94"/>
      <c r="M410"/>
      <c r="N410"/>
      <c r="O410"/>
      <c r="P410"/>
      <c r="Q410"/>
      <c r="R410"/>
      <c r="S410"/>
    </row>
    <row r="411" spans="2:39">
      <c r="B411" s="7" t="s">
        <v>6</v>
      </c>
      <c r="C411"/>
      <c r="D411"/>
      <c r="E411"/>
      <c r="F411"/>
      <c r="G411"/>
      <c r="H411"/>
      <c r="I411"/>
      <c r="J411"/>
      <c r="K411"/>
      <c r="L411" s="94"/>
      <c r="M411"/>
      <c r="N411"/>
      <c r="O411"/>
      <c r="P411"/>
      <c r="Q411"/>
      <c r="R411"/>
      <c r="S411"/>
    </row>
    <row r="412" spans="2:39">
      <c r="B412" s="7" t="s">
        <v>14</v>
      </c>
      <c r="C412"/>
      <c r="D412"/>
      <c r="E412"/>
      <c r="F412"/>
      <c r="G412"/>
      <c r="H412"/>
      <c r="I412"/>
      <c r="J412"/>
      <c r="K412"/>
      <c r="L412" s="94"/>
      <c r="M412"/>
      <c r="N412"/>
      <c r="O412"/>
      <c r="P412"/>
      <c r="Q412"/>
      <c r="R412"/>
      <c r="S412"/>
    </row>
    <row r="413" spans="2:39">
      <c r="B413"/>
      <c r="C413"/>
      <c r="D413"/>
      <c r="E413"/>
      <c r="F413"/>
      <c r="G413"/>
      <c r="H413"/>
      <c r="I413"/>
      <c r="J413"/>
      <c r="K413"/>
      <c r="L413" s="94"/>
      <c r="M413"/>
      <c r="N413"/>
      <c r="O413"/>
      <c r="P413"/>
      <c r="Q413"/>
      <c r="R413"/>
      <c r="S413"/>
    </row>
    <row r="414" spans="2:39">
      <c r="B414"/>
      <c r="C414"/>
      <c r="D414"/>
      <c r="E414"/>
      <c r="F414"/>
      <c r="G414"/>
      <c r="H414"/>
      <c r="I414"/>
      <c r="J414"/>
      <c r="K414"/>
      <c r="L414" s="94"/>
      <c r="M414"/>
      <c r="N414"/>
      <c r="O414"/>
      <c r="P414"/>
      <c r="Q414"/>
      <c r="R414"/>
      <c r="S414"/>
    </row>
    <row r="415" spans="2:39">
      <c r="B415"/>
      <c r="C415"/>
      <c r="D415"/>
      <c r="E415"/>
      <c r="F415"/>
      <c r="G415"/>
      <c r="H415"/>
      <c r="I415"/>
      <c r="J415"/>
      <c r="K415"/>
      <c r="L415" s="94"/>
      <c r="M415"/>
      <c r="N415"/>
      <c r="O415"/>
      <c r="P415"/>
      <c r="Q415"/>
      <c r="R415"/>
      <c r="S415"/>
    </row>
    <row r="416" spans="2:39">
      <c r="B416"/>
      <c r="C416"/>
      <c r="D416"/>
      <c r="E416"/>
      <c r="F416"/>
      <c r="G416"/>
      <c r="H416"/>
      <c r="I416"/>
      <c r="J416"/>
      <c r="K416"/>
      <c r="L416" s="94"/>
      <c r="M416"/>
      <c r="N416"/>
      <c r="O416"/>
      <c r="P416"/>
      <c r="Q416"/>
      <c r="R416"/>
      <c r="S416"/>
    </row>
    <row r="417" spans="2:19">
      <c r="B417"/>
      <c r="C417"/>
      <c r="D417"/>
      <c r="E417"/>
      <c r="F417"/>
      <c r="G417"/>
      <c r="H417"/>
      <c r="I417"/>
      <c r="J417"/>
      <c r="K417"/>
      <c r="L417" s="94"/>
      <c r="M417"/>
      <c r="N417"/>
      <c r="O417"/>
      <c r="P417"/>
      <c r="Q417"/>
      <c r="R417"/>
      <c r="S417"/>
    </row>
    <row r="418" spans="2:19">
      <c r="B418"/>
      <c r="C418"/>
      <c r="D418"/>
      <c r="E418"/>
      <c r="F418"/>
      <c r="G418"/>
      <c r="H418"/>
      <c r="I418"/>
      <c r="J418"/>
      <c r="K418"/>
      <c r="L418" s="94"/>
      <c r="M418"/>
      <c r="N418"/>
      <c r="O418"/>
      <c r="P418"/>
      <c r="Q418"/>
      <c r="R418"/>
      <c r="S418"/>
    </row>
    <row r="419" spans="2:19">
      <c r="B419"/>
      <c r="C419"/>
      <c r="D419"/>
      <c r="E419"/>
      <c r="F419"/>
      <c r="G419"/>
      <c r="H419"/>
      <c r="I419"/>
      <c r="J419"/>
      <c r="K419"/>
      <c r="L419" s="94"/>
      <c r="M419"/>
      <c r="N419"/>
      <c r="O419"/>
      <c r="P419"/>
      <c r="Q419"/>
      <c r="R419"/>
      <c r="S419"/>
    </row>
    <row r="420" spans="2:19">
      <c r="B420"/>
      <c r="C420"/>
      <c r="D420"/>
      <c r="E420"/>
      <c r="F420"/>
      <c r="G420"/>
      <c r="H420"/>
      <c r="I420"/>
      <c r="J420"/>
      <c r="K420"/>
      <c r="L420" s="94"/>
      <c r="M420"/>
      <c r="N420"/>
      <c r="O420"/>
      <c r="P420"/>
      <c r="Q420"/>
      <c r="R420"/>
      <c r="S420"/>
    </row>
    <row r="421" spans="2:19">
      <c r="B421"/>
      <c r="C421"/>
      <c r="D421"/>
      <c r="E421"/>
      <c r="F421"/>
      <c r="G421"/>
      <c r="H421"/>
      <c r="I421"/>
      <c r="J421"/>
      <c r="K421"/>
      <c r="L421" s="94"/>
      <c r="M421"/>
      <c r="N421"/>
      <c r="O421"/>
      <c r="P421"/>
      <c r="Q421"/>
      <c r="R421"/>
      <c r="S421"/>
    </row>
    <row r="422" spans="2:19">
      <c r="B422"/>
      <c r="C422"/>
      <c r="D422"/>
      <c r="E422"/>
      <c r="F422"/>
      <c r="G422"/>
      <c r="H422"/>
      <c r="I422"/>
      <c r="J422"/>
      <c r="K422"/>
      <c r="L422" s="94"/>
      <c r="M422"/>
      <c r="N422"/>
      <c r="O422"/>
      <c r="P422"/>
      <c r="Q422"/>
      <c r="R422"/>
      <c r="S422"/>
    </row>
    <row r="423" spans="2:19">
      <c r="B423"/>
      <c r="C423"/>
      <c r="D423"/>
      <c r="E423"/>
      <c r="F423"/>
      <c r="G423"/>
      <c r="H423"/>
      <c r="I423"/>
      <c r="J423"/>
      <c r="K423"/>
      <c r="L423" s="94"/>
      <c r="M423"/>
      <c r="N423"/>
      <c r="O423"/>
      <c r="P423"/>
      <c r="Q423"/>
      <c r="R423"/>
      <c r="S423"/>
    </row>
    <row r="424" spans="2:19">
      <c r="B424"/>
      <c r="C424"/>
      <c r="D424"/>
      <c r="E424"/>
      <c r="F424"/>
      <c r="G424"/>
      <c r="H424"/>
      <c r="I424"/>
      <c r="J424"/>
      <c r="K424"/>
      <c r="L424" s="94"/>
      <c r="M424"/>
      <c r="N424"/>
      <c r="O424"/>
      <c r="P424"/>
      <c r="Q424"/>
      <c r="R424"/>
      <c r="S424"/>
    </row>
    <row r="425" spans="2:19">
      <c r="B425"/>
      <c r="C425"/>
      <c r="D425"/>
      <c r="E425"/>
      <c r="F425"/>
      <c r="G425"/>
      <c r="H425"/>
      <c r="I425"/>
      <c r="J425"/>
      <c r="K425"/>
      <c r="L425" s="94"/>
      <c r="M425"/>
      <c r="N425"/>
      <c r="O425"/>
      <c r="P425"/>
      <c r="Q425"/>
      <c r="R425"/>
      <c r="S425"/>
    </row>
    <row r="426" spans="2:19">
      <c r="B426"/>
      <c r="C426"/>
      <c r="D426"/>
      <c r="E426"/>
      <c r="F426"/>
      <c r="G426"/>
      <c r="H426"/>
      <c r="I426"/>
      <c r="J426"/>
      <c r="K426"/>
      <c r="L426" s="94"/>
      <c r="M426"/>
      <c r="N426"/>
      <c r="O426"/>
      <c r="P426"/>
      <c r="Q426"/>
      <c r="R426"/>
      <c r="S426"/>
    </row>
    <row r="427" spans="2:19">
      <c r="B427"/>
      <c r="C427"/>
      <c r="D427"/>
      <c r="E427"/>
      <c r="F427" s="32"/>
      <c r="G427"/>
      <c r="H427"/>
      <c r="I427"/>
      <c r="J427"/>
      <c r="K427"/>
      <c r="L427" s="94"/>
      <c r="M427"/>
      <c r="N427"/>
      <c r="O427"/>
      <c r="P427"/>
      <c r="Q427"/>
      <c r="R427"/>
      <c r="S427"/>
    </row>
    <row r="428" spans="2:19">
      <c r="B428"/>
      <c r="C428"/>
      <c r="D428"/>
      <c r="E428"/>
      <c r="F428"/>
      <c r="G428"/>
      <c r="H428"/>
      <c r="I428"/>
      <c r="J428"/>
      <c r="K428"/>
      <c r="L428" s="94"/>
      <c r="M428"/>
      <c r="N428"/>
      <c r="O428"/>
      <c r="P428"/>
      <c r="Q428"/>
      <c r="R428"/>
      <c r="S428"/>
    </row>
    <row r="429" spans="2:19">
      <c r="B429"/>
      <c r="C429"/>
      <c r="D429"/>
      <c r="E429"/>
      <c r="F429"/>
      <c r="G429"/>
      <c r="H429"/>
      <c r="I429"/>
      <c r="J429"/>
      <c r="K429"/>
      <c r="L429" s="94"/>
      <c r="M429"/>
      <c r="N429"/>
      <c r="O429"/>
      <c r="P429"/>
      <c r="Q429"/>
      <c r="R429"/>
      <c r="S429"/>
    </row>
    <row r="430" spans="2:19">
      <c r="B430"/>
      <c r="C430"/>
      <c r="D430"/>
      <c r="E430"/>
      <c r="F430"/>
      <c r="G430"/>
      <c r="H430"/>
      <c r="I430"/>
      <c r="J430"/>
      <c r="K430"/>
      <c r="L430" s="94"/>
      <c r="M430"/>
      <c r="N430"/>
      <c r="O430"/>
      <c r="P430"/>
      <c r="Q430"/>
      <c r="R430"/>
      <c r="S430"/>
    </row>
    <row r="431" spans="2:19">
      <c r="B431"/>
      <c r="C431"/>
      <c r="D431"/>
      <c r="E431"/>
      <c r="F431"/>
      <c r="G431"/>
      <c r="H431"/>
      <c r="I431"/>
      <c r="J431"/>
      <c r="K431"/>
      <c r="L431" s="94"/>
      <c r="M431"/>
      <c r="N431"/>
      <c r="O431"/>
      <c r="P431"/>
      <c r="Q431"/>
      <c r="R431"/>
      <c r="S431"/>
    </row>
    <row r="432" spans="2:19">
      <c r="B432"/>
      <c r="C432"/>
      <c r="D432"/>
      <c r="E432"/>
      <c r="F432"/>
      <c r="G432"/>
      <c r="H432"/>
      <c r="I432"/>
      <c r="J432"/>
      <c r="K432"/>
      <c r="L432" s="94"/>
      <c r="M432"/>
      <c r="N432"/>
      <c r="O432"/>
      <c r="P432"/>
      <c r="Q432"/>
      <c r="R432"/>
      <c r="S432"/>
    </row>
    <row r="433" spans="2:19">
      <c r="B433"/>
      <c r="C433"/>
      <c r="D433"/>
      <c r="E433"/>
      <c r="F433"/>
      <c r="G433"/>
      <c r="H433"/>
      <c r="I433"/>
      <c r="J433"/>
      <c r="K433"/>
      <c r="L433" s="94"/>
      <c r="M433"/>
      <c r="N433"/>
      <c r="O433"/>
      <c r="P433"/>
      <c r="Q433"/>
      <c r="R433"/>
      <c r="S433"/>
    </row>
    <row r="434" spans="2:19">
      <c r="B434"/>
      <c r="C434"/>
      <c r="D434"/>
      <c r="E434"/>
      <c r="F434"/>
      <c r="G434"/>
      <c r="H434"/>
      <c r="I434"/>
      <c r="J434"/>
      <c r="K434"/>
      <c r="L434" s="94"/>
      <c r="M434"/>
      <c r="N434"/>
      <c r="O434"/>
      <c r="P434"/>
      <c r="Q434"/>
      <c r="R434"/>
      <c r="S434"/>
    </row>
    <row r="435" spans="2:19">
      <c r="B435"/>
      <c r="C435"/>
      <c r="D435"/>
      <c r="E435"/>
      <c r="F435"/>
      <c r="G435"/>
      <c r="H435"/>
      <c r="I435"/>
      <c r="J435"/>
      <c r="K435"/>
      <c r="L435" s="94"/>
      <c r="M435"/>
      <c r="N435"/>
      <c r="O435"/>
      <c r="P435"/>
      <c r="Q435"/>
      <c r="R435"/>
      <c r="S435"/>
    </row>
    <row r="436" spans="2:19">
      <c r="B436"/>
      <c r="C436"/>
      <c r="D436"/>
      <c r="E436"/>
      <c r="F436"/>
      <c r="G436"/>
      <c r="H436"/>
      <c r="I436"/>
      <c r="J436"/>
      <c r="K436"/>
      <c r="L436" s="94"/>
      <c r="M436"/>
      <c r="N436"/>
      <c r="O436"/>
      <c r="P436"/>
      <c r="Q436"/>
      <c r="R436"/>
      <c r="S436"/>
    </row>
    <row r="437" spans="2:19">
      <c r="B437"/>
      <c r="C437"/>
      <c r="D437"/>
      <c r="E437"/>
      <c r="F437"/>
      <c r="G437"/>
      <c r="H437"/>
      <c r="I437"/>
      <c r="J437"/>
      <c r="K437"/>
      <c r="L437" s="94"/>
      <c r="M437"/>
      <c r="N437"/>
      <c r="O437"/>
      <c r="P437"/>
      <c r="Q437"/>
      <c r="R437"/>
      <c r="S437"/>
    </row>
    <row r="438" spans="2:19">
      <c r="B438"/>
      <c r="C438"/>
      <c r="D438"/>
      <c r="E438"/>
      <c r="F438"/>
      <c r="G438"/>
      <c r="H438"/>
      <c r="I438"/>
      <c r="J438"/>
      <c r="K438"/>
      <c r="L438" s="94"/>
      <c r="M438"/>
      <c r="N438"/>
      <c r="O438"/>
      <c r="P438"/>
      <c r="Q438"/>
      <c r="R438"/>
      <c r="S438"/>
    </row>
    <row r="439" spans="2:19">
      <c r="B439"/>
      <c r="C439"/>
      <c r="D439"/>
      <c r="E439"/>
      <c r="F439"/>
      <c r="G439"/>
      <c r="H439"/>
      <c r="I439"/>
      <c r="J439"/>
      <c r="K439"/>
      <c r="L439" s="94"/>
      <c r="M439"/>
      <c r="N439"/>
      <c r="O439"/>
      <c r="P439"/>
      <c r="Q439"/>
      <c r="R439"/>
      <c r="S439"/>
    </row>
    <row r="440" spans="2:19">
      <c r="B440"/>
      <c r="C440"/>
      <c r="D440"/>
      <c r="E440"/>
      <c r="F440"/>
    </row>
  </sheetData>
  <mergeCells count="11">
    <mergeCell ref="Y4:AA4"/>
    <mergeCell ref="AC4:AF4"/>
    <mergeCell ref="AG4:AH4"/>
    <mergeCell ref="AI4:AJ4"/>
    <mergeCell ref="AL4:AM4"/>
    <mergeCell ref="T4:W4"/>
    <mergeCell ref="E1:G1"/>
    <mergeCell ref="E2:G2"/>
    <mergeCell ref="J4:K4"/>
    <mergeCell ref="L4:P4"/>
    <mergeCell ref="Q4:S4"/>
  </mergeCells>
  <phoneticPr fontId="21" type="noConversion"/>
  <conditionalFormatting sqref="C6:C404">
    <cfRule type="cellIs" dxfId="5" priority="1" operator="between">
      <formula>"B1"</formula>
      <formula>"B100"</formula>
    </cfRule>
    <cfRule type="cellIs" dxfId="4" priority="2" operator="equal">
      <formula>"HA"</formula>
    </cfRule>
    <cfRule type="cellIs" dxfId="3" priority="3" operator="equal">
      <formula>"LD"</formula>
    </cfRule>
  </conditionalFormatting>
  <pageMargins left="0.7" right="0.7" top="0.75" bottom="0.75" header="0.3" footer="0.3"/>
  <pageSetup paperSize="9" orientation="portrait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562FE3B4-A3F5-4429-AFFD-EEFAECEA592C}">
          <x14:formula1>
            <xm:f>LOOKUP!$D$2:$D$30</xm:f>
          </x14:formula1>
          <xm:sqref>G6:G30 G39:G1048576</xm:sqref>
        </x14:dataValidation>
        <x14:dataValidation type="list" allowBlank="1" showInputMessage="1" showErrorMessage="1" xr:uid="{3ACFFFC6-FCD7-4E28-A82A-68390A5954A4}">
          <x14:formula1>
            <xm:f>LOOKUP!$F$2:$F$9</xm:f>
          </x14:formula1>
          <xm:sqref>I6:I30 I39:I167</xm:sqref>
        </x14:dataValidation>
        <x14:dataValidation type="list" allowBlank="1" showInputMessage="1" showErrorMessage="1" xr:uid="{21E4F920-6037-4639-B1C6-E7A9C782DA8B}">
          <x14:formula1>
            <xm:f>LOOKUP!$E$2:$E$9</xm:f>
          </x14:formula1>
          <xm:sqref>H6:H30 H46:H167</xm:sqref>
        </x14:dataValidation>
        <x14:dataValidation type="list" allowBlank="1" showInputMessage="1" showErrorMessage="1" xr:uid="{3DA2F4DE-1EE6-42F3-B07C-B591B1140CE4}">
          <x14:formula1>
            <xm:f>LOOKUP!$C$2:$C$6</xm:f>
          </x14:formula1>
          <xm:sqref>F6:F30 F35:F167</xm:sqref>
        </x14:dataValidation>
        <x14:dataValidation type="list" allowBlank="1" showInputMessage="1" showErrorMessage="1" xr:uid="{F0D2AD5C-D56C-4175-A782-62A2910B4EC5}">
          <x14:formula1>
            <xm:f>LOOKUP!$A$2:$A$3</xm:f>
          </x14:formula1>
          <xm:sqref>E6:E30 E37:E167</xm:sqref>
        </x14:dataValidation>
        <x14:dataValidation type="list" allowBlank="1" showInputMessage="1" showErrorMessage="1" xr:uid="{41985A74-5A33-4CC4-9594-A546ECDB361D}">
          <x14:formula1>
            <xm:f>LOOKUP!$B$2:$B$7</xm:f>
          </x14:formula1>
          <xm:sqref>D6:D30 D49:D404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C7949-53EF-4A98-8F31-CECBCBC478E0}">
  <dimension ref="A1:CU440"/>
  <sheetViews>
    <sheetView tabSelected="1" topLeftCell="A97" zoomScale="50" zoomScaleNormal="50" workbookViewId="0">
      <selection activeCell="G108" sqref="G108"/>
    </sheetView>
  </sheetViews>
  <sheetFormatPr defaultColWidth="8.88671875" defaultRowHeight="18" outlineLevelRow="1"/>
  <cols>
    <col min="1" max="1" width="8.88671875" style="13"/>
    <col min="2" max="2" width="32.33203125" style="14" bestFit="1" customWidth="1"/>
    <col min="3" max="3" width="31.5546875" style="14" customWidth="1"/>
    <col min="4" max="4" width="29.109375" style="14" customWidth="1"/>
    <col min="5" max="6" width="16.6640625" style="14" customWidth="1"/>
    <col min="7" max="7" width="32.5546875" style="14" customWidth="1"/>
    <col min="8" max="8" width="36.5546875" style="14" bestFit="1" customWidth="1"/>
    <col min="9" max="9" width="22.6640625" style="14" bestFit="1" customWidth="1"/>
    <col min="10" max="11" width="36.33203125" style="13" bestFit="1" customWidth="1"/>
    <col min="12" max="12" width="25.33203125" style="22" customWidth="1"/>
    <col min="13" max="23" width="25.33203125" style="13" customWidth="1"/>
    <col min="24" max="27" width="32.6640625" style="13" customWidth="1"/>
    <col min="28" max="30" width="34.109375" style="13" customWidth="1"/>
    <col min="31" max="34" width="25.33203125" style="13" customWidth="1"/>
    <col min="35" max="35" width="34.109375" style="13" bestFit="1" customWidth="1"/>
    <col min="36" max="37" width="34.109375" style="13" customWidth="1"/>
    <col min="38" max="39" width="25.33203125" style="13" customWidth="1"/>
    <col min="40" max="16384" width="8.88671875" style="13"/>
  </cols>
  <sheetData>
    <row r="1" spans="2:39" ht="27" customHeight="1">
      <c r="E1" s="108" t="s">
        <v>60</v>
      </c>
      <c r="F1" s="108"/>
      <c r="G1" s="108"/>
      <c r="H1" s="16"/>
      <c r="I1" s="50"/>
      <c r="J1" s="68">
        <v>308.10000000000002</v>
      </c>
      <c r="K1" s="67">
        <v>487.82742006132287</v>
      </c>
      <c r="L1" s="92">
        <v>45.12</v>
      </c>
      <c r="M1" s="59">
        <v>68</v>
      </c>
      <c r="N1" s="59">
        <v>61.09</v>
      </c>
      <c r="O1" s="59">
        <v>61.09</v>
      </c>
      <c r="P1" s="59">
        <v>61.09</v>
      </c>
      <c r="Q1" s="59">
        <v>498.85</v>
      </c>
      <c r="R1" s="59">
        <v>513.01</v>
      </c>
      <c r="S1" s="59">
        <v>639</v>
      </c>
      <c r="T1" s="59">
        <v>443.78</v>
      </c>
      <c r="U1" s="59">
        <v>317.43</v>
      </c>
      <c r="V1" s="59">
        <v>184.75</v>
      </c>
      <c r="W1" s="59">
        <v>276.63</v>
      </c>
      <c r="X1" s="59">
        <v>439.59</v>
      </c>
      <c r="Y1" s="59">
        <v>794.42</v>
      </c>
      <c r="Z1" s="59">
        <v>726.72</v>
      </c>
      <c r="AA1" s="59"/>
      <c r="AB1" s="59">
        <v>66.52</v>
      </c>
      <c r="AC1" s="59">
        <v>78.930000000000007</v>
      </c>
      <c r="AD1" s="59">
        <v>79.930000000000007</v>
      </c>
      <c r="AE1" s="59">
        <v>108.19</v>
      </c>
      <c r="AF1" s="59">
        <v>94.13</v>
      </c>
      <c r="AG1" s="59">
        <v>343.33</v>
      </c>
      <c r="AH1" s="59">
        <v>136.44</v>
      </c>
      <c r="AI1" s="67">
        <v>69.959999999999994</v>
      </c>
      <c r="AJ1" s="67">
        <v>168.67893123083664</v>
      </c>
      <c r="AK1" s="67">
        <v>390.14016644765661</v>
      </c>
      <c r="AL1" s="59">
        <v>96.3</v>
      </c>
      <c r="AM1" s="60">
        <v>96.3</v>
      </c>
    </row>
    <row r="2" spans="2:39" ht="27" customHeight="1">
      <c r="E2" s="108" t="s">
        <v>59</v>
      </c>
      <c r="F2" s="108"/>
      <c r="G2" s="108"/>
      <c r="H2" s="51">
        <f>SUM(J2:AM2)</f>
        <v>42943.177958826098</v>
      </c>
      <c r="I2" s="50"/>
      <c r="J2" s="69">
        <f>J1*J3</f>
        <v>616.20000000000005</v>
      </c>
      <c r="K2" s="63">
        <f>K1*K3</f>
        <v>12683.512921594394</v>
      </c>
      <c r="L2" s="93">
        <f t="shared" ref="L2:AM2" si="0">L1*L3</f>
        <v>360.96</v>
      </c>
      <c r="M2" s="62">
        <f t="shared" si="0"/>
        <v>0</v>
      </c>
      <c r="N2" s="62">
        <f t="shared" si="0"/>
        <v>0</v>
      </c>
      <c r="O2" s="62">
        <f t="shared" si="0"/>
        <v>366.54</v>
      </c>
      <c r="P2" s="62">
        <f t="shared" si="0"/>
        <v>122.18</v>
      </c>
      <c r="Q2" s="62">
        <f t="shared" si="0"/>
        <v>498.85</v>
      </c>
      <c r="R2" s="62">
        <f t="shared" si="0"/>
        <v>0</v>
      </c>
      <c r="S2" s="62">
        <f t="shared" si="0"/>
        <v>1278</v>
      </c>
      <c r="T2" s="62">
        <f t="shared" si="0"/>
        <v>0</v>
      </c>
      <c r="U2" s="62">
        <f t="shared" si="0"/>
        <v>634.86</v>
      </c>
      <c r="V2" s="62">
        <f t="shared" si="0"/>
        <v>0</v>
      </c>
      <c r="W2" s="62">
        <f t="shared" si="0"/>
        <v>553.26</v>
      </c>
      <c r="X2" s="62">
        <f t="shared" si="0"/>
        <v>0</v>
      </c>
      <c r="Y2" s="62">
        <f t="shared" si="0"/>
        <v>4766.5199999999995</v>
      </c>
      <c r="Z2" s="62">
        <f t="shared" si="0"/>
        <v>0</v>
      </c>
      <c r="AA2" s="62">
        <f t="shared" si="0"/>
        <v>0</v>
      </c>
      <c r="AB2" s="62">
        <f t="shared" si="0"/>
        <v>133.04</v>
      </c>
      <c r="AC2" s="62">
        <f t="shared" si="0"/>
        <v>2683.6200000000003</v>
      </c>
      <c r="AD2" s="62">
        <f t="shared" si="0"/>
        <v>5595.1</v>
      </c>
      <c r="AE2" s="62">
        <f t="shared" si="0"/>
        <v>3245.7</v>
      </c>
      <c r="AF2" s="62">
        <f t="shared" si="0"/>
        <v>1411.9499999999998</v>
      </c>
      <c r="AG2" s="62">
        <f t="shared" si="0"/>
        <v>2746.64</v>
      </c>
      <c r="AH2" s="62">
        <f t="shared" si="0"/>
        <v>2455.92</v>
      </c>
      <c r="AI2" s="63">
        <f t="shared" si="0"/>
        <v>139.91999999999999</v>
      </c>
      <c r="AJ2" s="63">
        <f t="shared" si="0"/>
        <v>2361.5050372317128</v>
      </c>
      <c r="AK2" s="63">
        <f t="shared" si="0"/>
        <v>0</v>
      </c>
      <c r="AL2" s="63">
        <f t="shared" si="0"/>
        <v>288.89999999999998</v>
      </c>
      <c r="AM2" s="64">
        <f t="shared" si="0"/>
        <v>0</v>
      </c>
    </row>
    <row r="3" spans="2:39" s="8" customFormat="1" ht="36.6" customHeight="1">
      <c r="B3" s="16"/>
      <c r="C3" s="16"/>
      <c r="D3" s="16"/>
      <c r="E3" s="16"/>
      <c r="F3" s="16"/>
      <c r="G3" s="16"/>
      <c r="H3" s="16"/>
      <c r="I3" s="16"/>
      <c r="J3" s="70">
        <f t="shared" ref="J3:Z3" si="1">SUM(J6:J404)</f>
        <v>2</v>
      </c>
      <c r="K3" s="75">
        <f t="shared" si="1"/>
        <v>26</v>
      </c>
      <c r="L3" s="52">
        <f t="shared" si="1"/>
        <v>8</v>
      </c>
      <c r="M3" s="54">
        <f t="shared" si="1"/>
        <v>0</v>
      </c>
      <c r="N3" s="54">
        <f t="shared" si="1"/>
        <v>0</v>
      </c>
      <c r="O3" s="54">
        <f t="shared" si="1"/>
        <v>6</v>
      </c>
      <c r="P3" s="55">
        <f t="shared" si="1"/>
        <v>2</v>
      </c>
      <c r="Q3" s="53">
        <f t="shared" si="1"/>
        <v>1</v>
      </c>
      <c r="R3" s="54">
        <f t="shared" si="1"/>
        <v>0</v>
      </c>
      <c r="S3" s="55">
        <f t="shared" si="1"/>
        <v>2</v>
      </c>
      <c r="T3" s="53">
        <f t="shared" si="1"/>
        <v>0</v>
      </c>
      <c r="U3" s="54">
        <f t="shared" si="1"/>
        <v>2</v>
      </c>
      <c r="V3" s="54">
        <f t="shared" si="1"/>
        <v>0</v>
      </c>
      <c r="W3" s="55">
        <f t="shared" si="1"/>
        <v>2</v>
      </c>
      <c r="X3" s="56">
        <f t="shared" si="1"/>
        <v>0</v>
      </c>
      <c r="Y3" s="53">
        <f t="shared" si="1"/>
        <v>6</v>
      </c>
      <c r="Z3" s="55">
        <f t="shared" si="1"/>
        <v>0</v>
      </c>
      <c r="AA3" s="55"/>
      <c r="AB3" s="52">
        <f>SUM(AB6:AB404)</f>
        <v>2</v>
      </c>
      <c r="AC3" s="53">
        <f>SUM(AC6:AC404)</f>
        <v>34</v>
      </c>
      <c r="AD3" s="53">
        <f>SUM(AD6:AD404)</f>
        <v>70</v>
      </c>
      <c r="AE3" s="54">
        <f t="shared" ref="AE3:AM3" si="2">SUM(AE6:AE404)</f>
        <v>30</v>
      </c>
      <c r="AF3" s="55">
        <f t="shared" si="2"/>
        <v>15</v>
      </c>
      <c r="AG3" s="53">
        <f t="shared" si="2"/>
        <v>8</v>
      </c>
      <c r="AH3" s="55">
        <f t="shared" si="2"/>
        <v>18</v>
      </c>
      <c r="AI3" s="70">
        <f t="shared" si="2"/>
        <v>2</v>
      </c>
      <c r="AJ3" s="71">
        <f t="shared" si="2"/>
        <v>14</v>
      </c>
      <c r="AK3" s="54">
        <f t="shared" si="2"/>
        <v>0</v>
      </c>
      <c r="AL3" s="53">
        <f t="shared" si="2"/>
        <v>3</v>
      </c>
      <c r="AM3" s="55">
        <f t="shared" si="2"/>
        <v>0</v>
      </c>
    </row>
    <row r="4" spans="2:39" s="40" customFormat="1" ht="21">
      <c r="B4" s="38"/>
      <c r="C4" s="38"/>
      <c r="D4" s="38"/>
      <c r="E4" s="38"/>
      <c r="F4" s="38"/>
      <c r="G4" s="38"/>
      <c r="H4" s="38"/>
      <c r="I4" s="38"/>
      <c r="J4" s="109" t="s">
        <v>2</v>
      </c>
      <c r="K4" s="110"/>
      <c r="L4" s="105" t="s">
        <v>48</v>
      </c>
      <c r="M4" s="106"/>
      <c r="N4" s="106"/>
      <c r="O4" s="106"/>
      <c r="P4" s="107"/>
      <c r="Q4" s="109" t="s">
        <v>49</v>
      </c>
      <c r="R4" s="111"/>
      <c r="S4" s="110"/>
      <c r="T4" s="105" t="s">
        <v>51</v>
      </c>
      <c r="U4" s="106"/>
      <c r="V4" s="106"/>
      <c r="W4" s="107"/>
      <c r="X4" s="41" t="s">
        <v>50</v>
      </c>
      <c r="Y4" s="105" t="s">
        <v>52</v>
      </c>
      <c r="Z4" s="106"/>
      <c r="AA4" s="106"/>
      <c r="AB4" s="49" t="s">
        <v>53</v>
      </c>
      <c r="AC4" s="105" t="s">
        <v>54</v>
      </c>
      <c r="AD4" s="106"/>
      <c r="AE4" s="106"/>
      <c r="AF4" s="107"/>
      <c r="AG4" s="109" t="s">
        <v>55</v>
      </c>
      <c r="AH4" s="110"/>
      <c r="AI4" s="105" t="s">
        <v>3</v>
      </c>
      <c r="AJ4" s="107"/>
      <c r="AK4" s="49"/>
      <c r="AL4" s="105" t="s">
        <v>4</v>
      </c>
      <c r="AM4" s="107"/>
    </row>
    <row r="5" spans="2:39" ht="94.95" customHeight="1">
      <c r="B5" s="17" t="s">
        <v>0</v>
      </c>
      <c r="C5" s="17" t="s">
        <v>9</v>
      </c>
      <c r="D5" s="17" t="s">
        <v>10</v>
      </c>
      <c r="E5" s="17" t="s">
        <v>5</v>
      </c>
      <c r="F5" s="17" t="s">
        <v>1</v>
      </c>
      <c r="G5" s="17" t="s">
        <v>56</v>
      </c>
      <c r="H5" s="17" t="s">
        <v>57</v>
      </c>
      <c r="I5" s="36" t="s">
        <v>58</v>
      </c>
      <c r="J5" s="42" t="s">
        <v>20</v>
      </c>
      <c r="K5" s="76" t="s">
        <v>141</v>
      </c>
      <c r="L5" s="17" t="s">
        <v>42</v>
      </c>
      <c r="M5" s="37" t="s">
        <v>43</v>
      </c>
      <c r="N5" s="17" t="s">
        <v>44</v>
      </c>
      <c r="O5" s="17" t="s">
        <v>45</v>
      </c>
      <c r="P5" s="17" t="s">
        <v>46</v>
      </c>
      <c r="Q5" s="42" t="s">
        <v>29</v>
      </c>
      <c r="R5" s="42" t="s">
        <v>30</v>
      </c>
      <c r="S5" s="42" t="s">
        <v>31</v>
      </c>
      <c r="T5" s="17" t="s">
        <v>28</v>
      </c>
      <c r="U5" s="37" t="s">
        <v>68</v>
      </c>
      <c r="V5" s="37" t="s">
        <v>34</v>
      </c>
      <c r="W5" s="37" t="s">
        <v>35</v>
      </c>
      <c r="X5" s="42" t="s">
        <v>33</v>
      </c>
      <c r="Y5" s="17" t="s">
        <v>39</v>
      </c>
      <c r="Z5" s="17" t="s">
        <v>40</v>
      </c>
      <c r="AA5" s="37" t="s">
        <v>143</v>
      </c>
      <c r="AB5" s="45" t="s">
        <v>22</v>
      </c>
      <c r="AC5" s="37" t="s">
        <v>23</v>
      </c>
      <c r="AD5" s="37" t="s">
        <v>155</v>
      </c>
      <c r="AE5" s="37" t="s">
        <v>24</v>
      </c>
      <c r="AF5" s="37" t="s">
        <v>25</v>
      </c>
      <c r="AG5" s="45" t="s">
        <v>26</v>
      </c>
      <c r="AH5" s="45" t="s">
        <v>27</v>
      </c>
      <c r="AI5" s="17" t="s">
        <v>21</v>
      </c>
      <c r="AJ5" s="17" t="s">
        <v>142</v>
      </c>
      <c r="AK5" s="41"/>
      <c r="AL5" s="37" t="s">
        <v>36</v>
      </c>
      <c r="AM5" s="37" t="s">
        <v>37</v>
      </c>
    </row>
    <row r="6" spans="2:39" s="14" customFormat="1" ht="41.25" customHeight="1">
      <c r="B6" s="97">
        <v>46235</v>
      </c>
      <c r="C6" s="57">
        <v>8</v>
      </c>
      <c r="D6" s="18" t="s">
        <v>7</v>
      </c>
      <c r="E6" s="100" t="s">
        <v>140</v>
      </c>
      <c r="F6" s="100" t="s">
        <v>88</v>
      </c>
      <c r="G6" s="100" t="s">
        <v>74</v>
      </c>
      <c r="H6" s="19" t="s">
        <v>148</v>
      </c>
      <c r="I6" s="102" t="s">
        <v>150</v>
      </c>
      <c r="J6" s="43">
        <v>1</v>
      </c>
      <c r="K6" s="77"/>
      <c r="L6" s="15"/>
      <c r="M6" s="86"/>
      <c r="N6" s="15"/>
      <c r="O6" s="15"/>
      <c r="P6" s="15"/>
      <c r="Q6" s="43"/>
      <c r="R6" s="43"/>
      <c r="S6" s="43"/>
      <c r="T6" s="15"/>
      <c r="U6" s="15"/>
      <c r="V6" s="15"/>
      <c r="W6" s="15"/>
      <c r="X6" s="43"/>
      <c r="Y6" s="15"/>
      <c r="Z6" s="15"/>
      <c r="AA6" s="15"/>
      <c r="AB6" s="43"/>
      <c r="AC6" s="15"/>
      <c r="AD6" s="15"/>
      <c r="AE6" s="15"/>
      <c r="AF6" s="15"/>
      <c r="AG6" s="43"/>
      <c r="AH6" s="43"/>
      <c r="AI6" s="15"/>
      <c r="AJ6" s="15"/>
      <c r="AK6" s="44"/>
      <c r="AL6" s="15"/>
      <c r="AM6" s="15"/>
    </row>
    <row r="7" spans="2:39" s="14" customFormat="1" ht="41.25" customHeight="1">
      <c r="B7" s="97">
        <v>46235</v>
      </c>
      <c r="C7" s="57">
        <v>8</v>
      </c>
      <c r="D7" s="18" t="s">
        <v>7</v>
      </c>
      <c r="E7" s="100" t="s">
        <v>140</v>
      </c>
      <c r="F7" s="100" t="s">
        <v>88</v>
      </c>
      <c r="G7" s="100" t="s">
        <v>74</v>
      </c>
      <c r="H7" s="19" t="s">
        <v>148</v>
      </c>
      <c r="I7" s="102" t="s">
        <v>150</v>
      </c>
      <c r="J7" s="43"/>
      <c r="K7" s="77"/>
      <c r="L7" s="15"/>
      <c r="M7" s="86"/>
      <c r="N7" s="15"/>
      <c r="O7" s="15"/>
      <c r="P7" s="15"/>
      <c r="Q7" s="43"/>
      <c r="R7" s="43"/>
      <c r="S7" s="43"/>
      <c r="T7" s="15"/>
      <c r="U7" s="15"/>
      <c r="V7" s="15"/>
      <c r="W7" s="15"/>
      <c r="X7" s="43"/>
      <c r="Y7" s="15"/>
      <c r="Z7" s="15"/>
      <c r="AA7" s="15"/>
      <c r="AB7" s="43"/>
      <c r="AC7" s="15"/>
      <c r="AD7" s="15">
        <v>10</v>
      </c>
      <c r="AE7" s="15"/>
      <c r="AF7" s="15"/>
      <c r="AG7" s="43"/>
      <c r="AH7" s="43"/>
      <c r="AI7" s="15"/>
      <c r="AJ7" s="15"/>
      <c r="AK7" s="44"/>
      <c r="AL7" s="15"/>
      <c r="AM7" s="15"/>
    </row>
    <row r="8" spans="2:39" s="14" customFormat="1" ht="41.25" customHeight="1">
      <c r="B8" s="97">
        <v>46235</v>
      </c>
      <c r="C8" s="57">
        <v>8</v>
      </c>
      <c r="D8" s="18" t="s">
        <v>7</v>
      </c>
      <c r="E8" s="100" t="s">
        <v>140</v>
      </c>
      <c r="F8" s="100" t="s">
        <v>88</v>
      </c>
      <c r="G8" s="100" t="s">
        <v>74</v>
      </c>
      <c r="H8" s="19" t="s">
        <v>148</v>
      </c>
      <c r="I8" s="102" t="s">
        <v>150</v>
      </c>
      <c r="J8" s="43"/>
      <c r="K8" s="77"/>
      <c r="L8" s="15"/>
      <c r="M8" s="86"/>
      <c r="N8" s="15"/>
      <c r="O8" s="15"/>
      <c r="P8" s="15"/>
      <c r="Q8" s="43"/>
      <c r="R8" s="43"/>
      <c r="S8" s="43"/>
      <c r="T8" s="15"/>
      <c r="U8" s="15"/>
      <c r="V8" s="15"/>
      <c r="W8" s="15"/>
      <c r="X8" s="43"/>
      <c r="Y8" s="15"/>
      <c r="Z8" s="15"/>
      <c r="AA8" s="15"/>
      <c r="AB8" s="43"/>
      <c r="AC8" s="15"/>
      <c r="AD8" s="15"/>
      <c r="AE8" s="15">
        <v>10</v>
      </c>
      <c r="AF8" s="15"/>
      <c r="AG8" s="43"/>
      <c r="AH8" s="43"/>
      <c r="AI8" s="15"/>
      <c r="AJ8" s="15"/>
      <c r="AK8" s="44"/>
      <c r="AL8" s="15"/>
      <c r="AM8" s="15"/>
    </row>
    <row r="9" spans="2:39" s="14" customFormat="1" ht="41.25" customHeight="1">
      <c r="B9" s="97">
        <v>46235</v>
      </c>
      <c r="C9" s="57">
        <v>8</v>
      </c>
      <c r="D9" s="18" t="s">
        <v>7</v>
      </c>
      <c r="E9" s="100" t="s">
        <v>140</v>
      </c>
      <c r="F9" s="100" t="s">
        <v>18</v>
      </c>
      <c r="G9" s="100" t="s">
        <v>75</v>
      </c>
      <c r="H9" s="19" t="s">
        <v>148</v>
      </c>
      <c r="I9" s="102" t="s">
        <v>149</v>
      </c>
      <c r="J9" s="43"/>
      <c r="K9" s="77"/>
      <c r="L9" s="15"/>
      <c r="M9" s="86"/>
      <c r="N9" s="15"/>
      <c r="O9" s="15"/>
      <c r="P9" s="15"/>
      <c r="Q9" s="43"/>
      <c r="R9" s="43"/>
      <c r="S9" s="43"/>
      <c r="T9" s="15"/>
      <c r="U9" s="15"/>
      <c r="V9" s="15"/>
      <c r="W9" s="15"/>
      <c r="X9" s="43"/>
      <c r="Y9" s="15"/>
      <c r="Z9" s="15"/>
      <c r="AA9" s="15"/>
      <c r="AB9" s="43"/>
      <c r="AC9" s="15"/>
      <c r="AD9" s="15"/>
      <c r="AE9" s="15"/>
      <c r="AF9" s="15"/>
      <c r="AG9" s="43"/>
      <c r="AH9" s="43">
        <v>2</v>
      </c>
      <c r="AI9" s="15"/>
      <c r="AJ9" s="15"/>
      <c r="AK9" s="44"/>
      <c r="AL9" s="15"/>
      <c r="AM9" s="15"/>
    </row>
    <row r="10" spans="2:39" s="14" customFormat="1" ht="41.25" customHeight="1">
      <c r="B10" s="97">
        <v>46236</v>
      </c>
      <c r="C10" s="57">
        <v>8</v>
      </c>
      <c r="D10" s="18" t="s">
        <v>7</v>
      </c>
      <c r="E10" s="100" t="s">
        <v>78</v>
      </c>
      <c r="F10" s="100" t="s">
        <v>88</v>
      </c>
      <c r="G10" s="100" t="s">
        <v>75</v>
      </c>
      <c r="H10" s="19" t="s">
        <v>148</v>
      </c>
      <c r="I10" s="102" t="s">
        <v>150</v>
      </c>
      <c r="J10" s="43"/>
      <c r="K10" s="77">
        <v>1</v>
      </c>
      <c r="L10" s="15"/>
      <c r="M10" s="86"/>
      <c r="N10" s="15"/>
      <c r="O10" s="15"/>
      <c r="P10" s="15"/>
      <c r="Q10" s="43"/>
      <c r="R10" s="43"/>
      <c r="S10" s="43"/>
      <c r="T10" s="15"/>
      <c r="U10" s="15"/>
      <c r="V10" s="15"/>
      <c r="W10" s="15"/>
      <c r="X10" s="43"/>
      <c r="Y10" s="15"/>
      <c r="Z10" s="15"/>
      <c r="AA10" s="15"/>
      <c r="AB10" s="43"/>
      <c r="AC10" s="15"/>
      <c r="AD10" s="15"/>
      <c r="AE10" s="15"/>
      <c r="AF10" s="15"/>
      <c r="AG10" s="43"/>
      <c r="AH10" s="43"/>
      <c r="AI10" s="15"/>
      <c r="AJ10" s="15"/>
      <c r="AK10" s="44"/>
      <c r="AL10" s="15"/>
      <c r="AM10" s="15"/>
    </row>
    <row r="11" spans="2:39" s="14" customFormat="1" ht="41.25" customHeight="1">
      <c r="B11" s="99">
        <v>46236</v>
      </c>
      <c r="C11" s="57">
        <v>8</v>
      </c>
      <c r="D11" s="18" t="s">
        <v>7</v>
      </c>
      <c r="E11" s="100" t="s">
        <v>78</v>
      </c>
      <c r="F11" s="101" t="s">
        <v>88</v>
      </c>
      <c r="G11" s="101" t="s">
        <v>170</v>
      </c>
      <c r="H11" s="19" t="s">
        <v>148</v>
      </c>
      <c r="I11" s="102" t="s">
        <v>149</v>
      </c>
      <c r="J11" s="43"/>
      <c r="K11" s="77">
        <v>2</v>
      </c>
      <c r="L11" s="15"/>
      <c r="M11" s="86"/>
      <c r="N11" s="15"/>
      <c r="O11" s="15"/>
      <c r="P11" s="15"/>
      <c r="Q11" s="43"/>
      <c r="R11" s="43"/>
      <c r="S11" s="43"/>
      <c r="T11" s="15"/>
      <c r="U11" s="15"/>
      <c r="V11" s="15"/>
      <c r="W11" s="15"/>
      <c r="X11" s="43"/>
      <c r="Y11" s="15"/>
      <c r="Z11" s="15"/>
      <c r="AA11" s="15"/>
      <c r="AB11" s="43"/>
      <c r="AC11" s="15"/>
      <c r="AD11" s="15"/>
      <c r="AE11" s="15"/>
      <c r="AF11" s="15"/>
      <c r="AG11" s="43"/>
      <c r="AH11" s="43"/>
      <c r="AI11" s="15"/>
      <c r="AJ11" s="15"/>
      <c r="AK11" s="44"/>
      <c r="AL11" s="15"/>
      <c r="AM11" s="15"/>
    </row>
    <row r="12" spans="2:39" s="14" customFormat="1" ht="41.25" customHeight="1">
      <c r="B12" s="98">
        <v>46237</v>
      </c>
      <c r="C12" s="57">
        <v>8</v>
      </c>
      <c r="D12" s="18" t="s">
        <v>7</v>
      </c>
      <c r="E12" s="100" t="s">
        <v>78</v>
      </c>
      <c r="F12" s="101" t="s">
        <v>88</v>
      </c>
      <c r="G12" s="100" t="s">
        <v>131</v>
      </c>
      <c r="H12" s="19" t="s">
        <v>148</v>
      </c>
      <c r="I12" s="102" t="s">
        <v>150</v>
      </c>
      <c r="J12" s="43"/>
      <c r="K12" s="77">
        <v>1</v>
      </c>
      <c r="L12" s="15"/>
      <c r="M12" s="86"/>
      <c r="N12" s="15"/>
      <c r="O12" s="15"/>
      <c r="P12" s="15"/>
      <c r="Q12" s="43"/>
      <c r="R12" s="43"/>
      <c r="S12" s="43"/>
      <c r="T12" s="15"/>
      <c r="U12" s="15"/>
      <c r="V12" s="15"/>
      <c r="W12" s="15"/>
      <c r="X12" s="43"/>
      <c r="Y12" s="15"/>
      <c r="Z12" s="15"/>
      <c r="AA12" s="15"/>
      <c r="AB12" s="43"/>
      <c r="AC12" s="15"/>
      <c r="AD12" s="15">
        <v>10</v>
      </c>
      <c r="AE12" s="15"/>
      <c r="AF12" s="15"/>
      <c r="AG12" s="43"/>
      <c r="AH12" s="43"/>
      <c r="AI12" s="15"/>
      <c r="AJ12" s="15"/>
      <c r="AK12" s="44"/>
      <c r="AL12" s="15"/>
      <c r="AM12" s="15"/>
    </row>
    <row r="13" spans="2:39" s="14" customFormat="1" ht="41.25" customHeight="1">
      <c r="B13" s="98">
        <v>46237</v>
      </c>
      <c r="C13" s="57">
        <v>8</v>
      </c>
      <c r="D13" s="18" t="s">
        <v>7</v>
      </c>
      <c r="E13" s="100" t="s">
        <v>78</v>
      </c>
      <c r="F13" s="101" t="s">
        <v>88</v>
      </c>
      <c r="G13" s="101" t="s">
        <v>131</v>
      </c>
      <c r="H13" s="19" t="s">
        <v>148</v>
      </c>
      <c r="I13" s="102" t="s">
        <v>150</v>
      </c>
      <c r="J13" s="43"/>
      <c r="K13" s="77"/>
      <c r="L13" s="15"/>
      <c r="M13" s="86"/>
      <c r="N13" s="15"/>
      <c r="O13" s="15"/>
      <c r="P13" s="15"/>
      <c r="Q13" s="43"/>
      <c r="R13" s="43"/>
      <c r="S13" s="43"/>
      <c r="T13" s="15"/>
      <c r="U13" s="15"/>
      <c r="V13" s="15"/>
      <c r="W13" s="15"/>
      <c r="X13" s="43"/>
      <c r="Y13" s="15"/>
      <c r="Z13" s="15"/>
      <c r="AA13" s="15">
        <v>2</v>
      </c>
      <c r="AB13" s="43"/>
      <c r="AC13" s="15"/>
      <c r="AD13" s="15"/>
      <c r="AE13" s="15"/>
      <c r="AF13" s="15"/>
      <c r="AG13" s="43"/>
      <c r="AH13" s="43"/>
      <c r="AI13" s="15"/>
      <c r="AJ13" s="15"/>
      <c r="AK13" s="44"/>
      <c r="AL13" s="15"/>
      <c r="AM13" s="15"/>
    </row>
    <row r="14" spans="2:39" s="14" customFormat="1" ht="41.25" customHeight="1">
      <c r="B14" s="98">
        <v>46238</v>
      </c>
      <c r="C14" s="57">
        <v>8</v>
      </c>
      <c r="D14" s="18" t="s">
        <v>7</v>
      </c>
      <c r="E14" s="100" t="s">
        <v>78</v>
      </c>
      <c r="F14" s="101" t="s">
        <v>18</v>
      </c>
      <c r="G14" s="101" t="s">
        <v>75</v>
      </c>
      <c r="H14" s="19" t="s">
        <v>148</v>
      </c>
      <c r="I14" s="102" t="s">
        <v>150</v>
      </c>
      <c r="J14" s="43"/>
      <c r="K14" s="77"/>
      <c r="L14" s="15"/>
      <c r="M14" s="86"/>
      <c r="N14" s="15"/>
      <c r="O14" s="15"/>
      <c r="P14" s="15"/>
      <c r="Q14" s="43"/>
      <c r="R14" s="43"/>
      <c r="S14" s="43"/>
      <c r="T14" s="15"/>
      <c r="U14" s="15"/>
      <c r="V14" s="15"/>
      <c r="W14" s="15"/>
      <c r="X14" s="43"/>
      <c r="Y14" s="15">
        <v>1</v>
      </c>
      <c r="Z14" s="15"/>
      <c r="AA14" s="15"/>
      <c r="AB14" s="43"/>
      <c r="AC14" s="15"/>
      <c r="AD14" s="15"/>
      <c r="AE14" s="15"/>
      <c r="AF14" s="15">
        <v>5</v>
      </c>
      <c r="AG14" s="43"/>
      <c r="AH14" s="43"/>
      <c r="AI14" s="15"/>
      <c r="AJ14" s="15"/>
      <c r="AK14" s="44"/>
      <c r="AL14" s="15"/>
      <c r="AM14" s="15"/>
    </row>
    <row r="15" spans="2:39" s="14" customFormat="1" ht="41.25" customHeight="1">
      <c r="B15" s="98">
        <v>46238</v>
      </c>
      <c r="C15" s="57">
        <v>8</v>
      </c>
      <c r="D15" s="18" t="s">
        <v>7</v>
      </c>
      <c r="E15" s="100" t="s">
        <v>78</v>
      </c>
      <c r="F15" s="101" t="s">
        <v>18</v>
      </c>
      <c r="G15" s="101" t="s">
        <v>75</v>
      </c>
      <c r="H15" s="19" t="s">
        <v>148</v>
      </c>
      <c r="I15" s="102" t="s">
        <v>150</v>
      </c>
      <c r="J15" s="43"/>
      <c r="K15" s="77"/>
      <c r="L15" s="15"/>
      <c r="M15" s="86"/>
      <c r="N15" s="15"/>
      <c r="O15" s="15"/>
      <c r="P15" s="15"/>
      <c r="Q15" s="43"/>
      <c r="R15" s="43"/>
      <c r="S15" s="43"/>
      <c r="T15" s="15"/>
      <c r="U15" s="15"/>
      <c r="V15" s="15"/>
      <c r="W15" s="15"/>
      <c r="X15" s="43"/>
      <c r="Y15" s="15"/>
      <c r="Z15" s="15"/>
      <c r="AA15" s="15"/>
      <c r="AB15" s="43"/>
      <c r="AC15" s="15"/>
      <c r="AD15" s="15"/>
      <c r="AE15" s="15"/>
      <c r="AF15" s="15"/>
      <c r="AG15" s="43"/>
      <c r="AH15" s="43"/>
      <c r="AI15" s="15"/>
      <c r="AJ15" s="15"/>
      <c r="AK15" s="44"/>
      <c r="AL15" s="15"/>
      <c r="AM15" s="15"/>
    </row>
    <row r="16" spans="2:39" s="14" customFormat="1" ht="41.25" customHeight="1">
      <c r="B16" s="98">
        <v>46238</v>
      </c>
      <c r="C16" s="57">
        <v>8</v>
      </c>
      <c r="D16" s="18" t="s">
        <v>7</v>
      </c>
      <c r="E16" s="101" t="s">
        <v>78</v>
      </c>
      <c r="F16" s="100" t="s">
        <v>18</v>
      </c>
      <c r="G16" s="100" t="s">
        <v>75</v>
      </c>
      <c r="H16" s="19" t="s">
        <v>148</v>
      </c>
      <c r="I16" s="102" t="s">
        <v>150</v>
      </c>
      <c r="J16" s="43"/>
      <c r="K16" s="77"/>
      <c r="L16" s="15"/>
      <c r="M16" s="86"/>
      <c r="N16" s="15"/>
      <c r="O16" s="15"/>
      <c r="P16" s="15"/>
      <c r="Q16" s="43"/>
      <c r="R16" s="43"/>
      <c r="S16" s="43"/>
      <c r="T16" s="15"/>
      <c r="U16" s="15"/>
      <c r="V16" s="15"/>
      <c r="W16" s="15"/>
      <c r="X16" s="43"/>
      <c r="Y16" s="15"/>
      <c r="Z16" s="15"/>
      <c r="AA16" s="15"/>
      <c r="AB16" s="43"/>
      <c r="AC16" s="15"/>
      <c r="AD16" s="15"/>
      <c r="AE16" s="15"/>
      <c r="AF16" s="15"/>
      <c r="AG16" s="43"/>
      <c r="AH16" s="43"/>
      <c r="AI16" s="15"/>
      <c r="AJ16" s="15"/>
      <c r="AK16" s="44"/>
      <c r="AL16" s="15"/>
      <c r="AM16" s="15"/>
    </row>
    <row r="17" spans="2:39" s="14" customFormat="1" ht="41.25" customHeight="1">
      <c r="B17" s="98">
        <v>46238</v>
      </c>
      <c r="C17" s="57">
        <v>8</v>
      </c>
      <c r="D17" s="18" t="s">
        <v>7</v>
      </c>
      <c r="E17" s="101" t="s">
        <v>140</v>
      </c>
      <c r="F17" s="100" t="s">
        <v>88</v>
      </c>
      <c r="G17" s="100" t="s">
        <v>74</v>
      </c>
      <c r="H17" s="19" t="s">
        <v>148</v>
      </c>
      <c r="I17" s="102" t="s">
        <v>150</v>
      </c>
      <c r="J17" s="43"/>
      <c r="K17" s="77">
        <v>1</v>
      </c>
      <c r="L17" s="15"/>
      <c r="M17" s="86"/>
      <c r="N17" s="15"/>
      <c r="O17" s="15"/>
      <c r="P17" s="15"/>
      <c r="Q17" s="43"/>
      <c r="R17" s="43"/>
      <c r="S17" s="43"/>
      <c r="T17" s="15"/>
      <c r="U17" s="15"/>
      <c r="V17" s="15"/>
      <c r="W17" s="15"/>
      <c r="X17" s="43"/>
      <c r="Y17" s="15"/>
      <c r="Z17" s="15"/>
      <c r="AA17" s="15"/>
      <c r="AB17" s="43"/>
      <c r="AC17" s="15"/>
      <c r="AD17" s="15">
        <v>10</v>
      </c>
      <c r="AE17" s="15"/>
      <c r="AF17" s="15"/>
      <c r="AG17" s="43"/>
      <c r="AH17" s="43"/>
      <c r="AI17" s="15"/>
      <c r="AJ17" s="15"/>
      <c r="AK17" s="44"/>
      <c r="AL17" s="15"/>
      <c r="AM17" s="15"/>
    </row>
    <row r="18" spans="2:39" s="14" customFormat="1" ht="41.25" customHeight="1">
      <c r="B18" s="98">
        <v>46238</v>
      </c>
      <c r="C18" s="57">
        <v>8</v>
      </c>
      <c r="D18" s="18" t="s">
        <v>7</v>
      </c>
      <c r="E18" s="101" t="s">
        <v>78</v>
      </c>
      <c r="F18" s="100" t="s">
        <v>88</v>
      </c>
      <c r="G18" s="100" t="s">
        <v>74</v>
      </c>
      <c r="H18" s="19" t="s">
        <v>148</v>
      </c>
      <c r="I18" s="102" t="s">
        <v>150</v>
      </c>
      <c r="J18" s="43"/>
      <c r="K18" s="77"/>
      <c r="L18" s="15"/>
      <c r="M18" s="86"/>
      <c r="N18" s="15"/>
      <c r="O18" s="15"/>
      <c r="P18" s="15"/>
      <c r="Q18" s="43"/>
      <c r="R18" s="43"/>
      <c r="S18" s="43"/>
      <c r="T18" s="15"/>
      <c r="U18" s="15"/>
      <c r="V18" s="15"/>
      <c r="W18" s="15"/>
      <c r="X18" s="43"/>
      <c r="Y18" s="15"/>
      <c r="Z18" s="15"/>
      <c r="AA18" s="15"/>
      <c r="AB18" s="43"/>
      <c r="AC18" s="15"/>
      <c r="AD18" s="15"/>
      <c r="AE18" s="15"/>
      <c r="AF18" s="15"/>
      <c r="AG18" s="43"/>
      <c r="AH18" s="43"/>
      <c r="AI18" s="15"/>
      <c r="AJ18" s="15"/>
      <c r="AK18" s="44"/>
      <c r="AL18" s="15"/>
      <c r="AM18" s="15"/>
    </row>
    <row r="19" spans="2:39" s="14" customFormat="1" ht="41.25" customHeight="1">
      <c r="B19" s="99">
        <v>46239</v>
      </c>
      <c r="C19" s="57">
        <v>8</v>
      </c>
      <c r="D19" s="18" t="s">
        <v>7</v>
      </c>
      <c r="E19" s="101" t="s">
        <v>78</v>
      </c>
      <c r="F19" s="100" t="s">
        <v>18</v>
      </c>
      <c r="G19" s="100" t="s">
        <v>75</v>
      </c>
      <c r="H19" s="19" t="s">
        <v>148</v>
      </c>
      <c r="I19" s="102" t="s">
        <v>150</v>
      </c>
      <c r="J19" s="43"/>
      <c r="K19" s="77">
        <v>1</v>
      </c>
      <c r="L19" s="15"/>
      <c r="M19" s="86"/>
      <c r="N19" s="15"/>
      <c r="O19" s="15"/>
      <c r="P19" s="15"/>
      <c r="Q19" s="43"/>
      <c r="R19" s="43"/>
      <c r="S19" s="43"/>
      <c r="T19" s="15"/>
      <c r="U19" s="15"/>
      <c r="V19" s="15"/>
      <c r="W19" s="15"/>
      <c r="X19" s="43"/>
      <c r="Y19" s="15"/>
      <c r="Z19" s="15"/>
      <c r="AA19" s="15"/>
      <c r="AB19" s="43"/>
      <c r="AC19" s="15"/>
      <c r="AD19" s="15"/>
      <c r="AE19" s="15"/>
      <c r="AF19" s="15"/>
      <c r="AG19" s="43"/>
      <c r="AH19" s="43"/>
      <c r="AI19" s="15"/>
      <c r="AJ19" s="15">
        <v>1</v>
      </c>
      <c r="AK19" s="44"/>
      <c r="AL19" s="15"/>
      <c r="AM19" s="15"/>
    </row>
    <row r="20" spans="2:39" s="14" customFormat="1" ht="41.25" customHeight="1">
      <c r="B20" s="99">
        <v>46239</v>
      </c>
      <c r="C20" s="57">
        <v>8</v>
      </c>
      <c r="D20" s="18" t="s">
        <v>7</v>
      </c>
      <c r="E20" s="101" t="s">
        <v>78</v>
      </c>
      <c r="F20" s="100" t="s">
        <v>18</v>
      </c>
      <c r="G20" s="100" t="s">
        <v>75</v>
      </c>
      <c r="H20" s="19" t="s">
        <v>148</v>
      </c>
      <c r="I20" s="102" t="s">
        <v>149</v>
      </c>
      <c r="J20" s="43"/>
      <c r="K20" s="77"/>
      <c r="L20" s="15"/>
      <c r="M20" s="86"/>
      <c r="N20" s="15"/>
      <c r="O20" s="15"/>
      <c r="P20" s="15"/>
      <c r="Q20" s="43"/>
      <c r="R20" s="43"/>
      <c r="S20" s="43"/>
      <c r="T20" s="15"/>
      <c r="U20" s="15"/>
      <c r="V20" s="15"/>
      <c r="W20" s="15"/>
      <c r="X20" s="43"/>
      <c r="Y20" s="15"/>
      <c r="Z20" s="15"/>
      <c r="AA20" s="15"/>
      <c r="AB20" s="43"/>
      <c r="AC20" s="15"/>
      <c r="AD20" s="15"/>
      <c r="AE20" s="15">
        <v>4</v>
      </c>
      <c r="AF20" s="15"/>
      <c r="AG20" s="43"/>
      <c r="AH20" s="43"/>
      <c r="AI20" s="15"/>
      <c r="AJ20" s="15"/>
      <c r="AK20" s="44"/>
      <c r="AL20" s="15"/>
      <c r="AM20" s="15"/>
    </row>
    <row r="21" spans="2:39" s="14" customFormat="1" ht="41.25" customHeight="1">
      <c r="B21" s="99">
        <v>46239</v>
      </c>
      <c r="C21" s="57">
        <v>8</v>
      </c>
      <c r="D21" s="18" t="s">
        <v>7</v>
      </c>
      <c r="E21" s="101" t="s">
        <v>78</v>
      </c>
      <c r="F21" s="100" t="s">
        <v>18</v>
      </c>
      <c r="G21" s="100" t="s">
        <v>116</v>
      </c>
      <c r="H21" s="19" t="s">
        <v>148</v>
      </c>
      <c r="I21" s="102" t="s">
        <v>149</v>
      </c>
      <c r="J21" s="43"/>
      <c r="K21" s="77"/>
      <c r="L21" s="15">
        <v>2</v>
      </c>
      <c r="M21" s="86"/>
      <c r="N21" s="15"/>
      <c r="O21" s="15"/>
      <c r="P21" s="15"/>
      <c r="Q21" s="43"/>
      <c r="R21" s="43"/>
      <c r="S21" s="43"/>
      <c r="T21" s="15"/>
      <c r="U21" s="15"/>
      <c r="V21" s="15"/>
      <c r="W21" s="15"/>
      <c r="X21" s="43"/>
      <c r="Y21" s="15"/>
      <c r="Z21" s="15"/>
      <c r="AA21" s="15"/>
      <c r="AB21" s="43"/>
      <c r="AC21" s="15"/>
      <c r="AD21" s="15"/>
      <c r="AE21" s="15"/>
      <c r="AF21" s="15"/>
      <c r="AG21" s="43"/>
      <c r="AH21" s="43"/>
      <c r="AI21" s="15"/>
      <c r="AJ21" s="15"/>
      <c r="AK21" s="44"/>
      <c r="AL21" s="15"/>
      <c r="AM21" s="15"/>
    </row>
    <row r="22" spans="2:39" s="14" customFormat="1" ht="41.25" customHeight="1">
      <c r="B22" s="99">
        <v>46239</v>
      </c>
      <c r="C22" s="57">
        <v>8</v>
      </c>
      <c r="D22" s="18" t="s">
        <v>7</v>
      </c>
      <c r="E22" s="101" t="s">
        <v>78</v>
      </c>
      <c r="F22" s="100" t="s">
        <v>18</v>
      </c>
      <c r="G22" s="100" t="s">
        <v>75</v>
      </c>
      <c r="H22" s="19" t="s">
        <v>148</v>
      </c>
      <c r="I22" s="102" t="s">
        <v>150</v>
      </c>
      <c r="J22" s="43"/>
      <c r="K22" s="77"/>
      <c r="L22" s="15"/>
      <c r="M22" s="86"/>
      <c r="N22" s="15"/>
      <c r="O22" s="15">
        <v>2</v>
      </c>
      <c r="P22" s="15"/>
      <c r="Q22" s="43"/>
      <c r="R22" s="43"/>
      <c r="S22" s="43"/>
      <c r="T22" s="15"/>
      <c r="U22" s="15"/>
      <c r="V22" s="15"/>
      <c r="W22" s="15"/>
      <c r="X22" s="43"/>
      <c r="Y22" s="15"/>
      <c r="Z22" s="15"/>
      <c r="AA22" s="15"/>
      <c r="AB22" s="43"/>
      <c r="AC22" s="15"/>
      <c r="AD22" s="15"/>
      <c r="AE22" s="15"/>
      <c r="AF22" s="15"/>
      <c r="AG22" s="43"/>
      <c r="AH22" s="43"/>
      <c r="AI22" s="15"/>
      <c r="AJ22" s="15"/>
      <c r="AK22" s="44"/>
      <c r="AL22" s="15"/>
      <c r="AM22" s="15"/>
    </row>
    <row r="23" spans="2:39" s="14" customFormat="1" ht="41.25" customHeight="1">
      <c r="B23" s="99">
        <v>46239</v>
      </c>
      <c r="C23" s="57">
        <v>8</v>
      </c>
      <c r="D23" s="18" t="s">
        <v>7</v>
      </c>
      <c r="E23" s="101" t="s">
        <v>78</v>
      </c>
      <c r="F23" s="100" t="s">
        <v>18</v>
      </c>
      <c r="G23" s="100" t="s">
        <v>75</v>
      </c>
      <c r="H23" s="19" t="s">
        <v>148</v>
      </c>
      <c r="I23" s="102" t="s">
        <v>149</v>
      </c>
      <c r="J23" s="43"/>
      <c r="K23" s="77"/>
      <c r="L23" s="15"/>
      <c r="M23" s="86"/>
      <c r="N23" s="15"/>
      <c r="O23" s="15"/>
      <c r="P23" s="15"/>
      <c r="Q23" s="43"/>
      <c r="R23" s="43"/>
      <c r="S23" s="43"/>
      <c r="T23" s="15"/>
      <c r="U23" s="15"/>
      <c r="V23" s="15"/>
      <c r="W23" s="15"/>
      <c r="X23" s="43"/>
      <c r="Y23" s="15"/>
      <c r="Z23" s="15"/>
      <c r="AA23" s="15"/>
      <c r="AB23" s="43"/>
      <c r="AC23" s="15"/>
      <c r="AD23" s="15"/>
      <c r="AE23" s="15"/>
      <c r="AF23" s="15"/>
      <c r="AG23" s="43"/>
      <c r="AH23" s="43"/>
      <c r="AI23" s="15"/>
      <c r="AJ23" s="15">
        <v>2</v>
      </c>
      <c r="AK23" s="44"/>
      <c r="AL23" s="15"/>
      <c r="AM23" s="15"/>
    </row>
    <row r="24" spans="2:39" s="14" customFormat="1" ht="41.25" customHeight="1">
      <c r="B24" s="99">
        <v>46239</v>
      </c>
      <c r="C24" s="57">
        <v>8</v>
      </c>
      <c r="D24" s="18" t="s">
        <v>7</v>
      </c>
      <c r="E24" s="101" t="s">
        <v>78</v>
      </c>
      <c r="F24" s="100" t="s">
        <v>88</v>
      </c>
      <c r="G24" s="100" t="s">
        <v>116</v>
      </c>
      <c r="H24" s="19" t="s">
        <v>148</v>
      </c>
      <c r="I24" s="102" t="s">
        <v>149</v>
      </c>
      <c r="J24" s="43"/>
      <c r="K24" s="77"/>
      <c r="L24" s="15"/>
      <c r="M24" s="86"/>
      <c r="N24" s="15"/>
      <c r="O24" s="15"/>
      <c r="P24" s="15"/>
      <c r="Q24" s="43"/>
      <c r="R24" s="43"/>
      <c r="S24" s="43"/>
      <c r="T24" s="15"/>
      <c r="U24" s="15"/>
      <c r="V24" s="15"/>
      <c r="W24" s="15"/>
      <c r="X24" s="43"/>
      <c r="Y24" s="15"/>
      <c r="Z24" s="15"/>
      <c r="AA24" s="15"/>
      <c r="AB24" s="43"/>
      <c r="AC24" s="15"/>
      <c r="AD24" s="15"/>
      <c r="AE24" s="15"/>
      <c r="AF24" s="15"/>
      <c r="AG24" s="43"/>
      <c r="AH24" s="43"/>
      <c r="AI24" s="15"/>
      <c r="AJ24" s="15"/>
      <c r="AK24" s="44"/>
      <c r="AL24" s="15"/>
      <c r="AM24" s="15"/>
    </row>
    <row r="25" spans="2:39" s="14" customFormat="1" ht="41.25" customHeight="1">
      <c r="B25" s="99">
        <v>46240</v>
      </c>
      <c r="C25" s="57">
        <v>8</v>
      </c>
      <c r="D25" s="18" t="s">
        <v>7</v>
      </c>
      <c r="E25" s="100" t="s">
        <v>78</v>
      </c>
      <c r="F25" s="100" t="s">
        <v>18</v>
      </c>
      <c r="G25" s="100" t="s">
        <v>75</v>
      </c>
      <c r="H25" s="19" t="s">
        <v>148</v>
      </c>
      <c r="I25" s="102" t="s">
        <v>149</v>
      </c>
      <c r="J25" s="43"/>
      <c r="K25" s="77">
        <v>1</v>
      </c>
      <c r="L25" s="15"/>
      <c r="M25" s="86"/>
      <c r="N25" s="15"/>
      <c r="O25" s="15"/>
      <c r="P25" s="15"/>
      <c r="Q25" s="43"/>
      <c r="R25" s="43"/>
      <c r="S25" s="43"/>
      <c r="T25" s="15"/>
      <c r="U25" s="15"/>
      <c r="V25" s="15"/>
      <c r="W25" s="15"/>
      <c r="X25" s="43"/>
      <c r="Y25" s="15"/>
      <c r="Z25" s="15"/>
      <c r="AA25" s="15"/>
      <c r="AB25" s="43"/>
      <c r="AC25" s="15"/>
      <c r="AD25" s="15"/>
      <c r="AE25" s="15"/>
      <c r="AF25" s="15"/>
      <c r="AG25" s="43"/>
      <c r="AH25" s="43"/>
      <c r="AI25" s="15"/>
      <c r="AJ25" s="15"/>
      <c r="AK25" s="44"/>
      <c r="AL25" s="15"/>
      <c r="AM25" s="15"/>
    </row>
    <row r="26" spans="2:39" s="14" customFormat="1" ht="41.25" customHeight="1">
      <c r="B26" s="99">
        <v>46240</v>
      </c>
      <c r="C26" s="57">
        <v>8</v>
      </c>
      <c r="D26" s="18" t="s">
        <v>7</v>
      </c>
      <c r="E26" s="100" t="s">
        <v>78</v>
      </c>
      <c r="F26" s="100" t="s">
        <v>88</v>
      </c>
      <c r="G26" s="100" t="s">
        <v>116</v>
      </c>
      <c r="H26" s="19" t="s">
        <v>148</v>
      </c>
      <c r="I26" s="102" t="s">
        <v>150</v>
      </c>
      <c r="J26" s="43"/>
      <c r="K26" s="77"/>
      <c r="L26" s="15"/>
      <c r="M26" s="86"/>
      <c r="N26" s="15"/>
      <c r="O26" s="15"/>
      <c r="P26" s="15"/>
      <c r="Q26" s="43"/>
      <c r="R26" s="43"/>
      <c r="S26" s="43"/>
      <c r="T26" s="15"/>
      <c r="U26" s="15"/>
      <c r="V26" s="15"/>
      <c r="W26" s="15"/>
      <c r="X26" s="43"/>
      <c r="Y26" s="15"/>
      <c r="Z26" s="15"/>
      <c r="AA26" s="15"/>
      <c r="AB26" s="43"/>
      <c r="AC26" s="15"/>
      <c r="AD26" s="15"/>
      <c r="AE26" s="15"/>
      <c r="AF26" s="15"/>
      <c r="AG26" s="43"/>
      <c r="AH26" s="43"/>
      <c r="AI26" s="15"/>
      <c r="AJ26" s="15"/>
      <c r="AK26" s="44"/>
      <c r="AL26" s="15"/>
      <c r="AM26" s="15"/>
    </row>
    <row r="27" spans="2:39" s="14" customFormat="1" ht="41.25" customHeight="1">
      <c r="B27" s="99">
        <v>46240</v>
      </c>
      <c r="C27" s="57">
        <v>8</v>
      </c>
      <c r="D27" s="18" t="s">
        <v>7</v>
      </c>
      <c r="E27" s="100" t="s">
        <v>78</v>
      </c>
      <c r="F27" s="100" t="s">
        <v>88</v>
      </c>
      <c r="G27" s="100" t="s">
        <v>116</v>
      </c>
      <c r="H27" s="19" t="s">
        <v>148</v>
      </c>
      <c r="I27" s="102" t="s">
        <v>150</v>
      </c>
      <c r="J27" s="43"/>
      <c r="K27" s="77"/>
      <c r="L27" s="15"/>
      <c r="M27" s="86"/>
      <c r="N27" s="15"/>
      <c r="O27" s="15"/>
      <c r="P27" s="15"/>
      <c r="Q27" s="43"/>
      <c r="R27" s="43"/>
      <c r="S27" s="43"/>
      <c r="T27" s="15"/>
      <c r="U27" s="15"/>
      <c r="V27" s="15"/>
      <c r="W27" s="15"/>
      <c r="X27" s="43"/>
      <c r="Y27" s="15"/>
      <c r="Z27" s="15"/>
      <c r="AA27" s="15"/>
      <c r="AB27" s="43"/>
      <c r="AC27" s="15"/>
      <c r="AD27" s="15"/>
      <c r="AE27" s="15">
        <v>10</v>
      </c>
      <c r="AF27" s="15"/>
      <c r="AG27" s="43"/>
      <c r="AH27" s="43"/>
      <c r="AI27" s="15"/>
      <c r="AJ27" s="15"/>
      <c r="AK27" s="44"/>
      <c r="AL27" s="15"/>
      <c r="AM27" s="15"/>
    </row>
    <row r="28" spans="2:39" s="14" customFormat="1" ht="41.25" customHeight="1">
      <c r="B28" s="99">
        <v>46240</v>
      </c>
      <c r="C28" s="57">
        <v>8</v>
      </c>
      <c r="D28" s="18" t="s">
        <v>7</v>
      </c>
      <c r="E28" s="100" t="s">
        <v>78</v>
      </c>
      <c r="F28" s="100" t="s">
        <v>18</v>
      </c>
      <c r="G28" s="100" t="s">
        <v>75</v>
      </c>
      <c r="H28" s="19" t="s">
        <v>148</v>
      </c>
      <c r="I28" s="102" t="s">
        <v>149</v>
      </c>
      <c r="J28" s="43"/>
      <c r="K28" s="77"/>
      <c r="L28" s="15"/>
      <c r="M28" s="86"/>
      <c r="N28" s="15"/>
      <c r="O28" s="15"/>
      <c r="P28" s="15"/>
      <c r="Q28" s="43"/>
      <c r="R28" s="43"/>
      <c r="S28" s="43"/>
      <c r="T28" s="15"/>
      <c r="U28" s="15"/>
      <c r="V28" s="15"/>
      <c r="W28" s="15"/>
      <c r="X28" s="43"/>
      <c r="Y28" s="15"/>
      <c r="Z28" s="15"/>
      <c r="AA28" s="15"/>
      <c r="AB28" s="43"/>
      <c r="AC28" s="15"/>
      <c r="AD28" s="15"/>
      <c r="AE28" s="15"/>
      <c r="AF28" s="15">
        <v>10</v>
      </c>
      <c r="AG28" s="43"/>
      <c r="AH28" s="43"/>
      <c r="AI28" s="15"/>
      <c r="AJ28" s="15"/>
      <c r="AK28" s="44"/>
      <c r="AL28" s="15"/>
      <c r="AM28" s="15"/>
    </row>
    <row r="29" spans="2:39" s="14" customFormat="1" ht="41.25" customHeight="1">
      <c r="B29" s="99">
        <v>46241</v>
      </c>
      <c r="C29" s="57">
        <v>8</v>
      </c>
      <c r="D29" s="18" t="s">
        <v>7</v>
      </c>
      <c r="E29" s="100" t="s">
        <v>78</v>
      </c>
      <c r="F29" s="100" t="s">
        <v>88</v>
      </c>
      <c r="G29" s="100" t="s">
        <v>170</v>
      </c>
      <c r="H29" s="19" t="s">
        <v>148</v>
      </c>
      <c r="I29" s="102" t="s">
        <v>150</v>
      </c>
      <c r="J29" s="43"/>
      <c r="K29" s="77">
        <v>2</v>
      </c>
      <c r="L29" s="15"/>
      <c r="M29" s="86"/>
      <c r="N29" s="15"/>
      <c r="O29" s="15"/>
      <c r="P29" s="15"/>
      <c r="Q29" s="43"/>
      <c r="R29" s="43"/>
      <c r="S29" s="43"/>
      <c r="T29" s="15"/>
      <c r="U29" s="15"/>
      <c r="V29" s="15"/>
      <c r="W29" s="15"/>
      <c r="X29" s="43"/>
      <c r="Y29" s="15">
        <v>1</v>
      </c>
      <c r="Z29" s="15"/>
      <c r="AA29" s="15"/>
      <c r="AB29" s="43"/>
      <c r="AC29" s="15"/>
      <c r="AD29" s="15"/>
      <c r="AE29" s="15"/>
      <c r="AF29" s="15"/>
      <c r="AG29" s="43"/>
      <c r="AH29" s="43"/>
      <c r="AI29" s="15"/>
      <c r="AJ29" s="15"/>
      <c r="AK29" s="44"/>
      <c r="AL29" s="15"/>
      <c r="AM29" s="15"/>
    </row>
    <row r="30" spans="2:39" s="14" customFormat="1" ht="41.25" customHeight="1">
      <c r="B30" s="99">
        <v>46242</v>
      </c>
      <c r="C30" s="57">
        <v>8</v>
      </c>
      <c r="D30" s="18" t="s">
        <v>7</v>
      </c>
      <c r="E30" s="100" t="s">
        <v>140</v>
      </c>
      <c r="F30" s="100" t="s">
        <v>88</v>
      </c>
      <c r="G30" s="100" t="s">
        <v>74</v>
      </c>
      <c r="H30" s="19" t="s">
        <v>148</v>
      </c>
      <c r="I30" s="102" t="s">
        <v>150</v>
      </c>
      <c r="J30" s="43"/>
      <c r="K30" s="77">
        <v>1</v>
      </c>
      <c r="L30" s="15"/>
      <c r="M30" s="86"/>
      <c r="N30" s="15"/>
      <c r="O30" s="15"/>
      <c r="P30" s="15"/>
      <c r="Q30" s="43"/>
      <c r="R30" s="43"/>
      <c r="S30" s="43"/>
      <c r="T30" s="15"/>
      <c r="U30" s="15"/>
      <c r="V30" s="15"/>
      <c r="W30" s="15"/>
      <c r="X30" s="43"/>
      <c r="Y30" s="15"/>
      <c r="Z30" s="15"/>
      <c r="AA30" s="15"/>
      <c r="AB30" s="43"/>
      <c r="AC30" s="15"/>
      <c r="AD30" s="15"/>
      <c r="AE30" s="15"/>
      <c r="AF30" s="15"/>
      <c r="AG30" s="43"/>
      <c r="AH30" s="43"/>
      <c r="AI30" s="15"/>
      <c r="AJ30" s="15">
        <v>1</v>
      </c>
      <c r="AK30" s="44"/>
      <c r="AL30" s="15"/>
      <c r="AM30" s="15"/>
    </row>
    <row r="31" spans="2:39" s="14" customFormat="1" ht="41.25" customHeight="1">
      <c r="B31" s="99">
        <v>46242</v>
      </c>
      <c r="C31" s="57">
        <v>8</v>
      </c>
      <c r="D31" s="18" t="s">
        <v>7</v>
      </c>
      <c r="E31" s="100" t="s">
        <v>140</v>
      </c>
      <c r="F31" s="100" t="s">
        <v>88</v>
      </c>
      <c r="G31" s="100" t="s">
        <v>74</v>
      </c>
      <c r="H31" s="19" t="s">
        <v>148</v>
      </c>
      <c r="I31" s="102" t="s">
        <v>150</v>
      </c>
      <c r="J31" s="43"/>
      <c r="K31" s="77"/>
      <c r="L31" s="15"/>
      <c r="M31" s="86"/>
      <c r="N31" s="15"/>
      <c r="O31" s="15"/>
      <c r="P31" s="15"/>
      <c r="Q31" s="43"/>
      <c r="R31" s="43"/>
      <c r="S31" s="43"/>
      <c r="T31" s="15"/>
      <c r="U31" s="15"/>
      <c r="V31" s="15"/>
      <c r="W31" s="15"/>
      <c r="X31" s="43"/>
      <c r="Y31" s="15"/>
      <c r="Z31" s="15"/>
      <c r="AA31" s="15"/>
      <c r="AB31" s="43"/>
      <c r="AC31" s="15"/>
      <c r="AD31" s="15"/>
      <c r="AE31" s="15"/>
      <c r="AF31" s="15"/>
      <c r="AG31" s="43"/>
      <c r="AH31" s="43"/>
      <c r="AI31" s="15"/>
      <c r="AJ31" s="15"/>
      <c r="AK31" s="44"/>
      <c r="AL31" s="15"/>
      <c r="AM31" s="15"/>
    </row>
    <row r="32" spans="2:39" s="14" customFormat="1" ht="41.25" customHeight="1">
      <c r="B32" s="99">
        <v>46242</v>
      </c>
      <c r="C32" s="57">
        <v>8</v>
      </c>
      <c r="D32" s="18" t="s">
        <v>7</v>
      </c>
      <c r="E32" s="100" t="s">
        <v>140</v>
      </c>
      <c r="F32" s="100" t="s">
        <v>18</v>
      </c>
      <c r="G32" s="100" t="s">
        <v>167</v>
      </c>
      <c r="H32" s="19" t="s">
        <v>148</v>
      </c>
      <c r="I32" s="102" t="s">
        <v>149</v>
      </c>
      <c r="J32" s="43"/>
      <c r="K32" s="77"/>
      <c r="L32" s="15"/>
      <c r="M32" s="86"/>
      <c r="N32" s="15"/>
      <c r="O32" s="15"/>
      <c r="P32" s="15"/>
      <c r="Q32" s="43"/>
      <c r="R32" s="43"/>
      <c r="S32" s="43"/>
      <c r="T32" s="15"/>
      <c r="U32" s="15"/>
      <c r="V32" s="15"/>
      <c r="W32" s="15"/>
      <c r="X32" s="43"/>
      <c r="Y32" s="15"/>
      <c r="Z32" s="15"/>
      <c r="AA32" s="15"/>
      <c r="AB32" s="43"/>
      <c r="AC32" s="15">
        <v>10</v>
      </c>
      <c r="AD32" s="15"/>
      <c r="AE32" s="15"/>
      <c r="AF32" s="15"/>
      <c r="AG32" s="43"/>
      <c r="AH32" s="43"/>
      <c r="AI32" s="15"/>
      <c r="AJ32" s="15"/>
      <c r="AK32" s="44"/>
      <c r="AL32" s="15"/>
      <c r="AM32" s="15"/>
    </row>
    <row r="33" spans="1:39" s="14" customFormat="1" ht="41.25" customHeight="1">
      <c r="B33" s="99">
        <v>46242</v>
      </c>
      <c r="C33" s="57">
        <v>8</v>
      </c>
      <c r="D33" s="18" t="s">
        <v>7</v>
      </c>
      <c r="E33" s="100" t="s">
        <v>140</v>
      </c>
      <c r="F33" s="100" t="s">
        <v>18</v>
      </c>
      <c r="G33" s="100" t="s">
        <v>167</v>
      </c>
      <c r="H33" s="19" t="s">
        <v>148</v>
      </c>
      <c r="I33" s="102" t="s">
        <v>150</v>
      </c>
      <c r="J33" s="43"/>
      <c r="K33" s="77"/>
      <c r="L33" s="15"/>
      <c r="M33" s="86"/>
      <c r="N33" s="15"/>
      <c r="O33" s="15"/>
      <c r="P33" s="15"/>
      <c r="Q33" s="43"/>
      <c r="R33" s="43"/>
      <c r="S33" s="43"/>
      <c r="T33" s="15"/>
      <c r="U33" s="15"/>
      <c r="V33" s="15"/>
      <c r="W33" s="15"/>
      <c r="X33" s="43"/>
      <c r="Y33" s="15"/>
      <c r="Z33" s="15"/>
      <c r="AA33" s="15"/>
      <c r="AB33" s="43"/>
      <c r="AC33" s="15"/>
      <c r="AD33" s="15"/>
      <c r="AE33" s="15"/>
      <c r="AF33" s="15"/>
      <c r="AG33" s="43">
        <v>4</v>
      </c>
      <c r="AH33" s="43"/>
      <c r="AI33" s="15"/>
      <c r="AJ33" s="15"/>
      <c r="AK33" s="44"/>
      <c r="AL33" s="15"/>
      <c r="AM33" s="15"/>
    </row>
    <row r="34" spans="1:39" s="14" customFormat="1" ht="41.25" customHeight="1">
      <c r="B34" s="99">
        <v>46245</v>
      </c>
      <c r="C34" s="57">
        <v>8</v>
      </c>
      <c r="D34" s="18" t="s">
        <v>7</v>
      </c>
      <c r="E34" s="100" t="s">
        <v>140</v>
      </c>
      <c r="F34" s="100" t="s">
        <v>18</v>
      </c>
      <c r="G34" s="101" t="s">
        <v>167</v>
      </c>
      <c r="H34" s="19" t="s">
        <v>148</v>
      </c>
      <c r="I34" s="102" t="s">
        <v>150</v>
      </c>
      <c r="J34" s="43"/>
      <c r="K34" s="77"/>
      <c r="L34" s="15">
        <v>1</v>
      </c>
      <c r="M34" s="86"/>
      <c r="N34" s="15"/>
      <c r="O34" s="15"/>
      <c r="P34" s="15"/>
      <c r="Q34" s="43"/>
      <c r="R34" s="43"/>
      <c r="S34" s="43"/>
      <c r="T34" s="15"/>
      <c r="U34" s="15"/>
      <c r="V34" s="15"/>
      <c r="W34" s="15"/>
      <c r="X34" s="43"/>
      <c r="Y34" s="15"/>
      <c r="Z34" s="15"/>
      <c r="AA34" s="15"/>
      <c r="AB34" s="43"/>
      <c r="AC34" s="15"/>
      <c r="AD34" s="15"/>
      <c r="AE34" s="15"/>
      <c r="AF34" s="15"/>
      <c r="AG34" s="43"/>
      <c r="AH34" s="43"/>
      <c r="AI34" s="15"/>
      <c r="AJ34" s="15"/>
      <c r="AK34" s="44"/>
      <c r="AL34" s="15"/>
      <c r="AM34" s="15"/>
    </row>
    <row r="35" spans="1:39" s="14" customFormat="1" ht="41.25" customHeight="1">
      <c r="B35" s="99">
        <v>46245</v>
      </c>
      <c r="C35" s="57">
        <v>8</v>
      </c>
      <c r="D35" s="18" t="s">
        <v>7</v>
      </c>
      <c r="E35" s="18" t="s">
        <v>140</v>
      </c>
      <c r="F35" s="15" t="s">
        <v>88</v>
      </c>
      <c r="G35" s="101" t="s">
        <v>167</v>
      </c>
      <c r="H35" s="19" t="s">
        <v>171</v>
      </c>
      <c r="I35" s="102" t="s">
        <v>150</v>
      </c>
      <c r="J35" s="43"/>
      <c r="K35" s="77">
        <v>1</v>
      </c>
      <c r="L35" s="15"/>
      <c r="M35" s="86"/>
      <c r="N35" s="15"/>
      <c r="O35" s="15"/>
      <c r="P35" s="15"/>
      <c r="Q35" s="43"/>
      <c r="R35" s="43"/>
      <c r="S35" s="43"/>
      <c r="T35" s="15"/>
      <c r="U35" s="15"/>
      <c r="V35" s="15"/>
      <c r="W35" s="15"/>
      <c r="X35" s="43"/>
      <c r="Y35" s="15"/>
      <c r="Z35" s="15"/>
      <c r="AA35" s="15"/>
      <c r="AB35" s="43"/>
      <c r="AC35" s="15"/>
      <c r="AD35" s="15"/>
      <c r="AE35" s="15"/>
      <c r="AF35" s="15"/>
      <c r="AG35" s="43"/>
      <c r="AH35" s="43"/>
      <c r="AI35" s="15"/>
      <c r="AJ35" s="15"/>
      <c r="AK35" s="44"/>
      <c r="AL35" s="15"/>
      <c r="AM35" s="15"/>
    </row>
    <row r="36" spans="1:39" s="14" customFormat="1" ht="41.25" customHeight="1">
      <c r="A36" s="14">
        <v>1</v>
      </c>
      <c r="B36" s="99">
        <v>46245</v>
      </c>
      <c r="C36" s="57">
        <v>8</v>
      </c>
      <c r="D36" s="18" t="s">
        <v>7</v>
      </c>
      <c r="E36" s="18" t="s">
        <v>140</v>
      </c>
      <c r="F36" s="15" t="s">
        <v>88</v>
      </c>
      <c r="G36" s="103" t="s">
        <v>167</v>
      </c>
      <c r="H36" s="19" t="s">
        <v>171</v>
      </c>
      <c r="I36" s="102" t="s">
        <v>150</v>
      </c>
      <c r="J36" s="43"/>
      <c r="K36" s="77"/>
      <c r="L36" s="15"/>
      <c r="M36" s="86"/>
      <c r="N36" s="15"/>
      <c r="O36" s="15"/>
      <c r="P36" s="15"/>
      <c r="Q36" s="43"/>
      <c r="R36" s="43"/>
      <c r="S36" s="43"/>
      <c r="T36" s="15"/>
      <c r="U36" s="15"/>
      <c r="V36" s="15"/>
      <c r="W36" s="15"/>
      <c r="X36" s="43"/>
      <c r="Y36" s="15"/>
      <c r="Z36" s="15"/>
      <c r="AA36" s="15"/>
      <c r="AB36" s="43"/>
      <c r="AC36" s="15"/>
      <c r="AD36" s="15"/>
      <c r="AE36" s="15"/>
      <c r="AF36" s="15"/>
      <c r="AG36" s="43"/>
      <c r="AH36" s="43"/>
      <c r="AI36" s="15"/>
      <c r="AJ36" s="15">
        <v>2</v>
      </c>
      <c r="AK36" s="44"/>
      <c r="AL36" s="15"/>
      <c r="AM36" s="15"/>
    </row>
    <row r="37" spans="1:39" s="14" customFormat="1" ht="41.25" customHeight="1">
      <c r="B37" s="99">
        <v>46245</v>
      </c>
      <c r="C37" s="57">
        <v>8</v>
      </c>
      <c r="D37" s="18" t="s">
        <v>7</v>
      </c>
      <c r="E37" s="18" t="s">
        <v>140</v>
      </c>
      <c r="F37" s="15" t="s">
        <v>88</v>
      </c>
      <c r="G37" s="103" t="s">
        <v>170</v>
      </c>
      <c r="H37" s="19" t="s">
        <v>171</v>
      </c>
      <c r="I37" s="102" t="s">
        <v>150</v>
      </c>
      <c r="J37" s="43"/>
      <c r="K37" s="77">
        <v>1</v>
      </c>
      <c r="L37" s="15"/>
      <c r="M37" s="86"/>
      <c r="N37" s="15"/>
      <c r="O37" s="15"/>
      <c r="P37" s="15"/>
      <c r="Q37" s="43"/>
      <c r="R37" s="43"/>
      <c r="S37" s="43"/>
      <c r="T37" s="15"/>
      <c r="U37" s="15"/>
      <c r="V37" s="15"/>
      <c r="W37" s="15"/>
      <c r="X37" s="43"/>
      <c r="Y37" s="15"/>
      <c r="Z37" s="15"/>
      <c r="AA37" s="15"/>
      <c r="AB37" s="43"/>
      <c r="AC37" s="15"/>
      <c r="AD37" s="15"/>
      <c r="AE37" s="15"/>
      <c r="AF37" s="15"/>
      <c r="AG37" s="43"/>
      <c r="AH37" s="43"/>
      <c r="AI37" s="15"/>
      <c r="AJ37" s="15"/>
      <c r="AK37" s="44"/>
      <c r="AL37" s="15"/>
      <c r="AM37" s="15"/>
    </row>
    <row r="38" spans="1:39" s="14" customFormat="1" ht="41.25" customHeight="1">
      <c r="B38" s="99">
        <v>46245</v>
      </c>
      <c r="C38" s="57">
        <v>8</v>
      </c>
      <c r="D38" s="18" t="s">
        <v>7</v>
      </c>
      <c r="E38" s="18" t="s">
        <v>140</v>
      </c>
      <c r="F38" s="15" t="s">
        <v>88</v>
      </c>
      <c r="G38" s="103" t="s">
        <v>170</v>
      </c>
      <c r="H38" s="19" t="s">
        <v>171</v>
      </c>
      <c r="I38" s="102" t="s">
        <v>150</v>
      </c>
      <c r="J38" s="43"/>
      <c r="K38" s="77"/>
      <c r="L38" s="15"/>
      <c r="M38" s="86"/>
      <c r="N38" s="15"/>
      <c r="O38" s="15"/>
      <c r="P38" s="15"/>
      <c r="Q38" s="43"/>
      <c r="R38" s="43"/>
      <c r="S38" s="43"/>
      <c r="T38" s="15"/>
      <c r="U38" s="15"/>
      <c r="V38" s="15"/>
      <c r="W38" s="15"/>
      <c r="X38" s="43"/>
      <c r="Y38" s="15"/>
      <c r="Z38" s="15"/>
      <c r="AA38" s="15"/>
      <c r="AB38" s="43"/>
      <c r="AC38" s="15"/>
      <c r="AD38" s="15"/>
      <c r="AE38" s="15"/>
      <c r="AF38" s="15"/>
      <c r="AG38" s="43"/>
      <c r="AH38" s="43"/>
      <c r="AI38" s="15"/>
      <c r="AJ38" s="15">
        <v>1</v>
      </c>
      <c r="AK38" s="44"/>
      <c r="AL38" s="15"/>
      <c r="AM38" s="15"/>
    </row>
    <row r="39" spans="1:39" s="14" customFormat="1" ht="41.25" customHeight="1">
      <c r="B39" s="99">
        <v>46245</v>
      </c>
      <c r="C39" s="57">
        <v>8</v>
      </c>
      <c r="D39" s="18" t="s">
        <v>7</v>
      </c>
      <c r="E39" s="18" t="s">
        <v>140</v>
      </c>
      <c r="F39" s="15" t="s">
        <v>88</v>
      </c>
      <c r="G39" s="103" t="s">
        <v>170</v>
      </c>
      <c r="H39" s="19" t="s">
        <v>171</v>
      </c>
      <c r="I39" s="102" t="s">
        <v>150</v>
      </c>
      <c r="J39" s="43"/>
      <c r="K39" s="77"/>
      <c r="L39" s="15"/>
      <c r="M39" s="86"/>
      <c r="N39" s="15"/>
      <c r="O39" s="15"/>
      <c r="P39" s="15"/>
      <c r="Q39" s="43"/>
      <c r="R39" s="43"/>
      <c r="S39" s="43"/>
      <c r="T39" s="15"/>
      <c r="U39" s="15"/>
      <c r="V39" s="15"/>
      <c r="W39" s="15"/>
      <c r="X39" s="43"/>
      <c r="Y39" s="15"/>
      <c r="Z39" s="15"/>
      <c r="AA39" s="15">
        <v>1</v>
      </c>
      <c r="AB39" s="43"/>
      <c r="AC39" s="15"/>
      <c r="AD39" s="15"/>
      <c r="AE39" s="15"/>
      <c r="AF39" s="15"/>
      <c r="AG39" s="43"/>
      <c r="AH39" s="43"/>
      <c r="AI39" s="15"/>
      <c r="AJ39" s="15"/>
      <c r="AK39" s="44"/>
      <c r="AL39" s="15"/>
      <c r="AM39" s="15"/>
    </row>
    <row r="40" spans="1:39" s="14" customFormat="1" ht="41.25" customHeight="1">
      <c r="B40" s="99">
        <v>46245</v>
      </c>
      <c r="C40" s="57">
        <v>8</v>
      </c>
      <c r="D40" s="18" t="s">
        <v>7</v>
      </c>
      <c r="E40" s="18" t="s">
        <v>140</v>
      </c>
      <c r="F40" s="15" t="s">
        <v>88</v>
      </c>
      <c r="G40" s="103" t="s">
        <v>172</v>
      </c>
      <c r="H40" s="19" t="s">
        <v>171</v>
      </c>
      <c r="I40" s="102" t="s">
        <v>150</v>
      </c>
      <c r="J40" s="43"/>
      <c r="K40" s="77"/>
      <c r="L40" s="15"/>
      <c r="M40" s="86"/>
      <c r="N40" s="15"/>
      <c r="O40" s="15"/>
      <c r="P40" s="15"/>
      <c r="Q40" s="43"/>
      <c r="R40" s="43"/>
      <c r="S40" s="43"/>
      <c r="T40" s="15"/>
      <c r="U40" s="15"/>
      <c r="V40" s="15"/>
      <c r="W40" s="15">
        <v>1</v>
      </c>
      <c r="X40" s="43"/>
      <c r="Y40" s="15"/>
      <c r="Z40" s="15"/>
      <c r="AA40" s="15"/>
      <c r="AB40" s="43"/>
      <c r="AC40" s="15"/>
      <c r="AD40" s="15"/>
      <c r="AE40" s="15"/>
      <c r="AF40" s="15"/>
      <c r="AG40" s="43"/>
      <c r="AH40" s="43"/>
      <c r="AI40" s="15"/>
      <c r="AJ40" s="15"/>
      <c r="AK40" s="44"/>
      <c r="AL40" s="15"/>
      <c r="AM40" s="15"/>
    </row>
    <row r="41" spans="1:39" s="14" customFormat="1" ht="41.25" customHeight="1">
      <c r="A41" s="35"/>
      <c r="B41" s="99">
        <v>46245</v>
      </c>
      <c r="C41" s="57">
        <v>8</v>
      </c>
      <c r="D41" s="18" t="s">
        <v>7</v>
      </c>
      <c r="E41" s="18" t="s">
        <v>140</v>
      </c>
      <c r="F41" s="15" t="s">
        <v>18</v>
      </c>
      <c r="G41" s="103" t="s">
        <v>170</v>
      </c>
      <c r="H41" s="19" t="s">
        <v>171</v>
      </c>
      <c r="I41" s="102" t="s">
        <v>150</v>
      </c>
      <c r="J41" s="43"/>
      <c r="K41" s="77"/>
      <c r="L41" s="15"/>
      <c r="M41" s="86"/>
      <c r="N41" s="15"/>
      <c r="O41" s="15"/>
      <c r="P41" s="15"/>
      <c r="Q41" s="43"/>
      <c r="R41" s="43"/>
      <c r="S41" s="43"/>
      <c r="T41" s="15"/>
      <c r="U41" s="15"/>
      <c r="V41" s="15"/>
      <c r="W41" s="15"/>
      <c r="X41" s="43"/>
      <c r="Y41" s="15"/>
      <c r="Z41" s="15"/>
      <c r="AA41" s="15"/>
      <c r="AB41" s="43"/>
      <c r="AC41" s="15"/>
      <c r="AD41" s="15"/>
      <c r="AE41" s="15"/>
      <c r="AF41" s="15"/>
      <c r="AG41" s="43"/>
      <c r="AH41" s="43"/>
      <c r="AI41" s="15"/>
      <c r="AJ41" s="15"/>
      <c r="AK41" s="44"/>
      <c r="AL41" s="15">
        <v>1</v>
      </c>
      <c r="AM41" s="15"/>
    </row>
    <row r="42" spans="1:39" s="14" customFormat="1" ht="41.25" customHeight="1">
      <c r="B42" s="99">
        <v>46245</v>
      </c>
      <c r="C42" s="57">
        <v>8</v>
      </c>
      <c r="D42" s="18" t="s">
        <v>7</v>
      </c>
      <c r="E42" s="18" t="s">
        <v>140</v>
      </c>
      <c r="F42" s="15" t="s">
        <v>18</v>
      </c>
      <c r="G42" s="103" t="s">
        <v>138</v>
      </c>
      <c r="H42" s="19" t="s">
        <v>171</v>
      </c>
      <c r="I42" s="102" t="s">
        <v>150</v>
      </c>
      <c r="J42" s="43"/>
      <c r="K42" s="77">
        <v>1</v>
      </c>
      <c r="L42" s="15"/>
      <c r="M42" s="86"/>
      <c r="N42" s="15"/>
      <c r="O42" s="15"/>
      <c r="P42" s="15"/>
      <c r="Q42" s="43"/>
      <c r="R42" s="43"/>
      <c r="S42" s="43"/>
      <c r="T42" s="15"/>
      <c r="U42" s="15"/>
      <c r="V42" s="15"/>
      <c r="W42" s="15"/>
      <c r="X42" s="43"/>
      <c r="Y42" s="15"/>
      <c r="Z42" s="15"/>
      <c r="AA42" s="15"/>
      <c r="AB42" s="43"/>
      <c r="AC42" s="15"/>
      <c r="AD42" s="15"/>
      <c r="AE42" s="15"/>
      <c r="AF42" s="15"/>
      <c r="AG42" s="43"/>
      <c r="AH42" s="43"/>
      <c r="AI42" s="15"/>
      <c r="AJ42" s="15"/>
      <c r="AK42" s="44"/>
      <c r="AL42" s="15"/>
      <c r="AM42" s="15"/>
    </row>
    <row r="43" spans="1:39" s="14" customFormat="1" ht="41.25" customHeight="1">
      <c r="B43" s="104">
        <v>46245</v>
      </c>
      <c r="C43" s="57">
        <v>8</v>
      </c>
      <c r="D43" s="18" t="s">
        <v>7</v>
      </c>
      <c r="E43" s="18" t="s">
        <v>140</v>
      </c>
      <c r="F43" s="15" t="s">
        <v>18</v>
      </c>
      <c r="G43" s="103" t="s">
        <v>138</v>
      </c>
      <c r="H43" s="19" t="s">
        <v>171</v>
      </c>
      <c r="I43" s="102" t="s">
        <v>150</v>
      </c>
      <c r="J43" s="43"/>
      <c r="K43" s="77"/>
      <c r="L43" s="15"/>
      <c r="M43" s="86"/>
      <c r="N43" s="15"/>
      <c r="O43" s="15"/>
      <c r="P43" s="15"/>
      <c r="Q43" s="43"/>
      <c r="R43" s="43"/>
      <c r="S43" s="43"/>
      <c r="T43" s="15"/>
      <c r="U43" s="15"/>
      <c r="V43" s="15"/>
      <c r="W43" s="15"/>
      <c r="X43" s="43"/>
      <c r="Y43" s="15"/>
      <c r="Z43" s="15"/>
      <c r="AA43" s="15"/>
      <c r="AB43" s="43"/>
      <c r="AC43" s="15"/>
      <c r="AD43" s="15">
        <v>10</v>
      </c>
      <c r="AE43" s="15"/>
      <c r="AF43" s="15"/>
      <c r="AG43" s="43"/>
      <c r="AH43" s="43"/>
      <c r="AI43" s="15"/>
      <c r="AJ43" s="15"/>
      <c r="AK43" s="44"/>
      <c r="AL43" s="15"/>
      <c r="AM43" s="15"/>
    </row>
    <row r="44" spans="1:39" s="14" customFormat="1" ht="41.25" customHeight="1">
      <c r="B44" s="112">
        <v>46246</v>
      </c>
      <c r="C44" s="57">
        <v>8</v>
      </c>
      <c r="D44" s="18" t="s">
        <v>7</v>
      </c>
      <c r="E44" s="100" t="s">
        <v>140</v>
      </c>
      <c r="F44" s="118" t="s">
        <v>88</v>
      </c>
      <c r="G44" s="103" t="s">
        <v>91</v>
      </c>
      <c r="H44" s="19" t="s">
        <v>171</v>
      </c>
      <c r="I44" s="103" t="s">
        <v>150</v>
      </c>
      <c r="J44" s="43"/>
      <c r="K44" s="77"/>
      <c r="L44" s="15"/>
      <c r="M44" s="86"/>
      <c r="N44" s="15"/>
      <c r="O44" s="15"/>
      <c r="P44" s="15"/>
      <c r="Q44" s="43"/>
      <c r="R44" s="43"/>
      <c r="S44" s="43"/>
      <c r="T44" s="15"/>
      <c r="U44" s="15"/>
      <c r="V44" s="15"/>
      <c r="W44" s="15"/>
      <c r="X44" s="43"/>
      <c r="Y44" s="15">
        <v>1</v>
      </c>
      <c r="Z44" s="15"/>
      <c r="AA44" s="15"/>
      <c r="AB44" s="43"/>
      <c r="AC44" s="15"/>
      <c r="AD44" s="15"/>
      <c r="AE44" s="15"/>
      <c r="AF44" s="15"/>
      <c r="AG44" s="43"/>
      <c r="AH44" s="43"/>
      <c r="AI44" s="15"/>
      <c r="AJ44" s="15"/>
      <c r="AK44" s="44"/>
      <c r="AL44" s="15"/>
      <c r="AM44" s="15"/>
    </row>
    <row r="45" spans="1:39" s="14" customFormat="1" ht="41.25" customHeight="1">
      <c r="B45" s="112">
        <v>46246</v>
      </c>
      <c r="C45" s="57">
        <v>8</v>
      </c>
      <c r="D45" s="18" t="s">
        <v>7</v>
      </c>
      <c r="E45" s="117" t="s">
        <v>78</v>
      </c>
      <c r="F45" s="119" t="s">
        <v>18</v>
      </c>
      <c r="G45" s="103" t="s">
        <v>91</v>
      </c>
      <c r="H45" s="19" t="s">
        <v>171</v>
      </c>
      <c r="I45" s="100" t="s">
        <v>150</v>
      </c>
      <c r="J45" s="43"/>
      <c r="K45" s="77"/>
      <c r="L45" s="15"/>
      <c r="M45" s="86"/>
      <c r="N45" s="15"/>
      <c r="O45" s="15"/>
      <c r="P45" s="15"/>
      <c r="Q45" s="43"/>
      <c r="R45" s="43"/>
      <c r="S45" s="43"/>
      <c r="T45" s="15"/>
      <c r="U45" s="15"/>
      <c r="V45" s="15"/>
      <c r="W45" s="15"/>
      <c r="X45" s="43"/>
      <c r="Y45" s="15"/>
      <c r="Z45" s="15"/>
      <c r="AA45" s="15"/>
      <c r="AB45" s="43"/>
      <c r="AC45" s="15"/>
      <c r="AD45" s="15">
        <v>10</v>
      </c>
      <c r="AE45" s="15"/>
      <c r="AF45" s="15"/>
      <c r="AG45" s="43"/>
      <c r="AH45" s="43"/>
      <c r="AI45" s="15"/>
      <c r="AJ45" s="15"/>
      <c r="AK45" s="44"/>
      <c r="AL45" s="15"/>
      <c r="AM45" s="15"/>
    </row>
    <row r="46" spans="1:39" s="14" customFormat="1" ht="41.25" customHeight="1">
      <c r="B46" s="113">
        <v>46248</v>
      </c>
      <c r="C46" s="57">
        <v>8</v>
      </c>
      <c r="D46" s="18" t="s">
        <v>7</v>
      </c>
      <c r="E46" s="100" t="s">
        <v>78</v>
      </c>
      <c r="F46" s="118" t="s">
        <v>18</v>
      </c>
      <c r="G46" s="103" t="s">
        <v>91</v>
      </c>
      <c r="H46" s="19" t="s">
        <v>171</v>
      </c>
      <c r="I46" s="100" t="s">
        <v>150</v>
      </c>
      <c r="J46" s="43"/>
      <c r="K46" s="77"/>
      <c r="L46" s="15"/>
      <c r="M46" s="86"/>
      <c r="N46" s="15"/>
      <c r="O46" s="15"/>
      <c r="P46" s="15"/>
      <c r="Q46" s="43"/>
      <c r="R46" s="43"/>
      <c r="S46" s="43"/>
      <c r="T46" s="15"/>
      <c r="U46" s="15"/>
      <c r="V46" s="15"/>
      <c r="W46" s="15"/>
      <c r="X46" s="43"/>
      <c r="Y46" s="15"/>
      <c r="Z46" s="15"/>
      <c r="AA46" s="15"/>
      <c r="AB46" s="43"/>
      <c r="AC46" s="15"/>
      <c r="AD46" s="15"/>
      <c r="AE46" s="15">
        <v>6</v>
      </c>
      <c r="AF46" s="15"/>
      <c r="AG46" s="43"/>
      <c r="AH46" s="43"/>
      <c r="AI46" s="15"/>
      <c r="AJ46" s="15"/>
      <c r="AK46" s="44"/>
      <c r="AL46" s="15"/>
      <c r="AM46" s="15"/>
    </row>
    <row r="47" spans="1:39" s="14" customFormat="1" ht="41.25" customHeight="1">
      <c r="B47" s="113">
        <v>46248</v>
      </c>
      <c r="C47" s="57">
        <v>8</v>
      </c>
      <c r="D47" s="18" t="s">
        <v>7</v>
      </c>
      <c r="E47" s="100" t="s">
        <v>78</v>
      </c>
      <c r="F47" s="118" t="s">
        <v>18</v>
      </c>
      <c r="G47" s="118" t="s">
        <v>172</v>
      </c>
      <c r="H47" s="19" t="s">
        <v>171</v>
      </c>
      <c r="I47" s="102" t="s">
        <v>150</v>
      </c>
      <c r="J47" s="43"/>
      <c r="K47" s="77">
        <v>1</v>
      </c>
      <c r="L47" s="15"/>
      <c r="M47" s="86"/>
      <c r="N47" s="15"/>
      <c r="O47" s="15"/>
      <c r="P47" s="15"/>
      <c r="Q47" s="43"/>
      <c r="R47" s="43"/>
      <c r="S47" s="43"/>
      <c r="T47" s="15"/>
      <c r="U47" s="15"/>
      <c r="V47" s="15"/>
      <c r="W47" s="15"/>
      <c r="X47" s="43"/>
      <c r="Y47" s="15"/>
      <c r="Z47" s="15"/>
      <c r="AA47" s="15"/>
      <c r="AB47" s="43"/>
      <c r="AC47" s="15"/>
      <c r="AD47" s="15"/>
      <c r="AE47" s="15"/>
      <c r="AF47" s="15"/>
      <c r="AG47" s="43"/>
      <c r="AH47" s="43"/>
      <c r="AI47" s="15"/>
      <c r="AJ47" s="15"/>
      <c r="AK47" s="44"/>
      <c r="AL47" s="15"/>
      <c r="AM47" s="15"/>
    </row>
    <row r="48" spans="1:39" s="14" customFormat="1" ht="41.25" customHeight="1">
      <c r="B48" s="113">
        <v>46248</v>
      </c>
      <c r="C48" s="57">
        <v>8</v>
      </c>
      <c r="D48" s="18" t="s">
        <v>7</v>
      </c>
      <c r="E48" s="100" t="s">
        <v>140</v>
      </c>
      <c r="F48" s="118" t="s">
        <v>88</v>
      </c>
      <c r="G48" s="118" t="s">
        <v>172</v>
      </c>
      <c r="H48" s="19" t="s">
        <v>171</v>
      </c>
      <c r="I48" s="102" t="s">
        <v>150</v>
      </c>
      <c r="J48" s="43"/>
      <c r="K48" s="77"/>
      <c r="L48" s="15"/>
      <c r="M48" s="86"/>
      <c r="N48" s="15"/>
      <c r="O48" s="15"/>
      <c r="P48" s="15"/>
      <c r="Q48" s="43"/>
      <c r="R48" s="43"/>
      <c r="S48" s="43"/>
      <c r="T48" s="15"/>
      <c r="U48" s="15"/>
      <c r="V48" s="15"/>
      <c r="W48" s="15"/>
      <c r="X48" s="43"/>
      <c r="Y48" s="15"/>
      <c r="Z48" s="15"/>
      <c r="AA48" s="15"/>
      <c r="AB48" s="43"/>
      <c r="AC48" s="15">
        <v>2</v>
      </c>
      <c r="AD48" s="15"/>
      <c r="AE48" s="15"/>
      <c r="AF48" s="15"/>
      <c r="AG48" s="43"/>
      <c r="AH48" s="43"/>
      <c r="AI48" s="15"/>
      <c r="AJ48" s="15"/>
      <c r="AK48" s="44"/>
      <c r="AL48" s="15"/>
      <c r="AM48" s="15"/>
    </row>
    <row r="49" spans="2:39" s="14" customFormat="1" ht="41.25" customHeight="1">
      <c r="B49" s="99">
        <v>46248</v>
      </c>
      <c r="C49" s="57">
        <v>8</v>
      </c>
      <c r="D49" s="18" t="s">
        <v>7</v>
      </c>
      <c r="E49" s="100" t="s">
        <v>140</v>
      </c>
      <c r="F49" s="118" t="s">
        <v>88</v>
      </c>
      <c r="G49" s="118" t="s">
        <v>172</v>
      </c>
      <c r="H49" s="19" t="s">
        <v>171</v>
      </c>
      <c r="I49" s="102" t="s">
        <v>150</v>
      </c>
      <c r="J49" s="43"/>
      <c r="K49" s="77"/>
      <c r="L49" s="15"/>
      <c r="M49" s="86"/>
      <c r="N49" s="15"/>
      <c r="O49" s="15"/>
      <c r="P49" s="15"/>
      <c r="Q49" s="43"/>
      <c r="R49" s="43"/>
      <c r="S49" s="43"/>
      <c r="T49" s="15"/>
      <c r="U49" s="15"/>
      <c r="V49" s="15"/>
      <c r="W49" s="15"/>
      <c r="X49" s="43"/>
      <c r="Y49" s="15">
        <v>1</v>
      </c>
      <c r="Z49" s="15"/>
      <c r="AA49" s="15"/>
      <c r="AB49" s="43"/>
      <c r="AC49" s="15"/>
      <c r="AD49" s="15"/>
      <c r="AE49" s="15"/>
      <c r="AF49" s="15"/>
      <c r="AG49" s="43"/>
      <c r="AH49" s="43"/>
      <c r="AI49" s="15"/>
      <c r="AJ49" s="15"/>
      <c r="AK49" s="44"/>
      <c r="AL49" s="15"/>
      <c r="AM49" s="15"/>
    </row>
    <row r="50" spans="2:39" s="14" customFormat="1" ht="41.25" customHeight="1">
      <c r="B50" s="113">
        <v>46248</v>
      </c>
      <c r="C50" s="57">
        <v>8</v>
      </c>
      <c r="D50" s="18" t="s">
        <v>7</v>
      </c>
      <c r="E50" s="100" t="s">
        <v>140</v>
      </c>
      <c r="F50" s="118" t="s">
        <v>88</v>
      </c>
      <c r="G50" s="100" t="s">
        <v>138</v>
      </c>
      <c r="H50" s="19" t="s">
        <v>171</v>
      </c>
      <c r="I50" s="102" t="s">
        <v>150</v>
      </c>
      <c r="J50" s="43"/>
      <c r="K50" s="77"/>
      <c r="L50" s="15"/>
      <c r="M50" s="86"/>
      <c r="N50" s="15"/>
      <c r="O50" s="15"/>
      <c r="P50" s="15"/>
      <c r="Q50" s="43"/>
      <c r="R50" s="43"/>
      <c r="S50" s="43"/>
      <c r="T50" s="15"/>
      <c r="U50" s="15"/>
      <c r="V50" s="15"/>
      <c r="W50" s="15"/>
      <c r="X50" s="43"/>
      <c r="Y50" s="15"/>
      <c r="Z50" s="15"/>
      <c r="AA50" s="15"/>
      <c r="AB50" s="43"/>
      <c r="AC50" s="15"/>
      <c r="AD50" s="15"/>
      <c r="AE50" s="15"/>
      <c r="AF50" s="15"/>
      <c r="AG50" s="43"/>
      <c r="AH50" s="43"/>
      <c r="AI50" s="15"/>
      <c r="AJ50" s="15">
        <v>1</v>
      </c>
      <c r="AK50" s="43"/>
      <c r="AL50" s="15"/>
      <c r="AM50" s="72"/>
    </row>
    <row r="51" spans="2:39" s="14" customFormat="1" ht="41.25" customHeight="1">
      <c r="B51" s="99">
        <v>46248</v>
      </c>
      <c r="C51" s="57">
        <v>8</v>
      </c>
      <c r="D51" s="18" t="s">
        <v>7</v>
      </c>
      <c r="E51" s="100" t="s">
        <v>140</v>
      </c>
      <c r="F51" s="118" t="s">
        <v>18</v>
      </c>
      <c r="G51" s="100" t="s">
        <v>138</v>
      </c>
      <c r="H51" s="19" t="s">
        <v>171</v>
      </c>
      <c r="I51" s="102" t="s">
        <v>149</v>
      </c>
      <c r="J51" s="44"/>
      <c r="K51" s="78"/>
      <c r="L51" s="19"/>
      <c r="M51" s="87"/>
      <c r="N51" s="19"/>
      <c r="O51" s="19"/>
      <c r="P51" s="19"/>
      <c r="Q51" s="44"/>
      <c r="R51" s="44"/>
      <c r="S51" s="44"/>
      <c r="T51" s="19"/>
      <c r="U51" s="19"/>
      <c r="V51" s="19"/>
      <c r="W51" s="19"/>
      <c r="X51" s="44"/>
      <c r="Y51" s="19"/>
      <c r="Z51" s="19"/>
      <c r="AA51" s="19"/>
      <c r="AB51" s="44"/>
      <c r="AC51" s="19"/>
      <c r="AD51" s="19">
        <v>10</v>
      </c>
      <c r="AE51" s="19"/>
      <c r="AF51" s="19"/>
      <c r="AG51" s="44"/>
      <c r="AH51" s="44"/>
      <c r="AI51" s="19"/>
      <c r="AJ51" s="19"/>
      <c r="AK51" s="43"/>
      <c r="AL51" s="19"/>
      <c r="AM51" s="19"/>
    </row>
    <row r="52" spans="2:39" s="14" customFormat="1" ht="41.25" customHeight="1">
      <c r="B52" s="113">
        <v>46248</v>
      </c>
      <c r="C52" s="57">
        <v>8</v>
      </c>
      <c r="D52" s="18" t="s">
        <v>7</v>
      </c>
      <c r="E52" s="100" t="s">
        <v>140</v>
      </c>
      <c r="F52" s="118" t="s">
        <v>18</v>
      </c>
      <c r="G52" s="100" t="s">
        <v>138</v>
      </c>
      <c r="H52" s="19" t="s">
        <v>171</v>
      </c>
      <c r="I52" s="102" t="s">
        <v>149</v>
      </c>
      <c r="J52" s="44"/>
      <c r="K52" s="78"/>
      <c r="L52" s="19"/>
      <c r="M52" s="87"/>
      <c r="N52" s="19"/>
      <c r="O52" s="19"/>
      <c r="P52" s="19"/>
      <c r="Q52" s="44"/>
      <c r="R52" s="44"/>
      <c r="S52" s="44"/>
      <c r="T52" s="19"/>
      <c r="U52" s="19"/>
      <c r="V52" s="19"/>
      <c r="W52" s="19"/>
      <c r="X52" s="44"/>
      <c r="Y52" s="19"/>
      <c r="Z52" s="19"/>
      <c r="AA52" s="19"/>
      <c r="AB52" s="44"/>
      <c r="AC52" s="19"/>
      <c r="AD52" s="19"/>
      <c r="AE52" s="19"/>
      <c r="AF52" s="19"/>
      <c r="AG52" s="44"/>
      <c r="AH52" s="44">
        <v>2</v>
      </c>
      <c r="AI52" s="19"/>
      <c r="AJ52" s="19"/>
      <c r="AK52" s="44"/>
      <c r="AL52" s="19"/>
      <c r="AM52" s="19"/>
    </row>
    <row r="53" spans="2:39" s="14" customFormat="1" ht="41.25" customHeight="1">
      <c r="B53" s="99">
        <v>46248</v>
      </c>
      <c r="C53" s="57">
        <v>8</v>
      </c>
      <c r="D53" s="18" t="s">
        <v>7</v>
      </c>
      <c r="E53" s="100" t="s">
        <v>140</v>
      </c>
      <c r="F53" s="118" t="s">
        <v>18</v>
      </c>
      <c r="G53" s="100" t="s">
        <v>138</v>
      </c>
      <c r="H53" s="19" t="s">
        <v>171</v>
      </c>
      <c r="I53" s="102" t="s">
        <v>149</v>
      </c>
      <c r="J53" s="43"/>
      <c r="K53" s="77"/>
      <c r="L53" s="15"/>
      <c r="M53" s="86"/>
      <c r="N53" s="15"/>
      <c r="O53" s="15"/>
      <c r="P53" s="15"/>
      <c r="Q53" s="43"/>
      <c r="R53" s="43"/>
      <c r="S53" s="43"/>
      <c r="T53" s="15"/>
      <c r="U53" s="15"/>
      <c r="V53" s="15"/>
      <c r="W53" s="15"/>
      <c r="X53" s="43"/>
      <c r="Y53" s="15"/>
      <c r="Z53" s="15"/>
      <c r="AA53" s="15"/>
      <c r="AB53" s="43"/>
      <c r="AC53" s="15"/>
      <c r="AD53" s="15"/>
      <c r="AE53" s="15"/>
      <c r="AF53" s="15"/>
      <c r="AG53" s="43"/>
      <c r="AH53" s="43">
        <v>2</v>
      </c>
      <c r="AI53" s="15"/>
      <c r="AJ53" s="15"/>
      <c r="AK53" s="44"/>
      <c r="AL53" s="15"/>
      <c r="AM53" s="15"/>
    </row>
    <row r="54" spans="2:39" s="14" customFormat="1" ht="41.25" customHeight="1">
      <c r="B54" s="113">
        <v>46248</v>
      </c>
      <c r="C54" s="57">
        <v>8</v>
      </c>
      <c r="D54" s="18" t="s">
        <v>7</v>
      </c>
      <c r="E54" s="100" t="s">
        <v>140</v>
      </c>
      <c r="F54" s="118" t="s">
        <v>18</v>
      </c>
      <c r="G54" s="100" t="s">
        <v>167</v>
      </c>
      <c r="H54" s="19" t="s">
        <v>171</v>
      </c>
      <c r="I54" s="102" t="s">
        <v>149</v>
      </c>
      <c r="J54" s="43"/>
      <c r="K54" s="77"/>
      <c r="L54" s="15"/>
      <c r="M54" s="86"/>
      <c r="N54" s="15"/>
      <c r="O54" s="15">
        <v>2</v>
      </c>
      <c r="P54" s="15"/>
      <c r="Q54" s="43"/>
      <c r="R54" s="43"/>
      <c r="S54" s="43"/>
      <c r="T54" s="15"/>
      <c r="U54" s="15"/>
      <c r="V54" s="15"/>
      <c r="W54" s="15"/>
      <c r="X54" s="43"/>
      <c r="Y54" s="15"/>
      <c r="Z54" s="15"/>
      <c r="AA54" s="15"/>
      <c r="AB54" s="43"/>
      <c r="AC54" s="15"/>
      <c r="AD54" s="15"/>
      <c r="AE54" s="15"/>
      <c r="AF54" s="15"/>
      <c r="AG54" s="43"/>
      <c r="AH54" s="43"/>
      <c r="AI54" s="15"/>
      <c r="AJ54" s="15"/>
      <c r="AK54" s="43"/>
      <c r="AL54" s="15"/>
      <c r="AM54" s="15"/>
    </row>
    <row r="55" spans="2:39" s="14" customFormat="1" ht="41.25" customHeight="1">
      <c r="B55" s="99">
        <v>46248</v>
      </c>
      <c r="C55" s="57">
        <v>8</v>
      </c>
      <c r="D55" s="18" t="s">
        <v>7</v>
      </c>
      <c r="E55" s="100" t="s">
        <v>78</v>
      </c>
      <c r="F55" s="118" t="s">
        <v>88</v>
      </c>
      <c r="G55" s="100" t="s">
        <v>137</v>
      </c>
      <c r="H55" s="19" t="s">
        <v>171</v>
      </c>
      <c r="I55" s="102" t="s">
        <v>150</v>
      </c>
      <c r="J55" s="44"/>
      <c r="K55" s="78"/>
      <c r="L55" s="19"/>
      <c r="M55" s="87"/>
      <c r="N55" s="19"/>
      <c r="O55" s="19"/>
      <c r="P55" s="19">
        <v>2</v>
      </c>
      <c r="Q55" s="44"/>
      <c r="R55" s="44"/>
      <c r="S55" s="44"/>
      <c r="T55" s="19"/>
      <c r="U55" s="19"/>
      <c r="V55" s="19"/>
      <c r="W55" s="19"/>
      <c r="X55" s="44"/>
      <c r="Y55" s="19"/>
      <c r="Z55" s="19"/>
      <c r="AA55" s="19"/>
      <c r="AB55" s="44"/>
      <c r="AC55" s="19"/>
      <c r="AD55" s="19"/>
      <c r="AE55" s="19"/>
      <c r="AF55" s="19"/>
      <c r="AG55" s="44"/>
      <c r="AH55" s="44"/>
      <c r="AI55" s="19"/>
      <c r="AJ55" s="19"/>
      <c r="AK55" s="43"/>
      <c r="AL55" s="19"/>
      <c r="AM55" s="19"/>
    </row>
    <row r="56" spans="2:39" s="14" customFormat="1" ht="41.25" customHeight="1">
      <c r="B56" s="99">
        <v>46249</v>
      </c>
      <c r="C56" s="57">
        <v>8</v>
      </c>
      <c r="D56" s="18" t="s">
        <v>7</v>
      </c>
      <c r="E56" s="100" t="s">
        <v>140</v>
      </c>
      <c r="F56" s="120" t="s">
        <v>88</v>
      </c>
      <c r="G56" s="100" t="s">
        <v>137</v>
      </c>
      <c r="H56" s="19" t="s">
        <v>171</v>
      </c>
      <c r="I56" s="102" t="s">
        <v>150</v>
      </c>
      <c r="J56" s="47"/>
      <c r="K56" s="79"/>
      <c r="L56" s="22"/>
      <c r="M56" s="88"/>
      <c r="N56" s="22"/>
      <c r="O56" s="22"/>
      <c r="P56" s="22"/>
      <c r="Q56" s="47"/>
      <c r="R56" s="47"/>
      <c r="S56" s="47"/>
      <c r="T56" s="22"/>
      <c r="U56" s="22"/>
      <c r="V56" s="22"/>
      <c r="W56" s="22"/>
      <c r="X56" s="47"/>
      <c r="Y56" s="22"/>
      <c r="Z56" s="22"/>
      <c r="AA56" s="22"/>
      <c r="AB56" s="47"/>
      <c r="AC56" s="22"/>
      <c r="AD56" s="22"/>
      <c r="AE56" s="22"/>
      <c r="AF56" s="22"/>
      <c r="AG56" s="47"/>
      <c r="AH56" s="47"/>
      <c r="AI56" s="22"/>
      <c r="AJ56" s="124">
        <v>1</v>
      </c>
      <c r="AK56" s="44"/>
      <c r="AL56" s="22"/>
      <c r="AM56" s="22"/>
    </row>
    <row r="57" spans="2:39" s="14" customFormat="1" ht="41.25" customHeight="1">
      <c r="B57" s="97">
        <v>46250</v>
      </c>
      <c r="C57" s="57">
        <v>8</v>
      </c>
      <c r="D57" s="18" t="s">
        <v>7</v>
      </c>
      <c r="E57" s="100" t="s">
        <v>140</v>
      </c>
      <c r="F57" s="118" t="s">
        <v>88</v>
      </c>
      <c r="G57" s="100" t="s">
        <v>161</v>
      </c>
      <c r="H57" s="19" t="s">
        <v>171</v>
      </c>
      <c r="I57" s="102" t="s">
        <v>150</v>
      </c>
      <c r="J57" s="47"/>
      <c r="K57" s="79">
        <v>1</v>
      </c>
      <c r="L57" s="22"/>
      <c r="M57" s="88"/>
      <c r="N57" s="22"/>
      <c r="O57" s="22"/>
      <c r="P57" s="22"/>
      <c r="Q57" s="47"/>
      <c r="R57" s="47"/>
      <c r="S57" s="47"/>
      <c r="T57" s="22"/>
      <c r="U57" s="22"/>
      <c r="V57" s="22"/>
      <c r="W57" s="22"/>
      <c r="X57" s="47"/>
      <c r="Y57" s="22"/>
      <c r="Z57" s="22"/>
      <c r="AA57" s="22"/>
      <c r="AB57" s="47"/>
      <c r="AC57" s="22"/>
      <c r="AD57" s="22"/>
      <c r="AE57" s="22"/>
      <c r="AF57" s="22"/>
      <c r="AG57" s="47"/>
      <c r="AH57" s="47"/>
      <c r="AI57" s="22"/>
      <c r="AJ57" s="124"/>
      <c r="AK57" s="47"/>
      <c r="AL57" s="22"/>
      <c r="AM57" s="22"/>
    </row>
    <row r="58" spans="2:39" s="14" customFormat="1" ht="41.25" customHeight="1">
      <c r="B58" s="99">
        <v>46250</v>
      </c>
      <c r="C58" s="57">
        <v>8</v>
      </c>
      <c r="D58" s="18" t="s">
        <v>7</v>
      </c>
      <c r="E58" s="115" t="s">
        <v>78</v>
      </c>
      <c r="F58" s="121" t="s">
        <v>88</v>
      </c>
      <c r="G58" s="100" t="s">
        <v>161</v>
      </c>
      <c r="H58" s="19" t="s">
        <v>171</v>
      </c>
      <c r="I58" s="114" t="s">
        <v>150</v>
      </c>
      <c r="J58" s="47"/>
      <c r="K58" s="79"/>
      <c r="L58" s="22"/>
      <c r="M58" s="88"/>
      <c r="N58" s="22"/>
      <c r="O58" s="22"/>
      <c r="P58" s="22"/>
      <c r="Q58" s="47"/>
      <c r="R58" s="47"/>
      <c r="S58" s="47"/>
      <c r="T58" s="22"/>
      <c r="U58" s="22"/>
      <c r="V58" s="22"/>
      <c r="W58" s="22"/>
      <c r="X58" s="47"/>
      <c r="Y58" s="22"/>
      <c r="Z58" s="22"/>
      <c r="AA58" s="22"/>
      <c r="AB58" s="47"/>
      <c r="AC58" s="22"/>
      <c r="AD58" s="22"/>
      <c r="AE58" s="22"/>
      <c r="AF58" s="22"/>
      <c r="AG58" s="47"/>
      <c r="AH58" s="47"/>
      <c r="AI58" s="22"/>
      <c r="AJ58" s="124">
        <v>1</v>
      </c>
      <c r="AK58" s="47"/>
      <c r="AL58" s="22"/>
      <c r="AM58" s="22"/>
    </row>
    <row r="59" spans="2:39" s="14" customFormat="1" ht="41.25" customHeight="1">
      <c r="B59" s="99">
        <v>46250</v>
      </c>
      <c r="C59" s="57">
        <v>8</v>
      </c>
      <c r="D59" s="18" t="s">
        <v>7</v>
      </c>
      <c r="E59" s="115" t="s">
        <v>78</v>
      </c>
      <c r="F59" s="121" t="s">
        <v>88</v>
      </c>
      <c r="G59" s="100" t="s">
        <v>152</v>
      </c>
      <c r="H59" s="19" t="s">
        <v>171</v>
      </c>
      <c r="I59" s="114" t="s">
        <v>150</v>
      </c>
      <c r="J59" s="47"/>
      <c r="K59" s="79"/>
      <c r="L59" s="22"/>
      <c r="M59" s="88"/>
      <c r="N59" s="22"/>
      <c r="O59" s="22"/>
      <c r="P59" s="22"/>
      <c r="Q59" s="47"/>
      <c r="R59" s="47"/>
      <c r="S59" s="47"/>
      <c r="T59" s="22"/>
      <c r="U59" s="22"/>
      <c r="V59" s="22"/>
      <c r="W59" s="22"/>
      <c r="X59" s="47"/>
      <c r="Y59" s="22"/>
      <c r="Z59" s="22"/>
      <c r="AA59" s="22"/>
      <c r="AB59" s="47"/>
      <c r="AC59" s="22">
        <v>3</v>
      </c>
      <c r="AD59" s="22"/>
      <c r="AE59" s="22"/>
      <c r="AF59" s="22"/>
      <c r="AG59" s="47"/>
      <c r="AH59" s="47"/>
      <c r="AI59" s="22"/>
      <c r="AJ59" s="22"/>
      <c r="AK59" s="47"/>
      <c r="AL59" s="22"/>
      <c r="AM59" s="22"/>
    </row>
    <row r="60" spans="2:39" s="14" customFormat="1" ht="41.25" customHeight="1">
      <c r="B60" s="99">
        <v>46250</v>
      </c>
      <c r="C60" s="57">
        <v>8</v>
      </c>
      <c r="D60" s="18" t="s">
        <v>7</v>
      </c>
      <c r="E60" s="115" t="s">
        <v>78</v>
      </c>
      <c r="F60" s="121" t="s">
        <v>88</v>
      </c>
      <c r="G60" s="100" t="s">
        <v>138</v>
      </c>
      <c r="H60" s="19" t="s">
        <v>171</v>
      </c>
      <c r="I60" s="114" t="s">
        <v>150</v>
      </c>
      <c r="J60" s="47"/>
      <c r="K60" s="79">
        <v>1</v>
      </c>
      <c r="L60" s="22"/>
      <c r="M60" s="88"/>
      <c r="N60" s="22"/>
      <c r="O60" s="22"/>
      <c r="P60" s="22"/>
      <c r="Q60" s="47"/>
      <c r="R60" s="47"/>
      <c r="S60" s="47"/>
      <c r="T60" s="22"/>
      <c r="U60" s="22"/>
      <c r="V60" s="22"/>
      <c r="W60" s="22"/>
      <c r="X60" s="47"/>
      <c r="Y60" s="22"/>
      <c r="Z60" s="22"/>
      <c r="AA60" s="22"/>
      <c r="AB60" s="47"/>
      <c r="AC60" s="22"/>
      <c r="AD60" s="22"/>
      <c r="AE60" s="22"/>
      <c r="AF60" s="22"/>
      <c r="AG60" s="47"/>
      <c r="AH60" s="47"/>
      <c r="AI60" s="22"/>
      <c r="AJ60" s="22"/>
      <c r="AK60" s="47"/>
      <c r="AL60" s="22"/>
      <c r="AM60" s="22"/>
    </row>
    <row r="61" spans="2:39" s="14" customFormat="1" ht="41.25" customHeight="1">
      <c r="B61" s="99">
        <v>46251</v>
      </c>
      <c r="C61" s="57">
        <v>8</v>
      </c>
      <c r="D61" s="18" t="s">
        <v>7</v>
      </c>
      <c r="E61" s="115" t="s">
        <v>140</v>
      </c>
      <c r="F61" s="121" t="s">
        <v>88</v>
      </c>
      <c r="G61" s="100" t="s">
        <v>152</v>
      </c>
      <c r="H61" s="19" t="s">
        <v>171</v>
      </c>
      <c r="I61" s="114" t="s">
        <v>150</v>
      </c>
      <c r="J61" s="43"/>
      <c r="K61" s="77"/>
      <c r="L61" s="15"/>
      <c r="M61" s="86"/>
      <c r="N61" s="15"/>
      <c r="O61" s="15"/>
      <c r="P61" s="15"/>
      <c r="Q61" s="43"/>
      <c r="R61" s="43"/>
      <c r="S61" s="43"/>
      <c r="T61" s="15"/>
      <c r="U61" s="15"/>
      <c r="V61" s="15"/>
      <c r="W61" s="15"/>
      <c r="X61" s="43"/>
      <c r="Y61" s="15"/>
      <c r="Z61" s="15"/>
      <c r="AA61" s="15"/>
      <c r="AB61" s="43"/>
      <c r="AC61" s="15"/>
      <c r="AD61" s="15"/>
      <c r="AE61" s="15"/>
      <c r="AF61" s="15"/>
      <c r="AG61" s="43"/>
      <c r="AH61" s="43"/>
      <c r="AI61" s="15"/>
      <c r="AJ61" s="15">
        <v>1</v>
      </c>
      <c r="AK61" s="47"/>
      <c r="AL61" s="15"/>
      <c r="AM61" s="15"/>
    </row>
    <row r="62" spans="2:39" s="14" customFormat="1" ht="41.25" customHeight="1">
      <c r="B62" s="99">
        <v>46251</v>
      </c>
      <c r="C62" s="57">
        <v>8</v>
      </c>
      <c r="D62" s="18" t="s">
        <v>7</v>
      </c>
      <c r="E62" s="115" t="s">
        <v>140</v>
      </c>
      <c r="F62" s="121" t="s">
        <v>88</v>
      </c>
      <c r="G62" s="120" t="s">
        <v>161</v>
      </c>
      <c r="H62" s="19" t="s">
        <v>171</v>
      </c>
      <c r="I62" s="114" t="s">
        <v>150</v>
      </c>
      <c r="J62" s="43"/>
      <c r="K62" s="77"/>
      <c r="L62" s="15"/>
      <c r="M62" s="86"/>
      <c r="N62" s="15"/>
      <c r="O62" s="15"/>
      <c r="P62" s="15"/>
      <c r="Q62" s="43"/>
      <c r="R62" s="43"/>
      <c r="S62" s="43"/>
      <c r="T62" s="15"/>
      <c r="U62" s="15"/>
      <c r="V62" s="15"/>
      <c r="W62" s="15"/>
      <c r="X62" s="43"/>
      <c r="Y62" s="15"/>
      <c r="Z62" s="15"/>
      <c r="AA62" s="15"/>
      <c r="AB62" s="43"/>
      <c r="AC62" s="15">
        <v>2</v>
      </c>
      <c r="AD62" s="15"/>
      <c r="AE62" s="15"/>
      <c r="AF62" s="15"/>
      <c r="AG62" s="43"/>
      <c r="AH62" s="43"/>
      <c r="AI62" s="15"/>
      <c r="AJ62" s="15"/>
      <c r="AK62" s="43"/>
      <c r="AL62" s="15"/>
      <c r="AM62" s="15"/>
    </row>
    <row r="63" spans="2:39" s="14" customFormat="1" ht="41.25" customHeight="1">
      <c r="B63" s="99">
        <v>46251</v>
      </c>
      <c r="C63" s="57">
        <v>8</v>
      </c>
      <c r="D63" s="18" t="s">
        <v>7</v>
      </c>
      <c r="E63" s="115" t="s">
        <v>78</v>
      </c>
      <c r="F63" s="121" t="s">
        <v>18</v>
      </c>
      <c r="G63" s="123" t="s">
        <v>137</v>
      </c>
      <c r="H63" s="19" t="s">
        <v>171</v>
      </c>
      <c r="I63" s="114" t="s">
        <v>149</v>
      </c>
      <c r="J63" s="43"/>
      <c r="K63" s="77"/>
      <c r="L63" s="15"/>
      <c r="M63" s="86"/>
      <c r="N63" s="15"/>
      <c r="O63" s="15"/>
      <c r="P63" s="15"/>
      <c r="Q63" s="43"/>
      <c r="R63" s="43"/>
      <c r="S63" s="43"/>
      <c r="T63" s="15"/>
      <c r="U63" s="15"/>
      <c r="V63" s="15"/>
      <c r="W63" s="15"/>
      <c r="X63" s="43"/>
      <c r="Y63" s="15"/>
      <c r="Z63" s="15"/>
      <c r="AA63" s="15"/>
      <c r="AB63" s="43"/>
      <c r="AC63" s="15"/>
      <c r="AD63" s="15"/>
      <c r="AE63" s="15"/>
      <c r="AF63" s="15"/>
      <c r="AG63" s="43">
        <v>2</v>
      </c>
      <c r="AH63" s="43"/>
      <c r="AI63" s="15"/>
      <c r="AJ63" s="15"/>
      <c r="AK63" s="43"/>
      <c r="AL63" s="15"/>
      <c r="AM63" s="15"/>
    </row>
    <row r="64" spans="2:39" s="14" customFormat="1" ht="41.25" customHeight="1">
      <c r="B64" s="99">
        <v>46251</v>
      </c>
      <c r="C64" s="57">
        <v>8</v>
      </c>
      <c r="D64" s="18" t="s">
        <v>7</v>
      </c>
      <c r="E64" s="115" t="s">
        <v>140</v>
      </c>
      <c r="F64" s="121" t="s">
        <v>88</v>
      </c>
      <c r="G64" s="100" t="s">
        <v>137</v>
      </c>
      <c r="H64" s="19" t="s">
        <v>171</v>
      </c>
      <c r="I64" s="114" t="s">
        <v>150</v>
      </c>
      <c r="J64" s="15"/>
      <c r="K64" s="80"/>
      <c r="L64" s="15"/>
      <c r="M64" s="86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43"/>
      <c r="AL64" s="15">
        <v>2</v>
      </c>
      <c r="AM64" s="15"/>
    </row>
    <row r="65" spans="2:39" s="14" customFormat="1" ht="41.25" customHeight="1">
      <c r="B65" s="99">
        <v>46254</v>
      </c>
      <c r="C65" s="57">
        <v>8</v>
      </c>
      <c r="D65" s="18" t="s">
        <v>7</v>
      </c>
      <c r="E65" s="115" t="s">
        <v>140</v>
      </c>
      <c r="F65" s="118" t="s">
        <v>88</v>
      </c>
      <c r="G65" s="100" t="s">
        <v>173</v>
      </c>
      <c r="H65" s="19" t="s">
        <v>171</v>
      </c>
      <c r="I65" s="102" t="s">
        <v>150</v>
      </c>
      <c r="J65" s="15"/>
      <c r="K65" s="80">
        <v>1</v>
      </c>
      <c r="L65" s="15"/>
      <c r="M65" s="8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</row>
    <row r="66" spans="2:39" s="14" customFormat="1" ht="41.25" customHeight="1">
      <c r="B66" s="99">
        <v>46254</v>
      </c>
      <c r="C66" s="57">
        <v>8</v>
      </c>
      <c r="D66" s="18" t="s">
        <v>7</v>
      </c>
      <c r="E66" s="115" t="s">
        <v>140</v>
      </c>
      <c r="F66" s="118" t="s">
        <v>88</v>
      </c>
      <c r="G66" s="100" t="s">
        <v>173</v>
      </c>
      <c r="H66" s="19" t="s">
        <v>171</v>
      </c>
      <c r="I66" s="102" t="s">
        <v>150</v>
      </c>
      <c r="J66" s="15"/>
      <c r="K66" s="80"/>
      <c r="L66" s="15"/>
      <c r="M66" s="86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>
        <v>2</v>
      </c>
      <c r="AI66" s="15"/>
      <c r="AJ66" s="15"/>
      <c r="AK66" s="15"/>
      <c r="AL66" s="15"/>
      <c r="AM66" s="15"/>
    </row>
    <row r="67" spans="2:39" s="14" customFormat="1" ht="41.25" customHeight="1">
      <c r="B67" s="99">
        <v>46254</v>
      </c>
      <c r="C67" s="57">
        <v>8</v>
      </c>
      <c r="D67" s="18" t="s">
        <v>7</v>
      </c>
      <c r="E67" s="115" t="s">
        <v>140</v>
      </c>
      <c r="F67" s="118" t="s">
        <v>88</v>
      </c>
      <c r="G67" s="100" t="s">
        <v>131</v>
      </c>
      <c r="H67" s="19" t="s">
        <v>171</v>
      </c>
      <c r="I67" s="102" t="s">
        <v>150</v>
      </c>
      <c r="J67" s="22"/>
      <c r="K67" s="81"/>
      <c r="L67" s="22"/>
      <c r="M67" s="88"/>
      <c r="N67" s="22"/>
      <c r="O67" s="22"/>
      <c r="P67" s="22"/>
      <c r="Q67" s="22"/>
      <c r="R67" s="22"/>
      <c r="S67" s="22">
        <v>1</v>
      </c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15"/>
      <c r="AL67" s="22"/>
      <c r="AM67" s="22"/>
    </row>
    <row r="68" spans="2:39" s="14" customFormat="1" ht="41.25" customHeight="1">
      <c r="B68" s="99">
        <v>46254</v>
      </c>
      <c r="C68" s="57">
        <v>8</v>
      </c>
      <c r="D68" s="18" t="s">
        <v>7</v>
      </c>
      <c r="E68" s="115" t="s">
        <v>78</v>
      </c>
      <c r="F68" s="118" t="s">
        <v>88</v>
      </c>
      <c r="G68" s="100" t="s">
        <v>91</v>
      </c>
      <c r="H68" s="19" t="s">
        <v>171</v>
      </c>
      <c r="I68" s="102" t="s">
        <v>150</v>
      </c>
      <c r="J68" s="22"/>
      <c r="K68" s="81">
        <v>1</v>
      </c>
      <c r="L68" s="22"/>
      <c r="M68" s="88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</row>
    <row r="69" spans="2:39" s="14" customFormat="1" ht="41.25" customHeight="1">
      <c r="B69" s="99">
        <v>46254</v>
      </c>
      <c r="C69" s="57">
        <v>8</v>
      </c>
      <c r="D69" s="18" t="s">
        <v>7</v>
      </c>
      <c r="E69" s="115" t="s">
        <v>140</v>
      </c>
      <c r="F69" s="118" t="s">
        <v>88</v>
      </c>
      <c r="G69" s="100" t="s">
        <v>91</v>
      </c>
      <c r="H69" s="19" t="s">
        <v>171</v>
      </c>
      <c r="I69" s="102" t="s">
        <v>150</v>
      </c>
      <c r="J69" s="15"/>
      <c r="K69" s="80"/>
      <c r="L69" s="15"/>
      <c r="M69" s="86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>
        <v>1</v>
      </c>
      <c r="AK69" s="22"/>
      <c r="AL69" s="15"/>
      <c r="AM69" s="15"/>
    </row>
    <row r="70" spans="2:39" s="14" customFormat="1" ht="41.25" customHeight="1">
      <c r="B70" s="99">
        <v>46254</v>
      </c>
      <c r="C70" s="57">
        <v>8</v>
      </c>
      <c r="D70" s="18" t="s">
        <v>7</v>
      </c>
      <c r="E70" s="115" t="s">
        <v>140</v>
      </c>
      <c r="F70" s="118" t="s">
        <v>88</v>
      </c>
      <c r="G70" s="116" t="s">
        <v>137</v>
      </c>
      <c r="H70" s="19" t="s">
        <v>171</v>
      </c>
      <c r="I70" s="102" t="s">
        <v>150</v>
      </c>
      <c r="J70" s="15"/>
      <c r="K70" s="80"/>
      <c r="L70" s="15"/>
      <c r="M70" s="86"/>
      <c r="N70" s="15"/>
      <c r="O70" s="15"/>
      <c r="P70" s="15"/>
      <c r="Q70" s="15"/>
      <c r="R70" s="15"/>
      <c r="S70" s="15"/>
      <c r="T70" s="15"/>
      <c r="U70" s="15"/>
      <c r="V70" s="15"/>
      <c r="W70" s="15">
        <v>1</v>
      </c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</row>
    <row r="71" spans="2:39" s="14" customFormat="1" ht="41.25" customHeight="1">
      <c r="B71" s="99">
        <v>46254</v>
      </c>
      <c r="C71" s="57">
        <v>8</v>
      </c>
      <c r="D71" s="18" t="s">
        <v>7</v>
      </c>
      <c r="E71" s="116" t="s">
        <v>140</v>
      </c>
      <c r="F71" s="120" t="s">
        <v>88</v>
      </c>
      <c r="G71" s="116" t="s">
        <v>137</v>
      </c>
      <c r="H71" s="19" t="s">
        <v>171</v>
      </c>
      <c r="I71" s="102" t="s">
        <v>150</v>
      </c>
      <c r="J71" s="15"/>
      <c r="K71" s="80"/>
      <c r="L71" s="15"/>
      <c r="M71" s="86"/>
      <c r="N71" s="15"/>
      <c r="O71" s="15">
        <v>2</v>
      </c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</row>
    <row r="72" spans="2:39" s="14" customFormat="1" ht="41.25" customHeight="1">
      <c r="B72" s="97">
        <v>46256</v>
      </c>
      <c r="C72" s="57">
        <v>8</v>
      </c>
      <c r="D72" s="18" t="s">
        <v>7</v>
      </c>
      <c r="E72" s="116" t="s">
        <v>140</v>
      </c>
      <c r="F72" s="120" t="s">
        <v>88</v>
      </c>
      <c r="G72" s="116" t="s">
        <v>138</v>
      </c>
      <c r="H72" s="19" t="s">
        <v>171</v>
      </c>
      <c r="I72" s="102" t="s">
        <v>150</v>
      </c>
      <c r="J72" s="15"/>
      <c r="K72" s="80"/>
      <c r="L72" s="15"/>
      <c r="M72" s="86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>
        <v>2</v>
      </c>
      <c r="AI72" s="15"/>
      <c r="AJ72" s="15"/>
      <c r="AK72" s="15"/>
      <c r="AL72" s="15"/>
      <c r="AM72" s="15"/>
    </row>
    <row r="73" spans="2:39" ht="41.25" customHeight="1">
      <c r="B73" s="97">
        <v>46256</v>
      </c>
      <c r="C73" s="57">
        <v>8</v>
      </c>
      <c r="D73" s="18" t="s">
        <v>7</v>
      </c>
      <c r="E73" s="116" t="s">
        <v>78</v>
      </c>
      <c r="F73" s="120" t="s">
        <v>88</v>
      </c>
      <c r="G73" s="116" t="s">
        <v>138</v>
      </c>
      <c r="H73" s="19" t="s">
        <v>171</v>
      </c>
      <c r="I73" s="102" t="s">
        <v>150</v>
      </c>
      <c r="J73" s="15"/>
      <c r="K73" s="80"/>
      <c r="L73" s="15"/>
      <c r="M73" s="86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>
        <v>2</v>
      </c>
      <c r="AH73" s="15"/>
      <c r="AI73" s="15"/>
      <c r="AJ73" s="15"/>
      <c r="AK73" s="15"/>
      <c r="AL73" s="15"/>
      <c r="AM73" s="15"/>
    </row>
    <row r="74" spans="2:39" ht="41.25" customHeight="1">
      <c r="B74" s="97">
        <v>46256</v>
      </c>
      <c r="C74" s="57">
        <v>8</v>
      </c>
      <c r="D74" s="18" t="s">
        <v>7</v>
      </c>
      <c r="E74" s="116" t="s">
        <v>78</v>
      </c>
      <c r="F74" s="120" t="s">
        <v>88</v>
      </c>
      <c r="G74" s="100" t="s">
        <v>167</v>
      </c>
      <c r="H74" s="19" t="s">
        <v>171</v>
      </c>
      <c r="I74" s="102" t="s">
        <v>150</v>
      </c>
      <c r="J74" s="19"/>
      <c r="K74" s="82"/>
      <c r="L74" s="19">
        <v>2</v>
      </c>
      <c r="M74" s="87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5"/>
      <c r="AL74" s="19"/>
      <c r="AM74" s="19"/>
    </row>
    <row r="75" spans="2:39" ht="41.25" customHeight="1">
      <c r="B75" s="97">
        <v>46256</v>
      </c>
      <c r="C75" s="57">
        <v>8</v>
      </c>
      <c r="D75" s="18" t="s">
        <v>7</v>
      </c>
      <c r="E75" s="116" t="s">
        <v>140</v>
      </c>
      <c r="F75" s="120" t="s">
        <v>18</v>
      </c>
      <c r="G75" s="100" t="s">
        <v>167</v>
      </c>
      <c r="H75" s="19" t="s">
        <v>171</v>
      </c>
      <c r="I75" s="102" t="s">
        <v>149</v>
      </c>
      <c r="J75" s="15">
        <v>1</v>
      </c>
      <c r="K75" s="80"/>
      <c r="L75" s="15"/>
      <c r="M75" s="8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9"/>
      <c r="AL75" s="15"/>
      <c r="AM75" s="15"/>
    </row>
    <row r="76" spans="2:39" ht="41.25" customHeight="1">
      <c r="B76" s="97">
        <v>46256</v>
      </c>
      <c r="C76" s="57">
        <v>8</v>
      </c>
      <c r="D76" s="18" t="s">
        <v>7</v>
      </c>
      <c r="E76" s="116" t="s">
        <v>140</v>
      </c>
      <c r="F76" s="120" t="s">
        <v>18</v>
      </c>
      <c r="G76" s="100" t="s">
        <v>167</v>
      </c>
      <c r="H76" s="19" t="s">
        <v>171</v>
      </c>
      <c r="I76" s="102" t="s">
        <v>149</v>
      </c>
      <c r="J76" s="15"/>
      <c r="K76" s="80">
        <v>1</v>
      </c>
      <c r="L76" s="15"/>
      <c r="M76" s="86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</row>
    <row r="77" spans="2:39" ht="41.25" customHeight="1">
      <c r="B77" s="97">
        <v>46256</v>
      </c>
      <c r="C77" s="57">
        <v>8</v>
      </c>
      <c r="D77" s="18" t="s">
        <v>7</v>
      </c>
      <c r="E77" s="116" t="s">
        <v>140</v>
      </c>
      <c r="F77" s="120" t="s">
        <v>18</v>
      </c>
      <c r="G77" s="100" t="s">
        <v>91</v>
      </c>
      <c r="H77" s="19" t="s">
        <v>171</v>
      </c>
      <c r="I77" s="102" t="s">
        <v>149</v>
      </c>
      <c r="J77" s="15"/>
      <c r="K77" s="80"/>
      <c r="L77" s="15"/>
      <c r="M77" s="86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>
        <v>2</v>
      </c>
      <c r="AK77" s="15"/>
      <c r="AL77" s="15"/>
      <c r="AM77" s="15"/>
    </row>
    <row r="78" spans="2:39" ht="41.25" customHeight="1">
      <c r="B78" s="97">
        <v>46256</v>
      </c>
      <c r="C78" s="57">
        <v>8</v>
      </c>
      <c r="D78" s="18" t="s">
        <v>7</v>
      </c>
      <c r="E78" s="116" t="s">
        <v>140</v>
      </c>
      <c r="F78" s="120" t="s">
        <v>18</v>
      </c>
      <c r="G78" s="100" t="s">
        <v>161</v>
      </c>
      <c r="H78" s="19" t="s">
        <v>171</v>
      </c>
      <c r="I78" s="102" t="s">
        <v>149</v>
      </c>
      <c r="J78" s="15"/>
      <c r="K78" s="80"/>
      <c r="L78" s="15"/>
      <c r="M78" s="86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>
        <v>2</v>
      </c>
      <c r="AI78" s="15"/>
      <c r="AJ78" s="15"/>
      <c r="AK78" s="15"/>
      <c r="AL78" s="15"/>
      <c r="AM78" s="15"/>
    </row>
    <row r="79" spans="2:39" ht="41.25" customHeight="1">
      <c r="B79" s="97">
        <v>46256</v>
      </c>
      <c r="C79" s="57">
        <v>8</v>
      </c>
      <c r="D79" s="18" t="s">
        <v>7</v>
      </c>
      <c r="E79" s="116" t="s">
        <v>78</v>
      </c>
      <c r="F79" s="120" t="s">
        <v>88</v>
      </c>
      <c r="G79" s="116" t="s">
        <v>161</v>
      </c>
      <c r="H79" s="19" t="s">
        <v>171</v>
      </c>
      <c r="I79" s="102" t="s">
        <v>150</v>
      </c>
      <c r="J79" s="15"/>
      <c r="K79" s="80">
        <v>1</v>
      </c>
      <c r="L79" s="15"/>
      <c r="M79" s="86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</row>
    <row r="80" spans="2:39" ht="41.25" customHeight="1">
      <c r="B80" s="97">
        <v>46257</v>
      </c>
      <c r="C80" s="57">
        <v>8</v>
      </c>
      <c r="D80" s="18" t="s">
        <v>7</v>
      </c>
      <c r="E80" s="116" t="s">
        <v>78</v>
      </c>
      <c r="F80" s="120" t="s">
        <v>88</v>
      </c>
      <c r="G80" s="116" t="s">
        <v>161</v>
      </c>
      <c r="H80" s="19" t="s">
        <v>171</v>
      </c>
      <c r="I80" s="102" t="s">
        <v>150</v>
      </c>
      <c r="J80" s="22"/>
      <c r="K80" s="81"/>
      <c r="M80" s="88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>
        <v>10</v>
      </c>
      <c r="AE80" s="22"/>
      <c r="AF80" s="22"/>
      <c r="AG80" s="22"/>
      <c r="AH80" s="22"/>
      <c r="AI80" s="22"/>
      <c r="AJ80" s="22"/>
      <c r="AK80" s="15"/>
      <c r="AL80" s="22"/>
      <c r="AM80" s="22"/>
    </row>
    <row r="81" spans="2:39" ht="41.25" customHeight="1">
      <c r="B81" s="97">
        <v>46257</v>
      </c>
      <c r="C81" s="57">
        <v>8</v>
      </c>
      <c r="D81" s="18" t="s">
        <v>7</v>
      </c>
      <c r="E81" s="116" t="s">
        <v>78</v>
      </c>
      <c r="F81" s="120" t="s">
        <v>88</v>
      </c>
      <c r="G81" s="116" t="s">
        <v>161</v>
      </c>
      <c r="H81" s="19" t="s">
        <v>171</v>
      </c>
      <c r="I81" s="102" t="s">
        <v>150</v>
      </c>
      <c r="J81" s="22"/>
      <c r="K81" s="81"/>
      <c r="M81" s="88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>
        <v>10</v>
      </c>
      <c r="AD81" s="22"/>
      <c r="AE81" s="22"/>
      <c r="AF81" s="22"/>
      <c r="AG81" s="22"/>
      <c r="AH81" s="22"/>
      <c r="AI81" s="22"/>
      <c r="AJ81" s="22"/>
      <c r="AK81" s="22"/>
      <c r="AL81" s="22"/>
      <c r="AM81" s="22"/>
    </row>
    <row r="82" spans="2:39" ht="41.25" customHeight="1">
      <c r="B82" s="97">
        <v>46257</v>
      </c>
      <c r="C82" s="57">
        <v>8</v>
      </c>
      <c r="D82" s="18" t="s">
        <v>7</v>
      </c>
      <c r="E82" s="116" t="s">
        <v>78</v>
      </c>
      <c r="F82" s="120" t="s">
        <v>88</v>
      </c>
      <c r="G82" s="116" t="s">
        <v>137</v>
      </c>
      <c r="H82" s="19" t="s">
        <v>171</v>
      </c>
      <c r="I82" s="102" t="s">
        <v>150</v>
      </c>
      <c r="J82" s="22"/>
      <c r="K82" s="81">
        <v>1</v>
      </c>
      <c r="M82" s="88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</row>
    <row r="83" spans="2:39" ht="41.25" customHeight="1">
      <c r="B83" s="97">
        <v>46257</v>
      </c>
      <c r="C83" s="57">
        <v>8</v>
      </c>
      <c r="D83" s="18" t="s">
        <v>7</v>
      </c>
      <c r="E83" s="116" t="s">
        <v>140</v>
      </c>
      <c r="F83" s="120" t="s">
        <v>88</v>
      </c>
      <c r="G83" s="116" t="s">
        <v>137</v>
      </c>
      <c r="H83" s="19" t="s">
        <v>171</v>
      </c>
      <c r="I83" s="102" t="s">
        <v>150</v>
      </c>
      <c r="J83" s="22"/>
      <c r="K83" s="81"/>
      <c r="M83" s="88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</row>
    <row r="84" spans="2:39" ht="41.25" customHeight="1">
      <c r="B84" s="97">
        <v>46257</v>
      </c>
      <c r="C84" s="57">
        <v>8</v>
      </c>
      <c r="D84" s="18" t="s">
        <v>7</v>
      </c>
      <c r="E84" s="116" t="s">
        <v>140</v>
      </c>
      <c r="F84" s="120" t="s">
        <v>88</v>
      </c>
      <c r="G84" s="116" t="s">
        <v>137</v>
      </c>
      <c r="H84" s="19" t="s">
        <v>171</v>
      </c>
      <c r="I84" s="102" t="s">
        <v>150</v>
      </c>
      <c r="J84" s="22"/>
      <c r="K84" s="81"/>
      <c r="M84" s="88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>
        <v>5</v>
      </c>
      <c r="AD84" s="22"/>
      <c r="AE84" s="22"/>
      <c r="AF84" s="22"/>
      <c r="AG84" s="22"/>
      <c r="AH84" s="22"/>
      <c r="AI84" s="22"/>
      <c r="AJ84" s="22"/>
      <c r="AK84" s="22"/>
      <c r="AL84" s="22"/>
      <c r="AM84" s="22"/>
    </row>
    <row r="85" spans="2:39" ht="41.25" customHeight="1">
      <c r="B85" s="97">
        <v>46257</v>
      </c>
      <c r="C85" s="57">
        <v>8</v>
      </c>
      <c r="D85" s="18" t="s">
        <v>7</v>
      </c>
      <c r="E85" s="100" t="s">
        <v>140</v>
      </c>
      <c r="F85" s="118" t="s">
        <v>88</v>
      </c>
      <c r="G85" s="100" t="s">
        <v>137</v>
      </c>
      <c r="H85" s="19" t="s">
        <v>171</v>
      </c>
      <c r="I85" s="102" t="s">
        <v>150</v>
      </c>
      <c r="J85" s="22"/>
      <c r="K85" s="81"/>
      <c r="M85" s="88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>
        <v>2</v>
      </c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</row>
    <row r="86" spans="2:39" ht="41.25" customHeight="1">
      <c r="B86" s="97">
        <v>46257</v>
      </c>
      <c r="C86" s="57">
        <v>8</v>
      </c>
      <c r="D86" s="18" t="s">
        <v>7</v>
      </c>
      <c r="E86" s="100" t="s">
        <v>140</v>
      </c>
      <c r="F86" s="118" t="s">
        <v>88</v>
      </c>
      <c r="G86" s="100" t="s">
        <v>174</v>
      </c>
      <c r="H86" s="19" t="s">
        <v>171</v>
      </c>
      <c r="I86" s="102" t="s">
        <v>150</v>
      </c>
      <c r="J86" s="22"/>
      <c r="K86" s="81"/>
      <c r="M86" s="88"/>
      <c r="N86" s="22"/>
      <c r="O86" s="22"/>
      <c r="P86" s="22"/>
      <c r="Q86" s="22">
        <v>1</v>
      </c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</row>
    <row r="87" spans="2:39" ht="41.25" customHeight="1">
      <c r="B87" s="97">
        <v>46258</v>
      </c>
      <c r="C87" s="57">
        <v>8</v>
      </c>
      <c r="D87" s="18" t="s">
        <v>7</v>
      </c>
      <c r="E87" s="100" t="s">
        <v>78</v>
      </c>
      <c r="F87" s="118" t="s">
        <v>18</v>
      </c>
      <c r="G87" s="100" t="s">
        <v>174</v>
      </c>
      <c r="H87" s="19" t="s">
        <v>171</v>
      </c>
      <c r="I87" s="102" t="s">
        <v>150</v>
      </c>
      <c r="J87" s="22"/>
      <c r="K87" s="81">
        <v>1</v>
      </c>
      <c r="M87" s="88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</row>
    <row r="88" spans="2:39" ht="41.25" customHeight="1">
      <c r="B88" s="97">
        <v>46259</v>
      </c>
      <c r="C88" s="57">
        <v>8</v>
      </c>
      <c r="D88" s="18" t="s">
        <v>7</v>
      </c>
      <c r="E88" s="100" t="s">
        <v>78</v>
      </c>
      <c r="F88" s="118" t="s">
        <v>18</v>
      </c>
      <c r="G88" s="100" t="s">
        <v>138</v>
      </c>
      <c r="H88" s="19" t="s">
        <v>171</v>
      </c>
      <c r="I88" s="102" t="s">
        <v>150</v>
      </c>
      <c r="J88" s="22"/>
      <c r="K88" s="81"/>
      <c r="M88" s="88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>
        <v>2</v>
      </c>
      <c r="AI88" s="22"/>
      <c r="AJ88" s="22"/>
      <c r="AK88" s="22"/>
      <c r="AL88" s="22"/>
      <c r="AM88" s="22"/>
    </row>
    <row r="89" spans="2:39" ht="41.25" customHeight="1">
      <c r="B89" s="97">
        <v>46259</v>
      </c>
      <c r="C89" s="57">
        <v>8</v>
      </c>
      <c r="D89" s="18" t="s">
        <v>7</v>
      </c>
      <c r="E89" s="100" t="s">
        <v>140</v>
      </c>
      <c r="F89" s="118" t="s">
        <v>18</v>
      </c>
      <c r="G89" s="100" t="s">
        <v>138</v>
      </c>
      <c r="H89" s="19" t="s">
        <v>171</v>
      </c>
      <c r="I89" s="102" t="s">
        <v>150</v>
      </c>
      <c r="J89" s="22"/>
      <c r="K89" s="81"/>
      <c r="M89" s="88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>
        <v>1</v>
      </c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</row>
    <row r="90" spans="2:39" ht="41.25" customHeight="1">
      <c r="B90" s="97">
        <v>46260</v>
      </c>
      <c r="C90" s="57">
        <v>8</v>
      </c>
      <c r="D90" s="18" t="s">
        <v>7</v>
      </c>
      <c r="E90" s="100" t="s">
        <v>140</v>
      </c>
      <c r="F90" s="118" t="s">
        <v>18</v>
      </c>
      <c r="G90" s="100" t="s">
        <v>138</v>
      </c>
      <c r="H90" s="19" t="s">
        <v>171</v>
      </c>
      <c r="I90" s="102" t="s">
        <v>150</v>
      </c>
      <c r="J90" s="22"/>
      <c r="K90" s="81">
        <v>1</v>
      </c>
      <c r="M90" s="88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</row>
    <row r="91" spans="2:39" ht="41.25" customHeight="1">
      <c r="B91" s="97">
        <v>46260</v>
      </c>
      <c r="C91" s="57">
        <v>8</v>
      </c>
      <c r="D91" s="18" t="s">
        <v>7</v>
      </c>
      <c r="E91" s="100" t="s">
        <v>78</v>
      </c>
      <c r="F91" s="122" t="s">
        <v>18</v>
      </c>
      <c r="G91" s="100" t="s">
        <v>138</v>
      </c>
      <c r="H91" s="19" t="s">
        <v>171</v>
      </c>
      <c r="I91" s="102" t="s">
        <v>150</v>
      </c>
      <c r="J91" s="22"/>
      <c r="K91" s="81"/>
      <c r="M91" s="88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</row>
    <row r="92" spans="2:39" ht="41.25" customHeight="1">
      <c r="B92" s="97">
        <v>46260</v>
      </c>
      <c r="C92" s="57">
        <v>8</v>
      </c>
      <c r="D92" s="18" t="s">
        <v>7</v>
      </c>
      <c r="E92" s="100" t="s">
        <v>78</v>
      </c>
      <c r="F92" s="118" t="s">
        <v>18</v>
      </c>
      <c r="G92" s="100" t="s">
        <v>138</v>
      </c>
      <c r="H92" s="19" t="s">
        <v>171</v>
      </c>
      <c r="I92" s="102" t="s">
        <v>150</v>
      </c>
      <c r="J92" s="22"/>
      <c r="K92" s="81"/>
      <c r="M92" s="88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>
        <v>2</v>
      </c>
      <c r="AJ92" s="22"/>
      <c r="AK92" s="22"/>
      <c r="AL92" s="22"/>
      <c r="AM92" s="22"/>
    </row>
    <row r="93" spans="2:39" ht="41.25" customHeight="1">
      <c r="B93" s="97">
        <v>46260</v>
      </c>
      <c r="C93" s="57">
        <v>8</v>
      </c>
      <c r="D93" s="18" t="s">
        <v>7</v>
      </c>
      <c r="E93" s="100" t="s">
        <v>78</v>
      </c>
      <c r="F93" s="118" t="s">
        <v>18</v>
      </c>
      <c r="G93" s="100" t="s">
        <v>131</v>
      </c>
      <c r="H93" s="19" t="s">
        <v>171</v>
      </c>
      <c r="I93" s="102" t="s">
        <v>150</v>
      </c>
      <c r="J93" s="22"/>
      <c r="K93" s="81"/>
      <c r="M93" s="88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>
        <v>2</v>
      </c>
      <c r="AD93" s="22"/>
      <c r="AE93" s="22"/>
      <c r="AF93" s="22"/>
      <c r="AG93" s="22"/>
      <c r="AH93" s="22"/>
      <c r="AI93" s="22"/>
      <c r="AJ93" s="22"/>
      <c r="AK93" s="22"/>
      <c r="AL93" s="22"/>
      <c r="AM93" s="22"/>
    </row>
    <row r="94" spans="2:39" ht="41.25" customHeight="1">
      <c r="B94" s="97">
        <v>46260</v>
      </c>
      <c r="C94" s="57">
        <v>8</v>
      </c>
      <c r="D94" s="18" t="s">
        <v>7</v>
      </c>
      <c r="E94" s="100" t="s">
        <v>140</v>
      </c>
      <c r="F94" s="118" t="s">
        <v>88</v>
      </c>
      <c r="G94" s="100" t="s">
        <v>131</v>
      </c>
      <c r="H94" s="19" t="s">
        <v>171</v>
      </c>
      <c r="I94" s="102" t="s">
        <v>150</v>
      </c>
      <c r="J94" s="22"/>
      <c r="K94" s="81">
        <v>1</v>
      </c>
      <c r="M94" s="88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</row>
    <row r="95" spans="2:39" ht="41.25" customHeight="1">
      <c r="B95" s="97">
        <v>46262</v>
      </c>
      <c r="C95" s="57">
        <v>8</v>
      </c>
      <c r="D95" s="18" t="s">
        <v>7</v>
      </c>
      <c r="E95" s="100" t="s">
        <v>140</v>
      </c>
      <c r="F95" s="118" t="s">
        <v>88</v>
      </c>
      <c r="G95" s="100" t="s">
        <v>131</v>
      </c>
      <c r="H95" s="19" t="s">
        <v>171</v>
      </c>
      <c r="I95" s="102" t="s">
        <v>150</v>
      </c>
      <c r="J95" s="22"/>
      <c r="K95" s="81"/>
      <c r="M95" s="88"/>
      <c r="N95" s="22"/>
      <c r="O95" s="22"/>
      <c r="P95" s="22"/>
      <c r="Q95" s="22"/>
      <c r="R95" s="22"/>
      <c r="S95" s="22"/>
      <c r="T95" s="22"/>
      <c r="U95" s="22">
        <v>2</v>
      </c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</row>
    <row r="96" spans="2:39" ht="41.25" customHeight="1">
      <c r="B96" s="97">
        <v>46262</v>
      </c>
      <c r="C96" s="57">
        <v>8</v>
      </c>
      <c r="D96" s="18" t="s">
        <v>7</v>
      </c>
      <c r="E96" s="100" t="s">
        <v>140</v>
      </c>
      <c r="F96" s="118" t="s">
        <v>88</v>
      </c>
      <c r="G96" s="100" t="s">
        <v>161</v>
      </c>
      <c r="H96" s="19" t="s">
        <v>171</v>
      </c>
      <c r="I96" s="102" t="s">
        <v>150</v>
      </c>
      <c r="J96" s="22"/>
      <c r="K96" s="81"/>
      <c r="M96" s="88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</row>
    <row r="97" spans="2:39" ht="41.25" customHeight="1">
      <c r="B97" s="97">
        <v>46262</v>
      </c>
      <c r="C97" s="57">
        <v>8</v>
      </c>
      <c r="D97" s="18" t="s">
        <v>7</v>
      </c>
      <c r="E97" s="100" t="s">
        <v>78</v>
      </c>
      <c r="F97" s="118" t="s">
        <v>88</v>
      </c>
      <c r="G97" s="100" t="s">
        <v>175</v>
      </c>
      <c r="H97" s="19" t="s">
        <v>171</v>
      </c>
      <c r="I97" s="102" t="s">
        <v>150</v>
      </c>
      <c r="J97" s="22"/>
      <c r="K97" s="81"/>
      <c r="M97" s="88"/>
      <c r="N97" s="22"/>
      <c r="O97" s="22"/>
      <c r="P97" s="22"/>
      <c r="Q97" s="22"/>
      <c r="R97" s="22"/>
      <c r="S97" s="22">
        <v>1</v>
      </c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</row>
    <row r="98" spans="2:39" ht="41.25" customHeight="1">
      <c r="B98" s="97">
        <v>46262</v>
      </c>
      <c r="C98" s="57">
        <v>8</v>
      </c>
      <c r="D98" s="18" t="s">
        <v>7</v>
      </c>
      <c r="E98" s="100" t="s">
        <v>140</v>
      </c>
      <c r="F98" s="118" t="s">
        <v>18</v>
      </c>
      <c r="G98" s="100" t="s">
        <v>175</v>
      </c>
      <c r="H98" s="19" t="s">
        <v>171</v>
      </c>
      <c r="I98" s="102" t="s">
        <v>150</v>
      </c>
      <c r="J98" s="22"/>
      <c r="K98" s="81">
        <v>1</v>
      </c>
      <c r="M98" s="88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</row>
    <row r="99" spans="2:39" ht="41.25" customHeight="1">
      <c r="B99" s="97">
        <v>46262</v>
      </c>
      <c r="C99" s="57">
        <v>8</v>
      </c>
      <c r="D99" s="18" t="s">
        <v>7</v>
      </c>
      <c r="E99" s="100" t="s">
        <v>140</v>
      </c>
      <c r="F99" s="118" t="s">
        <v>18</v>
      </c>
      <c r="G99" s="100" t="s">
        <v>138</v>
      </c>
      <c r="H99" s="19" t="s">
        <v>171</v>
      </c>
      <c r="I99" s="102" t="s">
        <v>149</v>
      </c>
      <c r="J99" s="22"/>
      <c r="K99" s="81"/>
      <c r="M99" s="88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>
        <v>1</v>
      </c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</row>
    <row r="100" spans="2:39" ht="41.25" customHeight="1">
      <c r="B100" s="97">
        <v>46262</v>
      </c>
      <c r="C100" s="57">
        <v>8</v>
      </c>
      <c r="D100" s="18" t="s">
        <v>7</v>
      </c>
      <c r="E100" s="100" t="s">
        <v>140</v>
      </c>
      <c r="F100" s="118" t="s">
        <v>18</v>
      </c>
      <c r="G100" s="100" t="s">
        <v>138</v>
      </c>
      <c r="H100" s="19" t="s">
        <v>171</v>
      </c>
      <c r="I100" s="102" t="s">
        <v>149</v>
      </c>
      <c r="J100" s="22"/>
      <c r="K100" s="81"/>
      <c r="M100" s="88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</row>
    <row r="101" spans="2:39" ht="41.25" customHeight="1">
      <c r="B101" s="97">
        <v>46263</v>
      </c>
      <c r="C101" s="57">
        <v>8</v>
      </c>
      <c r="D101" s="18" t="s">
        <v>7</v>
      </c>
      <c r="E101" s="100" t="s">
        <v>78</v>
      </c>
      <c r="F101" s="118" t="s">
        <v>18</v>
      </c>
      <c r="G101" s="100" t="s">
        <v>167</v>
      </c>
      <c r="H101" s="19" t="s">
        <v>171</v>
      </c>
      <c r="I101" s="102" t="s">
        <v>149</v>
      </c>
      <c r="J101" s="22"/>
      <c r="K101" s="81"/>
      <c r="M101" s="88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>
        <v>2</v>
      </c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</row>
    <row r="102" spans="2:39" ht="41.25" customHeight="1">
      <c r="B102" s="97">
        <v>46263</v>
      </c>
      <c r="C102" s="57">
        <v>8</v>
      </c>
      <c r="D102" s="18" t="s">
        <v>7</v>
      </c>
      <c r="E102" s="100" t="s">
        <v>140</v>
      </c>
      <c r="F102" s="118" t="s">
        <v>18</v>
      </c>
      <c r="G102" s="100" t="s">
        <v>167</v>
      </c>
      <c r="H102" s="19" t="s">
        <v>171</v>
      </c>
      <c r="I102" s="102" t="s">
        <v>149</v>
      </c>
      <c r="J102" s="22"/>
      <c r="K102" s="81"/>
      <c r="M102" s="88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>
        <v>2</v>
      </c>
      <c r="AI102" s="22"/>
      <c r="AJ102" s="22"/>
      <c r="AK102" s="22"/>
      <c r="AL102" s="22"/>
      <c r="AM102" s="22"/>
    </row>
    <row r="103" spans="2:39" ht="41.25" customHeight="1">
      <c r="B103" s="97">
        <v>46264</v>
      </c>
      <c r="C103" s="57">
        <v>8</v>
      </c>
      <c r="D103" s="18" t="s">
        <v>7</v>
      </c>
      <c r="E103" s="100" t="s">
        <v>140</v>
      </c>
      <c r="F103" s="118" t="s">
        <v>18</v>
      </c>
      <c r="G103" s="100" t="s">
        <v>75</v>
      </c>
      <c r="H103" s="19" t="s">
        <v>171</v>
      </c>
      <c r="I103" s="102" t="s">
        <v>149</v>
      </c>
      <c r="J103" s="22"/>
      <c r="K103" s="81">
        <v>1</v>
      </c>
      <c r="M103" s="88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</row>
    <row r="104" spans="2:39" ht="41.25" customHeight="1">
      <c r="B104" s="97">
        <v>46264</v>
      </c>
      <c r="C104" s="57">
        <v>8</v>
      </c>
      <c r="D104" s="18" t="s">
        <v>7</v>
      </c>
      <c r="E104" s="100" t="s">
        <v>140</v>
      </c>
      <c r="F104" s="118" t="s">
        <v>88</v>
      </c>
      <c r="G104" s="100" t="s">
        <v>75</v>
      </c>
      <c r="H104" s="19" t="s">
        <v>171</v>
      </c>
      <c r="I104" s="102" t="s">
        <v>150</v>
      </c>
      <c r="J104" s="22"/>
      <c r="K104" s="81"/>
      <c r="M104" s="88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>
        <v>2</v>
      </c>
      <c r="AI104" s="22"/>
      <c r="AJ104" s="22"/>
      <c r="AK104" s="22"/>
      <c r="AL104" s="22"/>
      <c r="AM104" s="22"/>
    </row>
    <row r="105" spans="2:39" ht="41.25" customHeight="1">
      <c r="B105" s="97">
        <v>46264</v>
      </c>
      <c r="C105" s="57">
        <v>8</v>
      </c>
      <c r="D105" s="18" t="s">
        <v>7</v>
      </c>
      <c r="E105" s="100" t="s">
        <v>140</v>
      </c>
      <c r="F105" s="118" t="s">
        <v>88</v>
      </c>
      <c r="G105" s="100" t="s">
        <v>75</v>
      </c>
      <c r="H105" s="19" t="s">
        <v>171</v>
      </c>
      <c r="I105" s="102" t="s">
        <v>150</v>
      </c>
      <c r="J105" s="22"/>
      <c r="K105" s="81"/>
      <c r="L105" s="22">
        <v>3</v>
      </c>
      <c r="M105" s="88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</row>
    <row r="106" spans="2:39" ht="41.25" customHeight="1">
      <c r="B106" s="97">
        <v>46264</v>
      </c>
      <c r="C106" s="57">
        <v>8</v>
      </c>
      <c r="D106" s="18" t="s">
        <v>7</v>
      </c>
      <c r="E106" s="100" t="s">
        <v>140</v>
      </c>
      <c r="F106" s="118" t="s">
        <v>88</v>
      </c>
      <c r="G106" s="100" t="s">
        <v>176</v>
      </c>
      <c r="H106" s="19" t="s">
        <v>171</v>
      </c>
      <c r="I106" s="102" t="s">
        <v>150</v>
      </c>
      <c r="J106" s="22"/>
      <c r="K106" s="81"/>
      <c r="M106" s="88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>
        <v>10</v>
      </c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</row>
    <row r="107" spans="2:39" ht="41.25" customHeight="1">
      <c r="B107" s="97">
        <v>46264</v>
      </c>
      <c r="C107" s="57">
        <v>8</v>
      </c>
      <c r="D107" s="18" t="s">
        <v>7</v>
      </c>
      <c r="E107" s="100" t="s">
        <v>140</v>
      </c>
      <c r="F107" s="118" t="s">
        <v>18</v>
      </c>
      <c r="G107" s="100" t="s">
        <v>174</v>
      </c>
      <c r="H107" s="19" t="s">
        <v>171</v>
      </c>
      <c r="I107" s="102" t="s">
        <v>150</v>
      </c>
      <c r="J107" s="22"/>
      <c r="K107" s="81"/>
      <c r="M107" s="88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>
        <v>3</v>
      </c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</row>
    <row r="108" spans="2:39" ht="41.25" customHeight="1">
      <c r="B108" s="97">
        <v>46265</v>
      </c>
      <c r="C108" s="57">
        <v>8</v>
      </c>
      <c r="D108" s="18" t="s">
        <v>7</v>
      </c>
      <c r="E108" s="100" t="s">
        <v>140</v>
      </c>
      <c r="F108" s="118" t="s">
        <v>18</v>
      </c>
      <c r="G108" s="19" t="s">
        <v>138</v>
      </c>
      <c r="H108" s="19" t="s">
        <v>171</v>
      </c>
      <c r="I108" s="102" t="s">
        <v>150</v>
      </c>
      <c r="J108" s="22"/>
      <c r="K108" s="81"/>
      <c r="M108" s="88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</row>
    <row r="109" spans="2:39" ht="41.25" customHeight="1">
      <c r="B109" s="97"/>
      <c r="C109" s="57"/>
      <c r="D109" s="18"/>
      <c r="E109" s="18"/>
      <c r="F109" s="15"/>
      <c r="G109" s="19"/>
      <c r="H109" s="19"/>
      <c r="I109" s="19"/>
      <c r="J109" s="22"/>
      <c r="K109" s="81"/>
      <c r="M109" s="88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</row>
    <row r="110" spans="2:39" ht="41.25" customHeight="1">
      <c r="B110" s="18"/>
      <c r="C110" s="57"/>
      <c r="D110" s="18"/>
      <c r="E110" s="18"/>
      <c r="F110" s="15"/>
      <c r="G110" s="19"/>
      <c r="H110" s="19"/>
      <c r="I110" s="19"/>
      <c r="J110" s="22"/>
      <c r="K110" s="81"/>
      <c r="M110" s="88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</row>
    <row r="111" spans="2:39" ht="41.25" customHeight="1">
      <c r="B111" s="18"/>
      <c r="C111" s="57" t="str">
        <f t="shared" ref="C87:C133" si="3">IF(B111="","",MONTH(B111))</f>
        <v/>
      </c>
      <c r="D111" s="18"/>
      <c r="E111" s="18"/>
      <c r="F111" s="15"/>
      <c r="G111" s="19"/>
      <c r="H111" s="19"/>
      <c r="I111" s="19"/>
      <c r="J111" s="22"/>
      <c r="K111" s="81"/>
      <c r="M111" s="88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</row>
    <row r="112" spans="2:39" ht="41.25" customHeight="1">
      <c r="B112" s="18"/>
      <c r="C112" s="57" t="str">
        <f t="shared" si="3"/>
        <v/>
      </c>
      <c r="D112" s="18"/>
      <c r="E112" s="18"/>
      <c r="F112" s="15"/>
      <c r="G112" s="19"/>
      <c r="H112" s="19"/>
      <c r="I112" s="19"/>
      <c r="J112" s="22"/>
      <c r="K112" s="81"/>
      <c r="M112" s="88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</row>
    <row r="113" spans="2:39" ht="41.25" customHeight="1">
      <c r="B113" s="18"/>
      <c r="C113" s="57" t="str">
        <f t="shared" si="3"/>
        <v/>
      </c>
      <c r="D113" s="18"/>
      <c r="E113" s="18"/>
      <c r="F113" s="15"/>
      <c r="G113" s="19"/>
      <c r="H113" s="19"/>
      <c r="I113" s="19"/>
      <c r="J113" s="22"/>
      <c r="K113" s="81"/>
      <c r="M113" s="88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</row>
    <row r="114" spans="2:39" ht="41.25" customHeight="1">
      <c r="B114" s="18"/>
      <c r="C114" s="57" t="str">
        <f t="shared" si="3"/>
        <v/>
      </c>
      <c r="D114" s="18"/>
      <c r="E114" s="18"/>
      <c r="F114" s="15"/>
      <c r="G114" s="19"/>
      <c r="H114" s="19"/>
      <c r="I114" s="19"/>
      <c r="J114" s="22"/>
      <c r="K114" s="81"/>
      <c r="M114" s="88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</row>
    <row r="115" spans="2:39" ht="41.25" customHeight="1">
      <c r="B115" s="18"/>
      <c r="C115" s="57" t="str">
        <f t="shared" si="3"/>
        <v/>
      </c>
      <c r="D115" s="18"/>
      <c r="E115" s="18"/>
      <c r="F115" s="15"/>
      <c r="G115" s="19"/>
      <c r="H115" s="19"/>
      <c r="I115" s="19"/>
      <c r="J115" s="22"/>
      <c r="K115" s="81"/>
      <c r="M115" s="88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</row>
    <row r="116" spans="2:39" ht="41.25" customHeight="1">
      <c r="B116" s="18"/>
      <c r="C116" s="57" t="str">
        <f t="shared" si="3"/>
        <v/>
      </c>
      <c r="D116" s="18"/>
      <c r="E116" s="18"/>
      <c r="F116" s="15"/>
      <c r="G116" s="19"/>
      <c r="H116" s="19"/>
      <c r="I116" s="19"/>
      <c r="J116" s="22"/>
      <c r="K116" s="81"/>
      <c r="M116" s="88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</row>
    <row r="117" spans="2:39" ht="41.25" customHeight="1">
      <c r="B117" s="18"/>
      <c r="C117" s="57" t="str">
        <f t="shared" si="3"/>
        <v/>
      </c>
      <c r="D117" s="18"/>
      <c r="E117" s="18"/>
      <c r="F117" s="15"/>
      <c r="G117" s="19"/>
      <c r="H117" s="19"/>
      <c r="I117" s="19"/>
      <c r="J117" s="22"/>
      <c r="K117" s="81"/>
      <c r="M117" s="88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</row>
    <row r="118" spans="2:39" ht="41.25" customHeight="1">
      <c r="B118" s="18"/>
      <c r="C118" s="57" t="str">
        <f t="shared" si="3"/>
        <v/>
      </c>
      <c r="D118" s="18"/>
      <c r="E118" s="18"/>
      <c r="F118" s="15"/>
      <c r="G118" s="19"/>
      <c r="H118" s="19"/>
      <c r="I118" s="19"/>
      <c r="J118" s="22"/>
      <c r="K118" s="81"/>
      <c r="M118" s="88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</row>
    <row r="119" spans="2:39" ht="41.25" customHeight="1">
      <c r="B119" s="18"/>
      <c r="C119" s="57" t="str">
        <f t="shared" si="3"/>
        <v/>
      </c>
      <c r="D119" s="18"/>
      <c r="E119" s="18"/>
      <c r="F119" s="15"/>
      <c r="G119" s="19"/>
      <c r="H119" s="19"/>
      <c r="I119" s="19"/>
      <c r="J119" s="22"/>
      <c r="K119" s="81"/>
      <c r="M119" s="88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</row>
    <row r="120" spans="2:39" ht="41.25" customHeight="1">
      <c r="B120" s="18"/>
      <c r="C120" s="57" t="str">
        <f t="shared" si="3"/>
        <v/>
      </c>
      <c r="D120" s="18"/>
      <c r="E120" s="18"/>
      <c r="F120" s="15"/>
      <c r="G120" s="19"/>
      <c r="H120" s="19"/>
      <c r="I120" s="19"/>
      <c r="J120" s="22"/>
      <c r="K120" s="81"/>
      <c r="M120" s="88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</row>
    <row r="121" spans="2:39" ht="41.25" customHeight="1">
      <c r="B121" s="18"/>
      <c r="C121" s="57" t="str">
        <f t="shared" si="3"/>
        <v/>
      </c>
      <c r="D121" s="18"/>
      <c r="E121" s="18"/>
      <c r="F121" s="15"/>
      <c r="G121" s="19"/>
      <c r="H121" s="19"/>
      <c r="I121" s="19"/>
      <c r="J121" s="22"/>
      <c r="K121" s="81"/>
      <c r="M121" s="88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</row>
    <row r="122" spans="2:39" ht="41.25" customHeight="1">
      <c r="B122" s="18"/>
      <c r="C122" s="57" t="str">
        <f t="shared" si="3"/>
        <v/>
      </c>
      <c r="D122" s="18"/>
      <c r="E122" s="18"/>
      <c r="F122" s="15"/>
      <c r="G122" s="19"/>
      <c r="H122" s="19"/>
      <c r="I122" s="19"/>
      <c r="J122" s="22"/>
      <c r="K122" s="81"/>
      <c r="M122" s="88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</row>
    <row r="123" spans="2:39" ht="41.25" customHeight="1">
      <c r="B123" s="18"/>
      <c r="C123" s="57" t="str">
        <f t="shared" si="3"/>
        <v/>
      </c>
      <c r="D123" s="18"/>
      <c r="E123" s="18"/>
      <c r="F123" s="15"/>
      <c r="G123" s="19"/>
      <c r="H123" s="19"/>
      <c r="I123" s="19"/>
      <c r="J123" s="22"/>
      <c r="K123" s="81"/>
      <c r="M123" s="88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</row>
    <row r="124" spans="2:39" ht="41.25" customHeight="1">
      <c r="B124" s="18"/>
      <c r="C124" s="57" t="str">
        <f t="shared" si="3"/>
        <v/>
      </c>
      <c r="D124" s="18"/>
      <c r="E124" s="18"/>
      <c r="F124" s="15"/>
      <c r="G124" s="19"/>
      <c r="H124" s="19"/>
      <c r="I124" s="19"/>
      <c r="J124" s="22"/>
      <c r="K124" s="81"/>
      <c r="M124" s="88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</row>
    <row r="125" spans="2:39" ht="41.25" customHeight="1">
      <c r="B125" s="18"/>
      <c r="C125" s="57" t="str">
        <f t="shared" si="3"/>
        <v/>
      </c>
      <c r="D125" s="18"/>
      <c r="E125" s="18"/>
      <c r="F125" s="15"/>
      <c r="G125" s="19"/>
      <c r="H125" s="19"/>
      <c r="I125" s="19"/>
      <c r="J125" s="22"/>
      <c r="K125" s="81"/>
      <c r="M125" s="88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</row>
    <row r="126" spans="2:39" ht="41.25" customHeight="1">
      <c r="B126" s="18"/>
      <c r="C126" s="57" t="str">
        <f t="shared" si="3"/>
        <v/>
      </c>
      <c r="D126" s="18"/>
      <c r="E126" s="18"/>
      <c r="F126" s="15"/>
      <c r="G126" s="19"/>
      <c r="H126" s="19"/>
      <c r="I126" s="19"/>
      <c r="J126" s="22"/>
      <c r="K126" s="81"/>
      <c r="M126" s="88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</row>
    <row r="127" spans="2:39" ht="41.25" customHeight="1">
      <c r="B127" s="18"/>
      <c r="C127" s="57" t="str">
        <f t="shared" si="3"/>
        <v/>
      </c>
      <c r="D127" s="18"/>
      <c r="E127" s="18"/>
      <c r="F127" s="15"/>
      <c r="G127" s="19"/>
      <c r="H127" s="19"/>
      <c r="I127" s="19"/>
      <c r="J127" s="22"/>
      <c r="K127" s="81"/>
      <c r="M127" s="88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</row>
    <row r="128" spans="2:39" ht="41.25" customHeight="1">
      <c r="B128" s="18"/>
      <c r="C128" s="57" t="str">
        <f t="shared" si="3"/>
        <v/>
      </c>
      <c r="D128" s="18"/>
      <c r="E128" s="18"/>
      <c r="F128" s="15"/>
      <c r="G128" s="19"/>
      <c r="H128" s="19"/>
      <c r="I128" s="19"/>
      <c r="J128" s="22"/>
      <c r="K128" s="81"/>
      <c r="M128" s="88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</row>
    <row r="129" spans="1:99" ht="41.25" customHeight="1">
      <c r="B129" s="18"/>
      <c r="C129" s="57" t="str">
        <f t="shared" si="3"/>
        <v/>
      </c>
      <c r="D129" s="18"/>
      <c r="E129" s="18"/>
      <c r="F129" s="15"/>
      <c r="G129" s="19"/>
      <c r="H129" s="19"/>
      <c r="I129" s="19"/>
      <c r="J129" s="22"/>
      <c r="K129" s="81"/>
      <c r="M129" s="88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</row>
    <row r="130" spans="1:99" ht="41.25" customHeight="1">
      <c r="B130" s="18"/>
      <c r="C130" s="57" t="str">
        <f t="shared" si="3"/>
        <v/>
      </c>
      <c r="D130" s="18"/>
      <c r="E130" s="18"/>
      <c r="F130" s="15"/>
      <c r="G130" s="19"/>
      <c r="H130" s="19"/>
      <c r="I130" s="19"/>
      <c r="J130" s="22"/>
      <c r="K130" s="81"/>
      <c r="M130" s="88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</row>
    <row r="131" spans="1:99" ht="41.25" customHeight="1">
      <c r="B131" s="18"/>
      <c r="C131" s="57" t="str">
        <f t="shared" si="3"/>
        <v/>
      </c>
      <c r="D131" s="18"/>
      <c r="E131" s="18"/>
      <c r="F131" s="15"/>
      <c r="G131" s="19"/>
      <c r="H131" s="19"/>
      <c r="I131" s="19"/>
      <c r="J131" s="22"/>
      <c r="K131" s="81"/>
      <c r="M131" s="88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</row>
    <row r="132" spans="1:99" ht="41.25" customHeight="1">
      <c r="B132" s="18"/>
      <c r="C132" s="57" t="str">
        <f t="shared" si="3"/>
        <v/>
      </c>
      <c r="D132" s="18"/>
      <c r="E132" s="18"/>
      <c r="F132" s="15"/>
      <c r="G132" s="19"/>
      <c r="H132" s="19"/>
      <c r="I132" s="19"/>
      <c r="J132" s="22"/>
      <c r="K132" s="81"/>
      <c r="M132" s="88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</row>
    <row r="133" spans="1:99" ht="41.25" customHeight="1">
      <c r="B133" s="18"/>
      <c r="C133" s="57" t="str">
        <f t="shared" si="3"/>
        <v/>
      </c>
      <c r="D133" s="18"/>
      <c r="E133" s="18"/>
      <c r="F133" s="15"/>
      <c r="G133" s="19"/>
      <c r="H133" s="19"/>
      <c r="I133" s="19"/>
      <c r="J133" s="22"/>
      <c r="K133" s="81"/>
      <c r="M133" s="88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</row>
    <row r="134" spans="1:99" ht="41.25" customHeight="1">
      <c r="B134" s="18"/>
      <c r="C134" s="57" t="str">
        <f t="shared" ref="C134:C197" si="4">IF(B134="","",MONTH(B134))</f>
        <v/>
      </c>
      <c r="D134" s="18"/>
      <c r="E134" s="18"/>
      <c r="F134" s="15"/>
      <c r="G134" s="19"/>
      <c r="H134" s="19"/>
      <c r="I134" s="19"/>
      <c r="J134" s="22"/>
      <c r="K134" s="81"/>
      <c r="M134" s="88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</row>
    <row r="135" spans="1:99" ht="41.25" customHeight="1">
      <c r="B135" s="18"/>
      <c r="C135" s="57" t="str">
        <f t="shared" si="4"/>
        <v/>
      </c>
      <c r="D135" s="18"/>
      <c r="E135" s="18"/>
      <c r="F135" s="15"/>
      <c r="G135" s="19"/>
      <c r="H135" s="19"/>
      <c r="I135" s="19"/>
      <c r="J135" s="22"/>
      <c r="K135" s="81"/>
      <c r="M135" s="88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</row>
    <row r="136" spans="1:99" ht="41.25" customHeight="1">
      <c r="B136" s="18"/>
      <c r="C136" s="57" t="str">
        <f t="shared" si="4"/>
        <v/>
      </c>
      <c r="D136" s="18"/>
      <c r="E136" s="18"/>
      <c r="F136" s="15"/>
      <c r="G136" s="19"/>
      <c r="H136" s="19"/>
      <c r="I136" s="19"/>
      <c r="J136" s="22"/>
      <c r="K136" s="81"/>
      <c r="M136" s="88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</row>
    <row r="137" spans="1:99" ht="41.25" customHeight="1">
      <c r="B137" s="18"/>
      <c r="C137" s="57" t="str">
        <f t="shared" si="4"/>
        <v/>
      </c>
      <c r="D137" s="18"/>
      <c r="E137" s="18"/>
      <c r="F137" s="15"/>
      <c r="G137" s="19"/>
      <c r="H137" s="19"/>
      <c r="I137" s="19"/>
      <c r="J137" s="22"/>
      <c r="K137" s="81"/>
      <c r="M137" s="88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</row>
    <row r="138" spans="1:99" ht="41.25" customHeight="1">
      <c r="B138" s="18"/>
      <c r="C138" s="57" t="str">
        <f t="shared" si="4"/>
        <v/>
      </c>
      <c r="D138" s="18"/>
      <c r="E138" s="18"/>
      <c r="F138" s="15"/>
      <c r="G138" s="19"/>
      <c r="H138" s="19"/>
      <c r="I138" s="19"/>
      <c r="J138" s="22"/>
      <c r="K138" s="81"/>
      <c r="M138" s="88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</row>
    <row r="139" spans="1:99" ht="41.25" customHeight="1">
      <c r="B139" s="18"/>
      <c r="C139" s="57" t="str">
        <f t="shared" si="4"/>
        <v/>
      </c>
      <c r="D139" s="18"/>
      <c r="E139" s="18"/>
      <c r="F139" s="15"/>
      <c r="G139" s="19"/>
      <c r="H139" s="19"/>
      <c r="I139" s="19"/>
      <c r="J139" s="22"/>
      <c r="K139" s="81"/>
      <c r="M139" s="88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</row>
    <row r="140" spans="1:99" s="9" customFormat="1" ht="41.25" customHeight="1">
      <c r="A140" s="13"/>
      <c r="B140" s="18"/>
      <c r="C140" s="57" t="str">
        <f t="shared" si="4"/>
        <v/>
      </c>
      <c r="D140" s="18"/>
      <c r="E140" s="18"/>
      <c r="F140" s="15"/>
      <c r="G140" s="19"/>
      <c r="H140" s="19"/>
      <c r="I140" s="19"/>
      <c r="J140" s="22"/>
      <c r="K140" s="81"/>
      <c r="L140" s="22"/>
      <c r="M140" s="88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</row>
    <row r="141" spans="1:99" ht="41.25" customHeight="1">
      <c r="B141" s="18"/>
      <c r="C141" s="57" t="str">
        <f t="shared" si="4"/>
        <v/>
      </c>
      <c r="D141" s="18"/>
      <c r="E141" s="18"/>
      <c r="F141" s="15"/>
      <c r="G141" s="19"/>
      <c r="H141" s="19"/>
      <c r="I141" s="19"/>
      <c r="J141" s="22"/>
      <c r="K141" s="81"/>
      <c r="M141" s="88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</row>
    <row r="142" spans="1:99" ht="41.25" customHeight="1">
      <c r="B142" s="18"/>
      <c r="C142" s="57" t="str">
        <f t="shared" si="4"/>
        <v/>
      </c>
      <c r="D142" s="18"/>
      <c r="E142" s="18"/>
      <c r="F142" s="15"/>
      <c r="G142" s="19"/>
      <c r="H142" s="19"/>
      <c r="I142" s="19"/>
      <c r="J142" s="22"/>
      <c r="K142" s="81"/>
      <c r="M142" s="88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</row>
    <row r="143" spans="1:99" ht="41.25" customHeight="1">
      <c r="B143" s="18"/>
      <c r="C143" s="57" t="str">
        <f t="shared" si="4"/>
        <v/>
      </c>
      <c r="D143" s="18"/>
      <c r="E143" s="18"/>
      <c r="F143" s="15"/>
      <c r="G143" s="19"/>
      <c r="H143" s="19"/>
      <c r="I143" s="19"/>
      <c r="J143" s="22"/>
      <c r="K143" s="81"/>
      <c r="M143" s="88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</row>
    <row r="144" spans="1:99" ht="41.25" customHeight="1">
      <c r="B144" s="18"/>
      <c r="C144" s="57" t="str">
        <f t="shared" si="4"/>
        <v/>
      </c>
      <c r="D144" s="18"/>
      <c r="E144" s="18"/>
      <c r="F144" s="15"/>
      <c r="G144" s="19"/>
      <c r="H144" s="19"/>
      <c r="I144" s="19"/>
      <c r="J144" s="22"/>
      <c r="K144" s="81"/>
      <c r="M144" s="88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</row>
    <row r="145" spans="2:39" ht="41.25" customHeight="1">
      <c r="B145" s="18"/>
      <c r="C145" s="57" t="str">
        <f t="shared" si="4"/>
        <v/>
      </c>
      <c r="D145" s="18"/>
      <c r="E145" s="18"/>
      <c r="F145" s="15"/>
      <c r="G145" s="19"/>
      <c r="H145" s="19"/>
      <c r="I145" s="19"/>
      <c r="J145" s="22"/>
      <c r="K145" s="81"/>
      <c r="M145" s="88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</row>
    <row r="146" spans="2:39" ht="41.25" customHeight="1">
      <c r="B146" s="18"/>
      <c r="C146" s="57" t="str">
        <f t="shared" si="4"/>
        <v/>
      </c>
      <c r="D146" s="18"/>
      <c r="E146" s="18"/>
      <c r="F146" s="15"/>
      <c r="G146" s="19"/>
      <c r="H146" s="19"/>
      <c r="I146" s="19"/>
      <c r="J146" s="22"/>
      <c r="K146" s="81"/>
      <c r="M146" s="88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</row>
    <row r="147" spans="2:39" ht="41.25" customHeight="1">
      <c r="B147" s="18"/>
      <c r="C147" s="57" t="str">
        <f t="shared" si="4"/>
        <v/>
      </c>
      <c r="D147" s="18"/>
      <c r="E147" s="18"/>
      <c r="F147" s="15"/>
      <c r="G147" s="19"/>
      <c r="H147" s="19"/>
      <c r="I147" s="19"/>
      <c r="J147" s="22"/>
      <c r="K147" s="81"/>
      <c r="M147" s="88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</row>
    <row r="148" spans="2:39" ht="41.25" customHeight="1">
      <c r="B148" s="18"/>
      <c r="C148" s="57" t="str">
        <f t="shared" si="4"/>
        <v/>
      </c>
      <c r="D148" s="18"/>
      <c r="E148" s="18"/>
      <c r="F148" s="15"/>
      <c r="G148" s="19"/>
      <c r="H148" s="19"/>
      <c r="I148" s="19"/>
      <c r="J148" s="22"/>
      <c r="K148" s="81"/>
      <c r="M148" s="88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</row>
    <row r="149" spans="2:39" ht="41.25" customHeight="1">
      <c r="B149" s="18"/>
      <c r="C149" s="57" t="str">
        <f t="shared" si="4"/>
        <v/>
      </c>
      <c r="D149" s="18"/>
      <c r="E149" s="18"/>
      <c r="F149" s="15"/>
      <c r="G149" s="19"/>
      <c r="H149" s="19"/>
      <c r="I149" s="19"/>
      <c r="J149" s="22"/>
      <c r="K149" s="81"/>
      <c r="M149" s="88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</row>
    <row r="150" spans="2:39" ht="41.25" customHeight="1">
      <c r="B150" s="18"/>
      <c r="C150" s="57" t="str">
        <f t="shared" si="4"/>
        <v/>
      </c>
      <c r="D150" s="18"/>
      <c r="E150" s="18"/>
      <c r="F150" s="15"/>
      <c r="G150" s="19"/>
      <c r="H150" s="19"/>
      <c r="I150" s="19"/>
      <c r="J150" s="22"/>
      <c r="K150" s="81"/>
      <c r="M150" s="88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</row>
    <row r="151" spans="2:39" ht="41.25" customHeight="1">
      <c r="B151" s="18"/>
      <c r="C151" s="57" t="str">
        <f t="shared" si="4"/>
        <v/>
      </c>
      <c r="D151" s="18"/>
      <c r="E151" s="18"/>
      <c r="F151" s="15"/>
      <c r="G151" s="19"/>
      <c r="H151" s="19"/>
      <c r="I151" s="19"/>
      <c r="J151" s="22"/>
      <c r="K151" s="81"/>
      <c r="M151" s="88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</row>
    <row r="152" spans="2:39" ht="41.25" customHeight="1">
      <c r="B152" s="18"/>
      <c r="C152" s="57" t="str">
        <f t="shared" si="4"/>
        <v/>
      </c>
      <c r="D152" s="18"/>
      <c r="E152" s="18"/>
      <c r="F152" s="15"/>
      <c r="G152" s="19"/>
      <c r="H152" s="19"/>
      <c r="I152" s="19"/>
      <c r="J152" s="22"/>
      <c r="K152" s="81"/>
      <c r="M152" s="88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</row>
    <row r="153" spans="2:39" ht="41.25" customHeight="1">
      <c r="B153" s="18"/>
      <c r="C153" s="57" t="str">
        <f t="shared" si="4"/>
        <v/>
      </c>
      <c r="D153" s="18"/>
      <c r="E153" s="18"/>
      <c r="F153" s="15"/>
      <c r="G153" s="19"/>
      <c r="H153" s="19"/>
      <c r="I153" s="19"/>
      <c r="J153" s="22"/>
      <c r="K153" s="81"/>
      <c r="M153" s="88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</row>
    <row r="154" spans="2:39" ht="41.25" customHeight="1">
      <c r="B154" s="18"/>
      <c r="C154" s="57" t="str">
        <f t="shared" si="4"/>
        <v/>
      </c>
      <c r="D154" s="18"/>
      <c r="E154" s="18"/>
      <c r="F154" s="15"/>
      <c r="G154" s="19"/>
      <c r="H154" s="19"/>
      <c r="I154" s="19"/>
      <c r="J154" s="22"/>
      <c r="K154" s="81"/>
      <c r="M154" s="88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</row>
    <row r="155" spans="2:39" ht="41.25" customHeight="1">
      <c r="B155" s="18"/>
      <c r="C155" s="57" t="str">
        <f t="shared" si="4"/>
        <v/>
      </c>
      <c r="D155" s="18"/>
      <c r="E155" s="18"/>
      <c r="F155" s="15"/>
      <c r="G155" s="19"/>
      <c r="H155" s="19"/>
      <c r="I155" s="19"/>
      <c r="J155" s="22"/>
      <c r="K155" s="81"/>
      <c r="M155" s="88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</row>
    <row r="156" spans="2:39" ht="41.25" customHeight="1">
      <c r="B156" s="18"/>
      <c r="C156" s="57" t="str">
        <f t="shared" si="4"/>
        <v/>
      </c>
      <c r="D156" s="18"/>
      <c r="E156" s="18"/>
      <c r="F156" s="15"/>
      <c r="G156" s="19"/>
      <c r="H156" s="19"/>
      <c r="I156" s="19"/>
      <c r="J156" s="22"/>
      <c r="K156" s="81"/>
      <c r="M156" s="88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</row>
    <row r="157" spans="2:39" ht="41.25" customHeight="1">
      <c r="B157" s="18"/>
      <c r="C157" s="57" t="str">
        <f t="shared" si="4"/>
        <v/>
      </c>
      <c r="D157" s="18"/>
      <c r="E157" s="18"/>
      <c r="F157" s="15"/>
      <c r="G157" s="19"/>
      <c r="H157" s="19"/>
      <c r="I157" s="19"/>
      <c r="J157" s="22"/>
      <c r="K157" s="81"/>
      <c r="M157" s="88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</row>
    <row r="158" spans="2:39" ht="41.25" customHeight="1">
      <c r="B158" s="18"/>
      <c r="C158" s="57" t="str">
        <f t="shared" si="4"/>
        <v/>
      </c>
      <c r="D158" s="18"/>
      <c r="E158" s="18"/>
      <c r="F158" s="15"/>
      <c r="G158" s="19"/>
      <c r="H158" s="19"/>
      <c r="I158" s="19"/>
      <c r="J158" s="22"/>
      <c r="K158" s="81"/>
      <c r="M158" s="88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</row>
    <row r="159" spans="2:39" ht="41.25" customHeight="1">
      <c r="B159" s="18"/>
      <c r="C159" s="57" t="str">
        <f t="shared" si="4"/>
        <v/>
      </c>
      <c r="D159" s="18"/>
      <c r="E159" s="18"/>
      <c r="F159" s="15"/>
      <c r="G159" s="19"/>
      <c r="H159" s="19"/>
      <c r="I159" s="19"/>
      <c r="J159" s="22"/>
      <c r="K159" s="81"/>
      <c r="M159" s="88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</row>
    <row r="160" spans="2:39" ht="41.25" customHeight="1">
      <c r="B160" s="18"/>
      <c r="C160" s="57" t="str">
        <f t="shared" si="4"/>
        <v/>
      </c>
      <c r="D160" s="18"/>
      <c r="E160" s="18"/>
      <c r="F160" s="15"/>
      <c r="G160" s="19"/>
      <c r="H160" s="19"/>
      <c r="I160" s="19"/>
      <c r="J160" s="22"/>
      <c r="K160" s="81"/>
      <c r="M160" s="88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</row>
    <row r="161" spans="2:39" ht="41.25" customHeight="1">
      <c r="B161" s="18"/>
      <c r="C161" s="57" t="str">
        <f t="shared" si="4"/>
        <v/>
      </c>
      <c r="D161" s="18"/>
      <c r="E161" s="18"/>
      <c r="F161" s="15"/>
      <c r="G161" s="19"/>
      <c r="H161" s="19"/>
      <c r="I161" s="19"/>
      <c r="J161" s="22"/>
      <c r="K161" s="81"/>
      <c r="M161" s="88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</row>
    <row r="162" spans="2:39" ht="41.25" customHeight="1">
      <c r="B162" s="18"/>
      <c r="C162" s="57" t="str">
        <f t="shared" si="4"/>
        <v/>
      </c>
      <c r="D162" s="18"/>
      <c r="E162" s="18"/>
      <c r="F162" s="15"/>
      <c r="G162" s="19"/>
      <c r="H162" s="19"/>
      <c r="I162" s="19"/>
      <c r="J162" s="22"/>
      <c r="K162" s="81"/>
      <c r="M162" s="88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</row>
    <row r="163" spans="2:39" ht="41.25" customHeight="1">
      <c r="B163" s="18"/>
      <c r="C163" s="57" t="str">
        <f t="shared" si="4"/>
        <v/>
      </c>
      <c r="D163" s="18"/>
      <c r="E163" s="18"/>
      <c r="F163" s="15"/>
      <c r="G163" s="19"/>
      <c r="H163" s="19"/>
      <c r="I163" s="19"/>
      <c r="J163" s="22"/>
      <c r="K163" s="81"/>
      <c r="M163" s="88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</row>
    <row r="164" spans="2:39" ht="41.25" customHeight="1">
      <c r="B164" s="18"/>
      <c r="C164" s="57" t="str">
        <f t="shared" si="4"/>
        <v/>
      </c>
      <c r="D164" s="18"/>
      <c r="E164" s="18"/>
      <c r="F164" s="15"/>
      <c r="G164" s="19"/>
      <c r="H164" s="19"/>
      <c r="I164" s="19"/>
      <c r="J164" s="22"/>
      <c r="K164" s="81"/>
      <c r="M164" s="88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</row>
    <row r="165" spans="2:39" ht="41.25" customHeight="1">
      <c r="B165" s="18"/>
      <c r="C165" s="57" t="str">
        <f t="shared" si="4"/>
        <v/>
      </c>
      <c r="D165" s="18"/>
      <c r="E165" s="18"/>
      <c r="F165" s="15"/>
      <c r="G165" s="19"/>
      <c r="H165" s="19"/>
      <c r="I165" s="19"/>
      <c r="J165" s="22"/>
      <c r="K165" s="81"/>
      <c r="M165" s="88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</row>
    <row r="166" spans="2:39" ht="41.25" customHeight="1">
      <c r="B166" s="18"/>
      <c r="C166" s="57" t="str">
        <f t="shared" si="4"/>
        <v/>
      </c>
      <c r="D166" s="18"/>
      <c r="E166" s="18"/>
      <c r="F166" s="15"/>
      <c r="G166" s="19"/>
      <c r="H166" s="19"/>
      <c r="I166" s="19"/>
      <c r="J166" s="22"/>
      <c r="K166" s="81"/>
      <c r="M166" s="88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</row>
    <row r="167" spans="2:39" ht="41.25" customHeight="1">
      <c r="B167" s="18"/>
      <c r="C167" s="57" t="str">
        <f t="shared" si="4"/>
        <v/>
      </c>
      <c r="D167" s="18"/>
      <c r="E167" s="18"/>
      <c r="F167" s="15"/>
      <c r="G167" s="19"/>
      <c r="H167" s="19"/>
      <c r="I167" s="19"/>
      <c r="J167" s="22"/>
      <c r="K167" s="81"/>
      <c r="M167" s="88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</row>
    <row r="168" spans="2:39" ht="41.25" customHeight="1">
      <c r="B168" s="18"/>
      <c r="C168" s="57" t="str">
        <f t="shared" si="4"/>
        <v/>
      </c>
      <c r="D168" s="18"/>
      <c r="E168" s="18"/>
      <c r="F168" s="15"/>
      <c r="G168" s="19"/>
      <c r="H168" s="19"/>
      <c r="I168" s="19"/>
      <c r="J168" s="22"/>
      <c r="K168" s="81"/>
      <c r="M168" s="88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</row>
    <row r="169" spans="2:39" ht="41.25" customHeight="1">
      <c r="B169" s="18"/>
      <c r="C169" s="57" t="str">
        <f t="shared" si="4"/>
        <v/>
      </c>
      <c r="D169" s="18"/>
      <c r="E169" s="18"/>
      <c r="F169" s="15"/>
      <c r="G169" s="19"/>
      <c r="H169" s="19"/>
      <c r="I169" s="19"/>
      <c r="J169" s="22"/>
      <c r="K169" s="81"/>
      <c r="M169" s="88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</row>
    <row r="170" spans="2:39" ht="41.25" customHeight="1">
      <c r="B170" s="18"/>
      <c r="C170" s="57" t="str">
        <f t="shared" si="4"/>
        <v/>
      </c>
      <c r="D170" s="18"/>
      <c r="E170" s="18"/>
      <c r="F170" s="15"/>
      <c r="G170" s="19"/>
      <c r="H170" s="19"/>
      <c r="I170" s="19"/>
      <c r="J170" s="22"/>
      <c r="K170" s="81"/>
      <c r="M170" s="88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</row>
    <row r="171" spans="2:39" ht="41.25" customHeight="1">
      <c r="B171" s="18"/>
      <c r="C171" s="57" t="str">
        <f t="shared" si="4"/>
        <v/>
      </c>
      <c r="D171" s="18"/>
      <c r="E171" s="18"/>
      <c r="F171" s="15"/>
      <c r="G171" s="19"/>
      <c r="H171" s="19"/>
      <c r="I171" s="19"/>
      <c r="J171" s="22"/>
      <c r="K171" s="81"/>
      <c r="M171" s="88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</row>
    <row r="172" spans="2:39" ht="41.25" customHeight="1">
      <c r="B172" s="18"/>
      <c r="C172" s="57" t="str">
        <f t="shared" si="4"/>
        <v/>
      </c>
      <c r="D172" s="18"/>
      <c r="E172" s="18"/>
      <c r="F172" s="15"/>
      <c r="G172" s="19"/>
      <c r="H172" s="19"/>
      <c r="I172" s="19"/>
      <c r="J172" s="22"/>
      <c r="K172" s="81"/>
      <c r="M172" s="88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</row>
    <row r="173" spans="2:39" ht="41.25" customHeight="1">
      <c r="B173" s="18"/>
      <c r="C173" s="57" t="str">
        <f t="shared" si="4"/>
        <v/>
      </c>
      <c r="D173" s="18"/>
      <c r="E173" s="18"/>
      <c r="F173" s="15"/>
      <c r="G173" s="19"/>
      <c r="H173" s="19"/>
      <c r="I173" s="19"/>
      <c r="J173" s="22"/>
      <c r="K173" s="81"/>
      <c r="M173" s="88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</row>
    <row r="174" spans="2:39" ht="41.25" customHeight="1">
      <c r="B174" s="18"/>
      <c r="C174" s="57" t="str">
        <f t="shared" si="4"/>
        <v/>
      </c>
      <c r="D174" s="18"/>
      <c r="E174" s="18"/>
      <c r="F174" s="15"/>
      <c r="G174" s="19"/>
      <c r="H174" s="19"/>
      <c r="I174" s="19"/>
      <c r="J174" s="22"/>
      <c r="K174" s="81"/>
      <c r="M174" s="88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</row>
    <row r="175" spans="2:39" ht="41.25" customHeight="1">
      <c r="B175" s="18"/>
      <c r="C175" s="57" t="str">
        <f t="shared" si="4"/>
        <v/>
      </c>
      <c r="D175" s="18"/>
      <c r="E175" s="18"/>
      <c r="F175" s="15"/>
      <c r="G175" s="19"/>
      <c r="H175" s="19"/>
      <c r="I175" s="19"/>
      <c r="J175" s="22"/>
      <c r="K175" s="81"/>
      <c r="M175" s="88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</row>
    <row r="176" spans="2:39" ht="41.25" customHeight="1">
      <c r="B176" s="18"/>
      <c r="C176" s="57" t="str">
        <f t="shared" si="4"/>
        <v/>
      </c>
      <c r="D176" s="18"/>
      <c r="E176" s="18"/>
      <c r="F176" s="15"/>
      <c r="G176" s="19"/>
      <c r="H176" s="19"/>
      <c r="I176" s="19"/>
      <c r="J176" s="22"/>
      <c r="K176" s="81"/>
      <c r="M176" s="88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</row>
    <row r="177" spans="2:39" ht="41.25" customHeight="1">
      <c r="B177" s="18"/>
      <c r="C177" s="57" t="str">
        <f t="shared" si="4"/>
        <v/>
      </c>
      <c r="D177" s="18"/>
      <c r="E177" s="18"/>
      <c r="F177" s="15"/>
      <c r="G177" s="19"/>
      <c r="H177" s="19"/>
      <c r="I177" s="19"/>
      <c r="J177" s="22"/>
      <c r="K177" s="81"/>
      <c r="M177" s="88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</row>
    <row r="178" spans="2:39" ht="41.25" customHeight="1">
      <c r="B178" s="18"/>
      <c r="C178" s="57" t="str">
        <f t="shared" si="4"/>
        <v/>
      </c>
      <c r="D178" s="18"/>
      <c r="E178" s="18"/>
      <c r="F178" s="15"/>
      <c r="G178" s="19"/>
      <c r="H178" s="19"/>
      <c r="I178" s="19"/>
      <c r="J178" s="22"/>
      <c r="K178" s="81"/>
      <c r="M178" s="88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</row>
    <row r="179" spans="2:39" ht="41.25" customHeight="1">
      <c r="B179" s="18"/>
      <c r="C179" s="57" t="str">
        <f t="shared" si="4"/>
        <v/>
      </c>
      <c r="D179" s="18"/>
      <c r="E179" s="18"/>
      <c r="F179" s="15"/>
      <c r="G179" s="19"/>
      <c r="H179" s="19"/>
      <c r="I179" s="19"/>
      <c r="J179" s="22"/>
      <c r="K179" s="81"/>
      <c r="M179" s="88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</row>
    <row r="180" spans="2:39" ht="41.25" customHeight="1">
      <c r="B180" s="18"/>
      <c r="C180" s="57" t="str">
        <f t="shared" si="4"/>
        <v/>
      </c>
      <c r="D180" s="18"/>
      <c r="E180" s="18"/>
      <c r="F180" s="15"/>
      <c r="G180" s="19"/>
      <c r="H180" s="19"/>
      <c r="I180" s="19"/>
      <c r="J180" s="22"/>
      <c r="K180" s="81"/>
      <c r="M180" s="88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</row>
    <row r="181" spans="2:39" ht="41.25" customHeight="1">
      <c r="B181" s="18"/>
      <c r="C181" s="57" t="str">
        <f t="shared" si="4"/>
        <v/>
      </c>
      <c r="D181" s="18"/>
      <c r="E181" s="18"/>
      <c r="F181" s="15"/>
      <c r="G181" s="19"/>
      <c r="H181" s="19"/>
      <c r="I181" s="19"/>
      <c r="J181" s="22"/>
      <c r="K181" s="81"/>
      <c r="M181" s="88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</row>
    <row r="182" spans="2:39" ht="41.25" customHeight="1">
      <c r="B182" s="18"/>
      <c r="C182" s="57" t="str">
        <f t="shared" si="4"/>
        <v/>
      </c>
      <c r="D182" s="18"/>
      <c r="E182" s="18"/>
      <c r="F182" s="15"/>
      <c r="G182" s="19"/>
      <c r="H182" s="19"/>
      <c r="I182" s="19"/>
      <c r="J182" s="22"/>
      <c r="K182" s="81"/>
      <c r="M182" s="88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</row>
    <row r="183" spans="2:39" ht="41.25" customHeight="1">
      <c r="B183" s="18"/>
      <c r="C183" s="57" t="str">
        <f t="shared" si="4"/>
        <v/>
      </c>
      <c r="D183" s="18"/>
      <c r="E183" s="18"/>
      <c r="F183" s="15"/>
      <c r="G183" s="19"/>
      <c r="H183" s="19"/>
      <c r="I183" s="19"/>
      <c r="J183" s="22"/>
      <c r="K183" s="81"/>
      <c r="M183" s="88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</row>
    <row r="184" spans="2:39" ht="41.25" customHeight="1">
      <c r="B184" s="18"/>
      <c r="C184" s="57" t="str">
        <f t="shared" si="4"/>
        <v/>
      </c>
      <c r="D184" s="18"/>
      <c r="E184" s="18"/>
      <c r="F184" s="15"/>
      <c r="G184" s="19"/>
      <c r="H184" s="19"/>
      <c r="I184" s="19"/>
      <c r="J184" s="22"/>
      <c r="K184" s="81"/>
      <c r="M184" s="88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</row>
    <row r="185" spans="2:39" ht="41.25" customHeight="1">
      <c r="B185" s="18"/>
      <c r="C185" s="57" t="str">
        <f t="shared" si="4"/>
        <v/>
      </c>
      <c r="D185" s="18"/>
      <c r="E185" s="18"/>
      <c r="F185" s="15"/>
      <c r="G185" s="19"/>
      <c r="H185" s="19"/>
      <c r="I185" s="19"/>
      <c r="J185" s="22"/>
      <c r="K185" s="81"/>
      <c r="M185" s="88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</row>
    <row r="186" spans="2:39" ht="41.25" customHeight="1">
      <c r="B186" s="18"/>
      <c r="C186" s="57" t="str">
        <f t="shared" si="4"/>
        <v/>
      </c>
      <c r="D186" s="18"/>
      <c r="E186" s="18"/>
      <c r="F186" s="15"/>
      <c r="G186" s="19"/>
      <c r="H186" s="19"/>
      <c r="I186" s="19"/>
      <c r="J186" s="22"/>
      <c r="K186" s="81"/>
      <c r="M186" s="88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</row>
    <row r="187" spans="2:39" ht="41.25" customHeight="1">
      <c r="B187" s="18"/>
      <c r="C187" s="57" t="str">
        <f t="shared" si="4"/>
        <v/>
      </c>
      <c r="D187" s="18"/>
      <c r="E187" s="18"/>
      <c r="F187" s="15"/>
      <c r="G187" s="19"/>
      <c r="H187" s="19"/>
      <c r="I187" s="19"/>
      <c r="J187" s="22"/>
      <c r="K187" s="81"/>
      <c r="M187" s="88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</row>
    <row r="188" spans="2:39" ht="41.25" customHeight="1">
      <c r="B188" s="18"/>
      <c r="C188" s="57" t="str">
        <f t="shared" si="4"/>
        <v/>
      </c>
      <c r="D188" s="18"/>
      <c r="E188" s="18"/>
      <c r="F188" s="15"/>
      <c r="G188" s="19"/>
      <c r="H188" s="19"/>
      <c r="I188" s="19"/>
      <c r="J188" s="22"/>
      <c r="K188" s="81"/>
      <c r="M188" s="88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</row>
    <row r="189" spans="2:39" ht="41.25" customHeight="1">
      <c r="B189" s="18"/>
      <c r="C189" s="57" t="str">
        <f t="shared" si="4"/>
        <v/>
      </c>
      <c r="D189" s="18"/>
      <c r="E189" s="18"/>
      <c r="F189" s="15"/>
      <c r="G189" s="19"/>
      <c r="H189" s="19"/>
      <c r="I189" s="19"/>
      <c r="J189" s="22"/>
      <c r="K189" s="81"/>
      <c r="M189" s="88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</row>
    <row r="190" spans="2:39" ht="41.25" customHeight="1">
      <c r="B190" s="18"/>
      <c r="C190" s="57" t="str">
        <f t="shared" si="4"/>
        <v/>
      </c>
      <c r="D190" s="18"/>
      <c r="E190" s="18"/>
      <c r="F190" s="15"/>
      <c r="G190" s="19"/>
      <c r="H190" s="19"/>
      <c r="I190" s="19"/>
      <c r="J190" s="22"/>
      <c r="K190" s="81"/>
      <c r="M190" s="88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</row>
    <row r="191" spans="2:39" ht="41.25" customHeight="1">
      <c r="B191" s="18"/>
      <c r="C191" s="57" t="str">
        <f t="shared" si="4"/>
        <v/>
      </c>
      <c r="D191" s="18"/>
      <c r="E191" s="18"/>
      <c r="F191" s="15"/>
      <c r="G191" s="19"/>
      <c r="H191" s="19"/>
      <c r="I191" s="19"/>
      <c r="J191" s="22"/>
      <c r="K191" s="81"/>
      <c r="M191" s="88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</row>
    <row r="192" spans="2:39" ht="41.25" customHeight="1">
      <c r="B192" s="18"/>
      <c r="C192" s="57" t="str">
        <f t="shared" si="4"/>
        <v/>
      </c>
      <c r="D192" s="18"/>
      <c r="E192" s="18"/>
      <c r="F192" s="15"/>
      <c r="G192" s="19"/>
      <c r="H192" s="19"/>
      <c r="I192" s="19"/>
      <c r="J192" s="22"/>
      <c r="K192" s="81"/>
      <c r="M192" s="88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</row>
    <row r="193" spans="2:39" ht="41.25" customHeight="1">
      <c r="B193" s="18"/>
      <c r="C193" s="57" t="str">
        <f t="shared" si="4"/>
        <v/>
      </c>
      <c r="D193" s="18"/>
      <c r="E193" s="18"/>
      <c r="F193" s="15"/>
      <c r="G193" s="19"/>
      <c r="H193" s="19"/>
      <c r="I193" s="19"/>
      <c r="J193" s="22"/>
      <c r="K193" s="81"/>
      <c r="M193" s="88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</row>
    <row r="194" spans="2:39" ht="41.25" customHeight="1">
      <c r="B194" s="18"/>
      <c r="C194" s="57" t="str">
        <f t="shared" si="4"/>
        <v/>
      </c>
      <c r="D194" s="18"/>
      <c r="E194" s="18"/>
      <c r="F194" s="15"/>
      <c r="G194" s="19"/>
      <c r="H194" s="19"/>
      <c r="I194" s="19"/>
      <c r="J194" s="22"/>
      <c r="K194" s="81"/>
      <c r="M194" s="88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</row>
    <row r="195" spans="2:39" ht="41.25" customHeight="1">
      <c r="B195" s="18"/>
      <c r="C195" s="57" t="str">
        <f t="shared" si="4"/>
        <v/>
      </c>
      <c r="D195" s="18"/>
      <c r="E195" s="18"/>
      <c r="F195" s="15"/>
      <c r="G195" s="19"/>
      <c r="H195" s="19"/>
      <c r="I195" s="19"/>
      <c r="J195" s="22"/>
      <c r="K195" s="81"/>
      <c r="M195" s="88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</row>
    <row r="196" spans="2:39" ht="41.25" customHeight="1">
      <c r="B196" s="18"/>
      <c r="C196" s="57" t="str">
        <f t="shared" si="4"/>
        <v/>
      </c>
      <c r="D196" s="18"/>
      <c r="E196" s="18"/>
      <c r="F196" s="15"/>
      <c r="G196" s="19"/>
      <c r="H196" s="19"/>
      <c r="I196" s="19"/>
      <c r="J196" s="22"/>
      <c r="K196" s="81"/>
      <c r="M196" s="88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</row>
    <row r="197" spans="2:39" ht="41.25" customHeight="1">
      <c r="B197" s="18"/>
      <c r="C197" s="57" t="str">
        <f t="shared" si="4"/>
        <v/>
      </c>
      <c r="D197" s="18"/>
      <c r="E197" s="18"/>
      <c r="F197" s="15"/>
      <c r="G197" s="19"/>
      <c r="H197" s="19"/>
      <c r="I197" s="19"/>
      <c r="J197" s="22"/>
      <c r="K197" s="81"/>
      <c r="M197" s="88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</row>
    <row r="198" spans="2:39" ht="41.25" customHeight="1">
      <c r="B198" s="18"/>
      <c r="C198" s="57" t="str">
        <f t="shared" ref="C198:C261" si="5">IF(B198="","",MONTH(B198))</f>
        <v/>
      </c>
      <c r="D198" s="18"/>
      <c r="E198" s="18"/>
      <c r="F198" s="15"/>
      <c r="G198" s="19"/>
      <c r="H198" s="19"/>
      <c r="I198" s="19"/>
      <c r="J198" s="22"/>
      <c r="K198" s="81"/>
      <c r="M198" s="88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</row>
    <row r="199" spans="2:39" ht="41.25" customHeight="1">
      <c r="B199" s="18"/>
      <c r="C199" s="57" t="str">
        <f t="shared" si="5"/>
        <v/>
      </c>
      <c r="D199" s="18"/>
      <c r="E199" s="18"/>
      <c r="F199" s="15"/>
      <c r="G199" s="19"/>
      <c r="H199" s="19"/>
      <c r="I199" s="19"/>
      <c r="J199" s="22"/>
      <c r="K199" s="81"/>
      <c r="M199" s="88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</row>
    <row r="200" spans="2:39" ht="41.25" customHeight="1">
      <c r="B200" s="18"/>
      <c r="C200" s="57" t="str">
        <f t="shared" si="5"/>
        <v/>
      </c>
      <c r="D200" s="18"/>
      <c r="E200" s="18"/>
      <c r="F200" s="15"/>
      <c r="G200" s="19"/>
      <c r="H200" s="19"/>
      <c r="I200" s="19"/>
      <c r="J200" s="22"/>
      <c r="K200" s="81"/>
      <c r="M200" s="88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</row>
    <row r="201" spans="2:39" ht="41.25" customHeight="1">
      <c r="B201" s="18"/>
      <c r="C201" s="57" t="str">
        <f t="shared" si="5"/>
        <v/>
      </c>
      <c r="D201" s="18"/>
      <c r="E201" s="18"/>
      <c r="F201" s="15"/>
      <c r="G201" s="19"/>
      <c r="H201" s="19"/>
      <c r="I201" s="19"/>
      <c r="J201" s="22"/>
      <c r="K201" s="81"/>
      <c r="M201" s="88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</row>
    <row r="202" spans="2:39" ht="41.25" customHeight="1">
      <c r="B202" s="18"/>
      <c r="C202" s="57" t="str">
        <f t="shared" si="5"/>
        <v/>
      </c>
      <c r="D202" s="18"/>
      <c r="E202" s="18"/>
      <c r="F202" s="15"/>
      <c r="G202" s="19"/>
      <c r="H202" s="19"/>
      <c r="I202" s="19"/>
      <c r="J202" s="22"/>
      <c r="K202" s="81"/>
      <c r="M202" s="88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</row>
    <row r="203" spans="2:39" ht="41.25" customHeight="1">
      <c r="B203" s="18"/>
      <c r="C203" s="57" t="str">
        <f t="shared" si="5"/>
        <v/>
      </c>
      <c r="D203" s="18"/>
      <c r="E203" s="18"/>
      <c r="F203" s="15"/>
      <c r="G203" s="19"/>
      <c r="H203" s="19"/>
      <c r="I203" s="19"/>
      <c r="J203" s="22"/>
      <c r="K203" s="81"/>
      <c r="M203" s="88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</row>
    <row r="204" spans="2:39" ht="41.25" customHeight="1">
      <c r="B204" s="18"/>
      <c r="C204" s="57" t="str">
        <f t="shared" si="5"/>
        <v/>
      </c>
      <c r="D204" s="18"/>
      <c r="E204" s="18"/>
      <c r="F204" s="15"/>
      <c r="G204" s="19"/>
      <c r="H204" s="19"/>
      <c r="I204" s="19"/>
      <c r="J204" s="22"/>
      <c r="K204" s="81"/>
      <c r="M204" s="88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</row>
    <row r="205" spans="2:39" ht="41.25" customHeight="1">
      <c r="B205" s="18"/>
      <c r="C205" s="57" t="str">
        <f t="shared" si="5"/>
        <v/>
      </c>
      <c r="D205" s="18"/>
      <c r="E205" s="18"/>
      <c r="F205" s="15"/>
      <c r="G205" s="19"/>
      <c r="H205" s="19"/>
      <c r="I205" s="19"/>
      <c r="J205" s="22"/>
      <c r="K205" s="81"/>
      <c r="M205" s="88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</row>
    <row r="206" spans="2:39" ht="41.25" customHeight="1">
      <c r="B206" s="18"/>
      <c r="C206" s="57" t="str">
        <f t="shared" si="5"/>
        <v/>
      </c>
      <c r="D206" s="18"/>
      <c r="E206" s="18"/>
      <c r="F206" s="15"/>
      <c r="G206" s="19"/>
      <c r="H206" s="19"/>
      <c r="I206" s="19"/>
      <c r="J206" s="22"/>
      <c r="K206" s="81"/>
      <c r="M206" s="88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</row>
    <row r="207" spans="2:39" ht="41.25" customHeight="1">
      <c r="B207" s="18"/>
      <c r="C207" s="57" t="str">
        <f t="shared" si="5"/>
        <v/>
      </c>
      <c r="D207" s="18"/>
      <c r="E207" s="18"/>
      <c r="F207" s="15"/>
      <c r="G207" s="19"/>
      <c r="H207" s="19"/>
      <c r="I207" s="19"/>
      <c r="J207" s="22"/>
      <c r="K207" s="81"/>
      <c r="M207" s="88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</row>
    <row r="208" spans="2:39" ht="41.25" customHeight="1">
      <c r="B208" s="18"/>
      <c r="C208" s="57" t="str">
        <f t="shared" si="5"/>
        <v/>
      </c>
      <c r="D208" s="18"/>
      <c r="E208" s="18"/>
      <c r="F208" s="15"/>
      <c r="G208" s="19"/>
      <c r="H208" s="19"/>
      <c r="I208" s="19"/>
      <c r="J208" s="22"/>
      <c r="K208" s="81"/>
      <c r="M208" s="88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</row>
    <row r="209" spans="1:39" ht="41.25" customHeight="1">
      <c r="B209" s="18"/>
      <c r="C209" s="57" t="str">
        <f t="shared" si="5"/>
        <v/>
      </c>
      <c r="D209" s="18"/>
      <c r="E209" s="18"/>
      <c r="F209" s="15"/>
      <c r="G209" s="19"/>
      <c r="H209" s="19"/>
      <c r="I209" s="19"/>
      <c r="J209" s="22"/>
      <c r="K209" s="81"/>
      <c r="M209" s="88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</row>
    <row r="210" spans="1:39" ht="41.25" customHeight="1">
      <c r="B210" s="18"/>
      <c r="C210" s="57" t="str">
        <f t="shared" si="5"/>
        <v/>
      </c>
      <c r="D210" s="18"/>
      <c r="E210" s="18"/>
      <c r="F210" s="15"/>
      <c r="G210" s="19"/>
      <c r="H210" s="19"/>
      <c r="I210" s="19"/>
      <c r="J210" s="22"/>
      <c r="K210" s="81"/>
      <c r="M210" s="88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</row>
    <row r="211" spans="1:39" ht="41.25" customHeight="1">
      <c r="B211" s="18"/>
      <c r="C211" s="57" t="str">
        <f t="shared" si="5"/>
        <v/>
      </c>
      <c r="D211" s="18"/>
      <c r="E211" s="18"/>
      <c r="F211" s="15"/>
      <c r="G211" s="19"/>
      <c r="H211" s="19"/>
      <c r="I211" s="19"/>
      <c r="J211" s="22"/>
      <c r="K211" s="81"/>
      <c r="M211" s="88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</row>
    <row r="212" spans="1:39" ht="41.25" customHeight="1">
      <c r="B212" s="18"/>
      <c r="C212" s="57" t="str">
        <f t="shared" si="5"/>
        <v/>
      </c>
      <c r="D212" s="18"/>
      <c r="E212" s="18"/>
      <c r="F212" s="15"/>
      <c r="G212" s="19"/>
      <c r="H212" s="19"/>
      <c r="I212" s="19"/>
      <c r="J212" s="22"/>
      <c r="K212" s="81"/>
      <c r="M212" s="88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</row>
    <row r="213" spans="1:39" s="9" customFormat="1" ht="41.25" customHeight="1">
      <c r="A213" s="13"/>
      <c r="B213" s="18"/>
      <c r="C213" s="57" t="str">
        <f t="shared" si="5"/>
        <v/>
      </c>
      <c r="D213" s="18"/>
      <c r="E213" s="18"/>
      <c r="F213" s="15"/>
      <c r="G213" s="19"/>
      <c r="H213" s="19"/>
      <c r="I213" s="19"/>
      <c r="J213" s="22"/>
      <c r="K213" s="81"/>
      <c r="L213" s="22"/>
      <c r="M213" s="88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</row>
    <row r="214" spans="1:39" ht="41.25" customHeight="1">
      <c r="B214" s="18"/>
      <c r="C214" s="57" t="str">
        <f t="shared" si="5"/>
        <v/>
      </c>
      <c r="D214" s="18"/>
      <c r="E214" s="18"/>
      <c r="F214" s="15"/>
      <c r="G214" s="19"/>
      <c r="H214" s="19"/>
      <c r="I214" s="19"/>
      <c r="J214" s="22"/>
      <c r="K214" s="81"/>
      <c r="M214" s="88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</row>
    <row r="215" spans="1:39" ht="41.25" customHeight="1">
      <c r="B215" s="18"/>
      <c r="C215" s="57" t="str">
        <f t="shared" si="5"/>
        <v/>
      </c>
      <c r="D215" s="18"/>
      <c r="E215" s="18"/>
      <c r="F215" s="15"/>
      <c r="G215" s="19"/>
      <c r="H215" s="19"/>
      <c r="I215" s="19"/>
      <c r="J215" s="22"/>
      <c r="K215" s="81"/>
      <c r="M215" s="88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</row>
    <row r="216" spans="1:39" ht="41.25" customHeight="1">
      <c r="B216" s="18"/>
      <c r="C216" s="57" t="str">
        <f t="shared" si="5"/>
        <v/>
      </c>
      <c r="D216" s="18"/>
      <c r="E216" s="18"/>
      <c r="F216" s="15"/>
      <c r="G216" s="19"/>
      <c r="H216" s="19"/>
      <c r="I216" s="19"/>
      <c r="J216" s="22"/>
      <c r="K216" s="81"/>
      <c r="M216" s="88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</row>
    <row r="217" spans="1:39" ht="41.25" customHeight="1">
      <c r="B217" s="18"/>
      <c r="C217" s="57" t="str">
        <f t="shared" si="5"/>
        <v/>
      </c>
      <c r="D217" s="18"/>
      <c r="E217" s="18"/>
      <c r="F217" s="15"/>
      <c r="G217" s="19"/>
      <c r="H217" s="19"/>
      <c r="I217" s="19"/>
      <c r="J217" s="22"/>
      <c r="K217" s="81"/>
      <c r="M217" s="88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</row>
    <row r="218" spans="1:39" ht="41.25" customHeight="1">
      <c r="B218" s="18"/>
      <c r="C218" s="57" t="str">
        <f t="shared" si="5"/>
        <v/>
      </c>
      <c r="D218" s="18"/>
      <c r="E218" s="18"/>
      <c r="F218" s="15"/>
      <c r="G218" s="19"/>
      <c r="H218" s="19"/>
      <c r="I218" s="19"/>
      <c r="J218" s="22"/>
      <c r="K218" s="81"/>
      <c r="M218" s="88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</row>
    <row r="219" spans="1:39" ht="41.25" customHeight="1">
      <c r="B219" s="18"/>
      <c r="C219" s="57" t="str">
        <f t="shared" si="5"/>
        <v/>
      </c>
      <c r="D219" s="18"/>
      <c r="E219" s="18"/>
      <c r="F219" s="15"/>
      <c r="G219" s="19"/>
      <c r="H219" s="19"/>
      <c r="I219" s="19"/>
      <c r="J219" s="22"/>
      <c r="K219" s="81"/>
      <c r="M219" s="88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</row>
    <row r="220" spans="1:39" ht="41.25" customHeight="1">
      <c r="B220" s="18"/>
      <c r="C220" s="57" t="str">
        <f t="shared" si="5"/>
        <v/>
      </c>
      <c r="D220" s="18"/>
      <c r="E220" s="18"/>
      <c r="F220" s="15"/>
      <c r="G220" s="19"/>
      <c r="H220" s="19"/>
      <c r="I220" s="19"/>
      <c r="J220" s="22"/>
      <c r="K220" s="81"/>
      <c r="M220" s="88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</row>
    <row r="221" spans="1:39" ht="41.25" customHeight="1">
      <c r="B221" s="18"/>
      <c r="C221" s="57" t="str">
        <f t="shared" si="5"/>
        <v/>
      </c>
      <c r="D221" s="18"/>
      <c r="E221" s="18"/>
      <c r="F221" s="15"/>
      <c r="G221" s="19"/>
      <c r="H221" s="19"/>
      <c r="I221" s="19"/>
      <c r="J221" s="22"/>
      <c r="K221" s="81"/>
      <c r="M221" s="88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</row>
    <row r="222" spans="1:39" ht="41.25" customHeight="1">
      <c r="B222" s="18"/>
      <c r="C222" s="57" t="str">
        <f t="shared" si="5"/>
        <v/>
      </c>
      <c r="D222" s="18"/>
      <c r="E222" s="18"/>
      <c r="F222" s="15"/>
      <c r="G222" s="19"/>
      <c r="H222" s="19"/>
      <c r="I222" s="19"/>
      <c r="J222" s="22"/>
      <c r="K222" s="81"/>
      <c r="M222" s="88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</row>
    <row r="223" spans="1:39" ht="41.25" customHeight="1">
      <c r="B223" s="18"/>
      <c r="C223" s="57" t="str">
        <f t="shared" si="5"/>
        <v/>
      </c>
      <c r="D223" s="18"/>
      <c r="E223" s="18"/>
      <c r="F223" s="15"/>
      <c r="G223" s="19"/>
      <c r="H223" s="19"/>
      <c r="I223" s="19"/>
      <c r="J223" s="22"/>
      <c r="K223" s="81"/>
      <c r="M223" s="88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</row>
    <row r="224" spans="1:39" ht="41.25" customHeight="1">
      <c r="B224" s="18"/>
      <c r="C224" s="57" t="str">
        <f t="shared" si="5"/>
        <v/>
      </c>
      <c r="D224" s="18"/>
      <c r="E224" s="18"/>
      <c r="F224" s="15"/>
      <c r="G224" s="19"/>
      <c r="H224" s="19"/>
      <c r="I224" s="19"/>
      <c r="J224" s="22"/>
      <c r="K224" s="81"/>
      <c r="M224" s="88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</row>
    <row r="225" spans="2:39" ht="41.25" customHeight="1">
      <c r="B225" s="18"/>
      <c r="C225" s="57" t="str">
        <f t="shared" si="5"/>
        <v/>
      </c>
      <c r="D225" s="18"/>
      <c r="E225" s="18"/>
      <c r="F225" s="15"/>
      <c r="G225" s="19"/>
      <c r="H225" s="19"/>
      <c r="I225" s="19"/>
      <c r="J225" s="22"/>
      <c r="K225" s="81"/>
      <c r="M225" s="88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</row>
    <row r="226" spans="2:39" ht="41.25" customHeight="1">
      <c r="B226" s="18"/>
      <c r="C226" s="57" t="str">
        <f t="shared" si="5"/>
        <v/>
      </c>
      <c r="D226" s="18"/>
      <c r="E226" s="18"/>
      <c r="F226" s="15"/>
      <c r="G226" s="19"/>
      <c r="H226" s="19"/>
      <c r="I226" s="19"/>
      <c r="J226" s="22"/>
      <c r="K226" s="81"/>
      <c r="M226" s="88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</row>
    <row r="227" spans="2:39" ht="41.25" customHeight="1">
      <c r="B227" s="18"/>
      <c r="C227" s="57" t="str">
        <f t="shared" si="5"/>
        <v/>
      </c>
      <c r="D227" s="18"/>
      <c r="E227" s="18"/>
      <c r="F227" s="15"/>
      <c r="G227" s="19"/>
      <c r="H227" s="19"/>
      <c r="I227" s="19"/>
      <c r="J227" s="22"/>
      <c r="K227" s="81"/>
      <c r="M227" s="88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</row>
    <row r="228" spans="2:39" ht="41.25" customHeight="1">
      <c r="B228" s="18"/>
      <c r="C228" s="57" t="str">
        <f t="shared" si="5"/>
        <v/>
      </c>
      <c r="D228" s="18"/>
      <c r="E228" s="18"/>
      <c r="F228" s="15"/>
      <c r="G228" s="19"/>
      <c r="H228" s="19"/>
      <c r="I228" s="19"/>
      <c r="J228" s="22"/>
      <c r="K228" s="81"/>
      <c r="M228" s="88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</row>
    <row r="229" spans="2:39" ht="41.25" customHeight="1">
      <c r="B229" s="18"/>
      <c r="C229" s="57" t="str">
        <f t="shared" si="5"/>
        <v/>
      </c>
      <c r="D229" s="18"/>
      <c r="E229" s="18"/>
      <c r="F229" s="15"/>
      <c r="G229" s="19"/>
      <c r="H229" s="19"/>
      <c r="I229" s="19"/>
      <c r="J229" s="22"/>
      <c r="K229" s="81"/>
      <c r="M229" s="88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</row>
    <row r="230" spans="2:39" ht="41.25" customHeight="1">
      <c r="B230" s="18"/>
      <c r="C230" s="57" t="str">
        <f t="shared" si="5"/>
        <v/>
      </c>
      <c r="D230" s="18"/>
      <c r="E230" s="18"/>
      <c r="F230" s="15"/>
      <c r="G230" s="19"/>
      <c r="H230" s="19"/>
      <c r="I230" s="19"/>
      <c r="J230" s="22"/>
      <c r="K230" s="81"/>
      <c r="M230" s="88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</row>
    <row r="231" spans="2:39" ht="41.25" customHeight="1">
      <c r="B231" s="18"/>
      <c r="C231" s="57" t="str">
        <f t="shared" si="5"/>
        <v/>
      </c>
      <c r="D231" s="18"/>
      <c r="E231" s="18"/>
      <c r="F231" s="15"/>
      <c r="G231" s="19"/>
      <c r="H231" s="19"/>
      <c r="I231" s="19"/>
      <c r="J231" s="22"/>
      <c r="K231" s="81"/>
      <c r="M231" s="88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</row>
    <row r="232" spans="2:39" ht="41.25" customHeight="1">
      <c r="B232" s="18"/>
      <c r="C232" s="57" t="str">
        <f t="shared" si="5"/>
        <v/>
      </c>
      <c r="D232" s="18"/>
      <c r="E232" s="18"/>
      <c r="F232" s="15"/>
      <c r="G232" s="19"/>
      <c r="H232" s="19"/>
      <c r="I232" s="19"/>
      <c r="J232" s="22"/>
      <c r="K232" s="81"/>
      <c r="M232" s="88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</row>
    <row r="233" spans="2:39" ht="41.25" customHeight="1">
      <c r="B233" s="18"/>
      <c r="C233" s="57" t="str">
        <f t="shared" si="5"/>
        <v/>
      </c>
      <c r="D233" s="18"/>
      <c r="E233" s="18"/>
      <c r="F233" s="15"/>
      <c r="G233" s="19"/>
      <c r="H233" s="19"/>
      <c r="I233" s="19"/>
      <c r="J233" s="22"/>
      <c r="K233" s="81"/>
      <c r="M233" s="88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</row>
    <row r="234" spans="2:39" ht="41.25" customHeight="1">
      <c r="B234" s="18"/>
      <c r="C234" s="57" t="str">
        <f t="shared" si="5"/>
        <v/>
      </c>
      <c r="D234" s="18"/>
      <c r="E234" s="18"/>
      <c r="F234" s="15"/>
      <c r="G234" s="19"/>
      <c r="H234" s="19"/>
      <c r="I234" s="19"/>
      <c r="J234" s="22"/>
      <c r="K234" s="81"/>
      <c r="M234" s="88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</row>
    <row r="235" spans="2:39" ht="41.25" customHeight="1">
      <c r="B235" s="18"/>
      <c r="C235" s="57" t="str">
        <f t="shared" si="5"/>
        <v/>
      </c>
      <c r="D235" s="18"/>
      <c r="E235" s="18"/>
      <c r="F235" s="15"/>
      <c r="G235" s="19"/>
      <c r="H235" s="19"/>
      <c r="I235" s="19"/>
      <c r="J235" s="22"/>
      <c r="K235" s="81"/>
      <c r="M235" s="88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</row>
    <row r="236" spans="2:39" ht="41.25" customHeight="1">
      <c r="B236" s="18"/>
      <c r="C236" s="57" t="str">
        <f t="shared" si="5"/>
        <v/>
      </c>
      <c r="D236" s="18"/>
      <c r="E236" s="18"/>
      <c r="F236" s="15"/>
      <c r="G236" s="19"/>
      <c r="H236" s="19"/>
      <c r="I236" s="19"/>
      <c r="J236" s="22"/>
      <c r="K236" s="81"/>
      <c r="M236" s="88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</row>
    <row r="237" spans="2:39" ht="41.25" customHeight="1">
      <c r="B237" s="18"/>
      <c r="C237" s="57" t="str">
        <f t="shared" si="5"/>
        <v/>
      </c>
      <c r="D237" s="18"/>
      <c r="E237" s="18"/>
      <c r="F237" s="15"/>
      <c r="G237" s="19"/>
      <c r="H237" s="19"/>
      <c r="I237" s="19"/>
      <c r="J237" s="22"/>
      <c r="K237" s="81"/>
      <c r="M237" s="88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</row>
    <row r="238" spans="2:39" ht="41.25" customHeight="1">
      <c r="B238" s="18"/>
      <c r="C238" s="57" t="str">
        <f t="shared" si="5"/>
        <v/>
      </c>
      <c r="D238" s="18"/>
      <c r="E238" s="18"/>
      <c r="F238" s="15"/>
      <c r="G238" s="19"/>
      <c r="H238" s="19"/>
      <c r="I238" s="19"/>
      <c r="J238" s="22"/>
      <c r="K238" s="81"/>
      <c r="M238" s="88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</row>
    <row r="239" spans="2:39" ht="41.25" customHeight="1">
      <c r="B239" s="18"/>
      <c r="C239" s="57" t="str">
        <f t="shared" si="5"/>
        <v/>
      </c>
      <c r="D239" s="18"/>
      <c r="E239" s="18"/>
      <c r="F239" s="15"/>
      <c r="G239" s="19"/>
      <c r="H239" s="19"/>
      <c r="I239" s="19"/>
      <c r="J239" s="22"/>
      <c r="K239" s="81"/>
      <c r="M239" s="88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</row>
    <row r="240" spans="2:39" ht="41.25" customHeight="1">
      <c r="B240" s="18"/>
      <c r="C240" s="57" t="str">
        <f t="shared" si="5"/>
        <v/>
      </c>
      <c r="D240" s="18"/>
      <c r="E240" s="18"/>
      <c r="F240" s="15"/>
      <c r="G240" s="19"/>
      <c r="H240" s="19"/>
      <c r="I240" s="19"/>
      <c r="J240" s="22"/>
      <c r="K240" s="81"/>
      <c r="M240" s="88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</row>
    <row r="241" spans="2:39" ht="41.25" customHeight="1">
      <c r="B241" s="18"/>
      <c r="C241" s="57" t="str">
        <f t="shared" si="5"/>
        <v/>
      </c>
      <c r="D241" s="18"/>
      <c r="E241" s="18"/>
      <c r="F241" s="15"/>
      <c r="G241" s="19"/>
      <c r="H241" s="19"/>
      <c r="I241" s="19"/>
      <c r="J241" s="22"/>
      <c r="K241" s="81"/>
      <c r="M241" s="88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</row>
    <row r="242" spans="2:39" ht="41.25" customHeight="1">
      <c r="B242" s="18"/>
      <c r="C242" s="57" t="str">
        <f t="shared" si="5"/>
        <v/>
      </c>
      <c r="D242" s="18"/>
      <c r="E242" s="18"/>
      <c r="F242" s="15"/>
      <c r="G242" s="19"/>
      <c r="H242" s="19"/>
      <c r="I242" s="19"/>
      <c r="J242" s="22"/>
      <c r="K242" s="81"/>
      <c r="M242" s="88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</row>
    <row r="243" spans="2:39" ht="41.25" customHeight="1">
      <c r="B243" s="18"/>
      <c r="C243" s="57" t="str">
        <f t="shared" si="5"/>
        <v/>
      </c>
      <c r="D243" s="18"/>
      <c r="E243" s="18"/>
      <c r="F243" s="15"/>
      <c r="G243" s="19"/>
      <c r="H243" s="19"/>
      <c r="I243" s="19"/>
      <c r="J243" s="22"/>
      <c r="K243" s="81"/>
      <c r="M243" s="88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</row>
    <row r="244" spans="2:39" ht="41.25" customHeight="1">
      <c r="B244" s="18"/>
      <c r="C244" s="57" t="str">
        <f t="shared" si="5"/>
        <v/>
      </c>
      <c r="D244" s="18"/>
      <c r="E244" s="18"/>
      <c r="F244" s="15"/>
      <c r="G244" s="19"/>
      <c r="H244" s="19"/>
      <c r="I244" s="19"/>
      <c r="J244" s="22"/>
      <c r="K244" s="81"/>
      <c r="M244" s="88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</row>
    <row r="245" spans="2:39" ht="41.25" customHeight="1">
      <c r="B245" s="18"/>
      <c r="C245" s="57" t="str">
        <f t="shared" si="5"/>
        <v/>
      </c>
      <c r="D245" s="18"/>
      <c r="E245" s="18"/>
      <c r="F245" s="15"/>
      <c r="G245" s="19"/>
      <c r="H245" s="19"/>
      <c r="I245" s="19"/>
      <c r="J245" s="22"/>
      <c r="K245" s="81"/>
      <c r="M245" s="88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</row>
    <row r="246" spans="2:39" ht="41.25" customHeight="1">
      <c r="B246" s="18"/>
      <c r="C246" s="57" t="str">
        <f t="shared" si="5"/>
        <v/>
      </c>
      <c r="D246" s="18"/>
      <c r="E246" s="18"/>
      <c r="F246" s="15"/>
      <c r="G246" s="19"/>
      <c r="H246" s="19"/>
      <c r="I246" s="19"/>
      <c r="J246" s="22"/>
      <c r="K246" s="81"/>
      <c r="M246" s="88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</row>
    <row r="247" spans="2:39" ht="41.25" customHeight="1">
      <c r="B247" s="18"/>
      <c r="C247" s="57" t="str">
        <f t="shared" si="5"/>
        <v/>
      </c>
      <c r="D247" s="18"/>
      <c r="E247" s="18"/>
      <c r="F247" s="15"/>
      <c r="G247" s="19"/>
      <c r="H247" s="19"/>
      <c r="I247" s="19"/>
      <c r="J247" s="22"/>
      <c r="K247" s="81"/>
      <c r="M247" s="88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</row>
    <row r="248" spans="2:39" ht="41.25" customHeight="1">
      <c r="B248" s="18"/>
      <c r="C248" s="57" t="str">
        <f t="shared" si="5"/>
        <v/>
      </c>
      <c r="D248" s="18"/>
      <c r="E248" s="18"/>
      <c r="F248" s="15"/>
      <c r="G248" s="19"/>
      <c r="H248" s="19"/>
      <c r="I248" s="19"/>
      <c r="J248" s="22"/>
      <c r="K248" s="81"/>
      <c r="M248" s="88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</row>
    <row r="249" spans="2:39" ht="41.25" customHeight="1">
      <c r="B249" s="18"/>
      <c r="C249" s="57" t="str">
        <f t="shared" si="5"/>
        <v/>
      </c>
      <c r="D249" s="18"/>
      <c r="E249" s="18"/>
      <c r="F249" s="15"/>
      <c r="G249" s="19"/>
      <c r="H249" s="19"/>
      <c r="I249" s="19"/>
      <c r="J249" s="22"/>
      <c r="K249" s="81"/>
      <c r="M249" s="88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</row>
    <row r="250" spans="2:39" ht="41.25" customHeight="1">
      <c r="B250" s="18"/>
      <c r="C250" s="57" t="str">
        <f t="shared" si="5"/>
        <v/>
      </c>
      <c r="D250" s="18"/>
      <c r="E250" s="18"/>
      <c r="F250" s="15"/>
      <c r="G250" s="19"/>
      <c r="H250" s="19"/>
      <c r="I250" s="19"/>
      <c r="J250" s="22"/>
      <c r="K250" s="81"/>
      <c r="M250" s="88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</row>
    <row r="251" spans="2:39" ht="41.25" customHeight="1">
      <c r="B251" s="18"/>
      <c r="C251" s="57" t="str">
        <f t="shared" si="5"/>
        <v/>
      </c>
      <c r="D251" s="18"/>
      <c r="E251" s="18"/>
      <c r="F251" s="15"/>
      <c r="G251" s="19"/>
      <c r="H251" s="19"/>
      <c r="I251" s="19"/>
      <c r="J251" s="22"/>
      <c r="K251" s="81"/>
      <c r="M251" s="88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</row>
    <row r="252" spans="2:39" ht="41.25" customHeight="1">
      <c r="B252" s="18"/>
      <c r="C252" s="57" t="str">
        <f t="shared" si="5"/>
        <v/>
      </c>
      <c r="D252" s="18"/>
      <c r="E252" s="18"/>
      <c r="F252" s="15"/>
      <c r="G252" s="19"/>
      <c r="H252" s="19"/>
      <c r="I252" s="19"/>
      <c r="J252" s="22"/>
      <c r="K252" s="81"/>
      <c r="M252" s="88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</row>
    <row r="253" spans="2:39" ht="41.25" customHeight="1">
      <c r="B253" s="18"/>
      <c r="C253" s="57" t="str">
        <f t="shared" si="5"/>
        <v/>
      </c>
      <c r="D253" s="18"/>
      <c r="E253" s="18"/>
      <c r="F253" s="15"/>
      <c r="G253" s="19"/>
      <c r="H253" s="19"/>
      <c r="I253" s="19"/>
      <c r="J253" s="22"/>
      <c r="K253" s="81"/>
      <c r="M253" s="88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</row>
    <row r="254" spans="2:39" ht="41.25" customHeight="1">
      <c r="B254" s="18"/>
      <c r="C254" s="57" t="str">
        <f t="shared" si="5"/>
        <v/>
      </c>
      <c r="D254" s="18"/>
      <c r="E254" s="18"/>
      <c r="F254" s="15"/>
      <c r="G254" s="19"/>
      <c r="H254" s="19"/>
      <c r="I254" s="19"/>
      <c r="J254" s="22"/>
      <c r="K254" s="81"/>
      <c r="M254" s="88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</row>
    <row r="255" spans="2:39" ht="41.25" customHeight="1">
      <c r="B255" s="18"/>
      <c r="C255" s="57" t="str">
        <f t="shared" si="5"/>
        <v/>
      </c>
      <c r="D255" s="18"/>
      <c r="E255" s="18"/>
      <c r="F255" s="15"/>
      <c r="G255" s="19"/>
      <c r="H255" s="19"/>
      <c r="I255" s="19"/>
      <c r="J255" s="22"/>
      <c r="K255" s="81"/>
      <c r="M255" s="88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</row>
    <row r="256" spans="2:39" ht="41.25" customHeight="1">
      <c r="B256" s="18"/>
      <c r="C256" s="57" t="str">
        <f t="shared" si="5"/>
        <v/>
      </c>
      <c r="D256" s="18"/>
      <c r="E256" s="18"/>
      <c r="F256" s="15"/>
      <c r="G256" s="19"/>
      <c r="H256" s="19"/>
      <c r="I256" s="19"/>
      <c r="J256" s="22"/>
      <c r="K256" s="81"/>
      <c r="M256" s="88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</row>
    <row r="257" spans="2:39" ht="41.25" customHeight="1">
      <c r="B257" s="18"/>
      <c r="C257" s="57" t="str">
        <f t="shared" si="5"/>
        <v/>
      </c>
      <c r="D257" s="18"/>
      <c r="E257" s="18"/>
      <c r="F257" s="15"/>
      <c r="G257" s="19"/>
      <c r="H257" s="19"/>
      <c r="I257" s="19"/>
      <c r="J257" s="22"/>
      <c r="K257" s="81"/>
      <c r="M257" s="88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</row>
    <row r="258" spans="2:39" ht="41.25" customHeight="1">
      <c r="B258" s="18"/>
      <c r="C258" s="57" t="str">
        <f t="shared" si="5"/>
        <v/>
      </c>
      <c r="D258" s="18"/>
      <c r="E258" s="18"/>
      <c r="F258" s="15"/>
      <c r="G258" s="19"/>
      <c r="H258" s="19"/>
      <c r="I258" s="19"/>
      <c r="J258" s="22"/>
      <c r="K258" s="81"/>
      <c r="M258" s="88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</row>
    <row r="259" spans="2:39" ht="41.25" customHeight="1">
      <c r="B259" s="18"/>
      <c r="C259" s="57" t="str">
        <f t="shared" si="5"/>
        <v/>
      </c>
      <c r="D259" s="18"/>
      <c r="E259" s="18"/>
      <c r="F259" s="15"/>
      <c r="G259" s="19"/>
      <c r="H259" s="19"/>
      <c r="I259" s="19"/>
      <c r="J259" s="22"/>
      <c r="K259" s="81"/>
      <c r="M259" s="88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</row>
    <row r="260" spans="2:39" ht="41.25" customHeight="1">
      <c r="B260" s="18"/>
      <c r="C260" s="57" t="str">
        <f t="shared" si="5"/>
        <v/>
      </c>
      <c r="D260" s="18"/>
      <c r="E260" s="18"/>
      <c r="F260" s="15"/>
      <c r="G260" s="19"/>
      <c r="H260" s="19"/>
      <c r="I260" s="19"/>
      <c r="J260" s="22"/>
      <c r="K260" s="81"/>
      <c r="M260" s="88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</row>
    <row r="261" spans="2:39" ht="41.25" customHeight="1">
      <c r="B261" s="18"/>
      <c r="C261" s="57" t="str">
        <f t="shared" si="5"/>
        <v/>
      </c>
      <c r="D261" s="18"/>
      <c r="E261" s="18"/>
      <c r="F261" s="15"/>
      <c r="G261" s="19"/>
      <c r="H261" s="19"/>
      <c r="I261" s="19"/>
      <c r="J261" s="22"/>
      <c r="K261" s="81"/>
      <c r="M261" s="88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</row>
    <row r="262" spans="2:39" ht="41.25" customHeight="1">
      <c r="B262" s="18"/>
      <c r="C262" s="57" t="str">
        <f t="shared" ref="C262:C325" si="6">IF(B262="","",MONTH(B262))</f>
        <v/>
      </c>
      <c r="D262" s="18"/>
      <c r="E262" s="18"/>
      <c r="F262" s="15"/>
      <c r="G262" s="19"/>
      <c r="H262" s="19"/>
      <c r="I262" s="19"/>
      <c r="J262" s="22"/>
      <c r="K262" s="81"/>
      <c r="M262" s="88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</row>
    <row r="263" spans="2:39" ht="41.25" customHeight="1">
      <c r="B263" s="18"/>
      <c r="C263" s="57" t="str">
        <f t="shared" si="6"/>
        <v/>
      </c>
      <c r="D263" s="18"/>
      <c r="E263" s="18"/>
      <c r="F263" s="15"/>
      <c r="G263" s="19"/>
      <c r="H263" s="19"/>
      <c r="I263" s="19"/>
      <c r="J263" s="22"/>
      <c r="K263" s="81"/>
      <c r="M263" s="88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</row>
    <row r="264" spans="2:39" ht="41.25" customHeight="1" outlineLevel="1">
      <c r="B264" s="18"/>
      <c r="C264" s="57" t="str">
        <f t="shared" si="6"/>
        <v/>
      </c>
      <c r="D264" s="18"/>
      <c r="E264" s="18"/>
      <c r="F264" s="15"/>
      <c r="G264" s="19"/>
      <c r="H264" s="19"/>
      <c r="I264" s="19"/>
      <c r="J264" s="22"/>
      <c r="K264" s="81"/>
      <c r="M264" s="88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</row>
    <row r="265" spans="2:39" ht="41.25" customHeight="1" outlineLevel="1">
      <c r="B265" s="18"/>
      <c r="C265" s="57" t="str">
        <f t="shared" si="6"/>
        <v/>
      </c>
      <c r="D265" s="18"/>
      <c r="E265" s="18"/>
      <c r="F265" s="15"/>
      <c r="G265" s="19"/>
      <c r="H265" s="19"/>
      <c r="I265" s="19"/>
      <c r="J265" s="22"/>
      <c r="K265" s="81"/>
      <c r="M265" s="88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</row>
    <row r="266" spans="2:39" ht="41.25" customHeight="1" outlineLevel="1">
      <c r="B266" s="18"/>
      <c r="C266" s="57" t="str">
        <f t="shared" si="6"/>
        <v/>
      </c>
      <c r="D266" s="18"/>
      <c r="E266" s="18"/>
      <c r="F266" s="15"/>
      <c r="G266" s="19"/>
      <c r="H266" s="19"/>
      <c r="I266" s="19"/>
      <c r="J266" s="22"/>
      <c r="K266" s="81"/>
      <c r="M266" s="88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</row>
    <row r="267" spans="2:39" ht="41.25" customHeight="1" outlineLevel="1">
      <c r="B267" s="18"/>
      <c r="C267" s="57" t="str">
        <f t="shared" si="6"/>
        <v/>
      </c>
      <c r="D267" s="18"/>
      <c r="E267" s="18"/>
      <c r="F267" s="15"/>
      <c r="G267" s="19"/>
      <c r="H267" s="19"/>
      <c r="I267" s="19"/>
      <c r="J267" s="22"/>
      <c r="K267" s="81"/>
      <c r="M267" s="88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</row>
    <row r="268" spans="2:39" ht="41.25" customHeight="1" outlineLevel="1">
      <c r="B268" s="18"/>
      <c r="C268" s="57" t="str">
        <f t="shared" si="6"/>
        <v/>
      </c>
      <c r="D268" s="18"/>
      <c r="E268" s="18"/>
      <c r="F268" s="15"/>
      <c r="G268" s="19"/>
      <c r="H268" s="19"/>
      <c r="I268" s="19"/>
      <c r="J268" s="22"/>
      <c r="K268" s="81"/>
      <c r="M268" s="88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</row>
    <row r="269" spans="2:39" ht="41.25" customHeight="1" outlineLevel="1">
      <c r="B269" s="18"/>
      <c r="C269" s="57" t="str">
        <f t="shared" si="6"/>
        <v/>
      </c>
      <c r="D269" s="18"/>
      <c r="E269" s="18"/>
      <c r="F269" s="15"/>
      <c r="G269" s="19"/>
      <c r="H269" s="19"/>
      <c r="I269" s="19"/>
      <c r="J269" s="22"/>
      <c r="K269" s="81"/>
      <c r="M269" s="88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</row>
    <row r="270" spans="2:39" ht="41.25" customHeight="1" outlineLevel="1">
      <c r="B270" s="18"/>
      <c r="C270" s="57" t="str">
        <f t="shared" si="6"/>
        <v/>
      </c>
      <c r="D270" s="18"/>
      <c r="E270" s="18"/>
      <c r="F270" s="15"/>
      <c r="G270" s="19"/>
      <c r="H270" s="19"/>
      <c r="I270" s="19"/>
      <c r="J270" s="22"/>
      <c r="K270" s="81"/>
      <c r="M270" s="88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</row>
    <row r="271" spans="2:39" ht="41.25" customHeight="1" outlineLevel="1">
      <c r="B271" s="18"/>
      <c r="C271" s="57" t="str">
        <f t="shared" si="6"/>
        <v/>
      </c>
      <c r="D271" s="18"/>
      <c r="E271" s="18"/>
      <c r="F271" s="15"/>
      <c r="G271" s="19"/>
      <c r="H271" s="19"/>
      <c r="I271" s="19"/>
      <c r="J271" s="22"/>
      <c r="K271" s="81"/>
      <c r="M271" s="88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</row>
    <row r="272" spans="2:39" ht="41.25" customHeight="1" outlineLevel="1">
      <c r="B272" s="18"/>
      <c r="C272" s="57" t="str">
        <f t="shared" si="6"/>
        <v/>
      </c>
      <c r="D272" s="18"/>
      <c r="E272" s="18"/>
      <c r="F272" s="15"/>
      <c r="G272" s="19"/>
      <c r="H272" s="19"/>
      <c r="I272" s="19"/>
      <c r="J272" s="22"/>
      <c r="K272" s="81"/>
      <c r="M272" s="88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</row>
    <row r="273" spans="2:39" ht="41.25" customHeight="1" outlineLevel="1">
      <c r="B273" s="18"/>
      <c r="C273" s="57" t="str">
        <f t="shared" si="6"/>
        <v/>
      </c>
      <c r="D273" s="18"/>
      <c r="E273" s="18"/>
      <c r="F273" s="15"/>
      <c r="G273" s="19"/>
      <c r="H273" s="19"/>
      <c r="I273" s="19"/>
      <c r="J273" s="22"/>
      <c r="K273" s="81"/>
      <c r="M273" s="88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</row>
    <row r="274" spans="2:39" ht="41.25" customHeight="1" outlineLevel="1">
      <c r="B274" s="18"/>
      <c r="C274" s="57" t="str">
        <f t="shared" si="6"/>
        <v/>
      </c>
      <c r="D274" s="18"/>
      <c r="E274" s="18"/>
      <c r="F274" s="15"/>
      <c r="G274" s="19"/>
      <c r="H274" s="19"/>
      <c r="I274" s="19"/>
      <c r="J274" s="22"/>
      <c r="K274" s="81"/>
      <c r="M274" s="88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</row>
    <row r="275" spans="2:39" ht="41.25" customHeight="1" outlineLevel="1">
      <c r="B275" s="18"/>
      <c r="C275" s="57" t="str">
        <f t="shared" si="6"/>
        <v/>
      </c>
      <c r="D275" s="18"/>
      <c r="E275" s="18"/>
      <c r="F275" s="15"/>
      <c r="G275" s="19"/>
      <c r="H275" s="19"/>
      <c r="I275" s="19"/>
      <c r="J275" s="22"/>
      <c r="K275" s="81"/>
      <c r="M275" s="88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</row>
    <row r="276" spans="2:39" ht="41.25" customHeight="1" outlineLevel="1">
      <c r="B276" s="18"/>
      <c r="C276" s="57" t="str">
        <f t="shared" si="6"/>
        <v/>
      </c>
      <c r="D276" s="18"/>
      <c r="E276" s="18"/>
      <c r="F276" s="15"/>
      <c r="G276" s="19"/>
      <c r="H276" s="19"/>
      <c r="I276" s="19"/>
      <c r="J276" s="22"/>
      <c r="K276" s="81"/>
      <c r="M276" s="88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</row>
    <row r="277" spans="2:39" ht="41.25" customHeight="1" outlineLevel="1">
      <c r="B277" s="18"/>
      <c r="C277" s="57" t="str">
        <f t="shared" si="6"/>
        <v/>
      </c>
      <c r="D277" s="18"/>
      <c r="E277" s="18"/>
      <c r="F277" s="15"/>
      <c r="G277" s="19"/>
      <c r="H277" s="19"/>
      <c r="I277" s="19"/>
      <c r="J277" s="22"/>
      <c r="K277" s="81"/>
      <c r="M277" s="88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</row>
    <row r="278" spans="2:39" ht="41.25" customHeight="1" outlineLevel="1">
      <c r="B278" s="18"/>
      <c r="C278" s="57" t="str">
        <f t="shared" si="6"/>
        <v/>
      </c>
      <c r="D278" s="18"/>
      <c r="E278" s="18"/>
      <c r="F278" s="15"/>
      <c r="G278" s="19"/>
      <c r="H278" s="19"/>
      <c r="I278" s="19"/>
      <c r="J278" s="22"/>
      <c r="K278" s="81"/>
      <c r="M278" s="88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</row>
    <row r="279" spans="2:39" ht="41.25" customHeight="1" outlineLevel="1">
      <c r="B279" s="18"/>
      <c r="C279" s="57" t="str">
        <f t="shared" si="6"/>
        <v/>
      </c>
      <c r="D279" s="18"/>
      <c r="E279" s="18"/>
      <c r="F279" s="15"/>
      <c r="G279" s="19"/>
      <c r="H279" s="19"/>
      <c r="I279" s="19"/>
      <c r="J279" s="22"/>
      <c r="K279" s="81"/>
      <c r="M279" s="88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</row>
    <row r="280" spans="2:39" ht="41.25" customHeight="1" outlineLevel="1">
      <c r="B280" s="18"/>
      <c r="C280" s="57" t="str">
        <f t="shared" si="6"/>
        <v/>
      </c>
      <c r="D280" s="18"/>
      <c r="E280" s="18"/>
      <c r="F280" s="15"/>
      <c r="G280" s="19"/>
      <c r="H280" s="19"/>
      <c r="I280" s="19"/>
      <c r="J280" s="22"/>
      <c r="K280" s="81"/>
      <c r="M280" s="88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</row>
    <row r="281" spans="2:39" ht="41.25" customHeight="1" outlineLevel="1">
      <c r="B281" s="18"/>
      <c r="C281" s="57" t="str">
        <f t="shared" si="6"/>
        <v/>
      </c>
      <c r="D281" s="18"/>
      <c r="E281" s="18"/>
      <c r="F281" s="15"/>
      <c r="G281" s="19"/>
      <c r="H281" s="19"/>
      <c r="I281" s="19"/>
      <c r="J281" s="22"/>
      <c r="K281" s="81"/>
      <c r="M281" s="88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</row>
    <row r="282" spans="2:39" ht="41.25" customHeight="1" outlineLevel="1">
      <c r="B282" s="18"/>
      <c r="C282" s="57" t="str">
        <f t="shared" si="6"/>
        <v/>
      </c>
      <c r="D282" s="18"/>
      <c r="E282" s="18"/>
      <c r="F282" s="15"/>
      <c r="G282" s="19"/>
      <c r="H282" s="19"/>
      <c r="I282" s="19"/>
      <c r="J282" s="22"/>
      <c r="K282" s="81"/>
      <c r="M282" s="88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</row>
    <row r="283" spans="2:39" ht="41.25" customHeight="1" outlineLevel="1">
      <c r="B283" s="18"/>
      <c r="C283" s="57" t="str">
        <f t="shared" si="6"/>
        <v/>
      </c>
      <c r="D283" s="18"/>
      <c r="E283" s="18"/>
      <c r="F283" s="15"/>
      <c r="G283" s="19"/>
      <c r="H283" s="19"/>
      <c r="I283" s="19"/>
      <c r="J283" s="22"/>
      <c r="K283" s="81"/>
      <c r="M283" s="88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</row>
    <row r="284" spans="2:39" ht="41.25" customHeight="1" outlineLevel="1">
      <c r="B284" s="18"/>
      <c r="C284" s="57" t="str">
        <f t="shared" si="6"/>
        <v/>
      </c>
      <c r="D284" s="18"/>
      <c r="E284" s="18"/>
      <c r="F284" s="15"/>
      <c r="G284" s="19"/>
      <c r="H284" s="19"/>
      <c r="I284" s="19"/>
      <c r="J284" s="22"/>
      <c r="K284" s="81"/>
      <c r="M284" s="88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</row>
    <row r="285" spans="2:39" ht="41.25" customHeight="1" outlineLevel="1">
      <c r="B285" s="18"/>
      <c r="C285" s="57" t="str">
        <f t="shared" si="6"/>
        <v/>
      </c>
      <c r="D285" s="18"/>
      <c r="E285" s="18"/>
      <c r="F285" s="15"/>
      <c r="G285" s="19"/>
      <c r="H285" s="19"/>
      <c r="I285" s="19"/>
      <c r="J285" s="22"/>
      <c r="K285" s="81"/>
      <c r="M285" s="88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</row>
    <row r="286" spans="2:39" ht="41.25" customHeight="1" outlineLevel="1">
      <c r="B286" s="18"/>
      <c r="C286" s="57" t="str">
        <f t="shared" si="6"/>
        <v/>
      </c>
      <c r="D286" s="18"/>
      <c r="E286" s="18"/>
      <c r="F286" s="15"/>
      <c r="G286" s="19"/>
      <c r="H286" s="19"/>
      <c r="I286" s="19"/>
      <c r="J286" s="22"/>
      <c r="K286" s="81"/>
      <c r="M286" s="88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</row>
    <row r="287" spans="2:39" ht="41.25" customHeight="1" outlineLevel="1">
      <c r="B287" s="18"/>
      <c r="C287" s="57" t="str">
        <f t="shared" si="6"/>
        <v/>
      </c>
      <c r="D287" s="18"/>
      <c r="E287" s="18"/>
      <c r="F287" s="15"/>
      <c r="G287" s="19"/>
      <c r="H287" s="19"/>
      <c r="I287" s="19"/>
      <c r="J287" s="22"/>
      <c r="K287" s="81"/>
      <c r="M287" s="88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</row>
    <row r="288" spans="2:39" ht="41.25" customHeight="1" outlineLevel="1">
      <c r="B288" s="18"/>
      <c r="C288" s="57" t="str">
        <f t="shared" si="6"/>
        <v/>
      </c>
      <c r="D288" s="18"/>
      <c r="E288" s="18"/>
      <c r="F288" s="15"/>
      <c r="G288" s="19"/>
      <c r="H288" s="19"/>
      <c r="I288" s="19"/>
      <c r="J288" s="22"/>
      <c r="K288" s="81"/>
      <c r="M288" s="88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</row>
    <row r="289" spans="2:39" ht="41.25" customHeight="1" outlineLevel="1">
      <c r="B289" s="18"/>
      <c r="C289" s="57" t="str">
        <f t="shared" si="6"/>
        <v/>
      </c>
      <c r="D289" s="18"/>
      <c r="E289" s="18"/>
      <c r="F289" s="15"/>
      <c r="G289" s="19"/>
      <c r="H289" s="19"/>
      <c r="I289" s="19"/>
      <c r="J289" s="22"/>
      <c r="K289" s="81"/>
      <c r="M289" s="88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</row>
    <row r="290" spans="2:39" ht="41.25" customHeight="1" outlineLevel="1">
      <c r="B290" s="18"/>
      <c r="C290" s="57" t="str">
        <f t="shared" si="6"/>
        <v/>
      </c>
      <c r="D290" s="18"/>
      <c r="E290" s="18"/>
      <c r="F290" s="15"/>
      <c r="G290" s="19"/>
      <c r="H290" s="19"/>
      <c r="I290" s="19"/>
      <c r="J290" s="22"/>
      <c r="K290" s="81"/>
      <c r="M290" s="88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</row>
    <row r="291" spans="2:39" ht="41.25" customHeight="1" outlineLevel="1">
      <c r="B291" s="18"/>
      <c r="C291" s="57" t="str">
        <f t="shared" si="6"/>
        <v/>
      </c>
      <c r="D291" s="18"/>
      <c r="E291" s="18"/>
      <c r="F291" s="15"/>
      <c r="G291" s="19"/>
      <c r="H291" s="19"/>
      <c r="I291" s="19"/>
      <c r="J291" s="22"/>
      <c r="K291" s="81"/>
      <c r="M291" s="88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</row>
    <row r="292" spans="2:39" ht="41.25" customHeight="1" outlineLevel="1">
      <c r="B292" s="18"/>
      <c r="C292" s="57" t="str">
        <f t="shared" si="6"/>
        <v/>
      </c>
      <c r="D292" s="18"/>
      <c r="E292" s="18"/>
      <c r="F292" s="15"/>
      <c r="G292" s="19"/>
      <c r="H292" s="19"/>
      <c r="I292" s="19"/>
      <c r="J292" s="22"/>
      <c r="K292" s="81"/>
      <c r="M292" s="88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</row>
    <row r="293" spans="2:39" ht="41.25" customHeight="1" outlineLevel="1">
      <c r="B293" s="18"/>
      <c r="C293" s="57" t="str">
        <f t="shared" si="6"/>
        <v/>
      </c>
      <c r="D293" s="18"/>
      <c r="E293" s="18"/>
      <c r="F293" s="15"/>
      <c r="G293" s="19"/>
      <c r="H293" s="19"/>
      <c r="I293" s="19"/>
      <c r="J293" s="22"/>
      <c r="K293" s="81"/>
      <c r="M293" s="88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</row>
    <row r="294" spans="2:39" ht="41.25" customHeight="1" outlineLevel="1">
      <c r="B294" s="18"/>
      <c r="C294" s="57" t="str">
        <f t="shared" si="6"/>
        <v/>
      </c>
      <c r="D294" s="18"/>
      <c r="E294" s="18"/>
      <c r="F294" s="15"/>
      <c r="G294" s="19"/>
      <c r="H294" s="19"/>
      <c r="I294" s="19"/>
      <c r="J294" s="22"/>
      <c r="K294" s="81"/>
      <c r="M294" s="88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</row>
    <row r="295" spans="2:39" ht="41.25" customHeight="1" outlineLevel="1">
      <c r="B295" s="18"/>
      <c r="C295" s="57" t="str">
        <f t="shared" si="6"/>
        <v/>
      </c>
      <c r="D295" s="18"/>
      <c r="E295" s="18"/>
      <c r="F295" s="15"/>
      <c r="G295" s="19"/>
      <c r="H295" s="19"/>
      <c r="I295" s="19"/>
      <c r="J295" s="22"/>
      <c r="K295" s="81"/>
      <c r="M295" s="88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</row>
    <row r="296" spans="2:39" ht="41.25" customHeight="1" outlineLevel="1">
      <c r="B296" s="18"/>
      <c r="C296" s="57" t="str">
        <f t="shared" si="6"/>
        <v/>
      </c>
      <c r="D296" s="18"/>
      <c r="E296" s="18"/>
      <c r="F296" s="15"/>
      <c r="G296" s="19"/>
      <c r="H296" s="19"/>
      <c r="I296" s="19"/>
      <c r="J296" s="22"/>
      <c r="K296" s="81"/>
      <c r="M296" s="88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</row>
    <row r="297" spans="2:39" ht="41.25" customHeight="1" outlineLevel="1">
      <c r="B297" s="18"/>
      <c r="C297" s="57" t="str">
        <f t="shared" si="6"/>
        <v/>
      </c>
      <c r="D297" s="18"/>
      <c r="E297" s="18"/>
      <c r="F297" s="15"/>
      <c r="G297" s="19"/>
      <c r="H297" s="19"/>
      <c r="I297" s="19"/>
      <c r="J297" s="22"/>
      <c r="K297" s="81"/>
      <c r="M297" s="88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</row>
    <row r="298" spans="2:39" ht="41.25" customHeight="1" outlineLevel="1">
      <c r="B298" s="18"/>
      <c r="C298" s="57" t="str">
        <f t="shared" si="6"/>
        <v/>
      </c>
      <c r="D298" s="18"/>
      <c r="E298" s="18"/>
      <c r="F298" s="15"/>
      <c r="G298" s="19"/>
      <c r="H298" s="19"/>
      <c r="I298" s="19"/>
      <c r="J298" s="22"/>
      <c r="K298" s="81"/>
      <c r="M298" s="88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</row>
    <row r="299" spans="2:39" ht="41.25" customHeight="1" outlineLevel="1">
      <c r="B299" s="18"/>
      <c r="C299" s="57" t="str">
        <f t="shared" si="6"/>
        <v/>
      </c>
      <c r="D299" s="18"/>
      <c r="E299" s="18"/>
      <c r="F299" s="15"/>
      <c r="G299" s="19"/>
      <c r="H299" s="19"/>
      <c r="I299" s="19"/>
      <c r="J299" s="22"/>
      <c r="K299" s="81"/>
      <c r="M299" s="88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</row>
    <row r="300" spans="2:39" ht="41.25" customHeight="1" outlineLevel="1">
      <c r="B300" s="18"/>
      <c r="C300" s="57" t="str">
        <f t="shared" si="6"/>
        <v/>
      </c>
      <c r="D300" s="18"/>
      <c r="E300" s="18"/>
      <c r="F300" s="15"/>
      <c r="G300" s="19"/>
      <c r="H300" s="19"/>
      <c r="I300" s="19"/>
      <c r="J300" s="22"/>
      <c r="K300" s="81"/>
      <c r="M300" s="88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</row>
    <row r="301" spans="2:39" ht="41.25" customHeight="1" outlineLevel="1">
      <c r="B301" s="18"/>
      <c r="C301" s="57" t="str">
        <f t="shared" si="6"/>
        <v/>
      </c>
      <c r="D301" s="18"/>
      <c r="E301" s="18"/>
      <c r="F301" s="15"/>
      <c r="G301" s="19"/>
      <c r="H301" s="19"/>
      <c r="I301" s="19"/>
      <c r="J301" s="22"/>
      <c r="K301" s="81"/>
      <c r="M301" s="88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</row>
    <row r="302" spans="2:39" ht="41.25" customHeight="1" outlineLevel="1">
      <c r="B302" s="18"/>
      <c r="C302" s="57" t="str">
        <f t="shared" si="6"/>
        <v/>
      </c>
      <c r="D302" s="18"/>
      <c r="E302" s="18"/>
      <c r="F302" s="15"/>
      <c r="G302" s="19"/>
      <c r="H302" s="19"/>
      <c r="I302" s="19"/>
      <c r="J302" s="22"/>
      <c r="K302" s="81"/>
      <c r="M302" s="88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</row>
    <row r="303" spans="2:39" ht="41.25" customHeight="1" outlineLevel="1">
      <c r="B303" s="18"/>
      <c r="C303" s="57" t="str">
        <f t="shared" si="6"/>
        <v/>
      </c>
      <c r="D303" s="18"/>
      <c r="E303" s="18"/>
      <c r="F303" s="15"/>
      <c r="G303" s="19"/>
      <c r="H303" s="19"/>
      <c r="I303" s="19"/>
      <c r="J303" s="22"/>
      <c r="K303" s="81"/>
      <c r="M303" s="88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</row>
    <row r="304" spans="2:39" ht="41.25" customHeight="1" outlineLevel="1">
      <c r="B304" s="18"/>
      <c r="C304" s="57" t="str">
        <f t="shared" si="6"/>
        <v/>
      </c>
      <c r="D304" s="18"/>
      <c r="E304" s="18"/>
      <c r="F304" s="15"/>
      <c r="G304" s="19"/>
      <c r="H304" s="19"/>
      <c r="I304" s="19"/>
      <c r="J304" s="22"/>
      <c r="K304" s="81"/>
      <c r="M304" s="88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</row>
    <row r="305" spans="2:39" ht="41.25" customHeight="1" outlineLevel="1">
      <c r="B305" s="18"/>
      <c r="C305" s="57" t="str">
        <f t="shared" si="6"/>
        <v/>
      </c>
      <c r="D305" s="18"/>
      <c r="E305" s="18"/>
      <c r="F305" s="15"/>
      <c r="G305" s="19"/>
      <c r="H305" s="19"/>
      <c r="I305" s="19"/>
      <c r="J305" s="22"/>
      <c r="K305" s="81"/>
      <c r="M305" s="88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</row>
    <row r="306" spans="2:39" ht="41.25" customHeight="1" outlineLevel="1">
      <c r="B306" s="18"/>
      <c r="C306" s="57" t="str">
        <f t="shared" si="6"/>
        <v/>
      </c>
      <c r="D306" s="18"/>
      <c r="E306" s="18"/>
      <c r="F306" s="15"/>
      <c r="G306" s="19"/>
      <c r="H306" s="19"/>
      <c r="I306" s="19"/>
      <c r="J306" s="22"/>
      <c r="K306" s="81"/>
      <c r="M306" s="88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</row>
    <row r="307" spans="2:39" ht="41.25" customHeight="1" outlineLevel="1">
      <c r="B307" s="18"/>
      <c r="C307" s="57" t="str">
        <f t="shared" si="6"/>
        <v/>
      </c>
      <c r="D307" s="18"/>
      <c r="E307" s="18"/>
      <c r="F307" s="15"/>
      <c r="G307" s="19"/>
      <c r="H307" s="19"/>
      <c r="I307" s="19"/>
      <c r="J307" s="22"/>
      <c r="K307" s="81"/>
      <c r="M307" s="88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</row>
    <row r="308" spans="2:39" ht="41.25" customHeight="1" outlineLevel="1">
      <c r="B308" s="18"/>
      <c r="C308" s="57" t="str">
        <f t="shared" si="6"/>
        <v/>
      </c>
      <c r="D308" s="18"/>
      <c r="E308" s="18"/>
      <c r="F308" s="15"/>
      <c r="G308" s="19"/>
      <c r="H308" s="19"/>
      <c r="I308" s="19"/>
      <c r="J308" s="22"/>
      <c r="K308" s="81"/>
      <c r="M308" s="88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</row>
    <row r="309" spans="2:39" ht="41.25" customHeight="1" outlineLevel="1">
      <c r="B309" s="18"/>
      <c r="C309" s="57" t="str">
        <f t="shared" si="6"/>
        <v/>
      </c>
      <c r="D309" s="18"/>
      <c r="E309" s="18"/>
      <c r="F309" s="15"/>
      <c r="G309" s="19"/>
      <c r="H309" s="19"/>
      <c r="I309" s="19"/>
      <c r="J309" s="22"/>
      <c r="K309" s="81"/>
      <c r="M309" s="88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</row>
    <row r="310" spans="2:39" ht="41.25" customHeight="1" outlineLevel="1">
      <c r="B310" s="18"/>
      <c r="C310" s="57" t="str">
        <f t="shared" si="6"/>
        <v/>
      </c>
      <c r="D310" s="18"/>
      <c r="E310" s="18"/>
      <c r="F310" s="15"/>
      <c r="G310" s="19"/>
      <c r="H310" s="19"/>
      <c r="I310" s="19"/>
      <c r="J310" s="22"/>
      <c r="K310" s="81"/>
      <c r="M310" s="88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</row>
    <row r="311" spans="2:39" ht="41.25" customHeight="1" outlineLevel="1">
      <c r="B311" s="18"/>
      <c r="C311" s="57" t="str">
        <f t="shared" si="6"/>
        <v/>
      </c>
      <c r="D311" s="18"/>
      <c r="E311" s="18"/>
      <c r="F311" s="15"/>
      <c r="G311" s="19"/>
      <c r="H311" s="19"/>
      <c r="I311" s="19"/>
      <c r="J311" s="22"/>
      <c r="K311" s="81"/>
      <c r="M311" s="88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</row>
    <row r="312" spans="2:39" ht="41.25" customHeight="1" outlineLevel="1">
      <c r="B312" s="18"/>
      <c r="C312" s="57" t="str">
        <f t="shared" si="6"/>
        <v/>
      </c>
      <c r="D312" s="18"/>
      <c r="E312" s="18"/>
      <c r="F312" s="15"/>
      <c r="G312" s="19"/>
      <c r="H312" s="19"/>
      <c r="I312" s="19"/>
      <c r="J312" s="22"/>
      <c r="K312" s="81"/>
      <c r="M312" s="88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</row>
    <row r="313" spans="2:39" ht="41.25" customHeight="1" outlineLevel="1">
      <c r="B313" s="18"/>
      <c r="C313" s="57" t="str">
        <f t="shared" si="6"/>
        <v/>
      </c>
      <c r="D313" s="18"/>
      <c r="E313" s="18"/>
      <c r="F313" s="15"/>
      <c r="G313" s="19"/>
      <c r="H313" s="19"/>
      <c r="I313" s="19"/>
      <c r="J313" s="22"/>
      <c r="K313" s="81"/>
      <c r="M313" s="88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</row>
    <row r="314" spans="2:39" ht="41.25" customHeight="1" outlineLevel="1">
      <c r="B314" s="18"/>
      <c r="C314" s="57" t="str">
        <f t="shared" si="6"/>
        <v/>
      </c>
      <c r="D314" s="18"/>
      <c r="E314" s="18"/>
      <c r="F314" s="15"/>
      <c r="G314" s="19"/>
      <c r="H314" s="19"/>
      <c r="I314" s="19"/>
      <c r="J314" s="22"/>
      <c r="K314" s="81"/>
      <c r="M314" s="88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</row>
    <row r="315" spans="2:39" ht="41.25" customHeight="1" outlineLevel="1">
      <c r="B315" s="18"/>
      <c r="C315" s="57" t="str">
        <f t="shared" si="6"/>
        <v/>
      </c>
      <c r="D315" s="18"/>
      <c r="E315" s="18"/>
      <c r="F315" s="15"/>
      <c r="G315" s="19"/>
      <c r="H315" s="19"/>
      <c r="I315" s="19"/>
      <c r="J315" s="22"/>
      <c r="K315" s="81"/>
      <c r="M315" s="88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</row>
    <row r="316" spans="2:39" ht="41.25" customHeight="1" outlineLevel="1">
      <c r="B316" s="18"/>
      <c r="C316" s="57" t="str">
        <f t="shared" si="6"/>
        <v/>
      </c>
      <c r="D316" s="18"/>
      <c r="E316" s="18"/>
      <c r="F316" s="15"/>
      <c r="G316" s="19"/>
      <c r="H316" s="19"/>
      <c r="I316" s="19"/>
      <c r="J316" s="22"/>
      <c r="K316" s="81"/>
      <c r="M316" s="88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</row>
    <row r="317" spans="2:39" ht="41.25" customHeight="1" outlineLevel="1">
      <c r="B317" s="18"/>
      <c r="C317" s="57" t="str">
        <f t="shared" si="6"/>
        <v/>
      </c>
      <c r="D317" s="18"/>
      <c r="E317" s="18"/>
      <c r="F317" s="15"/>
      <c r="G317" s="19"/>
      <c r="H317" s="19"/>
      <c r="I317" s="19"/>
      <c r="J317" s="22"/>
      <c r="K317" s="81"/>
      <c r="M317" s="88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</row>
    <row r="318" spans="2:39" ht="41.25" customHeight="1" outlineLevel="1">
      <c r="B318" s="18"/>
      <c r="C318" s="57" t="str">
        <f t="shared" si="6"/>
        <v/>
      </c>
      <c r="D318" s="18"/>
      <c r="E318" s="18"/>
      <c r="F318" s="15"/>
      <c r="G318" s="19"/>
      <c r="H318" s="19"/>
      <c r="I318" s="19"/>
      <c r="J318" s="22"/>
      <c r="K318" s="81"/>
      <c r="M318" s="88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</row>
    <row r="319" spans="2:39" ht="41.25" customHeight="1" outlineLevel="1">
      <c r="B319" s="18"/>
      <c r="C319" s="57" t="str">
        <f t="shared" si="6"/>
        <v/>
      </c>
      <c r="D319" s="18"/>
      <c r="E319" s="18"/>
      <c r="F319" s="15"/>
      <c r="G319" s="19"/>
      <c r="H319" s="19"/>
      <c r="I319" s="19"/>
      <c r="J319" s="22"/>
      <c r="K319" s="81"/>
      <c r="M319" s="88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</row>
    <row r="320" spans="2:39" ht="41.25" customHeight="1" outlineLevel="1">
      <c r="B320" s="18"/>
      <c r="C320" s="57" t="str">
        <f t="shared" si="6"/>
        <v/>
      </c>
      <c r="D320" s="18"/>
      <c r="E320" s="18"/>
      <c r="F320" s="15"/>
      <c r="G320" s="19"/>
      <c r="H320" s="19"/>
      <c r="I320" s="19"/>
      <c r="J320" s="22"/>
      <c r="K320" s="81"/>
      <c r="M320" s="88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</row>
    <row r="321" spans="2:39" ht="41.25" customHeight="1" outlineLevel="1">
      <c r="B321" s="18"/>
      <c r="C321" s="57" t="str">
        <f t="shared" si="6"/>
        <v/>
      </c>
      <c r="D321" s="18"/>
      <c r="E321" s="18"/>
      <c r="F321" s="15"/>
      <c r="G321" s="19"/>
      <c r="H321" s="19"/>
      <c r="I321" s="19"/>
      <c r="J321" s="22"/>
      <c r="K321" s="81"/>
      <c r="M321" s="88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</row>
    <row r="322" spans="2:39" ht="41.25" customHeight="1" outlineLevel="1">
      <c r="B322" s="18"/>
      <c r="C322" s="57" t="str">
        <f t="shared" si="6"/>
        <v/>
      </c>
      <c r="D322" s="18"/>
      <c r="E322" s="18"/>
      <c r="F322" s="15"/>
      <c r="G322" s="19"/>
      <c r="H322" s="19"/>
      <c r="I322" s="19"/>
      <c r="J322" s="22"/>
      <c r="K322" s="81"/>
      <c r="M322" s="88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</row>
    <row r="323" spans="2:39" ht="41.25" customHeight="1" outlineLevel="1">
      <c r="B323" s="18"/>
      <c r="C323" s="57" t="str">
        <f t="shared" si="6"/>
        <v/>
      </c>
      <c r="D323" s="18"/>
      <c r="E323" s="18"/>
      <c r="F323" s="15"/>
      <c r="G323" s="19"/>
      <c r="H323" s="19"/>
      <c r="I323" s="19"/>
      <c r="J323" s="22"/>
      <c r="K323" s="81"/>
      <c r="M323" s="88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</row>
    <row r="324" spans="2:39" ht="41.25" customHeight="1" outlineLevel="1">
      <c r="B324" s="18"/>
      <c r="C324" s="57" t="str">
        <f t="shared" si="6"/>
        <v/>
      </c>
      <c r="D324" s="18"/>
      <c r="E324" s="18"/>
      <c r="F324" s="15"/>
      <c r="G324" s="19"/>
      <c r="H324" s="19"/>
      <c r="I324" s="19"/>
      <c r="J324" s="22"/>
      <c r="K324" s="81"/>
      <c r="M324" s="88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</row>
    <row r="325" spans="2:39" ht="41.25" customHeight="1" outlineLevel="1">
      <c r="B325" s="18"/>
      <c r="C325" s="57" t="str">
        <f t="shared" si="6"/>
        <v/>
      </c>
      <c r="D325" s="18"/>
      <c r="E325" s="18"/>
      <c r="F325" s="15"/>
      <c r="G325" s="19"/>
      <c r="H325" s="19"/>
      <c r="I325" s="19"/>
      <c r="J325" s="22"/>
      <c r="K325" s="81"/>
      <c r="M325" s="88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</row>
    <row r="326" spans="2:39" ht="41.25" customHeight="1" outlineLevel="1">
      <c r="B326" s="18"/>
      <c r="C326" s="57" t="str">
        <f t="shared" ref="C326:C389" si="7">IF(B326="","",MONTH(B326))</f>
        <v/>
      </c>
      <c r="D326" s="18"/>
      <c r="E326" s="18"/>
      <c r="F326" s="15"/>
      <c r="G326" s="19"/>
      <c r="H326" s="19"/>
      <c r="I326" s="19"/>
      <c r="J326" s="22"/>
      <c r="K326" s="81"/>
      <c r="M326" s="88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</row>
    <row r="327" spans="2:39" ht="41.25" customHeight="1" outlineLevel="1">
      <c r="B327" s="18"/>
      <c r="C327" s="57" t="str">
        <f t="shared" si="7"/>
        <v/>
      </c>
      <c r="D327" s="18"/>
      <c r="E327" s="18"/>
      <c r="F327" s="15"/>
      <c r="G327" s="19"/>
      <c r="H327" s="19"/>
      <c r="I327" s="19"/>
      <c r="J327" s="22"/>
      <c r="K327" s="81"/>
      <c r="M327" s="88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</row>
    <row r="328" spans="2:39" ht="41.25" customHeight="1" outlineLevel="1">
      <c r="B328" s="18"/>
      <c r="C328" s="57" t="str">
        <f t="shared" si="7"/>
        <v/>
      </c>
      <c r="D328" s="18"/>
      <c r="E328" s="18"/>
      <c r="F328" s="15"/>
      <c r="G328" s="19"/>
      <c r="H328" s="19"/>
      <c r="I328" s="19"/>
      <c r="J328" s="22"/>
      <c r="K328" s="81"/>
      <c r="M328" s="88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</row>
    <row r="329" spans="2:39" ht="41.25" customHeight="1" outlineLevel="1">
      <c r="B329" s="18"/>
      <c r="C329" s="57" t="str">
        <f t="shared" si="7"/>
        <v/>
      </c>
      <c r="D329" s="18"/>
      <c r="E329" s="18"/>
      <c r="F329" s="15"/>
      <c r="G329" s="19"/>
      <c r="H329" s="19"/>
      <c r="I329" s="19"/>
      <c r="J329" s="22"/>
      <c r="K329" s="81"/>
      <c r="M329" s="88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</row>
    <row r="330" spans="2:39" ht="41.25" customHeight="1" outlineLevel="1">
      <c r="B330" s="18"/>
      <c r="C330" s="57" t="str">
        <f t="shared" si="7"/>
        <v/>
      </c>
      <c r="D330" s="18"/>
      <c r="E330" s="18"/>
      <c r="F330" s="15"/>
      <c r="G330" s="19"/>
      <c r="H330" s="19"/>
      <c r="I330" s="19"/>
      <c r="J330" s="22"/>
      <c r="K330" s="81"/>
      <c r="M330" s="88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</row>
    <row r="331" spans="2:39" ht="41.25" customHeight="1" outlineLevel="1">
      <c r="B331" s="18"/>
      <c r="C331" s="57" t="str">
        <f t="shared" si="7"/>
        <v/>
      </c>
      <c r="D331" s="18"/>
      <c r="E331" s="18"/>
      <c r="F331" s="15"/>
      <c r="G331" s="19"/>
      <c r="H331" s="19"/>
      <c r="I331" s="19"/>
      <c r="J331" s="22"/>
      <c r="K331" s="81"/>
      <c r="M331" s="88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</row>
    <row r="332" spans="2:39" ht="41.25" customHeight="1" outlineLevel="1">
      <c r="B332" s="18"/>
      <c r="C332" s="57" t="str">
        <f t="shared" si="7"/>
        <v/>
      </c>
      <c r="D332" s="18"/>
      <c r="E332" s="18"/>
      <c r="F332" s="15"/>
      <c r="G332" s="19"/>
      <c r="H332" s="19"/>
      <c r="I332" s="19"/>
      <c r="J332" s="22"/>
      <c r="K332" s="81"/>
      <c r="M332" s="88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</row>
    <row r="333" spans="2:39" s="10" customFormat="1" ht="41.25" customHeight="1" outlineLevel="1">
      <c r="B333" s="18"/>
      <c r="C333" s="57" t="str">
        <f t="shared" si="7"/>
        <v/>
      </c>
      <c r="D333" s="18"/>
      <c r="E333" s="18"/>
      <c r="F333" s="15"/>
      <c r="G333" s="19"/>
      <c r="H333" s="19"/>
      <c r="I333" s="19"/>
      <c r="J333" s="22"/>
      <c r="K333" s="81"/>
      <c r="L333" s="22"/>
      <c r="M333" s="88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</row>
    <row r="334" spans="2:39" ht="41.25" customHeight="1" outlineLevel="1">
      <c r="B334" s="18"/>
      <c r="C334" s="57" t="str">
        <f t="shared" si="7"/>
        <v/>
      </c>
      <c r="D334" s="18"/>
      <c r="E334" s="18"/>
      <c r="F334" s="15"/>
      <c r="G334" s="19"/>
      <c r="H334" s="19"/>
      <c r="I334" s="19"/>
      <c r="J334" s="22"/>
      <c r="K334" s="81"/>
      <c r="M334" s="88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</row>
    <row r="335" spans="2:39" ht="41.25" customHeight="1" outlineLevel="1">
      <c r="B335" s="18"/>
      <c r="C335" s="57" t="str">
        <f t="shared" si="7"/>
        <v/>
      </c>
      <c r="D335" s="18"/>
      <c r="E335" s="18"/>
      <c r="F335" s="15"/>
      <c r="G335" s="19"/>
      <c r="H335" s="19"/>
      <c r="I335" s="19"/>
      <c r="J335" s="22"/>
      <c r="K335" s="81"/>
      <c r="M335" s="88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</row>
    <row r="336" spans="2:39" ht="41.25" customHeight="1" outlineLevel="1">
      <c r="B336" s="18"/>
      <c r="C336" s="57" t="str">
        <f t="shared" si="7"/>
        <v/>
      </c>
      <c r="D336" s="18"/>
      <c r="E336" s="18"/>
      <c r="F336" s="15"/>
      <c r="G336" s="19"/>
      <c r="H336" s="19"/>
      <c r="I336" s="19"/>
      <c r="J336" s="22"/>
      <c r="K336" s="81"/>
      <c r="M336" s="88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</row>
    <row r="337" spans="2:39" ht="41.25" customHeight="1" outlineLevel="1">
      <c r="B337" s="18"/>
      <c r="C337" s="57" t="str">
        <f t="shared" si="7"/>
        <v/>
      </c>
      <c r="D337" s="18"/>
      <c r="E337" s="18"/>
      <c r="F337" s="15"/>
      <c r="G337" s="19"/>
      <c r="H337" s="19"/>
      <c r="I337" s="19"/>
      <c r="J337" s="22"/>
      <c r="K337" s="81"/>
      <c r="M337" s="88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</row>
    <row r="338" spans="2:39" ht="41.25" customHeight="1" outlineLevel="1">
      <c r="B338" s="18"/>
      <c r="C338" s="57" t="str">
        <f t="shared" si="7"/>
        <v/>
      </c>
      <c r="D338" s="18"/>
      <c r="E338" s="18"/>
      <c r="F338" s="15"/>
      <c r="G338" s="19"/>
      <c r="H338" s="19"/>
      <c r="I338" s="19"/>
      <c r="J338" s="22"/>
      <c r="K338" s="81"/>
      <c r="M338" s="88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</row>
    <row r="339" spans="2:39" ht="41.25" customHeight="1" outlineLevel="1">
      <c r="B339" s="18"/>
      <c r="C339" s="57" t="str">
        <f t="shared" si="7"/>
        <v/>
      </c>
      <c r="D339" s="18"/>
      <c r="E339" s="18"/>
      <c r="F339" s="15"/>
      <c r="G339" s="19"/>
      <c r="H339" s="19"/>
      <c r="I339" s="19"/>
      <c r="J339" s="22"/>
      <c r="K339" s="81"/>
      <c r="M339" s="88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</row>
    <row r="340" spans="2:39" ht="41.25" customHeight="1" outlineLevel="1">
      <c r="B340" s="18"/>
      <c r="C340" s="57" t="str">
        <f t="shared" si="7"/>
        <v/>
      </c>
      <c r="D340" s="18"/>
      <c r="E340" s="18"/>
      <c r="F340" s="15"/>
      <c r="G340" s="19"/>
      <c r="H340" s="19"/>
      <c r="I340" s="19"/>
      <c r="J340" s="22"/>
      <c r="K340" s="81"/>
      <c r="M340" s="88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</row>
    <row r="341" spans="2:39" s="11" customFormat="1" ht="41.25" customHeight="1" outlineLevel="1">
      <c r="B341" s="18"/>
      <c r="C341" s="57" t="str">
        <f t="shared" si="7"/>
        <v/>
      </c>
      <c r="D341" s="18"/>
      <c r="E341" s="24"/>
      <c r="F341" s="25"/>
      <c r="G341" s="26"/>
      <c r="H341" s="26"/>
      <c r="I341" s="26"/>
      <c r="J341" s="27"/>
      <c r="K341" s="83"/>
      <c r="L341" s="27"/>
      <c r="M341" s="89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2"/>
      <c r="AL341" s="27"/>
      <c r="AM341" s="27"/>
    </row>
    <row r="342" spans="2:39" ht="41.25" customHeight="1" outlineLevel="1">
      <c r="B342" s="18"/>
      <c r="C342" s="57" t="str">
        <f t="shared" si="7"/>
        <v/>
      </c>
      <c r="D342" s="18"/>
      <c r="E342" s="18"/>
      <c r="F342" s="15"/>
      <c r="G342" s="19"/>
      <c r="H342" s="19"/>
      <c r="I342" s="19"/>
      <c r="J342" s="22"/>
      <c r="K342" s="81"/>
      <c r="M342" s="88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7"/>
      <c r="AL342" s="22"/>
      <c r="AM342" s="22"/>
    </row>
    <row r="343" spans="2:39" ht="41.25" customHeight="1" outlineLevel="1">
      <c r="B343" s="18"/>
      <c r="C343" s="57" t="str">
        <f t="shared" si="7"/>
        <v/>
      </c>
      <c r="D343" s="18"/>
      <c r="E343" s="18"/>
      <c r="F343" s="15"/>
      <c r="G343" s="19"/>
      <c r="H343" s="19"/>
      <c r="I343" s="19"/>
      <c r="J343" s="22"/>
      <c r="K343" s="81"/>
      <c r="M343" s="88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</row>
    <row r="344" spans="2:39" ht="41.25" customHeight="1" outlineLevel="1">
      <c r="B344" s="18"/>
      <c r="C344" s="57" t="str">
        <f t="shared" si="7"/>
        <v/>
      </c>
      <c r="D344" s="18"/>
      <c r="E344" s="18"/>
      <c r="F344" s="15"/>
      <c r="G344" s="19"/>
      <c r="H344" s="19"/>
      <c r="I344" s="19"/>
      <c r="J344" s="22"/>
      <c r="K344" s="81"/>
      <c r="M344" s="88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</row>
    <row r="345" spans="2:39" ht="41.25" customHeight="1" outlineLevel="1">
      <c r="B345" s="18"/>
      <c r="C345" s="57" t="str">
        <f t="shared" si="7"/>
        <v/>
      </c>
      <c r="D345" s="18"/>
      <c r="E345" s="18"/>
      <c r="F345" s="15"/>
      <c r="G345" s="19"/>
      <c r="H345" s="19"/>
      <c r="I345" s="19"/>
      <c r="J345" s="22"/>
      <c r="K345" s="81"/>
      <c r="M345" s="88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</row>
    <row r="346" spans="2:39" ht="41.25" customHeight="1" outlineLevel="1">
      <c r="B346" s="18"/>
      <c r="C346" s="57" t="str">
        <f t="shared" si="7"/>
        <v/>
      </c>
      <c r="D346" s="18"/>
      <c r="E346" s="18"/>
      <c r="F346" s="15"/>
      <c r="G346" s="19"/>
      <c r="H346" s="19"/>
      <c r="I346" s="19"/>
      <c r="J346" s="22"/>
      <c r="K346" s="81"/>
      <c r="M346" s="88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</row>
    <row r="347" spans="2:39" ht="41.25" customHeight="1" outlineLevel="1">
      <c r="B347" s="18"/>
      <c r="C347" s="57" t="str">
        <f t="shared" si="7"/>
        <v/>
      </c>
      <c r="D347" s="18"/>
      <c r="E347" s="18"/>
      <c r="F347" s="15"/>
      <c r="G347" s="19"/>
      <c r="H347" s="19"/>
      <c r="I347" s="19"/>
      <c r="J347" s="22"/>
      <c r="K347" s="81"/>
      <c r="M347" s="88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</row>
    <row r="348" spans="2:39" ht="41.25" customHeight="1" outlineLevel="1">
      <c r="B348" s="18"/>
      <c r="C348" s="57" t="str">
        <f t="shared" si="7"/>
        <v/>
      </c>
      <c r="D348" s="18"/>
      <c r="E348" s="18"/>
      <c r="F348" s="15"/>
      <c r="G348" s="19"/>
      <c r="H348" s="19"/>
      <c r="I348" s="19"/>
      <c r="J348" s="22"/>
      <c r="K348" s="81"/>
      <c r="M348" s="88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</row>
    <row r="349" spans="2:39" ht="41.25" customHeight="1" outlineLevel="1">
      <c r="B349" s="18"/>
      <c r="C349" s="57" t="str">
        <f t="shared" si="7"/>
        <v/>
      </c>
      <c r="D349" s="18"/>
      <c r="E349" s="18"/>
      <c r="F349" s="15"/>
      <c r="G349" s="19"/>
      <c r="H349" s="19"/>
      <c r="I349" s="19"/>
      <c r="J349" s="22"/>
      <c r="K349" s="81"/>
      <c r="M349" s="88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</row>
    <row r="350" spans="2:39" ht="41.25" customHeight="1" outlineLevel="1">
      <c r="B350" s="18"/>
      <c r="C350" s="57" t="str">
        <f t="shared" si="7"/>
        <v/>
      </c>
      <c r="D350" s="18"/>
      <c r="E350" s="18"/>
      <c r="F350" s="15"/>
      <c r="G350" s="19"/>
      <c r="H350" s="19"/>
      <c r="I350" s="19"/>
      <c r="J350" s="22"/>
      <c r="K350" s="81"/>
      <c r="M350" s="88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</row>
    <row r="351" spans="2:39" ht="41.25" customHeight="1" outlineLevel="1">
      <c r="B351" s="18"/>
      <c r="C351" s="57" t="str">
        <f t="shared" si="7"/>
        <v/>
      </c>
      <c r="D351" s="18"/>
      <c r="E351" s="18"/>
      <c r="F351" s="15"/>
      <c r="G351" s="19"/>
      <c r="H351" s="19"/>
      <c r="I351" s="19"/>
      <c r="J351" s="22"/>
      <c r="K351" s="81"/>
      <c r="M351" s="88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</row>
    <row r="352" spans="2:39" ht="41.25" customHeight="1" outlineLevel="1">
      <c r="B352" s="18"/>
      <c r="C352" s="57" t="str">
        <f t="shared" si="7"/>
        <v/>
      </c>
      <c r="D352" s="18"/>
      <c r="E352" s="18"/>
      <c r="F352" s="15"/>
      <c r="G352" s="19"/>
      <c r="H352" s="19"/>
      <c r="I352" s="19"/>
      <c r="J352" s="22"/>
      <c r="K352" s="81"/>
      <c r="M352" s="88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</row>
    <row r="353" spans="2:39" ht="41.25" customHeight="1" outlineLevel="1">
      <c r="B353" s="18"/>
      <c r="C353" s="57" t="str">
        <f t="shared" si="7"/>
        <v/>
      </c>
      <c r="D353" s="18"/>
      <c r="E353" s="18"/>
      <c r="F353" s="15"/>
      <c r="G353" s="19"/>
      <c r="H353" s="19"/>
      <c r="I353" s="19"/>
      <c r="J353" s="22"/>
      <c r="K353" s="81"/>
      <c r="M353" s="88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</row>
    <row r="354" spans="2:39" ht="41.25" customHeight="1" outlineLevel="1">
      <c r="B354" s="18"/>
      <c r="C354" s="57" t="str">
        <f t="shared" si="7"/>
        <v/>
      </c>
      <c r="D354" s="18"/>
      <c r="E354" s="18"/>
      <c r="F354" s="15"/>
      <c r="G354" s="19"/>
      <c r="H354" s="19"/>
      <c r="I354" s="19"/>
      <c r="J354" s="22"/>
      <c r="K354" s="81"/>
      <c r="M354" s="88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</row>
    <row r="355" spans="2:39" ht="41.25" customHeight="1" outlineLevel="1">
      <c r="B355" s="18"/>
      <c r="C355" s="57" t="str">
        <f t="shared" si="7"/>
        <v/>
      </c>
      <c r="D355" s="18"/>
      <c r="E355" s="18"/>
      <c r="F355" s="15"/>
      <c r="G355" s="19"/>
      <c r="H355" s="19"/>
      <c r="I355" s="19"/>
      <c r="J355" s="22"/>
      <c r="K355" s="81"/>
      <c r="M355" s="88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</row>
    <row r="356" spans="2:39" ht="41.25" customHeight="1" outlineLevel="1">
      <c r="B356" s="18"/>
      <c r="C356" s="57" t="str">
        <f t="shared" si="7"/>
        <v/>
      </c>
      <c r="D356" s="18"/>
      <c r="E356" s="18"/>
      <c r="F356" s="15"/>
      <c r="G356" s="19"/>
      <c r="H356" s="19"/>
      <c r="I356" s="19"/>
      <c r="J356" s="22"/>
      <c r="K356" s="81"/>
      <c r="M356" s="88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</row>
    <row r="357" spans="2:39" ht="41.25" customHeight="1" outlineLevel="1">
      <c r="B357" s="18"/>
      <c r="C357" s="57" t="str">
        <f t="shared" si="7"/>
        <v/>
      </c>
      <c r="D357" s="18"/>
      <c r="E357" s="18"/>
      <c r="F357" s="15"/>
      <c r="G357" s="19"/>
      <c r="H357" s="19"/>
      <c r="I357" s="19"/>
      <c r="J357" s="22"/>
      <c r="K357" s="81"/>
      <c r="M357" s="88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</row>
    <row r="358" spans="2:39" ht="41.25" customHeight="1" outlineLevel="1">
      <c r="B358" s="18"/>
      <c r="C358" s="57" t="str">
        <f t="shared" si="7"/>
        <v/>
      </c>
      <c r="D358" s="18"/>
      <c r="E358" s="18"/>
      <c r="F358" s="15"/>
      <c r="G358" s="19"/>
      <c r="H358" s="19"/>
      <c r="I358" s="19"/>
      <c r="J358" s="22"/>
      <c r="K358" s="81"/>
      <c r="M358" s="88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</row>
    <row r="359" spans="2:39" ht="41.25" customHeight="1" outlineLevel="1">
      <c r="B359" s="18"/>
      <c r="C359" s="57" t="str">
        <f t="shared" si="7"/>
        <v/>
      </c>
      <c r="D359" s="18"/>
      <c r="E359" s="18"/>
      <c r="F359" s="15"/>
      <c r="G359" s="19"/>
      <c r="H359" s="19"/>
      <c r="I359" s="19"/>
      <c r="J359" s="22"/>
      <c r="K359" s="81"/>
      <c r="M359" s="88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</row>
    <row r="360" spans="2:39" ht="41.25" customHeight="1" outlineLevel="1">
      <c r="B360" s="18"/>
      <c r="C360" s="57" t="str">
        <f t="shared" si="7"/>
        <v/>
      </c>
      <c r="D360" s="18"/>
      <c r="E360" s="18"/>
      <c r="F360" s="15"/>
      <c r="G360" s="19"/>
      <c r="H360" s="19"/>
      <c r="I360" s="19"/>
      <c r="J360" s="22"/>
      <c r="K360" s="81"/>
      <c r="M360" s="88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</row>
    <row r="361" spans="2:39" ht="41.25" customHeight="1" outlineLevel="1">
      <c r="B361" s="18"/>
      <c r="C361" s="57" t="str">
        <f t="shared" si="7"/>
        <v/>
      </c>
      <c r="D361" s="18"/>
      <c r="E361" s="18"/>
      <c r="F361" s="15"/>
      <c r="G361" s="19"/>
      <c r="H361" s="19"/>
      <c r="I361" s="19"/>
      <c r="J361" s="22"/>
      <c r="K361" s="81"/>
      <c r="M361" s="88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</row>
    <row r="362" spans="2:39" ht="41.25" customHeight="1" outlineLevel="1">
      <c r="B362" s="18"/>
      <c r="C362" s="57" t="str">
        <f t="shared" si="7"/>
        <v/>
      </c>
      <c r="D362" s="18"/>
      <c r="E362" s="18"/>
      <c r="F362" s="15"/>
      <c r="G362" s="19"/>
      <c r="H362" s="19"/>
      <c r="I362" s="19"/>
      <c r="J362" s="22"/>
      <c r="K362" s="81"/>
      <c r="M362" s="88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</row>
    <row r="363" spans="2:39" ht="41.25" customHeight="1" outlineLevel="1">
      <c r="B363" s="18"/>
      <c r="C363" s="57" t="str">
        <f t="shared" si="7"/>
        <v/>
      </c>
      <c r="D363" s="18"/>
      <c r="E363" s="18"/>
      <c r="F363" s="15"/>
      <c r="G363" s="19"/>
      <c r="H363" s="19"/>
      <c r="I363" s="19"/>
      <c r="J363" s="22"/>
      <c r="K363" s="81"/>
      <c r="M363" s="88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</row>
    <row r="364" spans="2:39" ht="41.25" customHeight="1" outlineLevel="1">
      <c r="B364" s="18"/>
      <c r="C364" s="57" t="str">
        <f t="shared" si="7"/>
        <v/>
      </c>
      <c r="D364" s="18"/>
      <c r="E364" s="18"/>
      <c r="F364" s="15"/>
      <c r="G364" s="19"/>
      <c r="H364" s="19"/>
      <c r="I364" s="19"/>
      <c r="J364" s="22"/>
      <c r="K364" s="81"/>
      <c r="M364" s="88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</row>
    <row r="365" spans="2:39" ht="41.25" customHeight="1" outlineLevel="1">
      <c r="B365" s="18"/>
      <c r="C365" s="57" t="str">
        <f t="shared" si="7"/>
        <v/>
      </c>
      <c r="D365" s="18"/>
      <c r="E365" s="18"/>
      <c r="F365" s="15"/>
      <c r="G365" s="19"/>
      <c r="H365" s="19"/>
      <c r="I365" s="19"/>
      <c r="J365" s="22"/>
      <c r="K365" s="81"/>
      <c r="M365" s="88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</row>
    <row r="366" spans="2:39" ht="41.25" customHeight="1" outlineLevel="1">
      <c r="B366" s="18"/>
      <c r="C366" s="57" t="str">
        <f t="shared" si="7"/>
        <v/>
      </c>
      <c r="D366" s="18"/>
      <c r="E366" s="18"/>
      <c r="F366" s="15"/>
      <c r="G366" s="19"/>
      <c r="H366" s="19"/>
      <c r="I366" s="19"/>
      <c r="J366" s="22"/>
      <c r="K366" s="81"/>
      <c r="M366" s="88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</row>
    <row r="367" spans="2:39" ht="41.25" customHeight="1" outlineLevel="1">
      <c r="B367" s="18"/>
      <c r="C367" s="57" t="str">
        <f t="shared" si="7"/>
        <v/>
      </c>
      <c r="D367" s="18"/>
      <c r="E367" s="18"/>
      <c r="F367" s="15"/>
      <c r="G367" s="19"/>
      <c r="H367" s="19"/>
      <c r="I367" s="19"/>
      <c r="J367" s="22"/>
      <c r="K367" s="81"/>
      <c r="M367" s="88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</row>
    <row r="368" spans="2:39" ht="41.25" customHeight="1" outlineLevel="1">
      <c r="B368" s="18"/>
      <c r="C368" s="57" t="str">
        <f t="shared" si="7"/>
        <v/>
      </c>
      <c r="D368" s="18"/>
      <c r="E368" s="18"/>
      <c r="F368" s="15"/>
      <c r="G368" s="19"/>
      <c r="H368" s="19"/>
      <c r="I368" s="19"/>
      <c r="J368" s="22"/>
      <c r="K368" s="81"/>
      <c r="M368" s="88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</row>
    <row r="369" spans="2:39" s="12" customFormat="1" ht="41.25" customHeight="1" outlineLevel="1">
      <c r="B369" s="18"/>
      <c r="C369" s="57" t="str">
        <f t="shared" si="7"/>
        <v/>
      </c>
      <c r="D369" s="18"/>
      <c r="E369" s="28"/>
      <c r="F369" s="29"/>
      <c r="G369" s="19"/>
      <c r="H369" s="19"/>
      <c r="I369" s="19"/>
      <c r="J369" s="33"/>
      <c r="K369" s="84"/>
      <c r="L369" s="33"/>
      <c r="M369" s="90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22"/>
      <c r="AL369" s="33"/>
      <c r="AM369" s="33"/>
    </row>
    <row r="370" spans="2:39" ht="41.25" customHeight="1" outlineLevel="1">
      <c r="B370" s="18"/>
      <c r="C370" s="57" t="str">
        <f t="shared" si="7"/>
        <v/>
      </c>
      <c r="D370" s="18"/>
      <c r="E370" s="18"/>
      <c r="F370" s="15"/>
      <c r="G370" s="19"/>
      <c r="H370" s="19"/>
      <c r="I370" s="19"/>
      <c r="J370" s="22"/>
      <c r="K370" s="81"/>
      <c r="M370" s="88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33"/>
      <c r="AL370" s="22"/>
      <c r="AM370" s="22"/>
    </row>
    <row r="371" spans="2:39" ht="41.25" customHeight="1" outlineLevel="1">
      <c r="B371" s="18"/>
      <c r="C371" s="57" t="str">
        <f t="shared" si="7"/>
        <v/>
      </c>
      <c r="D371" s="18"/>
      <c r="E371" s="18"/>
      <c r="F371" s="15"/>
      <c r="G371" s="19"/>
      <c r="H371" s="19"/>
      <c r="I371" s="19"/>
      <c r="J371" s="22"/>
      <c r="K371" s="81"/>
      <c r="M371" s="88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</row>
    <row r="372" spans="2:39" ht="41.25" customHeight="1" outlineLevel="1">
      <c r="B372" s="18"/>
      <c r="C372" s="57" t="str">
        <f t="shared" si="7"/>
        <v/>
      </c>
      <c r="D372" s="18"/>
      <c r="E372" s="18"/>
      <c r="F372" s="15"/>
      <c r="G372" s="19"/>
      <c r="H372" s="19"/>
      <c r="I372" s="19"/>
      <c r="J372" s="22"/>
      <c r="K372" s="81"/>
      <c r="M372" s="88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</row>
    <row r="373" spans="2:39" ht="41.25" customHeight="1" outlineLevel="1">
      <c r="B373" s="18"/>
      <c r="C373" s="57" t="str">
        <f t="shared" si="7"/>
        <v/>
      </c>
      <c r="D373" s="18"/>
      <c r="E373" s="18"/>
      <c r="F373" s="15"/>
      <c r="G373" s="19"/>
      <c r="H373" s="19"/>
      <c r="I373" s="19"/>
      <c r="J373" s="22"/>
      <c r="K373" s="81"/>
      <c r="M373" s="88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</row>
    <row r="374" spans="2:39" ht="41.25" customHeight="1" outlineLevel="1">
      <c r="B374" s="18"/>
      <c r="C374" s="57" t="str">
        <f t="shared" si="7"/>
        <v/>
      </c>
      <c r="D374" s="18"/>
      <c r="E374" s="18"/>
      <c r="F374" s="15"/>
      <c r="G374" s="19"/>
      <c r="H374" s="19"/>
      <c r="I374" s="19"/>
      <c r="J374" s="22"/>
      <c r="K374" s="81"/>
      <c r="M374" s="88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</row>
    <row r="375" spans="2:39" ht="41.25" customHeight="1" outlineLevel="1">
      <c r="B375" s="18"/>
      <c r="C375" s="57" t="str">
        <f t="shared" si="7"/>
        <v/>
      </c>
      <c r="D375" s="18"/>
      <c r="E375" s="18"/>
      <c r="F375" s="15"/>
      <c r="G375" s="19"/>
      <c r="H375" s="19"/>
      <c r="I375" s="19"/>
      <c r="J375" s="22"/>
      <c r="K375" s="81"/>
      <c r="M375" s="88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</row>
    <row r="376" spans="2:39" ht="41.25" customHeight="1" outlineLevel="1">
      <c r="B376" s="18"/>
      <c r="C376" s="57" t="str">
        <f t="shared" si="7"/>
        <v/>
      </c>
      <c r="D376" s="18"/>
      <c r="E376" s="18"/>
      <c r="F376" s="15"/>
      <c r="G376" s="19"/>
      <c r="H376" s="19"/>
      <c r="I376" s="19"/>
      <c r="J376" s="22"/>
      <c r="K376" s="81"/>
      <c r="M376" s="88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</row>
    <row r="377" spans="2:39" ht="41.25" customHeight="1" outlineLevel="1">
      <c r="B377" s="18"/>
      <c r="C377" s="57" t="str">
        <f t="shared" si="7"/>
        <v/>
      </c>
      <c r="D377" s="18"/>
      <c r="E377" s="18"/>
      <c r="F377" s="15"/>
      <c r="G377" s="19"/>
      <c r="H377" s="19"/>
      <c r="I377" s="19"/>
      <c r="J377" s="22"/>
      <c r="K377" s="81"/>
      <c r="M377" s="88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</row>
    <row r="378" spans="2:39" ht="41.25" customHeight="1" outlineLevel="1">
      <c r="B378" s="18"/>
      <c r="C378" s="57" t="str">
        <f t="shared" si="7"/>
        <v/>
      </c>
      <c r="D378" s="18"/>
      <c r="E378" s="18"/>
      <c r="F378" s="15"/>
      <c r="G378" s="19"/>
      <c r="H378" s="19"/>
      <c r="I378" s="19"/>
      <c r="J378" s="22"/>
      <c r="K378" s="81"/>
      <c r="M378" s="88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</row>
    <row r="379" spans="2:39" ht="41.25" customHeight="1" outlineLevel="1">
      <c r="B379" s="18"/>
      <c r="C379" s="57" t="str">
        <f t="shared" si="7"/>
        <v/>
      </c>
      <c r="D379" s="18"/>
      <c r="E379" s="18"/>
      <c r="F379" s="15"/>
      <c r="G379" s="19"/>
      <c r="H379" s="19"/>
      <c r="I379" s="19"/>
      <c r="J379" s="22"/>
      <c r="K379" s="81"/>
      <c r="M379" s="88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</row>
    <row r="380" spans="2:39" ht="41.25" customHeight="1" outlineLevel="1">
      <c r="B380" s="18"/>
      <c r="C380" s="57" t="str">
        <f t="shared" si="7"/>
        <v/>
      </c>
      <c r="D380" s="18"/>
      <c r="E380" s="18"/>
      <c r="F380" s="15"/>
      <c r="G380" s="19"/>
      <c r="H380" s="19"/>
      <c r="I380" s="19"/>
      <c r="J380" s="22"/>
      <c r="K380" s="81"/>
      <c r="M380" s="88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</row>
    <row r="381" spans="2:39" ht="41.25" customHeight="1" outlineLevel="1">
      <c r="B381" s="18"/>
      <c r="C381" s="57" t="str">
        <f t="shared" si="7"/>
        <v/>
      </c>
      <c r="D381" s="18"/>
      <c r="E381" s="18"/>
      <c r="F381" s="15"/>
      <c r="G381" s="19"/>
      <c r="H381" s="19"/>
      <c r="I381" s="19"/>
      <c r="J381" s="22"/>
      <c r="K381" s="81"/>
      <c r="M381" s="88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</row>
    <row r="382" spans="2:39" ht="41.25" customHeight="1" outlineLevel="1">
      <c r="B382" s="18"/>
      <c r="C382" s="57" t="str">
        <f t="shared" si="7"/>
        <v/>
      </c>
      <c r="D382" s="18"/>
      <c r="E382" s="18"/>
      <c r="F382" s="15"/>
      <c r="G382" s="19"/>
      <c r="H382" s="19"/>
      <c r="I382" s="19"/>
      <c r="J382" s="22"/>
      <c r="K382" s="81"/>
      <c r="M382" s="88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</row>
    <row r="383" spans="2:39" ht="41.25" customHeight="1" outlineLevel="1">
      <c r="B383" s="18"/>
      <c r="C383" s="57" t="str">
        <f t="shared" si="7"/>
        <v/>
      </c>
      <c r="D383" s="18"/>
      <c r="E383" s="18"/>
      <c r="F383" s="15"/>
      <c r="G383" s="19"/>
      <c r="H383" s="19"/>
      <c r="I383" s="19"/>
      <c r="J383" s="22"/>
      <c r="K383" s="81"/>
      <c r="M383" s="88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</row>
    <row r="384" spans="2:39" ht="41.25" customHeight="1" outlineLevel="1">
      <c r="B384" s="18"/>
      <c r="C384" s="57" t="str">
        <f t="shared" si="7"/>
        <v/>
      </c>
      <c r="D384" s="18"/>
      <c r="E384" s="18"/>
      <c r="F384" s="15"/>
      <c r="G384" s="19"/>
      <c r="H384" s="19"/>
      <c r="I384" s="19"/>
      <c r="J384" s="22"/>
      <c r="K384" s="81"/>
      <c r="M384" s="88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</row>
    <row r="385" spans="2:39" ht="41.25" customHeight="1" outlineLevel="1">
      <c r="B385" s="18"/>
      <c r="C385" s="57" t="str">
        <f t="shared" si="7"/>
        <v/>
      </c>
      <c r="D385" s="18"/>
      <c r="E385" s="18"/>
      <c r="F385" s="15"/>
      <c r="G385" s="19"/>
      <c r="H385" s="19"/>
      <c r="I385" s="19"/>
      <c r="J385" s="22"/>
      <c r="K385" s="81"/>
      <c r="M385" s="88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</row>
    <row r="386" spans="2:39" ht="41.25" customHeight="1" outlineLevel="1">
      <c r="B386" s="18"/>
      <c r="C386" s="57" t="str">
        <f t="shared" si="7"/>
        <v/>
      </c>
      <c r="D386" s="18"/>
      <c r="E386" s="18"/>
      <c r="F386" s="15"/>
      <c r="G386" s="19"/>
      <c r="H386" s="19"/>
      <c r="I386" s="19"/>
      <c r="J386" s="22"/>
      <c r="K386" s="81"/>
      <c r="M386" s="88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</row>
    <row r="387" spans="2:39" ht="41.25" customHeight="1" outlineLevel="1">
      <c r="B387" s="18"/>
      <c r="C387" s="57" t="str">
        <f t="shared" si="7"/>
        <v/>
      </c>
      <c r="D387" s="18"/>
      <c r="E387" s="18"/>
      <c r="F387" s="15"/>
      <c r="G387" s="19"/>
      <c r="H387" s="19"/>
      <c r="I387" s="19"/>
      <c r="J387" s="22"/>
      <c r="K387" s="81"/>
      <c r="M387" s="88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</row>
    <row r="388" spans="2:39" ht="41.25" customHeight="1" outlineLevel="1">
      <c r="B388" s="18"/>
      <c r="C388" s="57" t="str">
        <f t="shared" si="7"/>
        <v/>
      </c>
      <c r="D388" s="18"/>
      <c r="E388" s="18"/>
      <c r="F388" s="15"/>
      <c r="G388" s="19"/>
      <c r="H388" s="19"/>
      <c r="I388" s="19"/>
      <c r="J388" s="22"/>
      <c r="K388" s="81"/>
      <c r="M388" s="88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</row>
    <row r="389" spans="2:39" ht="41.25" customHeight="1" outlineLevel="1">
      <c r="B389" s="18"/>
      <c r="C389" s="57" t="str">
        <f t="shared" si="7"/>
        <v/>
      </c>
      <c r="D389" s="18"/>
      <c r="E389" s="18"/>
      <c r="F389" s="15"/>
      <c r="G389" s="19"/>
      <c r="H389" s="19"/>
      <c r="I389" s="19"/>
      <c r="J389" s="22"/>
      <c r="K389" s="81"/>
      <c r="M389" s="88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</row>
    <row r="390" spans="2:39" ht="41.25" customHeight="1" outlineLevel="1">
      <c r="B390" s="18"/>
      <c r="C390" s="57" t="str">
        <f t="shared" ref="C390:C404" si="8">IF(B390="","",MONTH(B390))</f>
        <v/>
      </c>
      <c r="D390" s="18"/>
      <c r="E390" s="18"/>
      <c r="F390" s="15"/>
      <c r="G390" s="19"/>
      <c r="H390" s="19"/>
      <c r="I390" s="19"/>
      <c r="J390" s="22"/>
      <c r="K390" s="81"/>
      <c r="M390" s="88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</row>
    <row r="391" spans="2:39" ht="41.25" customHeight="1" outlineLevel="1">
      <c r="B391" s="18"/>
      <c r="C391" s="57" t="str">
        <f t="shared" si="8"/>
        <v/>
      </c>
      <c r="D391" s="18"/>
      <c r="E391" s="18"/>
      <c r="F391" s="15"/>
      <c r="G391" s="19"/>
      <c r="H391" s="19"/>
      <c r="I391" s="19"/>
      <c r="J391" s="22"/>
      <c r="K391" s="81"/>
      <c r="M391" s="88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</row>
    <row r="392" spans="2:39" ht="41.25" customHeight="1" outlineLevel="1">
      <c r="B392" s="18"/>
      <c r="C392" s="57" t="str">
        <f t="shared" si="8"/>
        <v/>
      </c>
      <c r="D392" s="18"/>
      <c r="E392" s="18"/>
      <c r="F392" s="15"/>
      <c r="G392" s="19"/>
      <c r="H392" s="19"/>
      <c r="I392" s="19"/>
      <c r="J392" s="22"/>
      <c r="K392" s="81"/>
      <c r="M392" s="88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</row>
    <row r="393" spans="2:39" ht="41.25" customHeight="1" outlineLevel="1">
      <c r="B393" s="18"/>
      <c r="C393" s="57" t="str">
        <f t="shared" si="8"/>
        <v/>
      </c>
      <c r="D393" s="18"/>
      <c r="E393" s="18"/>
      <c r="F393" s="15"/>
      <c r="G393" s="19"/>
      <c r="H393" s="19"/>
      <c r="I393" s="19"/>
      <c r="J393" s="22"/>
      <c r="K393" s="81"/>
      <c r="M393" s="88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</row>
    <row r="394" spans="2:39" ht="41.25" customHeight="1" outlineLevel="1">
      <c r="B394" s="18"/>
      <c r="C394" s="57" t="str">
        <f t="shared" si="8"/>
        <v/>
      </c>
      <c r="D394" s="18"/>
      <c r="E394" s="18"/>
      <c r="F394" s="15"/>
      <c r="G394" s="19"/>
      <c r="H394" s="19"/>
      <c r="I394" s="19"/>
      <c r="J394" s="22"/>
      <c r="K394" s="81"/>
      <c r="M394" s="88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</row>
    <row r="395" spans="2:39" ht="41.25" customHeight="1" outlineLevel="1">
      <c r="B395" s="18"/>
      <c r="C395" s="57" t="str">
        <f t="shared" si="8"/>
        <v/>
      </c>
      <c r="D395" s="18"/>
      <c r="E395" s="18"/>
      <c r="F395" s="15"/>
      <c r="G395" s="19"/>
      <c r="H395" s="19"/>
      <c r="I395" s="19"/>
      <c r="J395" s="22"/>
      <c r="K395" s="81"/>
      <c r="M395" s="88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</row>
    <row r="396" spans="2:39" ht="41.25" customHeight="1" outlineLevel="1">
      <c r="B396" s="18"/>
      <c r="C396" s="57" t="str">
        <f t="shared" si="8"/>
        <v/>
      </c>
      <c r="D396" s="18"/>
      <c r="E396" s="18"/>
      <c r="F396" s="15"/>
      <c r="G396" s="19"/>
      <c r="H396" s="19"/>
      <c r="I396" s="19"/>
      <c r="J396" s="22"/>
      <c r="K396" s="81"/>
      <c r="M396" s="88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</row>
    <row r="397" spans="2:39" ht="41.25" customHeight="1" outlineLevel="1">
      <c r="B397" s="18"/>
      <c r="C397" s="57" t="str">
        <f t="shared" si="8"/>
        <v/>
      </c>
      <c r="D397" s="18"/>
      <c r="E397" s="18"/>
      <c r="F397" s="15"/>
      <c r="G397" s="19"/>
      <c r="H397" s="19"/>
      <c r="I397" s="19"/>
      <c r="J397" s="22"/>
      <c r="K397" s="81"/>
      <c r="M397" s="88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</row>
    <row r="398" spans="2:39" ht="41.25" customHeight="1" outlineLevel="1">
      <c r="B398" s="18"/>
      <c r="C398" s="57" t="str">
        <f t="shared" si="8"/>
        <v/>
      </c>
      <c r="D398" s="18"/>
      <c r="E398" s="18"/>
      <c r="F398" s="15"/>
      <c r="G398" s="19"/>
      <c r="H398" s="19"/>
      <c r="I398" s="19"/>
      <c r="J398" s="22"/>
      <c r="K398" s="81"/>
      <c r="M398" s="88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</row>
    <row r="399" spans="2:39" ht="41.25" customHeight="1" outlineLevel="1">
      <c r="B399" s="18"/>
      <c r="C399" s="57" t="str">
        <f t="shared" si="8"/>
        <v/>
      </c>
      <c r="D399" s="18"/>
      <c r="E399" s="18"/>
      <c r="F399" s="15"/>
      <c r="G399" s="19"/>
      <c r="H399" s="19"/>
      <c r="I399" s="19"/>
      <c r="J399" s="22"/>
      <c r="K399" s="81"/>
      <c r="M399" s="88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</row>
    <row r="400" spans="2:39" ht="41.25" customHeight="1" outlineLevel="1">
      <c r="B400" s="18"/>
      <c r="C400" s="57" t="str">
        <f t="shared" si="8"/>
        <v/>
      </c>
      <c r="D400" s="18"/>
      <c r="E400" s="18"/>
      <c r="F400" s="15"/>
      <c r="G400" s="19"/>
      <c r="H400" s="19"/>
      <c r="I400" s="19"/>
      <c r="J400" s="22"/>
      <c r="K400" s="81"/>
      <c r="M400" s="88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</row>
    <row r="401" spans="2:39" ht="41.25" customHeight="1" outlineLevel="1">
      <c r="B401" s="18"/>
      <c r="C401" s="57" t="str">
        <f t="shared" si="8"/>
        <v/>
      </c>
      <c r="D401" s="18"/>
      <c r="E401" s="18"/>
      <c r="F401" s="15"/>
      <c r="G401" s="19"/>
      <c r="H401" s="19"/>
      <c r="I401" s="19"/>
      <c r="J401" s="22"/>
      <c r="K401" s="81"/>
      <c r="M401" s="88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</row>
    <row r="402" spans="2:39" ht="41.25" customHeight="1" outlineLevel="1">
      <c r="B402" s="18"/>
      <c r="C402" s="57" t="str">
        <f t="shared" si="8"/>
        <v/>
      </c>
      <c r="D402" s="18"/>
      <c r="E402" s="18"/>
      <c r="F402" s="15"/>
      <c r="G402" s="19"/>
      <c r="H402" s="19"/>
      <c r="I402" s="19"/>
      <c r="J402" s="22"/>
      <c r="K402" s="81"/>
      <c r="M402" s="88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</row>
    <row r="403" spans="2:39" ht="41.25" customHeight="1" outlineLevel="1">
      <c r="B403" s="18"/>
      <c r="C403" s="57" t="str">
        <f t="shared" si="8"/>
        <v/>
      </c>
      <c r="D403" s="18"/>
      <c r="E403" s="18"/>
      <c r="F403" s="15"/>
      <c r="G403" s="19"/>
      <c r="H403" s="19"/>
      <c r="I403" s="19"/>
      <c r="J403" s="22"/>
      <c r="K403" s="81"/>
      <c r="M403" s="88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</row>
    <row r="404" spans="2:39" ht="41.25" customHeight="1" outlineLevel="1">
      <c r="B404" s="18"/>
      <c r="C404" s="57" t="str">
        <f t="shared" si="8"/>
        <v/>
      </c>
      <c r="D404" s="18"/>
      <c r="E404" s="18"/>
      <c r="F404" s="15"/>
      <c r="G404" s="19"/>
      <c r="H404" s="19"/>
      <c r="I404" s="19"/>
      <c r="J404" s="22"/>
      <c r="K404" s="81"/>
      <c r="M404" s="88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</row>
    <row r="405" spans="2:39" ht="29.4" customHeight="1">
      <c r="B405" s="30"/>
      <c r="C405" s="30"/>
      <c r="D405" s="30"/>
      <c r="E405" s="30"/>
      <c r="F405" s="30"/>
      <c r="G405" s="31"/>
      <c r="H405" s="31"/>
      <c r="I405" s="31"/>
      <c r="J405" s="34"/>
      <c r="K405" s="85"/>
      <c r="L405" s="34"/>
      <c r="M405" s="91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</row>
    <row r="406" spans="2:39">
      <c r="B406"/>
      <c r="C406"/>
    </row>
    <row r="407" spans="2:39">
      <c r="B407"/>
      <c r="C407"/>
    </row>
    <row r="408" spans="2:39" ht="27" customHeight="1"/>
    <row r="409" spans="2:39">
      <c r="B409" t="s">
        <v>11</v>
      </c>
      <c r="C409" t="s">
        <v>12</v>
      </c>
      <c r="D409"/>
      <c r="E409"/>
      <c r="F409"/>
      <c r="G409"/>
      <c r="H409"/>
      <c r="I409"/>
      <c r="J409"/>
      <c r="K409"/>
      <c r="L409" s="94"/>
      <c r="M409"/>
      <c r="N409"/>
      <c r="O409"/>
      <c r="P409"/>
      <c r="Q409"/>
      <c r="R409"/>
      <c r="S409"/>
    </row>
    <row r="410" spans="2:39">
      <c r="B410" s="7" t="s">
        <v>13</v>
      </c>
      <c r="C410"/>
      <c r="D410"/>
      <c r="E410"/>
      <c r="F410"/>
      <c r="G410"/>
      <c r="H410"/>
      <c r="I410"/>
      <c r="J410"/>
      <c r="K410"/>
      <c r="L410" s="94"/>
      <c r="M410"/>
      <c r="N410"/>
      <c r="O410"/>
      <c r="P410"/>
      <c r="Q410"/>
      <c r="R410"/>
      <c r="S410"/>
    </row>
    <row r="411" spans="2:39">
      <c r="B411" s="7" t="s">
        <v>6</v>
      </c>
      <c r="C411"/>
      <c r="D411"/>
      <c r="E411"/>
      <c r="F411"/>
      <c r="G411"/>
      <c r="H411"/>
      <c r="I411"/>
      <c r="J411"/>
      <c r="K411"/>
      <c r="L411" s="94"/>
      <c r="M411"/>
      <c r="N411"/>
      <c r="O411"/>
      <c r="P411"/>
      <c r="Q411"/>
      <c r="R411"/>
      <c r="S411"/>
    </row>
    <row r="412" spans="2:39">
      <c r="B412" s="7" t="s">
        <v>14</v>
      </c>
      <c r="C412"/>
      <c r="D412"/>
      <c r="E412"/>
      <c r="F412"/>
      <c r="G412"/>
      <c r="H412"/>
      <c r="I412"/>
      <c r="J412"/>
      <c r="K412"/>
      <c r="L412" s="94"/>
      <c r="M412"/>
      <c r="N412"/>
      <c r="O412"/>
      <c r="P412"/>
      <c r="Q412"/>
      <c r="R412"/>
      <c r="S412"/>
    </row>
    <row r="413" spans="2:39">
      <c r="B413"/>
      <c r="C413"/>
      <c r="D413"/>
      <c r="E413"/>
      <c r="F413"/>
      <c r="G413"/>
      <c r="H413"/>
      <c r="I413"/>
      <c r="J413"/>
      <c r="K413"/>
      <c r="L413" s="94"/>
      <c r="M413"/>
      <c r="N413"/>
      <c r="O413"/>
      <c r="P413"/>
      <c r="Q413"/>
      <c r="R413"/>
      <c r="S413"/>
    </row>
    <row r="414" spans="2:39">
      <c r="B414"/>
      <c r="C414"/>
      <c r="D414"/>
      <c r="E414"/>
      <c r="F414"/>
      <c r="G414"/>
      <c r="H414"/>
      <c r="I414"/>
      <c r="J414"/>
      <c r="K414"/>
      <c r="L414" s="94"/>
      <c r="M414"/>
      <c r="N414"/>
      <c r="O414"/>
      <c r="P414"/>
      <c r="Q414"/>
      <c r="R414"/>
      <c r="S414"/>
    </row>
    <row r="415" spans="2:39">
      <c r="B415"/>
      <c r="C415"/>
      <c r="D415"/>
      <c r="E415"/>
      <c r="F415"/>
      <c r="G415"/>
      <c r="H415"/>
      <c r="I415"/>
      <c r="J415"/>
      <c r="K415"/>
      <c r="L415" s="94"/>
      <c r="M415"/>
      <c r="N415"/>
      <c r="O415"/>
      <c r="P415"/>
      <c r="Q415"/>
      <c r="R415"/>
      <c r="S415"/>
    </row>
    <row r="416" spans="2:39">
      <c r="B416"/>
      <c r="C416"/>
      <c r="D416"/>
      <c r="E416"/>
      <c r="F416"/>
      <c r="G416"/>
      <c r="H416"/>
      <c r="I416"/>
      <c r="J416"/>
      <c r="K416"/>
      <c r="L416" s="94"/>
      <c r="M416"/>
      <c r="N416"/>
      <c r="O416"/>
      <c r="P416"/>
      <c r="Q416"/>
      <c r="R416"/>
      <c r="S416"/>
    </row>
    <row r="417" spans="2:19">
      <c r="B417"/>
      <c r="C417"/>
      <c r="D417"/>
      <c r="E417"/>
      <c r="F417"/>
      <c r="G417"/>
      <c r="H417"/>
      <c r="I417"/>
      <c r="J417"/>
      <c r="K417"/>
      <c r="L417" s="94"/>
      <c r="M417"/>
      <c r="N417"/>
      <c r="O417"/>
      <c r="P417"/>
      <c r="Q417"/>
      <c r="R417"/>
      <c r="S417"/>
    </row>
    <row r="418" spans="2:19">
      <c r="B418"/>
      <c r="C418"/>
      <c r="D418"/>
      <c r="E418"/>
      <c r="F418"/>
      <c r="G418"/>
      <c r="H418"/>
      <c r="I418"/>
      <c r="J418"/>
      <c r="K418"/>
      <c r="L418" s="94"/>
      <c r="M418"/>
      <c r="N418"/>
      <c r="O418"/>
      <c r="P418"/>
      <c r="Q418"/>
      <c r="R418"/>
      <c r="S418"/>
    </row>
    <row r="419" spans="2:19">
      <c r="B419"/>
      <c r="C419"/>
      <c r="D419"/>
      <c r="E419"/>
      <c r="F419"/>
      <c r="G419"/>
      <c r="H419"/>
      <c r="I419"/>
      <c r="J419"/>
      <c r="K419"/>
      <c r="L419" s="94"/>
      <c r="M419"/>
      <c r="N419"/>
      <c r="O419"/>
      <c r="P419"/>
      <c r="Q419"/>
      <c r="R419"/>
      <c r="S419"/>
    </row>
    <row r="420" spans="2:19">
      <c r="B420"/>
      <c r="C420"/>
      <c r="D420"/>
      <c r="E420"/>
      <c r="F420"/>
      <c r="G420"/>
      <c r="H420"/>
      <c r="I420"/>
      <c r="J420"/>
      <c r="K420"/>
      <c r="L420" s="94"/>
      <c r="M420"/>
      <c r="N420"/>
      <c r="O420"/>
      <c r="P420"/>
      <c r="Q420"/>
      <c r="R420"/>
      <c r="S420"/>
    </row>
    <row r="421" spans="2:19">
      <c r="B421"/>
      <c r="C421"/>
      <c r="D421"/>
      <c r="E421"/>
      <c r="F421"/>
      <c r="G421"/>
      <c r="H421"/>
      <c r="I421"/>
      <c r="J421"/>
      <c r="K421"/>
      <c r="L421" s="94"/>
      <c r="M421"/>
      <c r="N421"/>
      <c r="O421"/>
      <c r="P421"/>
      <c r="Q421"/>
      <c r="R421"/>
      <c r="S421"/>
    </row>
    <row r="422" spans="2:19">
      <c r="B422"/>
      <c r="C422"/>
      <c r="D422"/>
      <c r="E422"/>
      <c r="F422"/>
      <c r="G422"/>
      <c r="H422"/>
      <c r="I422"/>
      <c r="J422"/>
      <c r="K422"/>
      <c r="L422" s="94"/>
      <c r="M422"/>
      <c r="N422"/>
      <c r="O422"/>
      <c r="P422"/>
      <c r="Q422"/>
      <c r="R422"/>
      <c r="S422"/>
    </row>
    <row r="423" spans="2:19">
      <c r="B423"/>
      <c r="C423"/>
      <c r="D423"/>
      <c r="E423"/>
      <c r="F423"/>
      <c r="G423"/>
      <c r="H423"/>
      <c r="I423"/>
      <c r="J423"/>
      <c r="K423"/>
      <c r="L423" s="94"/>
      <c r="M423"/>
      <c r="N423"/>
      <c r="O423"/>
      <c r="P423"/>
      <c r="Q423"/>
      <c r="R423"/>
      <c r="S423"/>
    </row>
    <row r="424" spans="2:19">
      <c r="B424"/>
      <c r="C424"/>
      <c r="D424"/>
      <c r="E424"/>
      <c r="F424"/>
      <c r="G424"/>
      <c r="H424"/>
      <c r="I424"/>
      <c r="J424"/>
      <c r="K424"/>
      <c r="L424" s="94"/>
      <c r="M424"/>
      <c r="N424"/>
      <c r="O424"/>
      <c r="P424"/>
      <c r="Q424"/>
      <c r="R424"/>
      <c r="S424"/>
    </row>
    <row r="425" spans="2:19">
      <c r="B425"/>
      <c r="C425"/>
      <c r="D425"/>
      <c r="E425"/>
      <c r="F425"/>
      <c r="G425"/>
      <c r="H425"/>
      <c r="I425"/>
      <c r="J425"/>
      <c r="K425"/>
      <c r="L425" s="94"/>
      <c r="M425"/>
      <c r="N425"/>
      <c r="O425"/>
      <c r="P425"/>
      <c r="Q425"/>
      <c r="R425"/>
      <c r="S425"/>
    </row>
    <row r="426" spans="2:19">
      <c r="B426"/>
      <c r="C426"/>
      <c r="D426"/>
      <c r="E426"/>
      <c r="F426"/>
      <c r="G426"/>
      <c r="H426"/>
      <c r="I426"/>
      <c r="J426"/>
      <c r="K426"/>
      <c r="L426" s="94"/>
      <c r="M426"/>
      <c r="N426"/>
      <c r="O426"/>
      <c r="P426"/>
      <c r="Q426"/>
      <c r="R426"/>
      <c r="S426"/>
    </row>
    <row r="427" spans="2:19">
      <c r="B427"/>
      <c r="C427"/>
      <c r="D427"/>
      <c r="E427"/>
      <c r="F427" s="32"/>
      <c r="G427"/>
      <c r="H427"/>
      <c r="I427"/>
      <c r="J427"/>
      <c r="K427"/>
      <c r="L427" s="94"/>
      <c r="M427"/>
      <c r="N427"/>
      <c r="O427"/>
      <c r="P427"/>
      <c r="Q427"/>
      <c r="R427"/>
      <c r="S427"/>
    </row>
    <row r="428" spans="2:19">
      <c r="B428"/>
      <c r="C428"/>
      <c r="D428"/>
      <c r="E428"/>
      <c r="F428"/>
      <c r="G428"/>
      <c r="H428"/>
      <c r="I428"/>
      <c r="J428"/>
      <c r="K428"/>
      <c r="L428" s="94"/>
      <c r="M428"/>
      <c r="N428"/>
      <c r="O428"/>
      <c r="P428"/>
      <c r="Q428"/>
      <c r="R428"/>
      <c r="S428"/>
    </row>
    <row r="429" spans="2:19">
      <c r="B429"/>
      <c r="C429"/>
      <c r="D429"/>
      <c r="E429"/>
      <c r="F429"/>
      <c r="G429"/>
      <c r="H429"/>
      <c r="I429"/>
      <c r="J429"/>
      <c r="K429"/>
      <c r="L429" s="94"/>
      <c r="M429"/>
      <c r="N429"/>
      <c r="O429"/>
      <c r="P429"/>
      <c r="Q429"/>
      <c r="R429"/>
      <c r="S429"/>
    </row>
    <row r="430" spans="2:19">
      <c r="B430"/>
      <c r="C430"/>
      <c r="D430"/>
      <c r="E430"/>
      <c r="F430"/>
      <c r="G430"/>
      <c r="H430"/>
      <c r="I430"/>
      <c r="J430"/>
      <c r="K430"/>
      <c r="L430" s="94"/>
      <c r="M430"/>
      <c r="N430"/>
      <c r="O430"/>
      <c r="P430"/>
      <c r="Q430"/>
      <c r="R430"/>
      <c r="S430"/>
    </row>
    <row r="431" spans="2:19">
      <c r="B431"/>
      <c r="C431"/>
      <c r="D431"/>
      <c r="E431"/>
      <c r="F431"/>
      <c r="G431"/>
      <c r="H431"/>
      <c r="I431"/>
      <c r="J431"/>
      <c r="K431"/>
      <c r="L431" s="94"/>
      <c r="M431"/>
      <c r="N431"/>
      <c r="O431"/>
      <c r="P431"/>
      <c r="Q431"/>
      <c r="R431"/>
      <c r="S431"/>
    </row>
    <row r="432" spans="2:19">
      <c r="B432"/>
      <c r="C432"/>
      <c r="D432"/>
      <c r="E432"/>
      <c r="F432"/>
      <c r="G432"/>
      <c r="H432"/>
      <c r="I432"/>
      <c r="J432"/>
      <c r="K432"/>
      <c r="L432" s="94"/>
      <c r="M432"/>
      <c r="N432"/>
      <c r="O432"/>
      <c r="P432"/>
      <c r="Q432"/>
      <c r="R432"/>
      <c r="S432"/>
    </row>
    <row r="433" spans="2:19">
      <c r="B433"/>
      <c r="C433"/>
      <c r="D433"/>
      <c r="E433"/>
      <c r="F433"/>
      <c r="G433"/>
      <c r="H433"/>
      <c r="I433"/>
      <c r="J433"/>
      <c r="K433"/>
      <c r="L433" s="94"/>
      <c r="M433"/>
      <c r="N433"/>
      <c r="O433"/>
      <c r="P433"/>
      <c r="Q433"/>
      <c r="R433"/>
      <c r="S433"/>
    </row>
    <row r="434" spans="2:19">
      <c r="B434"/>
      <c r="C434"/>
      <c r="D434"/>
      <c r="E434"/>
      <c r="F434"/>
      <c r="G434"/>
      <c r="H434"/>
      <c r="I434"/>
      <c r="J434"/>
      <c r="K434"/>
      <c r="L434" s="94"/>
      <c r="M434"/>
      <c r="N434"/>
      <c r="O434"/>
      <c r="P434"/>
      <c r="Q434"/>
      <c r="R434"/>
      <c r="S434"/>
    </row>
    <row r="435" spans="2:19">
      <c r="B435"/>
      <c r="C435"/>
      <c r="D435"/>
      <c r="E435"/>
      <c r="F435"/>
      <c r="G435"/>
      <c r="H435"/>
      <c r="I435"/>
      <c r="J435"/>
      <c r="K435"/>
      <c r="L435" s="94"/>
      <c r="M435"/>
      <c r="N435"/>
      <c r="O435"/>
      <c r="P435"/>
      <c r="Q435"/>
      <c r="R435"/>
      <c r="S435"/>
    </row>
    <row r="436" spans="2:19">
      <c r="B436"/>
      <c r="C436"/>
      <c r="D436"/>
      <c r="E436"/>
      <c r="F436"/>
      <c r="G436"/>
      <c r="H436"/>
      <c r="I436"/>
      <c r="J436"/>
      <c r="K436"/>
      <c r="L436" s="94"/>
      <c r="M436"/>
      <c r="N436"/>
      <c r="O436"/>
      <c r="P436"/>
      <c r="Q436"/>
      <c r="R436"/>
      <c r="S436"/>
    </row>
    <row r="437" spans="2:19">
      <c r="B437"/>
      <c r="C437"/>
      <c r="D437"/>
      <c r="E437"/>
      <c r="F437"/>
      <c r="G437"/>
      <c r="H437"/>
      <c r="I437"/>
      <c r="J437"/>
      <c r="K437"/>
      <c r="L437" s="94"/>
      <c r="M437"/>
      <c r="N437"/>
      <c r="O437"/>
      <c r="P437"/>
      <c r="Q437"/>
      <c r="R437"/>
      <c r="S437"/>
    </row>
    <row r="438" spans="2:19">
      <c r="B438"/>
      <c r="C438"/>
      <c r="D438"/>
      <c r="E438"/>
      <c r="F438"/>
      <c r="G438"/>
      <c r="H438"/>
      <c r="I438"/>
      <c r="J438"/>
      <c r="K438"/>
      <c r="L438" s="94"/>
      <c r="M438"/>
      <c r="N438"/>
      <c r="O438"/>
      <c r="P438"/>
      <c r="Q438"/>
      <c r="R438"/>
      <c r="S438"/>
    </row>
    <row r="439" spans="2:19">
      <c r="B439"/>
      <c r="C439"/>
      <c r="D439"/>
      <c r="E439"/>
      <c r="F439"/>
      <c r="G439"/>
      <c r="H439"/>
      <c r="I439"/>
      <c r="J439"/>
      <c r="K439"/>
      <c r="L439" s="94"/>
      <c r="M439"/>
      <c r="N439"/>
      <c r="O439"/>
      <c r="P439"/>
      <c r="Q439"/>
      <c r="R439"/>
      <c r="S439"/>
    </row>
    <row r="440" spans="2:19">
      <c r="B440"/>
      <c r="C440"/>
      <c r="D440"/>
      <c r="E440"/>
      <c r="F440"/>
    </row>
  </sheetData>
  <autoFilter ref="B5:K5" xr:uid="{EE3C7949-53EF-4A98-8F31-CECBCBC478E0}">
    <sortState xmlns:xlrd2="http://schemas.microsoft.com/office/spreadsheetml/2017/richdata2" ref="B6:K35">
      <sortCondition ref="B5"/>
    </sortState>
  </autoFilter>
  <mergeCells count="11">
    <mergeCell ref="Y4:AA4"/>
    <mergeCell ref="AC4:AF4"/>
    <mergeCell ref="AG4:AH4"/>
    <mergeCell ref="AI4:AJ4"/>
    <mergeCell ref="AL4:AM4"/>
    <mergeCell ref="T4:W4"/>
    <mergeCell ref="E1:G1"/>
    <mergeCell ref="E2:G2"/>
    <mergeCell ref="J4:K4"/>
    <mergeCell ref="L4:P4"/>
    <mergeCell ref="Q4:S4"/>
  </mergeCells>
  <phoneticPr fontId="18" type="noConversion"/>
  <conditionalFormatting sqref="C6:C404">
    <cfRule type="cellIs" dxfId="2" priority="1" operator="between">
      <formula>"B1"</formula>
      <formula>"B100"</formula>
    </cfRule>
    <cfRule type="cellIs" dxfId="1" priority="2" operator="equal">
      <formula>"HA"</formula>
    </cfRule>
    <cfRule type="cellIs" dxfId="0" priority="3" operator="equal">
      <formula>"LD"</formula>
    </cfRule>
  </conditionalFormatting>
  <dataValidations count="4">
    <dataValidation type="list" allowBlank="1" showInputMessage="1" showErrorMessage="1" sqref="E6:E34 E46:E108" xr:uid="{16F039A1-1E05-4B66-96CF-C76C9ED16C7C}">
      <formula1>$E$5:$E$6</formula1>
    </dataValidation>
    <dataValidation type="list" allowBlank="1" showInputMessage="1" showErrorMessage="1" sqref="F6:F34 F46:F90 F92:F108" xr:uid="{244B9EE7-A88A-43B9-BF12-1C3D9ECCB363}">
      <formula1>$G$5:$G$17</formula1>
    </dataValidation>
    <dataValidation type="list" allowBlank="1" showInputMessage="1" showErrorMessage="1" sqref="G6:G35 G50:G107" xr:uid="{B47EF3C5-407D-4C88-A2C1-BD54FCECD06B}">
      <formula1>$H$5:$H$43</formula1>
    </dataValidation>
    <dataValidation type="list" allowBlank="1" showInputMessage="1" showErrorMessage="1" sqref="I6:I43 I45:I108" xr:uid="{1F9BBAD6-1BFC-4AA7-93C6-E69989286970}">
      <formula1>$I$5:$I$22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DE976F1C-1CC2-4DEA-AD7A-26A3FD0D892A}">
          <x14:formula1>
            <xm:f>LOOKUP!$B$2:$B$7</xm:f>
          </x14:formula1>
          <xm:sqref>D6:D404</xm:sqref>
        </x14:dataValidation>
        <x14:dataValidation type="list" allowBlank="1" showInputMessage="1" showErrorMessage="1" xr:uid="{7C170CE8-9A95-4A0A-B0C2-795AD2A75FED}">
          <x14:formula1>
            <xm:f>LOOKUP!$A$2:$A$3</xm:f>
          </x14:formula1>
          <xm:sqref>E109:E167</xm:sqref>
        </x14:dataValidation>
        <x14:dataValidation type="list" allowBlank="1" showInputMessage="1" showErrorMessage="1" xr:uid="{9BC48C3E-EEEA-4A60-8C7A-F4D0E3F90A78}">
          <x14:formula1>
            <xm:f>LOOKUP!$C$2:$C$6</xm:f>
          </x14:formula1>
          <xm:sqref>F35:F43 F109:F167</xm:sqref>
        </x14:dataValidation>
        <x14:dataValidation type="list" allowBlank="1" showInputMessage="1" showErrorMessage="1" xr:uid="{B1690C3C-8E82-4513-A687-698A53C70692}">
          <x14:formula1>
            <xm:f>LOOKUP!$E$2:$E$9</xm:f>
          </x14:formula1>
          <xm:sqref>H6:H167</xm:sqref>
        </x14:dataValidation>
        <x14:dataValidation type="list" allowBlank="1" showInputMessage="1" showErrorMessage="1" xr:uid="{E8FE8A85-817D-4415-B056-FF4C6634145B}">
          <x14:formula1>
            <xm:f>LOOKUP!$F$2:$F$9</xm:f>
          </x14:formula1>
          <xm:sqref>I109:I167</xm:sqref>
        </x14:dataValidation>
        <x14:dataValidation type="list" allowBlank="1" showInputMessage="1" showErrorMessage="1" xr:uid="{6DCE066B-D7C2-4958-8E35-C9062DAC86C9}">
          <x14:formula1>
            <xm:f>LOOKUP!$D$2:$D$30</xm:f>
          </x14:formula1>
          <xm:sqref>G108:G1048576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38e5d75-77cd-49a0-8b1e-d50ff52035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26168F9539004F91DA9886F91D9CA9" ma:contentTypeVersion="13" ma:contentTypeDescription="Create a new document." ma:contentTypeScope="" ma:versionID="73e7d0e24a70ef4e88819bb83715df01">
  <xsd:schema xmlns:xsd="http://www.w3.org/2001/XMLSchema" xmlns:xs="http://www.w3.org/2001/XMLSchema" xmlns:p="http://schemas.microsoft.com/office/2006/metadata/properties" xmlns:ns3="e38e5d75-77cd-49a0-8b1e-d50ff52035ae" xmlns:ns4="416d39de-adde-45bc-a0c1-7de6ada62140" targetNamespace="http://schemas.microsoft.com/office/2006/metadata/properties" ma:root="true" ma:fieldsID="77390c1c087a1ef821c8ea0207820251" ns3:_="" ns4:_="">
    <xsd:import namespace="e38e5d75-77cd-49a0-8b1e-d50ff52035ae"/>
    <xsd:import namespace="416d39de-adde-45bc-a0c1-7de6ada6214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8e5d75-77cd-49a0-8b1e-d50ff52035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d39de-adde-45bc-a0c1-7de6ada6214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9B04C9-284C-4A10-97AD-4EB1950E4D7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416d39de-adde-45bc-a0c1-7de6ada62140"/>
    <ds:schemaRef ds:uri="http://schemas.microsoft.com/office/2006/documentManagement/types"/>
    <ds:schemaRef ds:uri="http://schemas.openxmlformats.org/package/2006/metadata/core-properties"/>
    <ds:schemaRef ds:uri="e38e5d75-77cd-49a0-8b1e-d50ff52035ae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03CDDFC-0798-44B0-B399-6C2D2BB81C48}">
  <ds:schemaRefs/>
</ds:datastoreItem>
</file>

<file path=customXml/itemProps3.xml><?xml version="1.0" encoding="utf-8"?>
<ds:datastoreItem xmlns:ds="http://schemas.openxmlformats.org/officeDocument/2006/customXml" ds:itemID="{614F62E5-8884-4AD0-9C29-58C23C917BB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Sheet4</vt:lpstr>
      <vt:lpstr>LOOKUP</vt:lpstr>
      <vt:lpstr>JAN 26</vt:lpstr>
      <vt:lpstr>FEB 26</vt:lpstr>
      <vt:lpstr>MAR 26</vt:lpstr>
      <vt:lpstr>APR 26</vt:lpstr>
      <vt:lpstr>MAY 26</vt:lpstr>
      <vt:lpstr>JUNE 26</vt:lpstr>
      <vt:lpstr>JULY 26</vt:lpstr>
      <vt:lpstr>AUGUST 26</vt:lpstr>
    </vt:vector>
  </TitlesOfParts>
  <Company>Byrnecut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Chilando</dc:creator>
  <cp:lastModifiedBy>Anna Hango</cp:lastModifiedBy>
  <cp:lastPrinted>2024-08-08T03:44:00Z</cp:lastPrinted>
  <dcterms:created xsi:type="dcterms:W3CDTF">2023-01-04T16:11:00Z</dcterms:created>
  <dcterms:modified xsi:type="dcterms:W3CDTF">2026-09-03T02:54:13Z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0x0101001F26168F9539004F91DA9886F91D9CA9</vt:lpwstr>
  </property>
  <property fmtid="{D5CDD505-2E9C-101B-9397-08002B2CF9AE}" pid="3" name="ICV">
    <vt:lpwstr>92F8810138FB47DAA4DAA3434AEEB106_12</vt:lpwstr>
  </property>
  <property fmtid="{D5CDD505-2E9C-101B-9397-08002B2CF9AE}" pid="4" name="KSOProductBuildVer">
    <vt:lpwstr>1033-12.2.0.21931</vt:lpwstr>
  </property>
</Properties>
</file>