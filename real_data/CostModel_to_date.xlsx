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8_{09D11F98-D2DB-4519-A728-FBAD12F76D67}" xr6:coauthVersionLast="47" xr6:coauthVersionMax="47" xr10:uidLastSave="{00000000-0000-0000-0000-000000000000}"/>
  <bookViews>
    <workbookView xWindow="-108" yWindow="-108" windowWidth="23256" windowHeight="12456" xr2:uid="{00000000-000D-0000-FFFF-FFFF00000000}"/>
  </bookViews>
  <sheets>
    <sheet name="Cover" sheetId="1" r:id="rId1"/>
    <sheet name="Dashboard" sheetId="2" r:id="rId2"/>
    <sheet name="Equations" sheetId="3" r:id="rId3"/>
    <sheet name="Inputs" sheetId="4" r:id="rId4"/>
    <sheet name="Advance" sheetId="5" r:id="rId5"/>
    <sheet name="Consumption_PL" sheetId="6" r:id="rId6"/>
    <sheet name="Consumption_Issues" sheetId="7" r:id="rId7"/>
    <sheet name="Consumption_Compare" sheetId="8" r:id="rId8"/>
    <sheet name="A_Scaling" sheetId="9" r:id="rId9"/>
    <sheet name="B_Ground_Support" sheetId="10" r:id="rId10"/>
    <sheet name="C_Face_Drilling" sheetId="11" r:id="rId11"/>
    <sheet name="D_Cable_Bolting" sheetId="12" r:id="rId12"/>
    <sheet name="DRM" sheetId="13" r:id="rId13"/>
    <sheet name="Plan_vs_Actual" sheetId="14" r:id="rId14"/>
    <sheet name="Unit_Cost" sheetId="15" r:id="rId15"/>
    <sheet name="Portal_Analysis" sheetId="16" r:id="rId16"/>
    <sheet name="Pareto" sheetId="17" r:id="rId17"/>
    <sheet name="Triangulation" sheetId="18" r:id="rId18"/>
    <sheet name="May_Question" sheetId="19" r:id="rId19"/>
    <sheet name="Charts" sheetId="20" r:id="rId20"/>
    <sheet name="Daily_Log" sheetId="21" r:id="rId21"/>
    <sheet name="Daily_Tracker" sheetId="22" r:id="rId22"/>
    <sheet name="Anomalies" sheetId="23" r:id="rId23"/>
    <sheet name="Data_Quality" sheetId="24" r:id="rId24"/>
    <sheet name="How_to_Read"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7" i="22" l="1"/>
  <c r="G67" i="22"/>
  <c r="F67" i="22"/>
  <c r="E67" i="22"/>
  <c r="J67" i="22" s="1"/>
  <c r="C67" i="22"/>
  <c r="H66" i="22"/>
  <c r="G66" i="22"/>
  <c r="F66" i="22"/>
  <c r="E66" i="22"/>
  <c r="J66" i="22" s="1"/>
  <c r="C66" i="22"/>
  <c r="H65" i="22"/>
  <c r="G65" i="22"/>
  <c r="F65" i="22"/>
  <c r="E65" i="22"/>
  <c r="J65" i="22" s="1"/>
  <c r="C65" i="22"/>
  <c r="H64" i="22"/>
  <c r="G64" i="22"/>
  <c r="F64" i="22"/>
  <c r="E64" i="22"/>
  <c r="J64" i="22" s="1"/>
  <c r="C64" i="22"/>
  <c r="H63" i="22"/>
  <c r="G63" i="22"/>
  <c r="F63" i="22"/>
  <c r="E63" i="22"/>
  <c r="J63" i="22" s="1"/>
  <c r="C63" i="22"/>
  <c r="H62" i="22"/>
  <c r="G62" i="22"/>
  <c r="F62" i="22"/>
  <c r="E62" i="22"/>
  <c r="J62" i="22" s="1"/>
  <c r="C62" i="22"/>
  <c r="H61" i="22"/>
  <c r="G61" i="22"/>
  <c r="F61" i="22"/>
  <c r="E61" i="22"/>
  <c r="J61" i="22" s="1"/>
  <c r="C61" i="22"/>
  <c r="H60" i="22"/>
  <c r="G60" i="22"/>
  <c r="F60" i="22"/>
  <c r="E60" i="22"/>
  <c r="J60" i="22" s="1"/>
  <c r="C60" i="22"/>
  <c r="H59" i="22"/>
  <c r="G59" i="22"/>
  <c r="F59" i="22"/>
  <c r="E59" i="22"/>
  <c r="J59" i="22" s="1"/>
  <c r="C59" i="22"/>
  <c r="H58" i="22"/>
  <c r="G58" i="22"/>
  <c r="F58" i="22"/>
  <c r="E58" i="22"/>
  <c r="J58" i="22" s="1"/>
  <c r="C58" i="22"/>
  <c r="H57" i="22"/>
  <c r="G57" i="22"/>
  <c r="F57" i="22"/>
  <c r="E57" i="22"/>
  <c r="J57" i="22" s="1"/>
  <c r="C57" i="22"/>
  <c r="H56" i="22"/>
  <c r="G56" i="22"/>
  <c r="F56" i="22"/>
  <c r="E56" i="22"/>
  <c r="J56" i="22" s="1"/>
  <c r="C56" i="22"/>
  <c r="H55" i="22"/>
  <c r="G55" i="22"/>
  <c r="F55" i="22"/>
  <c r="E55" i="22"/>
  <c r="J55" i="22" s="1"/>
  <c r="C55" i="22"/>
  <c r="H54" i="22"/>
  <c r="G54" i="22"/>
  <c r="F54" i="22"/>
  <c r="E54" i="22"/>
  <c r="J54" i="22" s="1"/>
  <c r="C54" i="22"/>
  <c r="H53" i="22"/>
  <c r="G53" i="22"/>
  <c r="F53" i="22"/>
  <c r="E53" i="22"/>
  <c r="J53" i="22" s="1"/>
  <c r="C53" i="22"/>
  <c r="H52" i="22"/>
  <c r="G52" i="22"/>
  <c r="F52" i="22"/>
  <c r="E52" i="22"/>
  <c r="J52" i="22" s="1"/>
  <c r="C52" i="22"/>
  <c r="H51" i="22"/>
  <c r="G51" i="22"/>
  <c r="F51" i="22"/>
  <c r="E51" i="22"/>
  <c r="J51" i="22" s="1"/>
  <c r="C51" i="22"/>
  <c r="H50" i="22"/>
  <c r="G50" i="22"/>
  <c r="F50" i="22"/>
  <c r="E50" i="22"/>
  <c r="J50" i="22" s="1"/>
  <c r="C50" i="22"/>
  <c r="H49" i="22"/>
  <c r="G49" i="22"/>
  <c r="F49" i="22"/>
  <c r="E49" i="22"/>
  <c r="J49" i="22" s="1"/>
  <c r="C49" i="22"/>
  <c r="H48" i="22"/>
  <c r="G48" i="22"/>
  <c r="F48" i="22"/>
  <c r="E48" i="22"/>
  <c r="J48" i="22" s="1"/>
  <c r="C48" i="22"/>
  <c r="H47" i="22"/>
  <c r="G47" i="22"/>
  <c r="F47" i="22"/>
  <c r="E47" i="22"/>
  <c r="J47" i="22" s="1"/>
  <c r="C47" i="22"/>
  <c r="H46" i="22"/>
  <c r="G46" i="22"/>
  <c r="F46" i="22"/>
  <c r="E46" i="22"/>
  <c r="J46" i="22" s="1"/>
  <c r="C46" i="22"/>
  <c r="H45" i="22"/>
  <c r="G45" i="22"/>
  <c r="F45" i="22"/>
  <c r="E45" i="22"/>
  <c r="J45" i="22" s="1"/>
  <c r="C45" i="22"/>
  <c r="H44" i="22"/>
  <c r="G44" i="22"/>
  <c r="F44" i="22"/>
  <c r="E44" i="22"/>
  <c r="J44" i="22" s="1"/>
  <c r="C44" i="22"/>
  <c r="H43" i="22"/>
  <c r="G43" i="22"/>
  <c r="F43" i="22"/>
  <c r="E43" i="22"/>
  <c r="J43" i="22" s="1"/>
  <c r="C43" i="22"/>
  <c r="H42" i="22"/>
  <c r="G42" i="22"/>
  <c r="F42" i="22"/>
  <c r="E42" i="22"/>
  <c r="J42" i="22" s="1"/>
  <c r="C42" i="22"/>
  <c r="H41" i="22"/>
  <c r="G41" i="22"/>
  <c r="F41" i="22"/>
  <c r="E41" i="22"/>
  <c r="J41" i="22" s="1"/>
  <c r="C41" i="22"/>
  <c r="H40" i="22"/>
  <c r="G40" i="22"/>
  <c r="F40" i="22"/>
  <c r="E40" i="22"/>
  <c r="J40" i="22" s="1"/>
  <c r="C40" i="22"/>
  <c r="H39" i="22"/>
  <c r="G39" i="22"/>
  <c r="F39" i="22"/>
  <c r="E39" i="22"/>
  <c r="J39" i="22" s="1"/>
  <c r="C39" i="22"/>
  <c r="H38" i="22"/>
  <c r="G38" i="22"/>
  <c r="F38" i="22"/>
  <c r="E38" i="22"/>
  <c r="J38" i="22" s="1"/>
  <c r="C38" i="22"/>
  <c r="H37" i="22"/>
  <c r="G37" i="22"/>
  <c r="F37" i="22"/>
  <c r="E37" i="22"/>
  <c r="J37" i="22" s="1"/>
  <c r="C37" i="22"/>
  <c r="H36" i="22"/>
  <c r="G36" i="22"/>
  <c r="F36" i="22"/>
  <c r="E36" i="22"/>
  <c r="J36" i="22" s="1"/>
  <c r="C36" i="22"/>
  <c r="H35" i="22"/>
  <c r="G35" i="22"/>
  <c r="F35" i="22"/>
  <c r="E35" i="22"/>
  <c r="J35" i="22" s="1"/>
  <c r="C35" i="22"/>
  <c r="H34" i="22"/>
  <c r="G34" i="22"/>
  <c r="F34" i="22"/>
  <c r="E34" i="22"/>
  <c r="J34" i="22" s="1"/>
  <c r="C34" i="22"/>
  <c r="H33" i="22"/>
  <c r="G33" i="22"/>
  <c r="F33" i="22"/>
  <c r="E33" i="22"/>
  <c r="J33" i="22" s="1"/>
  <c r="C33" i="22"/>
  <c r="H32" i="22"/>
  <c r="G32" i="22"/>
  <c r="F32" i="22"/>
  <c r="E32" i="22"/>
  <c r="J32" i="22" s="1"/>
  <c r="C32" i="22"/>
  <c r="H31" i="22"/>
  <c r="G31" i="22"/>
  <c r="F31" i="22"/>
  <c r="E31" i="22"/>
  <c r="J31" i="22" s="1"/>
  <c r="C31" i="22"/>
  <c r="H30" i="22"/>
  <c r="G30" i="22"/>
  <c r="F30" i="22"/>
  <c r="E30" i="22"/>
  <c r="J30" i="22" s="1"/>
  <c r="C30" i="22"/>
  <c r="H29" i="22"/>
  <c r="G29" i="22"/>
  <c r="F29" i="22"/>
  <c r="E29" i="22"/>
  <c r="J29" i="22" s="1"/>
  <c r="C29" i="22"/>
  <c r="H28" i="22"/>
  <c r="G28" i="22"/>
  <c r="F28" i="22"/>
  <c r="E28" i="22"/>
  <c r="J28" i="22" s="1"/>
  <c r="C28" i="22"/>
  <c r="E21" i="22"/>
  <c r="E20" i="22"/>
  <c r="E19" i="22"/>
  <c r="E18" i="22"/>
  <c r="E17" i="22"/>
  <c r="E16" i="22"/>
  <c r="H10" i="22"/>
  <c r="G10" i="22"/>
  <c r="H9" i="22"/>
  <c r="G9" i="22"/>
  <c r="H8" i="22"/>
  <c r="G8" i="22"/>
  <c r="E29" i="19"/>
  <c r="E45" i="18"/>
  <c r="F40" i="18"/>
  <c r="C61" i="18" s="1"/>
  <c r="L39" i="18"/>
  <c r="K39" i="18"/>
  <c r="G39" i="18"/>
  <c r="E39" i="18"/>
  <c r="G38" i="18"/>
  <c r="E38" i="18"/>
  <c r="G37" i="18"/>
  <c r="E37" i="18"/>
  <c r="G36" i="18"/>
  <c r="E36" i="18"/>
  <c r="L35" i="18"/>
  <c r="K35" i="18"/>
  <c r="G35" i="18"/>
  <c r="E35" i="18"/>
  <c r="G34" i="18"/>
  <c r="E34" i="18"/>
  <c r="G33" i="18"/>
  <c r="E33" i="18"/>
  <c r="G32" i="18"/>
  <c r="E32" i="18"/>
  <c r="L31" i="18"/>
  <c r="K31" i="18"/>
  <c r="G31" i="18"/>
  <c r="E31" i="18"/>
  <c r="K30" i="18"/>
  <c r="G30" i="18"/>
  <c r="E30" i="18"/>
  <c r="G29" i="18"/>
  <c r="E29" i="18"/>
  <c r="G28" i="18"/>
  <c r="E28" i="18"/>
  <c r="L27" i="18"/>
  <c r="K27" i="18"/>
  <c r="G27" i="18"/>
  <c r="E27" i="18"/>
  <c r="G26" i="18"/>
  <c r="E26" i="18"/>
  <c r="G25" i="18"/>
  <c r="E25" i="18"/>
  <c r="G24" i="18"/>
  <c r="E24" i="18"/>
  <c r="L23" i="18"/>
  <c r="K23" i="18"/>
  <c r="G23" i="18"/>
  <c r="E23" i="18"/>
  <c r="G22" i="18"/>
  <c r="E22" i="18"/>
  <c r="G21" i="18"/>
  <c r="E21" i="18"/>
  <c r="G20" i="18"/>
  <c r="E20" i="18"/>
  <c r="L19" i="18"/>
  <c r="K19" i="18"/>
  <c r="G19" i="18"/>
  <c r="E19" i="18"/>
  <c r="G18" i="18"/>
  <c r="E18" i="18"/>
  <c r="G17" i="18"/>
  <c r="E17" i="18"/>
  <c r="G16" i="18"/>
  <c r="G40" i="18" s="1"/>
  <c r="C62" i="18" s="1"/>
  <c r="E16" i="18"/>
  <c r="K7" i="17"/>
  <c r="H32" i="16"/>
  <c r="G32" i="16"/>
  <c r="F32" i="16"/>
  <c r="E32" i="16"/>
  <c r="I32" i="16" s="1"/>
  <c r="H31" i="16"/>
  <c r="G31" i="16"/>
  <c r="F31" i="16"/>
  <c r="E31" i="16"/>
  <c r="I31" i="16" s="1"/>
  <c r="H30" i="16"/>
  <c r="G30" i="16"/>
  <c r="F30" i="16"/>
  <c r="E30" i="16"/>
  <c r="I30" i="16" s="1"/>
  <c r="H29" i="16"/>
  <c r="G29" i="16"/>
  <c r="F29" i="16"/>
  <c r="E29" i="16"/>
  <c r="I29" i="16" s="1"/>
  <c r="H28" i="16"/>
  <c r="G28" i="16"/>
  <c r="F28" i="16"/>
  <c r="E28" i="16"/>
  <c r="I28" i="16" s="1"/>
  <c r="H27" i="16"/>
  <c r="G27" i="16"/>
  <c r="F27" i="16"/>
  <c r="E27" i="16"/>
  <c r="I27" i="16" s="1"/>
  <c r="H26" i="16"/>
  <c r="G26" i="16"/>
  <c r="F26" i="16"/>
  <c r="E26" i="16"/>
  <c r="I26" i="16" s="1"/>
  <c r="H25" i="16"/>
  <c r="G25" i="16"/>
  <c r="F25" i="16"/>
  <c r="E25" i="16"/>
  <c r="I25" i="16" s="1"/>
  <c r="H24" i="16"/>
  <c r="G24" i="16"/>
  <c r="F24" i="16"/>
  <c r="E24" i="16"/>
  <c r="I24" i="16" s="1"/>
  <c r="H23" i="16"/>
  <c r="G23" i="16"/>
  <c r="F23" i="16"/>
  <c r="E23" i="16"/>
  <c r="I23" i="16" s="1"/>
  <c r="H22" i="16"/>
  <c r="G22" i="16"/>
  <c r="F22" i="16"/>
  <c r="E22" i="16"/>
  <c r="I22" i="16" s="1"/>
  <c r="H21" i="16"/>
  <c r="C340" i="20" s="1"/>
  <c r="G21" i="16"/>
  <c r="F21" i="16"/>
  <c r="E21" i="16"/>
  <c r="I21" i="16" s="1"/>
  <c r="H20" i="16"/>
  <c r="C339" i="20" s="1"/>
  <c r="G20" i="16"/>
  <c r="F20" i="16"/>
  <c r="E20" i="16"/>
  <c r="I20" i="16" s="1"/>
  <c r="H19" i="16"/>
  <c r="C337" i="20" s="1"/>
  <c r="G19" i="16"/>
  <c r="F19" i="16"/>
  <c r="E19" i="16"/>
  <c r="I19" i="16" s="1"/>
  <c r="H18" i="16"/>
  <c r="G18" i="16"/>
  <c r="F39" i="16" s="1"/>
  <c r="F18" i="16"/>
  <c r="F38" i="16" s="1"/>
  <c r="E18" i="16"/>
  <c r="H17" i="16"/>
  <c r="G17" i="16"/>
  <c r="F17" i="16"/>
  <c r="E17" i="16"/>
  <c r="I17" i="16" s="1"/>
  <c r="H16" i="16"/>
  <c r="G16" i="16"/>
  <c r="F16" i="16"/>
  <c r="E16" i="16"/>
  <c r="I16" i="16" s="1"/>
  <c r="H15" i="16"/>
  <c r="G15" i="16"/>
  <c r="F15" i="16"/>
  <c r="E15" i="16"/>
  <c r="I15" i="16" s="1"/>
  <c r="H14" i="16"/>
  <c r="G14" i="16"/>
  <c r="F14" i="16"/>
  <c r="E14" i="16"/>
  <c r="I14" i="16" s="1"/>
  <c r="H13" i="16"/>
  <c r="G13" i="16"/>
  <c r="F13" i="16"/>
  <c r="E13" i="16"/>
  <c r="I13" i="16" s="1"/>
  <c r="H12" i="16"/>
  <c r="G12" i="16"/>
  <c r="F12" i="16"/>
  <c r="E12" i="16"/>
  <c r="I12" i="16" s="1"/>
  <c r="H11" i="16"/>
  <c r="C341" i="20" s="1"/>
  <c r="G11" i="16"/>
  <c r="F11" i="16"/>
  <c r="E11" i="16"/>
  <c r="I11" i="16" s="1"/>
  <c r="H10" i="16"/>
  <c r="C338" i="20" s="1"/>
  <c r="G10" i="16"/>
  <c r="F10" i="16"/>
  <c r="E10" i="16"/>
  <c r="I10" i="16" s="1"/>
  <c r="H9" i="16"/>
  <c r="C336" i="20" s="1"/>
  <c r="G9" i="16"/>
  <c r="F9" i="16"/>
  <c r="E9" i="16"/>
  <c r="I9" i="16" s="1"/>
  <c r="H8" i="16"/>
  <c r="G8" i="16"/>
  <c r="F8" i="16"/>
  <c r="E8" i="16"/>
  <c r="C45" i="15"/>
  <c r="C44" i="15"/>
  <c r="C43" i="15"/>
  <c r="H25" i="15"/>
  <c r="F25" i="15"/>
  <c r="H23" i="15"/>
  <c r="G23" i="15"/>
  <c r="F23" i="15"/>
  <c r="E23" i="15"/>
  <c r="I23" i="15" s="1"/>
  <c r="H22" i="15"/>
  <c r="G22" i="15"/>
  <c r="F22" i="15"/>
  <c r="E22" i="15"/>
  <c r="I22" i="15" s="1"/>
  <c r="H21" i="15"/>
  <c r="G21" i="15"/>
  <c r="F21" i="15"/>
  <c r="E21" i="15"/>
  <c r="I21" i="15" s="1"/>
  <c r="H20" i="15"/>
  <c r="G20" i="15"/>
  <c r="F20" i="15"/>
  <c r="E20" i="15"/>
  <c r="I20" i="15" s="1"/>
  <c r="H19" i="15"/>
  <c r="H24" i="15" s="1"/>
  <c r="G19" i="15"/>
  <c r="G24" i="15" s="1"/>
  <c r="F19" i="15"/>
  <c r="F24" i="15" s="1"/>
  <c r="E19" i="15"/>
  <c r="H14" i="15"/>
  <c r="F14" i="15"/>
  <c r="E14" i="15"/>
  <c r="H12" i="15"/>
  <c r="G12" i="15"/>
  <c r="F12" i="15"/>
  <c r="E12" i="15"/>
  <c r="I12" i="15" s="1"/>
  <c r="I11" i="15"/>
  <c r="I10" i="15"/>
  <c r="H8" i="15"/>
  <c r="G8" i="15"/>
  <c r="F8" i="15"/>
  <c r="E8" i="15"/>
  <c r="H26" i="14"/>
  <c r="F26" i="14"/>
  <c r="E26" i="14"/>
  <c r="H25" i="14"/>
  <c r="F25" i="14"/>
  <c r="E25" i="14"/>
  <c r="H24" i="14"/>
  <c r="F24" i="14"/>
  <c r="E24" i="14"/>
  <c r="H23" i="14"/>
  <c r="F23" i="14"/>
  <c r="E23" i="14"/>
  <c r="H10" i="14"/>
  <c r="C267" i="20" s="1"/>
  <c r="G10" i="14"/>
  <c r="F10" i="14"/>
  <c r="E10" i="14"/>
  <c r="I10" i="14" s="1"/>
  <c r="H9" i="14"/>
  <c r="C266" i="20" s="1"/>
  <c r="G9" i="14"/>
  <c r="F9" i="14"/>
  <c r="E9" i="14"/>
  <c r="I9" i="14" s="1"/>
  <c r="H8" i="14"/>
  <c r="G8" i="14"/>
  <c r="G11" i="14" s="1"/>
  <c r="F8" i="14"/>
  <c r="F11" i="14" s="1"/>
  <c r="E8" i="14"/>
  <c r="H37" i="13"/>
  <c r="H20" i="13"/>
  <c r="G20" i="13"/>
  <c r="F20" i="13"/>
  <c r="E20" i="13"/>
  <c r="I19" i="13"/>
  <c r="I18" i="13"/>
  <c r="I17" i="13"/>
  <c r="I20" i="13" s="1"/>
  <c r="O10" i="12"/>
  <c r="N10" i="12"/>
  <c r="J10" i="12"/>
  <c r="I10" i="12"/>
  <c r="H10" i="12"/>
  <c r="G10" i="12"/>
  <c r="K10" i="12" s="1"/>
  <c r="O9" i="12"/>
  <c r="N9" i="12"/>
  <c r="J9" i="12"/>
  <c r="I9" i="12"/>
  <c r="H9" i="12"/>
  <c r="G9" i="12"/>
  <c r="K9" i="12" s="1"/>
  <c r="J8" i="12"/>
  <c r="H12" i="13" s="1"/>
  <c r="I8" i="12"/>
  <c r="G12" i="13" s="1"/>
  <c r="H8" i="12"/>
  <c r="F12" i="13" s="1"/>
  <c r="G8" i="12"/>
  <c r="E8" i="12"/>
  <c r="J45" i="11"/>
  <c r="I45" i="11"/>
  <c r="H45" i="11"/>
  <c r="G45" i="11"/>
  <c r="K45" i="11" s="1"/>
  <c r="E45" i="11"/>
  <c r="J44" i="11"/>
  <c r="I44" i="11"/>
  <c r="H44" i="11"/>
  <c r="G44" i="11"/>
  <c r="K44" i="11" s="1"/>
  <c r="E44" i="11"/>
  <c r="J43" i="11"/>
  <c r="I43" i="11"/>
  <c r="H43" i="11"/>
  <c r="G43" i="11"/>
  <c r="K43" i="11" s="1"/>
  <c r="E43" i="11"/>
  <c r="J42" i="11"/>
  <c r="I42" i="11"/>
  <c r="H42" i="11"/>
  <c r="G42" i="11"/>
  <c r="K42" i="11" s="1"/>
  <c r="E42" i="11"/>
  <c r="J41" i="11"/>
  <c r="I41" i="11"/>
  <c r="H41" i="11"/>
  <c r="G41" i="11"/>
  <c r="K41" i="11" s="1"/>
  <c r="E41" i="11"/>
  <c r="J40" i="11"/>
  <c r="I40" i="11"/>
  <c r="H40" i="11"/>
  <c r="G40" i="11"/>
  <c r="K40" i="11" s="1"/>
  <c r="E40" i="11"/>
  <c r="J39" i="11"/>
  <c r="I39" i="11"/>
  <c r="H39" i="11"/>
  <c r="G39" i="11"/>
  <c r="K39" i="11" s="1"/>
  <c r="E39" i="11"/>
  <c r="J38" i="11"/>
  <c r="I38" i="11"/>
  <c r="H38" i="11"/>
  <c r="G38" i="11"/>
  <c r="K38" i="11" s="1"/>
  <c r="E38" i="11"/>
  <c r="J34" i="11"/>
  <c r="I34" i="11"/>
  <c r="H34" i="11"/>
  <c r="G34" i="11"/>
  <c r="K34" i="11" s="1"/>
  <c r="E34" i="11"/>
  <c r="J33" i="11"/>
  <c r="I33" i="11"/>
  <c r="H33" i="11"/>
  <c r="G33" i="11"/>
  <c r="K33" i="11" s="1"/>
  <c r="E33" i="11"/>
  <c r="J32" i="11"/>
  <c r="I32" i="11"/>
  <c r="H32" i="11"/>
  <c r="G32" i="11"/>
  <c r="K32" i="11" s="1"/>
  <c r="E32" i="11"/>
  <c r="J31" i="11"/>
  <c r="I31" i="11"/>
  <c r="H31" i="11"/>
  <c r="G31" i="11"/>
  <c r="K31" i="11" s="1"/>
  <c r="E31" i="11"/>
  <c r="J30" i="11"/>
  <c r="I30" i="11"/>
  <c r="H30" i="11"/>
  <c r="G30" i="11"/>
  <c r="K30" i="11" s="1"/>
  <c r="E30" i="11"/>
  <c r="J29" i="11"/>
  <c r="I29" i="11"/>
  <c r="H29" i="11"/>
  <c r="G29" i="11"/>
  <c r="K29" i="11" s="1"/>
  <c r="K35" i="11" s="1"/>
  <c r="E29" i="11"/>
  <c r="J25" i="11"/>
  <c r="I25" i="11"/>
  <c r="H25" i="11"/>
  <c r="G25" i="11"/>
  <c r="K25" i="11" s="1"/>
  <c r="E25" i="11"/>
  <c r="J24" i="11"/>
  <c r="I24" i="11"/>
  <c r="H24" i="11"/>
  <c r="G24" i="11"/>
  <c r="K24" i="11" s="1"/>
  <c r="E24" i="11"/>
  <c r="J23" i="11"/>
  <c r="I23" i="11"/>
  <c r="H23" i="11"/>
  <c r="G23" i="11"/>
  <c r="K23" i="11" s="1"/>
  <c r="E23" i="11"/>
  <c r="J22" i="11"/>
  <c r="I22" i="11"/>
  <c r="H22" i="11"/>
  <c r="G22" i="11"/>
  <c r="K22" i="11" s="1"/>
  <c r="E22" i="11"/>
  <c r="J21" i="11"/>
  <c r="I21" i="11"/>
  <c r="H21" i="11"/>
  <c r="G21" i="11"/>
  <c r="K21" i="11" s="1"/>
  <c r="E35" i="13" s="1"/>
  <c r="F35" i="13" s="1"/>
  <c r="E21" i="11"/>
  <c r="J20" i="11"/>
  <c r="I20" i="11"/>
  <c r="H20" i="11"/>
  <c r="G20" i="11"/>
  <c r="K20" i="11" s="1"/>
  <c r="E20" i="11"/>
  <c r="J19" i="11"/>
  <c r="I19" i="11"/>
  <c r="H19" i="11"/>
  <c r="G19" i="11"/>
  <c r="K19" i="11" s="1"/>
  <c r="E19" i="11"/>
  <c r="J15" i="11"/>
  <c r="I15" i="11"/>
  <c r="H15" i="11"/>
  <c r="G15" i="11"/>
  <c r="K15" i="11" s="1"/>
  <c r="E15" i="11"/>
  <c r="J14" i="11"/>
  <c r="I14" i="11"/>
  <c r="H14" i="11"/>
  <c r="G14" i="11"/>
  <c r="K14" i="11" s="1"/>
  <c r="E14" i="11"/>
  <c r="J13" i="11"/>
  <c r="I13" i="11"/>
  <c r="H13" i="11"/>
  <c r="G13" i="11"/>
  <c r="K13" i="11" s="1"/>
  <c r="K16" i="11" s="1"/>
  <c r="E13" i="11"/>
  <c r="J9" i="11"/>
  <c r="I9" i="11"/>
  <c r="H9" i="11"/>
  <c r="G9" i="11"/>
  <c r="K9" i="11" s="1"/>
  <c r="E9" i="11"/>
  <c r="J8" i="11"/>
  <c r="I8" i="11"/>
  <c r="H8" i="11"/>
  <c r="G8" i="11"/>
  <c r="K8" i="11" s="1"/>
  <c r="K10" i="11" s="1"/>
  <c r="E8" i="11"/>
  <c r="J21" i="10"/>
  <c r="H16" i="19" s="1"/>
  <c r="H20" i="19" s="1"/>
  <c r="I21" i="10"/>
  <c r="G16" i="19" s="1"/>
  <c r="G20" i="19" s="1"/>
  <c r="H21" i="10"/>
  <c r="F16" i="19" s="1"/>
  <c r="F20" i="19" s="1"/>
  <c r="G21" i="10"/>
  <c r="O17" i="10"/>
  <c r="N17" i="10"/>
  <c r="J17" i="10"/>
  <c r="I17" i="10"/>
  <c r="H17" i="10"/>
  <c r="G17" i="10"/>
  <c r="K17" i="10" s="1"/>
  <c r="O16" i="10"/>
  <c r="N16" i="10"/>
  <c r="J16" i="10"/>
  <c r="I16" i="10"/>
  <c r="H16" i="10"/>
  <c r="G16" i="10"/>
  <c r="K16" i="10" s="1"/>
  <c r="O15" i="10"/>
  <c r="O18" i="10" s="1"/>
  <c r="N15" i="10"/>
  <c r="N18" i="10" s="1"/>
  <c r="J15" i="10"/>
  <c r="I15" i="10"/>
  <c r="H15" i="10"/>
  <c r="G15" i="10"/>
  <c r="K15" i="10" s="1"/>
  <c r="K18" i="10" s="1"/>
  <c r="J11" i="10"/>
  <c r="H8" i="13" s="1"/>
  <c r="I11" i="10"/>
  <c r="G8" i="13" s="1"/>
  <c r="H11" i="10"/>
  <c r="F8" i="13" s="1"/>
  <c r="G11" i="10"/>
  <c r="E11" i="10"/>
  <c r="J10" i="10"/>
  <c r="H9" i="13" s="1"/>
  <c r="I10" i="10"/>
  <c r="G9" i="13" s="1"/>
  <c r="H10" i="10"/>
  <c r="F9" i="13" s="1"/>
  <c r="G10" i="10"/>
  <c r="E10" i="10"/>
  <c r="J9" i="10"/>
  <c r="H10" i="13" s="1"/>
  <c r="I9" i="10"/>
  <c r="G10" i="13" s="1"/>
  <c r="H9" i="10"/>
  <c r="F10" i="13" s="1"/>
  <c r="G9" i="10"/>
  <c r="E9" i="10"/>
  <c r="J8" i="10"/>
  <c r="H11" i="13" s="1"/>
  <c r="I8" i="10"/>
  <c r="G11" i="13" s="1"/>
  <c r="H8" i="10"/>
  <c r="F11" i="13" s="1"/>
  <c r="G8" i="10"/>
  <c r="E8" i="10"/>
  <c r="O11" i="9"/>
  <c r="N11" i="9"/>
  <c r="J11" i="9"/>
  <c r="I11" i="9"/>
  <c r="H11" i="9"/>
  <c r="G11" i="9"/>
  <c r="K11" i="9" s="1"/>
  <c r="O10" i="9"/>
  <c r="N10" i="9"/>
  <c r="J10" i="9"/>
  <c r="I10" i="9"/>
  <c r="H10" i="9"/>
  <c r="G10" i="9"/>
  <c r="K10" i="9" s="1"/>
  <c r="O9" i="9"/>
  <c r="N9" i="9"/>
  <c r="J9" i="9"/>
  <c r="I9" i="9"/>
  <c r="H9" i="9"/>
  <c r="G9" i="9"/>
  <c r="K9" i="9" s="1"/>
  <c r="O8" i="9"/>
  <c r="O12" i="9" s="1"/>
  <c r="O14" i="9" s="1"/>
  <c r="N8" i="9"/>
  <c r="N12" i="9" s="1"/>
  <c r="N14" i="9" s="1"/>
  <c r="J8" i="9"/>
  <c r="I8" i="9"/>
  <c r="H8" i="9"/>
  <c r="G8" i="9"/>
  <c r="K8" i="9" s="1"/>
  <c r="K12" i="9" s="1"/>
  <c r="G171" i="8"/>
  <c r="H171" i="8" s="1"/>
  <c r="F171" i="8"/>
  <c r="G170" i="8"/>
  <c r="H170" i="8" s="1"/>
  <c r="F170" i="8"/>
  <c r="G169" i="8"/>
  <c r="H169" i="8" s="1"/>
  <c r="F169" i="8"/>
  <c r="G168" i="8"/>
  <c r="H168" i="8" s="1"/>
  <c r="F168" i="8"/>
  <c r="G167" i="8"/>
  <c r="H167" i="8" s="1"/>
  <c r="F167" i="8"/>
  <c r="G166" i="8"/>
  <c r="H166" i="8" s="1"/>
  <c r="F166" i="8"/>
  <c r="G165" i="8"/>
  <c r="H165" i="8" s="1"/>
  <c r="F165" i="8"/>
  <c r="G164" i="8"/>
  <c r="H164" i="8" s="1"/>
  <c r="F164" i="8"/>
  <c r="G163" i="8"/>
  <c r="H163" i="8" s="1"/>
  <c r="F163" i="8"/>
  <c r="G162" i="8"/>
  <c r="H162" i="8" s="1"/>
  <c r="F162" i="8"/>
  <c r="G161" i="8"/>
  <c r="H161" i="8" s="1"/>
  <c r="F161" i="8"/>
  <c r="G160" i="8"/>
  <c r="H160" i="8" s="1"/>
  <c r="F160" i="8"/>
  <c r="G159" i="8"/>
  <c r="H159" i="8" s="1"/>
  <c r="F159" i="8"/>
  <c r="G158" i="8"/>
  <c r="H158" i="8" s="1"/>
  <c r="F158" i="8"/>
  <c r="G157" i="8"/>
  <c r="H157" i="8" s="1"/>
  <c r="F157" i="8"/>
  <c r="G156" i="8"/>
  <c r="H156" i="8" s="1"/>
  <c r="F156" i="8"/>
  <c r="G155" i="8"/>
  <c r="H155" i="8" s="1"/>
  <c r="F155" i="8"/>
  <c r="G154" i="8"/>
  <c r="H154" i="8" s="1"/>
  <c r="F154" i="8"/>
  <c r="G153" i="8"/>
  <c r="H153" i="8" s="1"/>
  <c r="F153" i="8"/>
  <c r="G152" i="8"/>
  <c r="H152" i="8" s="1"/>
  <c r="F152" i="8"/>
  <c r="G151" i="8"/>
  <c r="H151" i="8" s="1"/>
  <c r="F151" i="8"/>
  <c r="G150" i="8"/>
  <c r="H150" i="8" s="1"/>
  <c r="F150" i="8"/>
  <c r="G149" i="8"/>
  <c r="H149" i="8" s="1"/>
  <c r="F149" i="8"/>
  <c r="G148" i="8"/>
  <c r="H148" i="8" s="1"/>
  <c r="F148" i="8"/>
  <c r="G147" i="8"/>
  <c r="H147" i="8" s="1"/>
  <c r="F147" i="8"/>
  <c r="G146" i="8"/>
  <c r="H146" i="8" s="1"/>
  <c r="G129" i="8"/>
  <c r="H129" i="8" s="1"/>
  <c r="G128" i="8"/>
  <c r="H128" i="8" s="1"/>
  <c r="G127" i="8"/>
  <c r="H127" i="8" s="1"/>
  <c r="G126" i="8"/>
  <c r="H126" i="8" s="1"/>
  <c r="G125" i="8"/>
  <c r="H125" i="8" s="1"/>
  <c r="G124" i="8"/>
  <c r="H124" i="8" s="1"/>
  <c r="G123" i="8"/>
  <c r="H123" i="8" s="1"/>
  <c r="G122" i="8"/>
  <c r="H122" i="8" s="1"/>
  <c r="G121" i="8"/>
  <c r="H121" i="8" s="1"/>
  <c r="G120" i="8"/>
  <c r="H120" i="8" s="1"/>
  <c r="G119" i="8"/>
  <c r="H119" i="8" s="1"/>
  <c r="G118" i="8"/>
  <c r="H118" i="8" s="1"/>
  <c r="G117" i="8"/>
  <c r="H117" i="8" s="1"/>
  <c r="G116" i="8"/>
  <c r="H116" i="8" s="1"/>
  <c r="G115" i="8"/>
  <c r="H115" i="8" s="1"/>
  <c r="G114" i="8"/>
  <c r="H114" i="8" s="1"/>
  <c r="G113" i="8"/>
  <c r="H113" i="8" s="1"/>
  <c r="G112" i="8"/>
  <c r="H112" i="8" s="1"/>
  <c r="G111" i="8"/>
  <c r="H111" i="8" s="1"/>
  <c r="G110" i="8"/>
  <c r="H110" i="8" s="1"/>
  <c r="G109" i="8"/>
  <c r="H109" i="8" s="1"/>
  <c r="G108" i="8"/>
  <c r="H108" i="8" s="1"/>
  <c r="G107" i="8"/>
  <c r="H107" i="8" s="1"/>
  <c r="G106" i="8"/>
  <c r="H106" i="8" s="1"/>
  <c r="G105" i="8"/>
  <c r="H105" i="8" s="1"/>
  <c r="G104" i="8"/>
  <c r="H104" i="8" s="1"/>
  <c r="G103" i="8"/>
  <c r="H103" i="8" s="1"/>
  <c r="G102" i="8"/>
  <c r="H102" i="8" s="1"/>
  <c r="G101" i="8"/>
  <c r="H101" i="8" s="1"/>
  <c r="G100" i="8"/>
  <c r="H100" i="8" s="1"/>
  <c r="G99" i="8"/>
  <c r="H99" i="8" s="1"/>
  <c r="G98" i="8"/>
  <c r="H98" i="8" s="1"/>
  <c r="G97" i="8"/>
  <c r="H97" i="8" s="1"/>
  <c r="G96" i="8"/>
  <c r="H96" i="8" s="1"/>
  <c r="G95" i="8"/>
  <c r="H95" i="8" s="1"/>
  <c r="F95" i="8"/>
  <c r="G94" i="8"/>
  <c r="H94" i="8" s="1"/>
  <c r="F94" i="8"/>
  <c r="G93" i="8"/>
  <c r="H93" i="8" s="1"/>
  <c r="F93" i="8"/>
  <c r="G92" i="8"/>
  <c r="F92" i="8"/>
  <c r="G87" i="8"/>
  <c r="H87" i="8" s="1"/>
  <c r="F87" i="8"/>
  <c r="G86" i="8"/>
  <c r="H86" i="8" s="1"/>
  <c r="F86" i="8"/>
  <c r="G85" i="8"/>
  <c r="H85" i="8" s="1"/>
  <c r="F85" i="8"/>
  <c r="G84" i="8"/>
  <c r="H84" i="8" s="1"/>
  <c r="F84" i="8"/>
  <c r="G83" i="8"/>
  <c r="H83" i="8" s="1"/>
  <c r="F83" i="8"/>
  <c r="G82" i="8"/>
  <c r="H82" i="8" s="1"/>
  <c r="F82" i="8"/>
  <c r="G81" i="8"/>
  <c r="H81" i="8" s="1"/>
  <c r="F81" i="8"/>
  <c r="G80" i="8"/>
  <c r="H80" i="8" s="1"/>
  <c r="F80" i="8"/>
  <c r="G79" i="8"/>
  <c r="F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J45" i="7"/>
  <c r="H45" i="7"/>
  <c r="G45" i="7"/>
  <c r="F45" i="7"/>
  <c r="I44" i="7"/>
  <c r="I43" i="7"/>
  <c r="I42" i="7"/>
  <c r="I41" i="7"/>
  <c r="I40" i="7"/>
  <c r="I39" i="7"/>
  <c r="I38" i="7"/>
  <c r="I37" i="7"/>
  <c r="I36" i="7"/>
  <c r="I35" i="7"/>
  <c r="I34" i="7"/>
  <c r="I33" i="7"/>
  <c r="I32" i="7"/>
  <c r="I31" i="7"/>
  <c r="I30" i="7"/>
  <c r="I29" i="7"/>
  <c r="I28" i="7"/>
  <c r="I27" i="7"/>
  <c r="I26" i="7"/>
  <c r="I25" i="7"/>
  <c r="I24" i="7"/>
  <c r="I23" i="7"/>
  <c r="I22" i="7"/>
  <c r="I21" i="7"/>
  <c r="I20" i="7"/>
  <c r="I19" i="7"/>
  <c r="I18" i="7"/>
  <c r="G145" i="8" s="1"/>
  <c r="I17" i="7"/>
  <c r="G144" i="8" s="1"/>
  <c r="I16" i="7"/>
  <c r="G143" i="8" s="1"/>
  <c r="I15" i="7"/>
  <c r="G142" i="8" s="1"/>
  <c r="I14" i="7"/>
  <c r="G141" i="8" s="1"/>
  <c r="I13" i="7"/>
  <c r="G140" i="8" s="1"/>
  <c r="I12" i="7"/>
  <c r="G139" i="8" s="1"/>
  <c r="I11" i="7"/>
  <c r="G138" i="8" s="1"/>
  <c r="I10" i="7"/>
  <c r="G137" i="8" s="1"/>
  <c r="I9" i="7"/>
  <c r="G136" i="8" s="1"/>
  <c r="I8" i="7"/>
  <c r="G135" i="8" s="1"/>
  <c r="I7" i="7"/>
  <c r="U45" i="6"/>
  <c r="Q45" i="6"/>
  <c r="F129" i="8" s="1"/>
  <c r="M45" i="6"/>
  <c r="I45" i="6"/>
  <c r="F45" i="8" s="1"/>
  <c r="U44" i="6"/>
  <c r="Q44" i="6"/>
  <c r="F128" i="8" s="1"/>
  <c r="M44" i="6"/>
  <c r="I44" i="6"/>
  <c r="F44" i="8" s="1"/>
  <c r="U43" i="6"/>
  <c r="Q43" i="6"/>
  <c r="F127" i="8" s="1"/>
  <c r="M43" i="6"/>
  <c r="I43" i="6"/>
  <c r="F43" i="8" s="1"/>
  <c r="U42" i="6"/>
  <c r="Q42" i="6"/>
  <c r="F126" i="8" s="1"/>
  <c r="M42" i="6"/>
  <c r="I42" i="6"/>
  <c r="F42" i="8" s="1"/>
  <c r="U41" i="6"/>
  <c r="Q41" i="6"/>
  <c r="F125" i="8" s="1"/>
  <c r="M41" i="6"/>
  <c r="I41" i="6"/>
  <c r="F41" i="8" s="1"/>
  <c r="U40" i="6"/>
  <c r="Q40" i="6"/>
  <c r="F124" i="8" s="1"/>
  <c r="M40" i="6"/>
  <c r="I40" i="6"/>
  <c r="F40" i="8" s="1"/>
  <c r="U39" i="6"/>
  <c r="Q39" i="6"/>
  <c r="F123" i="8" s="1"/>
  <c r="M39" i="6"/>
  <c r="I39" i="6"/>
  <c r="F39" i="8" s="1"/>
  <c r="U38" i="6"/>
  <c r="Q38" i="6"/>
  <c r="F122" i="8" s="1"/>
  <c r="M38" i="6"/>
  <c r="I38" i="6"/>
  <c r="F38" i="8" s="1"/>
  <c r="U37" i="6"/>
  <c r="Q37" i="6"/>
  <c r="F121" i="8" s="1"/>
  <c r="M37" i="6"/>
  <c r="I37" i="6"/>
  <c r="F37" i="8" s="1"/>
  <c r="U36" i="6"/>
  <c r="Q36" i="6"/>
  <c r="F120" i="8" s="1"/>
  <c r="M36" i="6"/>
  <c r="F78" i="8" s="1"/>
  <c r="I36" i="6"/>
  <c r="F36" i="8" s="1"/>
  <c r="U35" i="6"/>
  <c r="Q35" i="6"/>
  <c r="F119" i="8" s="1"/>
  <c r="M35" i="6"/>
  <c r="F77" i="8" s="1"/>
  <c r="I35" i="6"/>
  <c r="F35" i="8" s="1"/>
  <c r="U34" i="6"/>
  <c r="Q34" i="6"/>
  <c r="F118" i="8" s="1"/>
  <c r="M34" i="6"/>
  <c r="F76" i="8" s="1"/>
  <c r="I34" i="6"/>
  <c r="F34" i="8" s="1"/>
  <c r="U33" i="6"/>
  <c r="Q33" i="6"/>
  <c r="F117" i="8" s="1"/>
  <c r="M33" i="6"/>
  <c r="F75" i="8" s="1"/>
  <c r="I33" i="6"/>
  <c r="F33" i="8" s="1"/>
  <c r="U32" i="6"/>
  <c r="Q32" i="6"/>
  <c r="F116" i="8" s="1"/>
  <c r="M32" i="6"/>
  <c r="F74" i="8" s="1"/>
  <c r="I32" i="6"/>
  <c r="F32" i="8" s="1"/>
  <c r="U31" i="6"/>
  <c r="Q31" i="6"/>
  <c r="F115" i="8" s="1"/>
  <c r="M31" i="6"/>
  <c r="F73" i="8" s="1"/>
  <c r="I31" i="6"/>
  <c r="F31" i="8" s="1"/>
  <c r="U30" i="6"/>
  <c r="Q30" i="6"/>
  <c r="F114" i="8" s="1"/>
  <c r="M30" i="6"/>
  <c r="F72" i="8" s="1"/>
  <c r="I30" i="6"/>
  <c r="F30" i="8" s="1"/>
  <c r="U29" i="6"/>
  <c r="Q29" i="6"/>
  <c r="F113" i="8" s="1"/>
  <c r="M29" i="6"/>
  <c r="F71" i="8" s="1"/>
  <c r="I29" i="6"/>
  <c r="F29" i="8" s="1"/>
  <c r="U28" i="6"/>
  <c r="Q28" i="6"/>
  <c r="F112" i="8" s="1"/>
  <c r="M28" i="6"/>
  <c r="F70" i="8" s="1"/>
  <c r="I28" i="6"/>
  <c r="F28" i="8" s="1"/>
  <c r="U27" i="6"/>
  <c r="Q27" i="6"/>
  <c r="F111" i="8" s="1"/>
  <c r="M27" i="6"/>
  <c r="F69" i="8" s="1"/>
  <c r="I27" i="6"/>
  <c r="F27" i="8" s="1"/>
  <c r="U26" i="6"/>
  <c r="Q26" i="6"/>
  <c r="F110" i="8" s="1"/>
  <c r="M26" i="6"/>
  <c r="F68" i="8" s="1"/>
  <c r="I26" i="6"/>
  <c r="F26" i="8" s="1"/>
  <c r="U25" i="6"/>
  <c r="Q25" i="6"/>
  <c r="F109" i="8" s="1"/>
  <c r="M25" i="6"/>
  <c r="F67" i="8" s="1"/>
  <c r="I25" i="6"/>
  <c r="F25" i="8" s="1"/>
  <c r="U24" i="6"/>
  <c r="Q24" i="6"/>
  <c r="F108" i="8" s="1"/>
  <c r="M24" i="6"/>
  <c r="F66" i="8" s="1"/>
  <c r="I24" i="6"/>
  <c r="F24" i="8" s="1"/>
  <c r="U23" i="6"/>
  <c r="Q23" i="6"/>
  <c r="F107" i="8" s="1"/>
  <c r="M23" i="6"/>
  <c r="F65" i="8" s="1"/>
  <c r="I23" i="6"/>
  <c r="F23" i="8" s="1"/>
  <c r="U22" i="6"/>
  <c r="Q22" i="6"/>
  <c r="F106" i="8" s="1"/>
  <c r="M22" i="6"/>
  <c r="F64" i="8" s="1"/>
  <c r="I22" i="6"/>
  <c r="F22" i="8" s="1"/>
  <c r="U21" i="6"/>
  <c r="Q21" i="6"/>
  <c r="F105" i="8" s="1"/>
  <c r="M21" i="6"/>
  <c r="F63" i="8" s="1"/>
  <c r="I21" i="6"/>
  <c r="F21" i="8" s="1"/>
  <c r="U20" i="6"/>
  <c r="F146" i="8" s="1"/>
  <c r="Q20" i="6"/>
  <c r="F104" i="8" s="1"/>
  <c r="M20" i="6"/>
  <c r="F62" i="8" s="1"/>
  <c r="I20" i="6"/>
  <c r="F20" i="8" s="1"/>
  <c r="U19" i="6"/>
  <c r="F145" i="8" s="1"/>
  <c r="Q19" i="6"/>
  <c r="F103" i="8" s="1"/>
  <c r="M19" i="6"/>
  <c r="F61" i="8" s="1"/>
  <c r="I19" i="6"/>
  <c r="F19" i="8" s="1"/>
  <c r="U18" i="6"/>
  <c r="F144" i="8" s="1"/>
  <c r="Q18" i="6"/>
  <c r="F102" i="8" s="1"/>
  <c r="M18" i="6"/>
  <c r="F60" i="8" s="1"/>
  <c r="I18" i="6"/>
  <c r="F18" i="8" s="1"/>
  <c r="U17" i="6"/>
  <c r="F143" i="8" s="1"/>
  <c r="Q17" i="6"/>
  <c r="F101" i="8" s="1"/>
  <c r="M17" i="6"/>
  <c r="F59" i="8" s="1"/>
  <c r="I17" i="6"/>
  <c r="F17" i="8" s="1"/>
  <c r="U16" i="6"/>
  <c r="F142" i="8" s="1"/>
  <c r="Q16" i="6"/>
  <c r="F100" i="8" s="1"/>
  <c r="M16" i="6"/>
  <c r="F58" i="8" s="1"/>
  <c r="I16" i="6"/>
  <c r="F16" i="8" s="1"/>
  <c r="U15" i="6"/>
  <c r="F141" i="8" s="1"/>
  <c r="Q15" i="6"/>
  <c r="F99" i="8" s="1"/>
  <c r="M15" i="6"/>
  <c r="F57" i="8" s="1"/>
  <c r="I15" i="6"/>
  <c r="F15" i="8" s="1"/>
  <c r="U14" i="6"/>
  <c r="F140" i="8" s="1"/>
  <c r="Q14" i="6"/>
  <c r="F98" i="8" s="1"/>
  <c r="M14" i="6"/>
  <c r="F56" i="8" s="1"/>
  <c r="I14" i="6"/>
  <c r="F14" i="8" s="1"/>
  <c r="U13" i="6"/>
  <c r="F139" i="8" s="1"/>
  <c r="Q13" i="6"/>
  <c r="F97" i="8" s="1"/>
  <c r="M13" i="6"/>
  <c r="F55" i="8" s="1"/>
  <c r="I13" i="6"/>
  <c r="F13" i="8" s="1"/>
  <c r="U12" i="6"/>
  <c r="F138" i="8" s="1"/>
  <c r="Q12" i="6"/>
  <c r="F96" i="8" s="1"/>
  <c r="M12" i="6"/>
  <c r="F54" i="8" s="1"/>
  <c r="I12" i="6"/>
  <c r="F12" i="8" s="1"/>
  <c r="U11" i="6"/>
  <c r="F137" i="8" s="1"/>
  <c r="Q11" i="6"/>
  <c r="M11" i="6"/>
  <c r="F53" i="8" s="1"/>
  <c r="I11" i="6"/>
  <c r="F11" i="8" s="1"/>
  <c r="U10" i="6"/>
  <c r="F136" i="8" s="1"/>
  <c r="Q10" i="6"/>
  <c r="M10" i="6"/>
  <c r="F52" i="8" s="1"/>
  <c r="I10" i="6"/>
  <c r="F10" i="8" s="1"/>
  <c r="U9" i="6"/>
  <c r="F135" i="8" s="1"/>
  <c r="Q9" i="6"/>
  <c r="M9" i="6"/>
  <c r="F51" i="8" s="1"/>
  <c r="I9" i="6"/>
  <c r="F9" i="8" s="1"/>
  <c r="U8" i="6"/>
  <c r="F134" i="8" s="1"/>
  <c r="Q8" i="6"/>
  <c r="M8" i="6"/>
  <c r="F50" i="8" s="1"/>
  <c r="I8" i="6"/>
  <c r="F8" i="8" s="1"/>
  <c r="H53" i="5"/>
  <c r="G53" i="5"/>
  <c r="F53" i="5"/>
  <c r="E53" i="5"/>
  <c r="D37" i="4"/>
  <c r="D36" i="4"/>
  <c r="D35" i="4"/>
  <c r="D34" i="4"/>
  <c r="D28" i="4"/>
  <c r="D27" i="4"/>
  <c r="D26" i="4"/>
  <c r="D25" i="4"/>
  <c r="E17" i="4"/>
  <c r="F16" i="4"/>
  <c r="F15" i="4"/>
  <c r="F14" i="4"/>
  <c r="F13" i="4"/>
  <c r="F12" i="4"/>
  <c r="E36" i="2"/>
  <c r="E35" i="2"/>
  <c r="B30" i="2"/>
  <c r="B29" i="2"/>
  <c r="B28" i="2"/>
  <c r="B27" i="2"/>
  <c r="B26" i="2"/>
  <c r="E22" i="22" l="1"/>
  <c r="J22" i="22" s="1"/>
  <c r="E23" i="22"/>
  <c r="J23" i="22" s="1"/>
  <c r="N39" i="18"/>
  <c r="I39" i="18"/>
  <c r="I38" i="18"/>
  <c r="N38" i="18"/>
  <c r="L38" i="18"/>
  <c r="K38" i="18"/>
  <c r="L37" i="18"/>
  <c r="N37" i="18"/>
  <c r="I37" i="18"/>
  <c r="K37" i="18"/>
  <c r="L36" i="18"/>
  <c r="K36" i="18"/>
  <c r="N36" i="18"/>
  <c r="I36" i="18"/>
  <c r="I35" i="18"/>
  <c r="N35" i="18"/>
  <c r="I34" i="18"/>
  <c r="N34" i="18"/>
  <c r="L34" i="18"/>
  <c r="K34" i="18"/>
  <c r="N33" i="18"/>
  <c r="K33" i="18"/>
  <c r="I33" i="18"/>
  <c r="L33" i="18"/>
  <c r="K32" i="18"/>
  <c r="L32" i="18"/>
  <c r="N32" i="18"/>
  <c r="I32" i="18"/>
  <c r="N31" i="18"/>
  <c r="I31" i="18"/>
  <c r="N30" i="18"/>
  <c r="I30" i="18"/>
  <c r="L30" i="18"/>
  <c r="K29" i="18"/>
  <c r="I29" i="18"/>
  <c r="L29" i="18"/>
  <c r="N29" i="18"/>
  <c r="L28" i="18"/>
  <c r="I28" i="18"/>
  <c r="K28" i="18"/>
  <c r="N28" i="18"/>
  <c r="N27" i="18"/>
  <c r="I27" i="18"/>
  <c r="K26" i="18"/>
  <c r="I26" i="18"/>
  <c r="N26" i="18"/>
  <c r="L26" i="18"/>
  <c r="L25" i="18"/>
  <c r="I25" i="18"/>
  <c r="N25" i="18"/>
  <c r="K25" i="18"/>
  <c r="I24" i="18"/>
  <c r="N24" i="18"/>
  <c r="L24" i="18"/>
  <c r="K24" i="18"/>
  <c r="I23" i="18"/>
  <c r="N23" i="18"/>
  <c r="L22" i="18"/>
  <c r="I22" i="18"/>
  <c r="K22" i="18"/>
  <c r="N22" i="18"/>
  <c r="N21" i="18"/>
  <c r="I21" i="18"/>
  <c r="K21" i="18"/>
  <c r="L21" i="18"/>
  <c r="I20" i="18"/>
  <c r="K20" i="18"/>
  <c r="L20" i="18"/>
  <c r="N20" i="18"/>
  <c r="N19" i="18"/>
  <c r="I19" i="18"/>
  <c r="I18" i="18"/>
  <c r="L18" i="18"/>
  <c r="N18" i="18"/>
  <c r="K18" i="18"/>
  <c r="K17" i="18"/>
  <c r="I17" i="18"/>
  <c r="L17" i="18"/>
  <c r="N17" i="18"/>
  <c r="K16" i="18"/>
  <c r="L16" i="18"/>
  <c r="I16" i="18"/>
  <c r="E40" i="18"/>
  <c r="E44" i="18"/>
  <c r="E46" i="18"/>
  <c r="N16" i="18"/>
  <c r="C335" i="20"/>
  <c r="F40" i="16"/>
  <c r="F37" i="16"/>
  <c r="I18" i="16"/>
  <c r="K17" i="16"/>
  <c r="L17" i="16"/>
  <c r="K16" i="16"/>
  <c r="L16" i="16"/>
  <c r="K15" i="16"/>
  <c r="L15" i="16"/>
  <c r="K14" i="16"/>
  <c r="L14" i="16"/>
  <c r="K13" i="16"/>
  <c r="L13" i="16"/>
  <c r="K12" i="16"/>
  <c r="L12" i="16"/>
  <c r="L11" i="16"/>
  <c r="K11" i="16"/>
  <c r="K10" i="16"/>
  <c r="L10" i="16"/>
  <c r="L9" i="16"/>
  <c r="K9" i="16"/>
  <c r="C334" i="20"/>
  <c r="H33" i="16"/>
  <c r="E40" i="16"/>
  <c r="G33" i="16"/>
  <c r="E39" i="16"/>
  <c r="F33" i="16"/>
  <c r="E38" i="16"/>
  <c r="I8" i="16"/>
  <c r="L32" i="16" s="1"/>
  <c r="E37" i="16"/>
  <c r="E33" i="16"/>
  <c r="H10" i="2"/>
  <c r="J10" i="2"/>
  <c r="E58" i="16"/>
  <c r="F58" i="16"/>
  <c r="G58" i="16"/>
  <c r="G10" i="2"/>
  <c r="E57" i="16"/>
  <c r="F57" i="16"/>
  <c r="G57" i="16"/>
  <c r="F10" i="2"/>
  <c r="E56" i="16"/>
  <c r="F56" i="16"/>
  <c r="G56" i="16"/>
  <c r="E24" i="15"/>
  <c r="I19" i="15"/>
  <c r="I24" i="15" s="1"/>
  <c r="G56" i="15"/>
  <c r="E56" i="15"/>
  <c r="F55" i="15"/>
  <c r="E55" i="15"/>
  <c r="I8" i="15"/>
  <c r="F68" i="14"/>
  <c r="F69" i="14"/>
  <c r="F71" i="14"/>
  <c r="F67" i="14"/>
  <c r="F70" i="14"/>
  <c r="F72" i="14"/>
  <c r="C265" i="20"/>
  <c r="K72" i="14"/>
  <c r="E67" i="14"/>
  <c r="I67" i="14" s="1"/>
  <c r="E72" i="14"/>
  <c r="I72" i="14" s="1"/>
  <c r="K68" i="14"/>
  <c r="K71" i="14"/>
  <c r="K69" i="14"/>
  <c r="E69" i="14"/>
  <c r="I69" i="14" s="1"/>
  <c r="K67" i="14"/>
  <c r="E68" i="14"/>
  <c r="I68" i="14" s="1"/>
  <c r="K70" i="14"/>
  <c r="E71" i="14"/>
  <c r="I71" i="14" s="1"/>
  <c r="H11" i="14"/>
  <c r="E70" i="14"/>
  <c r="I70" i="14" s="1"/>
  <c r="G18" i="14"/>
  <c r="G15" i="14"/>
  <c r="G17" i="14"/>
  <c r="G16" i="14"/>
  <c r="F16" i="14"/>
  <c r="F17" i="14"/>
  <c r="F15" i="14"/>
  <c r="F18" i="14"/>
  <c r="I8" i="14"/>
  <c r="I11" i="14" s="1"/>
  <c r="E11" i="14"/>
  <c r="K8" i="12"/>
  <c r="E12" i="13"/>
  <c r="I12" i="13" s="1"/>
  <c r="N8" i="12"/>
  <c r="N45" i="11"/>
  <c r="N44" i="11"/>
  <c r="E34" i="17" s="1"/>
  <c r="N43" i="11"/>
  <c r="E30" i="17" s="1"/>
  <c r="N42" i="11"/>
  <c r="N41" i="11"/>
  <c r="N40" i="11"/>
  <c r="N39" i="11"/>
  <c r="N38" i="11"/>
  <c r="N34" i="11"/>
  <c r="E33" i="17" s="1"/>
  <c r="N33" i="11"/>
  <c r="E32" i="17" s="1"/>
  <c r="N32" i="11"/>
  <c r="E21" i="17" s="1"/>
  <c r="N31" i="11"/>
  <c r="E27" i="17" s="1"/>
  <c r="N30" i="11"/>
  <c r="E13" i="17" s="1"/>
  <c r="C101" i="20" s="1"/>
  <c r="N29" i="11"/>
  <c r="N25" i="11"/>
  <c r="E17" i="17" s="1"/>
  <c r="N24" i="11"/>
  <c r="N23" i="11"/>
  <c r="E18" i="17" s="1"/>
  <c r="N22" i="11"/>
  <c r="N21" i="11"/>
  <c r="N20" i="11"/>
  <c r="E22" i="17" s="1"/>
  <c r="K26" i="11"/>
  <c r="E34" i="13"/>
  <c r="F34" i="13" s="1"/>
  <c r="F37" i="13" s="1"/>
  <c r="N19" i="11"/>
  <c r="N15" i="11"/>
  <c r="E35" i="17" s="1"/>
  <c r="N14" i="11"/>
  <c r="E11" i="17" s="1"/>
  <c r="N13" i="11"/>
  <c r="O13" i="11" s="1"/>
  <c r="N9" i="11"/>
  <c r="N8" i="11"/>
  <c r="O8" i="11" s="1"/>
  <c r="E16" i="19"/>
  <c r="K21" i="10"/>
  <c r="K11" i="10"/>
  <c r="E8" i="13"/>
  <c r="N11" i="10"/>
  <c r="K10" i="10"/>
  <c r="E9" i="13"/>
  <c r="I9" i="13" s="1"/>
  <c r="N10" i="10"/>
  <c r="E12" i="17" s="1"/>
  <c r="C100" i="20" s="1"/>
  <c r="E10" i="13"/>
  <c r="I10" i="13" s="1"/>
  <c r="K9" i="10"/>
  <c r="K10" i="13" s="1"/>
  <c r="M10" i="13" s="1"/>
  <c r="N9" i="10"/>
  <c r="E14" i="17" s="1"/>
  <c r="C102" i="20" s="1"/>
  <c r="K8" i="10"/>
  <c r="E11" i="13"/>
  <c r="I11" i="13" s="1"/>
  <c r="N8" i="10"/>
  <c r="O8" i="10" s="1"/>
  <c r="K171" i="8"/>
  <c r="L171" i="8"/>
  <c r="L170" i="8"/>
  <c r="K170" i="8"/>
  <c r="L169" i="8"/>
  <c r="K169" i="8"/>
  <c r="K168" i="8"/>
  <c r="L168" i="8"/>
  <c r="L167" i="8"/>
  <c r="K167" i="8"/>
  <c r="L166" i="8"/>
  <c r="K166" i="8"/>
  <c r="L165" i="8"/>
  <c r="K165" i="8"/>
  <c r="L164" i="8"/>
  <c r="K164" i="8"/>
  <c r="L163" i="8"/>
  <c r="K163" i="8"/>
  <c r="L162" i="8"/>
  <c r="K162" i="8"/>
  <c r="L161" i="8"/>
  <c r="K161" i="8"/>
  <c r="K160" i="8"/>
  <c r="L160" i="8"/>
  <c r="K159" i="8"/>
  <c r="L159" i="8"/>
  <c r="K158" i="8"/>
  <c r="L158" i="8"/>
  <c r="K157" i="8"/>
  <c r="L157" i="8"/>
  <c r="L156" i="8"/>
  <c r="K156" i="8"/>
  <c r="L155" i="8"/>
  <c r="K155" i="8"/>
  <c r="K154" i="8"/>
  <c r="L154" i="8"/>
  <c r="K153" i="8"/>
  <c r="L153" i="8"/>
  <c r="K152" i="8"/>
  <c r="L152" i="8"/>
  <c r="K151" i="8"/>
  <c r="L151" i="8"/>
  <c r="L150" i="8"/>
  <c r="K150" i="8"/>
  <c r="K149" i="8"/>
  <c r="L149" i="8"/>
  <c r="L148" i="8"/>
  <c r="K148" i="8"/>
  <c r="L147" i="8"/>
  <c r="K147" i="8"/>
  <c r="K95" i="8"/>
  <c r="L95" i="8"/>
  <c r="L94" i="8"/>
  <c r="K94" i="8"/>
  <c r="K93" i="8"/>
  <c r="L93" i="8"/>
  <c r="H92" i="8"/>
  <c r="H130" i="8" s="1"/>
  <c r="G130" i="8"/>
  <c r="K92" i="8"/>
  <c r="L92" i="8"/>
  <c r="F130" i="8"/>
  <c r="K130" i="8" s="1"/>
  <c r="L87" i="8"/>
  <c r="K87" i="8"/>
  <c r="L86" i="8"/>
  <c r="K86" i="8"/>
  <c r="K85" i="8"/>
  <c r="L85" i="8"/>
  <c r="L84" i="8"/>
  <c r="K84" i="8"/>
  <c r="K83" i="8"/>
  <c r="L83" i="8"/>
  <c r="K82" i="8"/>
  <c r="L82" i="8"/>
  <c r="L81" i="8"/>
  <c r="K81" i="8"/>
  <c r="L80" i="8"/>
  <c r="K80" i="8"/>
  <c r="G88" i="8"/>
  <c r="H79" i="8"/>
  <c r="K79" i="8"/>
  <c r="L79" i="8"/>
  <c r="H14" i="8"/>
  <c r="G46" i="8"/>
  <c r="G134" i="8"/>
  <c r="I45" i="7"/>
  <c r="K129" i="8"/>
  <c r="L129" i="8"/>
  <c r="K45" i="8"/>
  <c r="L45" i="8"/>
  <c r="K128" i="8"/>
  <c r="L128" i="8"/>
  <c r="K44" i="8"/>
  <c r="L44" i="8"/>
  <c r="K127" i="8"/>
  <c r="L127" i="8"/>
  <c r="K43" i="8"/>
  <c r="L43" i="8"/>
  <c r="K126" i="8"/>
  <c r="L126" i="8"/>
  <c r="K42" i="8"/>
  <c r="L42" i="8"/>
  <c r="K125" i="8"/>
  <c r="L125" i="8"/>
  <c r="K41" i="8"/>
  <c r="L41" i="8"/>
  <c r="K124" i="8"/>
  <c r="L124" i="8"/>
  <c r="K40" i="8"/>
  <c r="L40" i="8"/>
  <c r="K123" i="8"/>
  <c r="L123" i="8"/>
  <c r="K39" i="8"/>
  <c r="L39" i="8"/>
  <c r="K122" i="8"/>
  <c r="L122" i="8"/>
  <c r="K38" i="8"/>
  <c r="L38" i="8"/>
  <c r="K121" i="8"/>
  <c r="L121" i="8"/>
  <c r="K37" i="8"/>
  <c r="L37" i="8"/>
  <c r="K120" i="8"/>
  <c r="L120" i="8"/>
  <c r="H78" i="8"/>
  <c r="K78" i="8"/>
  <c r="L78" i="8"/>
  <c r="K36" i="8"/>
  <c r="L36" i="8"/>
  <c r="K119" i="8"/>
  <c r="L119" i="8"/>
  <c r="K77" i="8"/>
  <c r="L77" i="8"/>
  <c r="K35" i="8"/>
  <c r="L35" i="8"/>
  <c r="K118" i="8"/>
  <c r="L118" i="8"/>
  <c r="K76" i="8"/>
  <c r="L76" i="8"/>
  <c r="K34" i="8"/>
  <c r="L34" i="8"/>
  <c r="K117" i="8"/>
  <c r="L117" i="8"/>
  <c r="K75" i="8"/>
  <c r="L75" i="8"/>
  <c r="K33" i="8"/>
  <c r="L33" i="8"/>
  <c r="K116" i="8"/>
  <c r="L116" i="8"/>
  <c r="K74" i="8"/>
  <c r="L74" i="8"/>
  <c r="K32" i="8"/>
  <c r="L32" i="8"/>
  <c r="K115" i="8"/>
  <c r="L115" i="8"/>
  <c r="K73" i="8"/>
  <c r="L73" i="8"/>
  <c r="K31" i="8"/>
  <c r="L31" i="8"/>
  <c r="K114" i="8"/>
  <c r="L114" i="8"/>
  <c r="K72" i="8"/>
  <c r="L72" i="8"/>
  <c r="K30" i="8"/>
  <c r="L30" i="8"/>
  <c r="K113" i="8"/>
  <c r="L113" i="8"/>
  <c r="K71" i="8"/>
  <c r="L71" i="8"/>
  <c r="K29" i="8"/>
  <c r="L29" i="8"/>
  <c r="K112" i="8"/>
  <c r="L112" i="8"/>
  <c r="K70" i="8"/>
  <c r="L70" i="8"/>
  <c r="K28" i="8"/>
  <c r="L28" i="8"/>
  <c r="K111" i="8"/>
  <c r="L111" i="8"/>
  <c r="K69" i="8"/>
  <c r="L69" i="8"/>
  <c r="K27" i="8"/>
  <c r="L27" i="8"/>
  <c r="K110" i="8"/>
  <c r="L110" i="8"/>
  <c r="K68" i="8"/>
  <c r="L68" i="8"/>
  <c r="K26" i="8"/>
  <c r="L26" i="8"/>
  <c r="K109" i="8"/>
  <c r="L109" i="8"/>
  <c r="K67" i="8"/>
  <c r="L67" i="8"/>
  <c r="K25" i="8"/>
  <c r="L25" i="8"/>
  <c r="K108" i="8"/>
  <c r="L108" i="8"/>
  <c r="K66" i="8"/>
  <c r="L66" i="8"/>
  <c r="K24" i="8"/>
  <c r="L24" i="8"/>
  <c r="K107" i="8"/>
  <c r="L107" i="8"/>
  <c r="K65" i="8"/>
  <c r="L65" i="8"/>
  <c r="K23" i="8"/>
  <c r="L23" i="8"/>
  <c r="K106" i="8"/>
  <c r="L106" i="8"/>
  <c r="K64" i="8"/>
  <c r="L64" i="8"/>
  <c r="K22" i="8"/>
  <c r="L22" i="8"/>
  <c r="K105" i="8"/>
  <c r="L105" i="8"/>
  <c r="K63" i="8"/>
  <c r="L63" i="8"/>
  <c r="K21" i="8"/>
  <c r="L21" i="8"/>
  <c r="K146" i="8"/>
  <c r="L146" i="8"/>
  <c r="K104" i="8"/>
  <c r="L104" i="8"/>
  <c r="K62" i="8"/>
  <c r="L62" i="8"/>
  <c r="K20" i="8"/>
  <c r="L20" i="8"/>
  <c r="K145" i="8"/>
  <c r="L145" i="8"/>
  <c r="K103" i="8"/>
  <c r="L103" i="8"/>
  <c r="K61" i="8"/>
  <c r="L61" i="8"/>
  <c r="K19" i="8"/>
  <c r="L19" i="8"/>
  <c r="K144" i="8"/>
  <c r="L144" i="8"/>
  <c r="K102" i="8"/>
  <c r="L102" i="8"/>
  <c r="K60" i="8"/>
  <c r="L60" i="8"/>
  <c r="K18" i="8"/>
  <c r="L18" i="8"/>
  <c r="K143" i="8"/>
  <c r="L143" i="8"/>
  <c r="K101" i="8"/>
  <c r="L101" i="8"/>
  <c r="K59" i="8"/>
  <c r="L59" i="8"/>
  <c r="K17" i="8"/>
  <c r="L17" i="8"/>
  <c r="K142" i="8"/>
  <c r="L142" i="8"/>
  <c r="K100" i="8"/>
  <c r="L100" i="8"/>
  <c r="K58" i="8"/>
  <c r="L58" i="8"/>
  <c r="K16" i="8"/>
  <c r="L16" i="8"/>
  <c r="K141" i="8"/>
  <c r="L141" i="8"/>
  <c r="K99" i="8"/>
  <c r="L99" i="8"/>
  <c r="K57" i="8"/>
  <c r="L57" i="8"/>
  <c r="K15" i="8"/>
  <c r="L15" i="8"/>
  <c r="K140" i="8"/>
  <c r="L140" i="8"/>
  <c r="K98" i="8"/>
  <c r="L98" i="8"/>
  <c r="K56" i="8"/>
  <c r="L56" i="8"/>
  <c r="K14" i="8"/>
  <c r="L14" i="8"/>
  <c r="K139" i="8"/>
  <c r="L139" i="8"/>
  <c r="K97" i="8"/>
  <c r="L97" i="8"/>
  <c r="K55" i="8"/>
  <c r="L55" i="8"/>
  <c r="K13" i="8"/>
  <c r="L13" i="8"/>
  <c r="K138" i="8"/>
  <c r="L138" i="8"/>
  <c r="K96" i="8"/>
  <c r="L96" i="8"/>
  <c r="K54" i="8"/>
  <c r="L54" i="8"/>
  <c r="K12" i="8"/>
  <c r="L12" i="8"/>
  <c r="K137" i="8"/>
  <c r="L137" i="8"/>
  <c r="K53" i="8"/>
  <c r="L53" i="8"/>
  <c r="K11" i="8"/>
  <c r="L11" i="8"/>
  <c r="K136" i="8"/>
  <c r="L136" i="8"/>
  <c r="K52" i="8"/>
  <c r="L52" i="8"/>
  <c r="K10" i="8"/>
  <c r="L10" i="8"/>
  <c r="K135" i="8"/>
  <c r="L135" i="8"/>
  <c r="K51" i="8"/>
  <c r="L51" i="8"/>
  <c r="K9" i="8"/>
  <c r="L9" i="8"/>
  <c r="K134" i="8"/>
  <c r="L134" i="8"/>
  <c r="F172" i="8"/>
  <c r="K50" i="8"/>
  <c r="L50" i="8"/>
  <c r="F88" i="8"/>
  <c r="K88" i="8" s="1"/>
  <c r="K8" i="8"/>
  <c r="L8" i="8"/>
  <c r="F46" i="8"/>
  <c r="H8" i="19"/>
  <c r="H54" i="5"/>
  <c r="H8" i="2"/>
  <c r="J8" i="2"/>
  <c r="C66" i="20"/>
  <c r="H21" i="19"/>
  <c r="C174" i="20"/>
  <c r="C206" i="20"/>
  <c r="H21" i="13"/>
  <c r="G25" i="15"/>
  <c r="G26" i="15" s="1"/>
  <c r="G37" i="15" s="1"/>
  <c r="C65" i="20"/>
  <c r="G8" i="19"/>
  <c r="G26" i="14"/>
  <c r="G54" i="5"/>
  <c r="G23" i="14"/>
  <c r="G24" i="14"/>
  <c r="G14" i="15"/>
  <c r="G21" i="19"/>
  <c r="G8" i="2"/>
  <c r="G21" i="13"/>
  <c r="C173" i="20"/>
  <c r="C205" i="20"/>
  <c r="G25" i="14"/>
  <c r="C204" i="20"/>
  <c r="C172" i="20"/>
  <c r="C64" i="20"/>
  <c r="F8" i="19"/>
  <c r="F54" i="5"/>
  <c r="F21" i="19"/>
  <c r="F8" i="2"/>
  <c r="F21" i="13"/>
  <c r="E8" i="19"/>
  <c r="E21" i="13"/>
  <c r="I53" i="5"/>
  <c r="K53" i="5"/>
  <c r="E8" i="2"/>
  <c r="C203" i="20"/>
  <c r="C171" i="20"/>
  <c r="E21" i="19"/>
  <c r="E54" i="5"/>
  <c r="C63" i="20"/>
  <c r="E25" i="15"/>
  <c r="F17" i="4"/>
  <c r="E21" i="10"/>
  <c r="H26" i="15"/>
  <c r="H37" i="15" s="1"/>
  <c r="F26" i="15"/>
  <c r="F37" i="15" s="1"/>
  <c r="K46" i="11"/>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3" i="8"/>
  <c r="H12" i="8"/>
  <c r="H11" i="8"/>
  <c r="H10" i="8"/>
  <c r="H9" i="8"/>
  <c r="H8" i="8"/>
  <c r="H46" i="8" s="1"/>
  <c r="H145" i="8"/>
  <c r="H144" i="8"/>
  <c r="H143" i="8"/>
  <c r="H142" i="8"/>
  <c r="H141" i="8"/>
  <c r="H140" i="8"/>
  <c r="H139" i="8"/>
  <c r="H137" i="8"/>
  <c r="H136" i="8"/>
  <c r="H135" i="8"/>
  <c r="H138" i="8"/>
  <c r="G13" i="13"/>
  <c r="G26" i="13" s="1"/>
  <c r="H13" i="13"/>
  <c r="H26" i="13" s="1"/>
  <c r="F13" i="13"/>
  <c r="F26" i="13" s="1"/>
  <c r="E37" i="2" l="1"/>
  <c r="C60" i="18"/>
  <c r="I44" i="18"/>
  <c r="I45" i="18"/>
  <c r="I46" i="18"/>
  <c r="F41" i="16"/>
  <c r="K18" i="16"/>
  <c r="L18" i="16"/>
  <c r="G40" i="16"/>
  <c r="G39" i="16"/>
  <c r="G38" i="16"/>
  <c r="K8" i="16"/>
  <c r="L8" i="16"/>
  <c r="I33" i="16"/>
  <c r="G37" i="16"/>
  <c r="E41" i="16"/>
  <c r="E10" i="2"/>
  <c r="E55" i="16"/>
  <c r="E59" i="16" s="1"/>
  <c r="F55" i="16"/>
  <c r="F59" i="16" s="1"/>
  <c r="G55" i="16"/>
  <c r="G59" i="16" s="1"/>
  <c r="H15" i="14"/>
  <c r="H18" i="14"/>
  <c r="H16" i="14"/>
  <c r="H17" i="14"/>
  <c r="G40" i="14"/>
  <c r="G41" i="14"/>
  <c r="G22" i="19"/>
  <c r="G32" i="14"/>
  <c r="G31" i="14"/>
  <c r="G37" i="14"/>
  <c r="G38" i="14"/>
  <c r="G34" i="14"/>
  <c r="G35" i="14"/>
  <c r="E50" i="14"/>
  <c r="F35" i="14"/>
  <c r="F34" i="14"/>
  <c r="E51" i="14"/>
  <c r="F37" i="14"/>
  <c r="F38" i="14"/>
  <c r="E49" i="14"/>
  <c r="F32" i="14"/>
  <c r="F31" i="14"/>
  <c r="E52" i="14"/>
  <c r="F41" i="14"/>
  <c r="F40" i="14"/>
  <c r="F22" i="19"/>
  <c r="K9" i="14"/>
  <c r="K10" i="14"/>
  <c r="I18" i="14"/>
  <c r="K8" i="14"/>
  <c r="I15" i="14"/>
  <c r="I17" i="14"/>
  <c r="I16" i="14"/>
  <c r="E18" i="14"/>
  <c r="E15" i="14"/>
  <c r="E17" i="14"/>
  <c r="E16" i="14"/>
  <c r="K11" i="12"/>
  <c r="K12" i="13"/>
  <c r="M12" i="13" s="1"/>
  <c r="N11" i="12"/>
  <c r="N13" i="12" s="1"/>
  <c r="E20" i="17"/>
  <c r="N46" i="11"/>
  <c r="E31" i="17"/>
  <c r="N35" i="11"/>
  <c r="E19" i="17"/>
  <c r="N26" i="11"/>
  <c r="E23" i="17"/>
  <c r="C99" i="20"/>
  <c r="E30" i="2"/>
  <c r="F10" i="17"/>
  <c r="N16" i="11"/>
  <c r="E10" i="17"/>
  <c r="O10" i="11"/>
  <c r="F16" i="17"/>
  <c r="N10" i="11"/>
  <c r="N48" i="11" s="1"/>
  <c r="E16" i="17"/>
  <c r="C104" i="20" s="1"/>
  <c r="E30" i="19"/>
  <c r="E32" i="19" s="1"/>
  <c r="E38" i="19" s="1"/>
  <c r="E20" i="19"/>
  <c r="E28" i="19"/>
  <c r="K22" i="10"/>
  <c r="K26" i="14"/>
  <c r="K8" i="13"/>
  <c r="M8" i="13" s="1"/>
  <c r="K23" i="14"/>
  <c r="I8" i="13"/>
  <c r="I13" i="13" s="1"/>
  <c r="I26" i="13" s="1"/>
  <c r="I27" i="15" s="1"/>
  <c r="I28" i="15" s="1"/>
  <c r="E13" i="13"/>
  <c r="E26" i="13" s="1"/>
  <c r="E27" i="13" s="1"/>
  <c r="K9" i="13"/>
  <c r="M9" i="13" s="1"/>
  <c r="K24" i="14"/>
  <c r="K12" i="10"/>
  <c r="K11" i="13"/>
  <c r="M11" i="13" s="1"/>
  <c r="K25" i="14"/>
  <c r="O12" i="10"/>
  <c r="F29" i="17"/>
  <c r="N12" i="10"/>
  <c r="E29" i="17"/>
  <c r="H134" i="8"/>
  <c r="H172" i="8" s="1"/>
  <c r="G172" i="8"/>
  <c r="K172" i="8" s="1"/>
  <c r="K46" i="8"/>
  <c r="F176" i="8"/>
  <c r="H22" i="13"/>
  <c r="H27" i="13"/>
  <c r="G55" i="15"/>
  <c r="F56" i="15"/>
  <c r="G22" i="13"/>
  <c r="G27" i="13"/>
  <c r="F22" i="13"/>
  <c r="F27" i="13"/>
  <c r="E22" i="13"/>
  <c r="M8" i="9"/>
  <c r="M9" i="9"/>
  <c r="M10" i="9"/>
  <c r="M11" i="9"/>
  <c r="M8" i="10"/>
  <c r="M9" i="10"/>
  <c r="M10" i="10"/>
  <c r="M11" i="10"/>
  <c r="M15" i="10"/>
  <c r="M16" i="10"/>
  <c r="M17" i="10"/>
  <c r="M21" i="10"/>
  <c r="M22" i="10" s="1"/>
  <c r="M8" i="11"/>
  <c r="M9" i="11"/>
  <c r="M13" i="11"/>
  <c r="M14" i="11"/>
  <c r="M15" i="11"/>
  <c r="M19" i="11"/>
  <c r="M20" i="11"/>
  <c r="M21" i="11"/>
  <c r="M22" i="11"/>
  <c r="M23" i="11"/>
  <c r="M24" i="11"/>
  <c r="M25" i="11"/>
  <c r="M29" i="11"/>
  <c r="M30" i="11"/>
  <c r="M31" i="11"/>
  <c r="M32" i="11"/>
  <c r="M33" i="11"/>
  <c r="M34" i="11"/>
  <c r="M38" i="11"/>
  <c r="M39" i="11"/>
  <c r="M40" i="11"/>
  <c r="M41" i="11"/>
  <c r="M42" i="11"/>
  <c r="M43" i="11"/>
  <c r="M44" i="11"/>
  <c r="M45" i="11"/>
  <c r="M8" i="12"/>
  <c r="M9" i="12"/>
  <c r="M10" i="12"/>
  <c r="I21" i="13"/>
  <c r="I14" i="15"/>
  <c r="I8" i="19"/>
  <c r="I23" i="14"/>
  <c r="I24" i="14"/>
  <c r="I25" i="14"/>
  <c r="I26" i="14"/>
  <c r="I25" i="15"/>
  <c r="I26" i="15" s="1"/>
  <c r="I37" i="15" s="1"/>
  <c r="N21" i="10"/>
  <c r="O21" i="10"/>
  <c r="F9" i="15"/>
  <c r="F13" i="15" s="1"/>
  <c r="G9" i="15"/>
  <c r="G13" i="15" s="1"/>
  <c r="G15" i="15" s="1"/>
  <c r="E31" i="19"/>
  <c r="H9" i="15"/>
  <c r="H13" i="15" s="1"/>
  <c r="E9" i="15"/>
  <c r="G12" i="2"/>
  <c r="G15" i="2" s="1"/>
  <c r="G27" i="15"/>
  <c r="G28" i="15" s="1"/>
  <c r="J12" i="2"/>
  <c r="J15" i="2" s="1"/>
  <c r="H12" i="2"/>
  <c r="H15" i="2" s="1"/>
  <c r="H27" i="15"/>
  <c r="H28" i="15" s="1"/>
  <c r="F12" i="2"/>
  <c r="F15" i="2" s="1"/>
  <c r="F27" i="15"/>
  <c r="F28" i="15" s="1"/>
  <c r="L40" i="18"/>
  <c r="I40" i="18"/>
  <c r="G68" i="14"/>
  <c r="G69" i="14"/>
  <c r="G71" i="14"/>
  <c r="G67" i="14"/>
  <c r="G70" i="14"/>
  <c r="G72" i="14"/>
  <c r="G176" i="8"/>
  <c r="C236" i="20" s="1"/>
  <c r="E55" i="14"/>
  <c r="E53" i="14"/>
  <c r="E56" i="14"/>
  <c r="E54" i="14"/>
  <c r="K54" i="5"/>
  <c r="E26" i="15"/>
  <c r="E37" i="15" s="1"/>
  <c r="H88" i="8"/>
  <c r="H176" i="8" s="1"/>
  <c r="L27" i="16"/>
  <c r="L26" i="16"/>
  <c r="L25" i="16"/>
  <c r="L24" i="16"/>
  <c r="K24" i="16"/>
  <c r="K32" i="16"/>
  <c r="L22" i="16"/>
  <c r="K31" i="16"/>
  <c r="L31" i="16"/>
  <c r="K30" i="16"/>
  <c r="L30" i="16"/>
  <c r="K29" i="16"/>
  <c r="L29" i="16"/>
  <c r="L28" i="16"/>
  <c r="K27" i="16"/>
  <c r="K25" i="16"/>
  <c r="K23" i="16"/>
  <c r="L21" i="16"/>
  <c r="L20" i="16"/>
  <c r="K19" i="16"/>
  <c r="K21" i="16"/>
  <c r="L19" i="16"/>
  <c r="K28" i="16"/>
  <c r="K22" i="16"/>
  <c r="K20" i="16"/>
  <c r="K26" i="16"/>
  <c r="L23" i="16"/>
  <c r="E36" i="17"/>
  <c r="O45" i="11"/>
  <c r="F36" i="17" s="1"/>
  <c r="E25" i="17"/>
  <c r="O42" i="11"/>
  <c r="F25" i="17" s="1"/>
  <c r="E15" i="17"/>
  <c r="C103" i="20" s="1"/>
  <c r="O41" i="11"/>
  <c r="F15" i="17" s="1"/>
  <c r="E37" i="17"/>
  <c r="O40" i="11"/>
  <c r="F37" i="17" s="1"/>
  <c r="E38" i="17"/>
  <c r="O39" i="11"/>
  <c r="F38" i="17" s="1"/>
  <c r="E24" i="17"/>
  <c r="O24" i="11"/>
  <c r="F24" i="17" s="1"/>
  <c r="E26" i="17"/>
  <c r="O22" i="11"/>
  <c r="F26" i="17" s="1"/>
  <c r="E28" i="17"/>
  <c r="O21" i="11"/>
  <c r="F28" i="17" s="1"/>
  <c r="E8" i="17"/>
  <c r="O9" i="11"/>
  <c r="F8" i="17" s="1"/>
  <c r="E7" i="17"/>
  <c r="O11" i="10"/>
  <c r="F7" i="17" s="1"/>
  <c r="O8" i="12"/>
  <c r="O43" i="11"/>
  <c r="F30" i="17" s="1"/>
  <c r="O38" i="11"/>
  <c r="O23" i="11"/>
  <c r="F18" i="17" s="1"/>
  <c r="O9" i="10"/>
  <c r="F14" i="17" s="1"/>
  <c r="O20" i="11"/>
  <c r="F22" i="17" s="1"/>
  <c r="O19" i="11"/>
  <c r="O33" i="11"/>
  <c r="F32" i="17" s="1"/>
  <c r="O14" i="11"/>
  <c r="F11" i="17" s="1"/>
  <c r="O10" i="10"/>
  <c r="F12" i="17" s="1"/>
  <c r="O44" i="11"/>
  <c r="F34" i="17" s="1"/>
  <c r="O32" i="11"/>
  <c r="F21" i="17" s="1"/>
  <c r="O31" i="11"/>
  <c r="F27" i="17" s="1"/>
  <c r="O30" i="11"/>
  <c r="F13" i="17" s="1"/>
  <c r="O29" i="11"/>
  <c r="O25" i="11"/>
  <c r="F17" i="17" s="1"/>
  <c r="O34" i="11"/>
  <c r="F33" i="17" s="1"/>
  <c r="O15" i="11"/>
  <c r="F61" i="16" l="1"/>
  <c r="E20" i="2"/>
  <c r="G41" i="16"/>
  <c r="E61" i="16"/>
  <c r="E67" i="16"/>
  <c r="F67" i="16" s="1"/>
  <c r="E19" i="2"/>
  <c r="E57" i="14"/>
  <c r="H32" i="14"/>
  <c r="H31" i="14"/>
  <c r="E60" i="14"/>
  <c r="H41" i="14"/>
  <c r="H22" i="19"/>
  <c r="H40" i="14"/>
  <c r="E58" i="14"/>
  <c r="H35" i="14"/>
  <c r="H34" i="14"/>
  <c r="E59" i="14"/>
  <c r="H38" i="14"/>
  <c r="H37" i="14"/>
  <c r="I41" i="14"/>
  <c r="I40" i="14"/>
  <c r="I31" i="14"/>
  <c r="I32" i="14"/>
  <c r="I38" i="14"/>
  <c r="I37" i="14"/>
  <c r="I35" i="14"/>
  <c r="I34" i="14"/>
  <c r="E48" i="14"/>
  <c r="E41" i="14"/>
  <c r="E22" i="19"/>
  <c r="E40" i="14"/>
  <c r="E45" i="14"/>
  <c r="E31" i="14"/>
  <c r="E32" i="14"/>
  <c r="E47" i="14"/>
  <c r="E38" i="14"/>
  <c r="E37" i="14"/>
  <c r="E46" i="14"/>
  <c r="E34" i="14"/>
  <c r="E35" i="14"/>
  <c r="C98" i="20"/>
  <c r="E29" i="2"/>
  <c r="E27" i="15"/>
  <c r="E28" i="15" s="1"/>
  <c r="E12" i="2"/>
  <c r="K176" i="8"/>
  <c r="C235" i="20"/>
  <c r="C33" i="20"/>
  <c r="G36" i="15"/>
  <c r="G38" i="15" s="1"/>
  <c r="I22" i="13"/>
  <c r="I27" i="13"/>
  <c r="N22" i="10"/>
  <c r="N24" i="10" s="1"/>
  <c r="E9" i="17"/>
  <c r="O22" i="10"/>
  <c r="O24" i="10" s="1"/>
  <c r="F9" i="17"/>
  <c r="F10" i="19"/>
  <c r="E40" i="19" s="1"/>
  <c r="F15" i="15"/>
  <c r="F53" i="15"/>
  <c r="F9" i="2"/>
  <c r="E54" i="15"/>
  <c r="F9" i="19"/>
  <c r="G44" i="16"/>
  <c r="G50" i="16" s="1"/>
  <c r="F44" i="16"/>
  <c r="F50" i="16" s="1"/>
  <c r="E44" i="16"/>
  <c r="E50" i="16" s="1"/>
  <c r="F11" i="2"/>
  <c r="G10" i="19"/>
  <c r="G9" i="2"/>
  <c r="G53" i="15"/>
  <c r="G9" i="19"/>
  <c r="G45" i="16"/>
  <c r="G51" i="16" s="1"/>
  <c r="F45" i="16"/>
  <c r="F51" i="16" s="1"/>
  <c r="E45" i="16"/>
  <c r="E51" i="16" s="1"/>
  <c r="G11" i="2"/>
  <c r="F54" i="15"/>
  <c r="H10" i="19"/>
  <c r="H15" i="15"/>
  <c r="E43" i="15"/>
  <c r="E44" i="15"/>
  <c r="E45" i="15"/>
  <c r="G46" i="16"/>
  <c r="G52" i="16" s="1"/>
  <c r="F46" i="16"/>
  <c r="F52" i="16" s="1"/>
  <c r="E46" i="16"/>
  <c r="E52" i="16" s="1"/>
  <c r="J11" i="2"/>
  <c r="H11" i="2"/>
  <c r="G54" i="15"/>
  <c r="J9" i="2"/>
  <c r="H9" i="2"/>
  <c r="H9" i="19"/>
  <c r="E13" i="15"/>
  <c r="I9" i="15"/>
  <c r="I13" i="15" s="1"/>
  <c r="E27" i="2"/>
  <c r="C96" i="20"/>
  <c r="E26" i="2"/>
  <c r="C95" i="20"/>
  <c r="E39" i="17"/>
  <c r="F20" i="17"/>
  <c r="O11" i="12"/>
  <c r="O13" i="12" s="1"/>
  <c r="F31" i="17"/>
  <c r="O46" i="11"/>
  <c r="F23" i="17"/>
  <c r="O26" i="11"/>
  <c r="F19" i="17"/>
  <c r="O35" i="11"/>
  <c r="M12" i="9"/>
  <c r="M12" i="10"/>
  <c r="M18" i="10"/>
  <c r="M10" i="11"/>
  <c r="M16" i="11"/>
  <c r="M26" i="11"/>
  <c r="M35" i="11"/>
  <c r="M46" i="11"/>
  <c r="M11" i="12"/>
  <c r="F35" i="17"/>
  <c r="O16" i="11"/>
  <c r="O48" i="11" s="1"/>
  <c r="G61" i="16" l="1"/>
  <c r="E66" i="16"/>
  <c r="F66" i="16" s="1"/>
  <c r="F19" i="2"/>
  <c r="F20" i="2"/>
  <c r="E15" i="2"/>
  <c r="E14" i="2"/>
  <c r="G39" i="15"/>
  <c r="F52" i="15"/>
  <c r="G51" i="15"/>
  <c r="C97" i="20"/>
  <c r="E28" i="2"/>
  <c r="C32" i="20"/>
  <c r="F36" i="15"/>
  <c r="F38" i="15" s="1"/>
  <c r="E59" i="15"/>
  <c r="E58" i="15"/>
  <c r="F14" i="2"/>
  <c r="F13" i="2"/>
  <c r="G14" i="2"/>
  <c r="G13" i="2"/>
  <c r="F59" i="15"/>
  <c r="F58" i="15"/>
  <c r="H36" i="15"/>
  <c r="H38" i="15" s="1"/>
  <c r="C34" i="20"/>
  <c r="K44" i="15"/>
  <c r="K45" i="15"/>
  <c r="K43" i="15"/>
  <c r="J14" i="2"/>
  <c r="J13" i="2"/>
  <c r="H14" i="2"/>
  <c r="H13" i="2"/>
  <c r="E53" i="18"/>
  <c r="I53" i="18" s="1"/>
  <c r="G43" i="16"/>
  <c r="F43" i="16"/>
  <c r="E43" i="16"/>
  <c r="E11" i="2"/>
  <c r="E13" i="2" s="1"/>
  <c r="E53" i="15"/>
  <c r="E9" i="2"/>
  <c r="E9" i="19"/>
  <c r="E52" i="18"/>
  <c r="E15" i="15"/>
  <c r="E10" i="19"/>
  <c r="E37" i="19" s="1"/>
  <c r="E39" i="19" s="1"/>
  <c r="E41" i="19" s="1"/>
  <c r="I10" i="19"/>
  <c r="I15" i="15"/>
  <c r="I36" i="15" s="1"/>
  <c r="I38" i="15" s="1"/>
  <c r="I39" i="15" s="1"/>
  <c r="I9" i="19"/>
  <c r="H20" i="17"/>
  <c r="I20" i="17"/>
  <c r="K20" i="17" s="1"/>
  <c r="H21" i="17"/>
  <c r="I23" i="17"/>
  <c r="K23" i="17" s="1"/>
  <c r="I30" i="17"/>
  <c r="K30" i="17" s="1"/>
  <c r="H35" i="17"/>
  <c r="I36" i="17"/>
  <c r="H7" i="17"/>
  <c r="I7" i="17"/>
  <c r="G26" i="2" s="1"/>
  <c r="H8" i="17"/>
  <c r="I8" i="17"/>
  <c r="H9" i="17"/>
  <c r="I9" i="17"/>
  <c r="H10" i="17"/>
  <c r="I10" i="17"/>
  <c r="H11" i="17"/>
  <c r="I11" i="17"/>
  <c r="H12" i="17"/>
  <c r="C138" i="20" s="1"/>
  <c r="I12" i="17"/>
  <c r="K12" i="17" s="1"/>
  <c r="H13" i="17"/>
  <c r="C139" i="20" s="1"/>
  <c r="I13" i="17"/>
  <c r="K13" i="17" s="1"/>
  <c r="H14" i="17"/>
  <c r="C140" i="20" s="1"/>
  <c r="I14" i="17"/>
  <c r="K14" i="17" s="1"/>
  <c r="H15" i="17"/>
  <c r="C141" i="20" s="1"/>
  <c r="I15" i="17"/>
  <c r="K15" i="17" s="1"/>
  <c r="H16" i="17"/>
  <c r="C142" i="20" s="1"/>
  <c r="I16" i="17"/>
  <c r="K16" i="17" s="1"/>
  <c r="H17" i="17"/>
  <c r="I17" i="17"/>
  <c r="K17" i="17" s="1"/>
  <c r="H18" i="17"/>
  <c r="I18" i="17"/>
  <c r="K18" i="17" s="1"/>
  <c r="I19" i="17"/>
  <c r="K19" i="17" s="1"/>
  <c r="I21" i="17"/>
  <c r="I22" i="17"/>
  <c r="K22" i="17" s="1"/>
  <c r="I24" i="17"/>
  <c r="H25" i="17"/>
  <c r="I25" i="17"/>
  <c r="K25" i="17" s="1"/>
  <c r="H26" i="17"/>
  <c r="I27" i="17"/>
  <c r="H28" i="17"/>
  <c r="I29" i="17"/>
  <c r="H31" i="17"/>
  <c r="H32" i="17"/>
  <c r="H33" i="17"/>
  <c r="I33" i="17"/>
  <c r="K33" i="17" s="1"/>
  <c r="H34" i="17"/>
  <c r="I35" i="17"/>
  <c r="K35" i="17" s="1"/>
  <c r="H37" i="17"/>
  <c r="H38" i="17"/>
  <c r="I38" i="17"/>
  <c r="K38" i="17" s="1"/>
  <c r="I39" i="17"/>
  <c r="H19" i="17"/>
  <c r="H22" i="17"/>
  <c r="H23" i="17"/>
  <c r="H24" i="17"/>
  <c r="I26" i="17"/>
  <c r="K26" i="17" s="1"/>
  <c r="H27" i="17"/>
  <c r="I28" i="17"/>
  <c r="K28" i="17" s="1"/>
  <c r="H29" i="17"/>
  <c r="H30" i="17"/>
  <c r="I31" i="17"/>
  <c r="I32" i="17"/>
  <c r="K32" i="17" s="1"/>
  <c r="I34" i="17"/>
  <c r="H36" i="17"/>
  <c r="I37" i="17"/>
  <c r="K37" i="17" s="1"/>
  <c r="F39" i="17"/>
  <c r="G58" i="15"/>
  <c r="G59" i="15"/>
  <c r="F51" i="15" l="1"/>
  <c r="F57" i="15" s="1"/>
  <c r="F60" i="15" s="1"/>
  <c r="F39" i="15"/>
  <c r="E52" i="15"/>
  <c r="H39" i="15"/>
  <c r="G44" i="15"/>
  <c r="G45" i="15"/>
  <c r="G52" i="15"/>
  <c r="G57" i="15" s="1"/>
  <c r="G43" i="15"/>
  <c r="G49" i="16"/>
  <c r="G47" i="16"/>
  <c r="F49" i="16"/>
  <c r="F47" i="16"/>
  <c r="E49" i="16"/>
  <c r="E47" i="16"/>
  <c r="I52" i="18"/>
  <c r="E54" i="18"/>
  <c r="I54" i="18" s="1"/>
  <c r="C31" i="20"/>
  <c r="E36" i="15"/>
  <c r="E38" i="15" s="1"/>
  <c r="C133" i="20"/>
  <c r="F26" i="2"/>
  <c r="C134" i="20"/>
  <c r="F27" i="2"/>
  <c r="K8" i="17"/>
  <c r="G27" i="2"/>
  <c r="C135" i="20"/>
  <c r="F28" i="2"/>
  <c r="K9" i="17"/>
  <c r="G28" i="2"/>
  <c r="C136" i="20"/>
  <c r="F29" i="2"/>
  <c r="K10" i="17"/>
  <c r="G29" i="2"/>
  <c r="C137" i="20"/>
  <c r="F30" i="2"/>
  <c r="K11" i="17"/>
  <c r="G30" i="2"/>
  <c r="K36" i="17"/>
  <c r="K21" i="17"/>
  <c r="K24" i="17"/>
  <c r="K27" i="17"/>
  <c r="K29" i="17"/>
  <c r="K31" i="17"/>
  <c r="K34" i="17"/>
  <c r="G60" i="15"/>
  <c r="G62" i="16" l="1"/>
  <c r="G53" i="16"/>
  <c r="E69" i="16"/>
  <c r="F69" i="16" s="1"/>
  <c r="F62" i="16"/>
  <c r="F53" i="16"/>
  <c r="E62" i="16"/>
  <c r="E53" i="16"/>
  <c r="E68" i="16"/>
  <c r="F68" i="16" s="1"/>
  <c r="E51" i="15"/>
  <c r="E57" i="15" s="1"/>
  <c r="E60" i="15" s="1"/>
  <c r="E39" i="15"/>
  <c r="J20" i="2" l="1"/>
  <c r="C297" i="20"/>
  <c r="J19" i="2"/>
  <c r="C296" i="20"/>
</calcChain>
</file>

<file path=xl/sharedStrings.xml><?xml version="1.0" encoding="utf-8"?>
<sst xmlns="http://schemas.openxmlformats.org/spreadsheetml/2006/main" count="3135" uniqueCount="1219">
  <si>
    <t>ASSESSMENT OF DRILLING AND GROUND SUPPORT</t>
  </si>
  <si>
    <t>CONSUMABLE COSTS FOR UNDERGROUND DEVELOPMENT</t>
  </si>
  <si>
    <t>Navachab Gold Mine Project, Byrnecut.   May to August 2026.</t>
  </si>
  <si>
    <t>STUDY DETAILS</t>
  </si>
  <si>
    <t>Researcher</t>
  </si>
  <si>
    <t>Irene Zinyetu Kavhura, student number 221315594</t>
  </si>
  <si>
    <t>Programme</t>
  </si>
  <si>
    <t>BSc Honours in Mining Engineering, University of Namibia</t>
  </si>
  <si>
    <t>Department</t>
  </si>
  <si>
    <t>Civil and Mining Engineering</t>
  </si>
  <si>
    <t>Supervisor</t>
  </si>
  <si>
    <t>Mr. Nekwaya Tuyeni Kelao</t>
  </si>
  <si>
    <t>Development contractor</t>
  </si>
  <si>
    <t>Byrnecut</t>
  </si>
  <si>
    <t>Analysis period</t>
  </si>
  <si>
    <t>May, June, July and August 2026</t>
  </si>
  <si>
    <t>Currency</t>
  </si>
  <si>
    <t>United States dollars, converted at the rate on the Inputs sheet</t>
  </si>
  <si>
    <t>WHERE EACH OBJECTIVE IS ANSWERED</t>
  </si>
  <si>
    <t>Objective</t>
  </si>
  <si>
    <t>Sheet</t>
  </si>
  <si>
    <t>Status</t>
  </si>
  <si>
    <t>Objective 1: drilling consumable unit cost per metre</t>
  </si>
  <si>
    <t>Unit_Cost section 2, C_Face_Drilling</t>
  </si>
  <si>
    <t>Complete. Reported per metre advanced and per drilled metre.</t>
  </si>
  <si>
    <t>Objective 2: ground support unit cost per metre, and the main cost drivers</t>
  </si>
  <si>
    <t>Unit_Cost section 1, Pareto</t>
  </si>
  <si>
    <t>Complete.</t>
  </si>
  <si>
    <t>Objective 3: development productivity baseline</t>
  </si>
  <si>
    <t>Advance section 2, DRM</t>
  </si>
  <si>
    <t>Complete. Metres per month and per heading, and drilled metres per advance metre.</t>
  </si>
  <si>
    <t>Objective 4: advance rate against total unit cost</t>
  </si>
  <si>
    <t>Unit_Cost sections 3 to 5</t>
  </si>
  <si>
    <t>Complete. Equation 4 separates the consumption effect from the advance effect.</t>
  </si>
  <si>
    <t>Analysis by heading and by portal</t>
  </si>
  <si>
    <t>Portal_Analysis</t>
  </si>
  <si>
    <t>Complete. All four months, with reconciliation checks.</t>
  </si>
  <si>
    <t>Design compliance and over consumption</t>
  </si>
  <si>
    <t>Plan_vs_Actual</t>
  </si>
  <si>
    <t>Complete for bolts, split sets and mesh against the GSS standards.</t>
  </si>
  <si>
    <t>CONTENTS</t>
  </si>
  <si>
    <t>Equations</t>
  </si>
  <si>
    <t>Every equation used, with its symbols defined</t>
  </si>
  <si>
    <t>Inputs</t>
  </si>
  <si>
    <t>Unit costs, exchange rate, design standards, portal split bases</t>
  </si>
  <si>
    <t>Advance</t>
  </si>
  <si>
    <t>Survey advance as recorded, and monthly totals</t>
  </si>
  <si>
    <t>Consumption_PL</t>
  </si>
  <si>
    <t>Stock counts as recorded, with consumption derived</t>
  </si>
  <si>
    <t>A_Scaling</t>
  </si>
  <si>
    <t>Scaling consumables</t>
  </si>
  <si>
    <t>B_Ground_Support</t>
  </si>
  <si>
    <t>Bolts, bearing plates and mesh</t>
  </si>
  <si>
    <t>C_Face_Drilling</t>
  </si>
  <si>
    <t>Shanks, bits, rods, couplings, centralisers, dollies</t>
  </si>
  <si>
    <t>D_Cable_Bolting</t>
  </si>
  <si>
    <t>Cable bolts and hardware</t>
  </si>
  <si>
    <t>DRM</t>
  </si>
  <si>
    <t>Drilled metres, and bit life for the 43 mm and 48 mm bits</t>
  </si>
  <si>
    <t>Design quantity against actual, by ground class</t>
  </si>
  <si>
    <t>Unit_Cost</t>
  </si>
  <si>
    <t>Equations 1 to 4, and why the unit cost moved</t>
  </si>
  <si>
    <t>Heading and portal results, with reconciliation checks</t>
  </si>
  <si>
    <t>Pareto</t>
  </si>
  <si>
    <t>Consumables ranked by cost contribution</t>
  </si>
  <si>
    <t>Triangulation</t>
  </si>
  <si>
    <t>The three mine consumption records reconciled</t>
  </si>
  <si>
    <t>Charts</t>
  </si>
  <si>
    <t>Figures 1 to 10</t>
  </si>
  <si>
    <t>Daily_Log</t>
  </si>
  <si>
    <t>Daily advance and installation record, 1 May to 24 August 2026</t>
  </si>
  <si>
    <t>Daily_Tracker</t>
  </si>
  <si>
    <t>Daily figures against the May to July baseline</t>
  </si>
  <si>
    <t>Anomalies</t>
  </si>
  <si>
    <t>Queries raised against the source data, and the action required</t>
  </si>
  <si>
    <t>Data_Quality</t>
  </si>
  <si>
    <t>Completeness and coverage of each source</t>
  </si>
  <si>
    <t>How_to_Read</t>
  </si>
  <si>
    <t>Symbols, formats and the numbered notes</t>
  </si>
  <si>
    <t>READING THE WORKBOOK</t>
  </si>
  <si>
    <t>Blue figures</t>
  </si>
  <si>
    <t>Entered from a source document</t>
  </si>
  <si>
    <t>Green figures</t>
  </si>
  <si>
    <t>Drawn from another sheet</t>
  </si>
  <si>
    <t>Black figures</t>
  </si>
  <si>
    <t>Calculated</t>
  </si>
  <si>
    <t>x</t>
  </si>
  <si>
    <t>No unit price exists in the source data. Never treated as zero.</t>
  </si>
  <si>
    <t>-</t>
  </si>
  <si>
    <t>Cost already carried by another line</t>
  </si>
  <si>
    <t>( )</t>
  </si>
  <si>
    <t>A negative figure, in the accounting convention</t>
  </si>
  <si>
    <t>Shaded cells</t>
  </si>
  <si>
    <t>Awaiting data, listed on the Anomalies sheet</t>
  </si>
  <si>
    <t>DASHBOARD</t>
  </si>
  <si>
    <t>Whole underground mine, May to August 2026.</t>
  </si>
  <si>
    <t>1    HEADLINE</t>
  </si>
  <si>
    <t>Measure</t>
  </si>
  <si>
    <t>Unit</t>
  </si>
  <si>
    <t>May</t>
  </si>
  <si>
    <t>June</t>
  </si>
  <si>
    <t>July</t>
  </si>
  <si>
    <t>August</t>
  </si>
  <si>
    <t>Period</t>
  </si>
  <si>
    <t>Development advance</t>
  </si>
  <si>
    <t>m</t>
  </si>
  <si>
    <t>Ground support consumable cost</t>
  </si>
  <si>
    <t>US$</t>
  </si>
  <si>
    <t>Drilling consumable cost</t>
  </si>
  <si>
    <t>Total consumable cost</t>
  </si>
  <si>
    <t>Total drilled metres</t>
  </si>
  <si>
    <t>drilled m</t>
  </si>
  <si>
    <t>Consumable cost per metre advanced</t>
  </si>
  <si>
    <t>US$/m</t>
  </si>
  <si>
    <t>Consumable cost per drilled metre</t>
  </si>
  <si>
    <t>US$/drilled m</t>
  </si>
  <si>
    <t>Drilled metres per metre advanced</t>
  </si>
  <si>
    <t>ratio</t>
  </si>
  <si>
    <t>2    PORTAL AND GROUND CLASS</t>
  </si>
  <si>
    <t>Portal</t>
  </si>
  <si>
    <t>Ground</t>
  </si>
  <si>
    <t>Metres, period</t>
  </si>
  <si>
    <t>Share of metres</t>
  </si>
  <si>
    <t>Ground support cost per metre</t>
  </si>
  <si>
    <t>Northern Portal</t>
  </si>
  <si>
    <t>All fair to poor, GSS_02 and GSS_03</t>
  </si>
  <si>
    <t>Southern Portal</t>
  </si>
  <si>
    <t>All good, GSS_01</t>
  </si>
  <si>
    <t>Portal and ground class coincide exactly in this data, so the two cannot be separated statistically.</t>
  </si>
  <si>
    <t>3    WHERE THE MONEY IS</t>
  </si>
  <si>
    <t>Consumable</t>
  </si>
  <si>
    <t>Period cost</t>
  </si>
  <si>
    <t>Share</t>
  </si>
  <si>
    <t>Cumulative</t>
  </si>
  <si>
    <t>4    DATA COMPLETENESS</t>
  </si>
  <si>
    <t>Value</t>
  </si>
  <si>
    <t>Meaning</t>
  </si>
  <si>
    <t>Consumption captured by the issue registers</t>
  </si>
  <si>
    <t>The registers record about half of what the stock counts measure</t>
  </si>
  <si>
    <t>Drilling items consumed but unpriced</t>
  </si>
  <si>
    <t>Each one shows x rather than zero</t>
  </si>
  <si>
    <t>Material bought but not recorded as installed</t>
  </si>
  <si>
    <t>Stock count against LiveMine installation record</t>
  </si>
  <si>
    <t>EQUATIONS USED IN THIS MODEL</t>
  </si>
  <si>
    <t>Every calculated figure in the workbook comes from one of the equations below.</t>
  </si>
  <si>
    <t>Equation 1    Drilling consumable unit cost</t>
  </si>
  <si>
    <t>UC drill  =  ( C bits + C rods + C shanks + C couplings + C centralisers )  ÷  m</t>
  </si>
  <si>
    <t>UC drill</t>
  </si>
  <si>
    <t>Drilling consumable unit cost, US$ per metre</t>
  </si>
  <si>
    <t>C bits, C rods, C shanks, C couplings, C centralisers</t>
  </si>
  <si>
    <t>Total cost of drill steel consumed in the period, US$. Consumption quantity from the stock reconciliation multiplied by the supplier unit price.</t>
  </si>
  <si>
    <t>Total metres advanced in the same period, from the survey end of month report</t>
  </si>
  <si>
    <t>Calculated on</t>
  </si>
  <si>
    <t>Unit_Cost, and the item detail on C_Face_Drilling</t>
  </si>
  <si>
    <t>Equation 2    Ground support consumable unit cost</t>
  </si>
  <si>
    <t>UC support  =  ( C bolts + C mesh + C plates + C resin + C cable )  ÷  m</t>
  </si>
  <si>
    <t>UC support</t>
  </si>
  <si>
    <t>Ground support consumable unit cost, US$ per metre</t>
  </si>
  <si>
    <t>C bolts, C mesh, C plates, C resin, C cable</t>
  </si>
  <si>
    <t>Total cost of ground support consumed in the period, US$. Bearing plates are quoted inside the bolt price and are not costed separately.</t>
  </si>
  <si>
    <t>Total metres advanced in the same period. Every development metre in this data receives support.</t>
  </si>
  <si>
    <t>Unit_Cost, and the item detail on B_Ground_Support and D_Cable_Bolting</t>
  </si>
  <si>
    <t>Equation 3    Total development unit cost</t>
  </si>
  <si>
    <t>UC total  =  UC drill  +  UC support</t>
  </si>
  <si>
    <t>UC total</t>
  </si>
  <si>
    <t>Total consumable unit cost, US$ per metre</t>
  </si>
  <si>
    <t>UC drill, UC support</t>
  </si>
  <si>
    <t>Consumable unit costs from Equations 1 and 2, US$ per metre</t>
  </si>
  <si>
    <t>Scope</t>
  </si>
  <si>
    <t>Consumables only. Labour and equipment operating costs are outside the scope of this study and are not included in any figure in this workbook.</t>
  </si>
  <si>
    <t>Equation 4    Change in unit cost between two periods</t>
  </si>
  <si>
    <t>U1 − U0  =  ( C1 − C0 ) ÷ A0   +   C1 × ( 1/A1 − 1/A0 )</t>
  </si>
  <si>
    <t>U0, U1</t>
  </si>
  <si>
    <t>Consumable unit cost in the earlier and later period, US$ per metre</t>
  </si>
  <si>
    <t>C0, C1</t>
  </si>
  <si>
    <t>Total consumable cost in the earlier and later period, US$</t>
  </si>
  <si>
    <t>A0, A1</t>
  </si>
  <si>
    <t>Metres advanced in the earlier and later period</t>
  </si>
  <si>
    <t>first term</t>
  </si>
  <si>
    <t>Consumption effect: the cost of using more or less material, holding advance constant</t>
  </si>
  <si>
    <t>second term</t>
  </si>
  <si>
    <t>Advance effect: the effect of spreading the same spend over a different number of metres</t>
  </si>
  <si>
    <t>Unit_Cost, section 4</t>
  </si>
  <si>
    <t>Equation 5    Pareto contribution</t>
  </si>
  <si>
    <t>P i  =  C i ÷ Σ C i × 100        Cum i  =  Σ ( C 1 … C i ) ÷ Σ C i × 100</t>
  </si>
  <si>
    <t>P i</t>
  </si>
  <si>
    <t>Percentage contribution of consumable i to total consumable cost</t>
  </si>
  <si>
    <t>C i</t>
  </si>
  <si>
    <t>Total cost of consumable i in the period, with items ranked highest to lowest</t>
  </si>
  <si>
    <t>Cum i</t>
  </si>
  <si>
    <t>Cumulative percentage down the ranked list</t>
  </si>
  <si>
    <t>Equation 6    Currency conversion</t>
  </si>
  <si>
    <t>Cost in US$  =  Cost in N$  ÷  R</t>
  </si>
  <si>
    <t>R</t>
  </si>
  <si>
    <t>Exchange rate, Namibia dollars per United States dollar</t>
  </si>
  <si>
    <t>Cost in N$</t>
  </si>
  <si>
    <t>Supplier unit cost as stated in the mine price list</t>
  </si>
  <si>
    <t>Cost in US$</t>
  </si>
  <si>
    <t>The reporting currency of this workbook. Drilling prices are already quoted in United States dollars and are not converted.</t>
  </si>
  <si>
    <t>Inputs, and every cost sheet</t>
  </si>
  <si>
    <t>In any cost cell, x means that no unit price for that item exists in the source data. It is never treated as zero.</t>
  </si>
  <si>
    <t>INPUTS AND ASSUMPTIONS</t>
  </si>
  <si>
    <t>Unit costs, exchange rate, design standards and drilling geometry used throughout the workbook.</t>
  </si>
  <si>
    <t>Blue figures are taken directly from a source document. Shaded cells are awaiting data; each one is listed on the Data_Quality sheet.</t>
  </si>
  <si>
    <t>1    EXCHANGE RATE</t>
  </si>
  <si>
    <t>Item</t>
  </si>
  <si>
    <t>Description</t>
  </si>
  <si>
    <t>Namibia dollars per United States dollar</t>
  </si>
  <si>
    <t>N$ / USD</t>
  </si>
  <si>
    <t>2    CONSUMABLE UNIT COSTS</t>
  </si>
  <si>
    <t>Item code</t>
  </si>
  <si>
    <t>Unit cost (USD)</t>
  </si>
  <si>
    <t>Unit cost (US$)</t>
  </si>
  <si>
    <t>FB39090GWA</t>
  </si>
  <si>
    <t>Friction bolt 39 x 900 galvanised</t>
  </si>
  <si>
    <t>each</t>
  </si>
  <si>
    <t>FB47090GWA</t>
  </si>
  <si>
    <t>Friction bolt 47 x 900 galvanised</t>
  </si>
  <si>
    <t>FB47-2400G</t>
  </si>
  <si>
    <t>Friction bolt 47 x 2400 galvanised</t>
  </si>
  <si>
    <t>BMG2024S</t>
  </si>
  <si>
    <t>MD bolt 2.4 m galvanised</t>
  </si>
  <si>
    <t>CBD1B065DC05WA</t>
  </si>
  <si>
    <t>Cable bolt twin strand bulbed 15.2 mm</t>
  </si>
  <si>
    <t>MESH2.4X4.5</t>
  </si>
  <si>
    <t>Mesh 2.40 x 4.50 m galvanised</t>
  </si>
  <si>
    <t>sheet</t>
  </si>
  <si>
    <t>3    CONVERSION FACTORS</t>
  </si>
  <si>
    <t>Mesh sheet area</t>
  </si>
  <si>
    <t>One sheet measures 2.40 m by 4.50 m</t>
  </si>
  <si>
    <t>m2</t>
  </si>
  <si>
    <t>Mesh rate</t>
  </si>
  <si>
    <t>Galvanised mesh, price per square metre</t>
  </si>
  <si>
    <t>USD / m2</t>
  </si>
  <si>
    <t>4    PORTAL SPLIT OF GROUND SUPPORT COST</t>
  </si>
  <si>
    <t>Month</t>
  </si>
  <si>
    <t>Basis</t>
  </si>
  <si>
    <t>May 2026</t>
  </si>
  <si>
    <t>LiveMine installed quantities, measured by heading</t>
  </si>
  <si>
    <t>June 2026</t>
  </si>
  <si>
    <t>July 2026</t>
  </si>
  <si>
    <t>August 2026</t>
  </si>
  <si>
    <t>Metres advanced. No LiveMine inventory extract was supplied for this month</t>
  </si>
  <si>
    <t>See Notes sheet, note 1.</t>
  </si>
  <si>
    <t>5    PORTAL SPLIT OF DRILLING CONSUMABLE COST</t>
  </si>
  <si>
    <t>Drilled metres, 8,398 north and 12,410 south</t>
  </si>
  <si>
    <t>Drilled metres, 12,466 north and 9,671 south</t>
  </si>
  <si>
    <t>Drilled metres, 20,928 north and 11,382 south</t>
  </si>
  <si>
    <t>Drilled metres, 16,138 north and 8,961 south</t>
  </si>
  <si>
    <t>See Notes sheet, note 2.</t>
  </si>
  <si>
    <t>6    DRILLING CONSUMABLE UNIT COSTS</t>
  </si>
  <si>
    <t>7304-7669-01</t>
  </si>
  <si>
    <t>Shank T38 RD520/525 D45 L525</t>
  </si>
  <si>
    <t>7305-7669-01</t>
  </si>
  <si>
    <t>Shank T45 RD520/525 D45 L525</t>
  </si>
  <si>
    <t>7335-4401</t>
  </si>
  <si>
    <t>Bit adaptor T45F / T38M</t>
  </si>
  <si>
    <t>7314-6261</t>
  </si>
  <si>
    <t>Coupling sleeve T45 / T38</t>
  </si>
  <si>
    <t>7314-3652</t>
  </si>
  <si>
    <t>Coupling sleeve T38 / T38</t>
  </si>
  <si>
    <t>7580-5243A-S70</t>
  </si>
  <si>
    <t>A340 43 mm button bit</t>
  </si>
  <si>
    <t>7580-5345A-R48</t>
  </si>
  <si>
    <t>A340 45 mm button bit</t>
  </si>
  <si>
    <t>7580-5148A-S81</t>
  </si>
  <si>
    <t>A340 48 mm TC button bit</t>
  </si>
  <si>
    <t>7580-4651A-S70</t>
  </si>
  <si>
    <t>A340 51 mm retrac bit</t>
  </si>
  <si>
    <t>7580-5602P-S70</t>
  </si>
  <si>
    <t>Reaming bit A340 102 mm</t>
  </si>
  <si>
    <t>7514-1664-S70</t>
  </si>
  <si>
    <t>T38 64 mm button bit</t>
  </si>
  <si>
    <t>7580-6045-F49</t>
  </si>
  <si>
    <t>Speedy bit A340 45 mm XT49</t>
  </si>
  <si>
    <t>7324-8037-20</t>
  </si>
  <si>
    <t>Drifter rod T38 H35 A340 L=370, drilling steel</t>
  </si>
  <si>
    <t>7324-7949-20</t>
  </si>
  <si>
    <t>Drifter rod T38 R39 A340 L=491, speed rod</t>
  </si>
  <si>
    <t>7324-4731-85</t>
  </si>
  <si>
    <t>MF rod T38 R39 L=3050 mm</t>
  </si>
  <si>
    <t>7324-4331C-30</t>
  </si>
  <si>
    <t>T38 extension round rod L=3050 mm</t>
  </si>
  <si>
    <t>7324-4309C-30</t>
  </si>
  <si>
    <t>Extension rod T38 R39 L=915 mm</t>
  </si>
  <si>
    <t>7324-4709C-20</t>
  </si>
  <si>
    <t>MF rod T38 R39 L=915 mm</t>
  </si>
  <si>
    <t>M2000354</t>
  </si>
  <si>
    <t>Bolting centraliser dia 70 mm front</t>
  </si>
  <si>
    <t>M2000353</t>
  </si>
  <si>
    <t>Bolting centraliser dia 70 mm back</t>
  </si>
  <si>
    <t>M33191232</t>
  </si>
  <si>
    <t>Boring centraliser dia 48 mm</t>
  </si>
  <si>
    <t>33191231</t>
  </si>
  <si>
    <t>Boring centraliser dia 41 mm</t>
  </si>
  <si>
    <t>33191232</t>
  </si>
  <si>
    <t>33191234</t>
  </si>
  <si>
    <t>Bolting centraliser dia 66 mm guide</t>
  </si>
  <si>
    <t>7979-2630</t>
  </si>
  <si>
    <t>T38 dolly 47 mm</t>
  </si>
  <si>
    <t>7979-2626</t>
  </si>
  <si>
    <t>T38 dolly 39 mm</t>
  </si>
  <si>
    <t>6    GROUND SUPPORT DESIGN STANDARD, MINIMUM QUANTITY PER CUT</t>
  </si>
  <si>
    <t>Standard</t>
  </si>
  <si>
    <t>Ground condition</t>
  </si>
  <si>
    <t>MD bolt 2.4 m x 47 mm</t>
  </si>
  <si>
    <t>Split set 2.4 m x 47 mm</t>
  </si>
  <si>
    <t>Stubby split set 0.9 m x 39 mm</t>
  </si>
  <si>
    <t>Mesh sheet 4.5 x 2.4 m</t>
  </si>
  <si>
    <t>Source</t>
  </si>
  <si>
    <t>GSS_01</t>
  </si>
  <si>
    <t>Good ground, Q &gt;= 10</t>
  </si>
  <si>
    <t>GSS01 drawing, minimum quantity per cut</t>
  </si>
  <si>
    <t>GSS_02</t>
  </si>
  <si>
    <t>Fair to poor ground, 10 &gt; Q &gt;= 4</t>
  </si>
  <si>
    <t>GSS02 drawing, minimum quantity per cut</t>
  </si>
  <si>
    <t>GSS_03</t>
  </si>
  <si>
    <t>Poor ground, Q &lt; 4</t>
  </si>
  <si>
    <t>GSS02 standard applied</t>
  </si>
  <si>
    <t>7    DRILLING GEOMETRY, USED TO CALCULATE DRILLED METRES</t>
  </si>
  <si>
    <t>Symbol</t>
  </si>
  <si>
    <t>Cut length</t>
  </si>
  <si>
    <t>Metres advanced per blast round</t>
  </si>
  <si>
    <t>Holes per face</t>
  </si>
  <si>
    <t>Face holes drilled divided by rounds, from LiveMine</t>
  </si>
  <si>
    <t>holes</t>
  </si>
  <si>
    <t>Hole length</t>
  </si>
  <si>
    <t>Drilled length of each face hole, from LiveMine</t>
  </si>
  <si>
    <t>Bolt hole, MD bolt</t>
  </si>
  <si>
    <t>Drilled length per MD bolt hole</t>
  </si>
  <si>
    <t>Bolt hole, split set 2.4m</t>
  </si>
  <si>
    <t>Drilled length per 2.4 m split set hole</t>
  </si>
  <si>
    <t>Bolt hole, split set 0.9m</t>
  </si>
  <si>
    <t>Drilled length per 0.9 m split set hole</t>
  </si>
  <si>
    <t>Bolt hole, cable bolt</t>
  </si>
  <si>
    <t>Drilled length per cable bolt hole</t>
  </si>
  <si>
    <t>SURVEY DEVELOPMENT ADVANCE</t>
  </si>
  <si>
    <t>Source: Byrnecut Development Payment end of month reports, EOM Advance column, signed by the Byrnecut surveyor.</t>
  </si>
  <si>
    <t>Ore and waste rows of one heading are consolidated. North Shoot Decline and NS_1040_ACC_N are one location.</t>
  </si>
  <si>
    <t>1    ADVANCE AS RECORDED BY SURVEY</t>
  </si>
  <si>
    <t>Survey period</t>
  </si>
  <si>
    <t>Heading as recorded</t>
  </si>
  <si>
    <t>Location used in this model</t>
  </si>
  <si>
    <t>Material</t>
  </si>
  <si>
    <t>GS type</t>
  </si>
  <si>
    <t>Profile (m2)</t>
  </si>
  <si>
    <t>Advance (m)</t>
  </si>
  <si>
    <t>1 to 31 May 2026</t>
  </si>
  <si>
    <t>SOUTH DECLINE</t>
  </si>
  <si>
    <t>South Decline</t>
  </si>
  <si>
    <t>Waste</t>
  </si>
  <si>
    <t>NORTH DECLINE</t>
  </si>
  <si>
    <t>North Decline</t>
  </si>
  <si>
    <t>MS_1040_ACC_waste</t>
  </si>
  <si>
    <t>N_1040_ACCESS (NS 1040 access)</t>
  </si>
  <si>
    <t>MS900_ACC_E</t>
  </si>
  <si>
    <t>MS900_DDR_N_waste</t>
  </si>
  <si>
    <t>MS900_DDR_N</t>
  </si>
  <si>
    <t>MS900_DDR_N_waste1</t>
  </si>
  <si>
    <t>S890_SP_W</t>
  </si>
  <si>
    <t>S900_SMP W</t>
  </si>
  <si>
    <t>S900_SMP_W</t>
  </si>
  <si>
    <t>MS_1040_ACC_OD</t>
  </si>
  <si>
    <t>ORE</t>
  </si>
  <si>
    <t>MS900_DDR_N_OD</t>
  </si>
  <si>
    <t>29 May to 28 June 2026</t>
  </si>
  <si>
    <t>NS 1040 ACC_N</t>
  </si>
  <si>
    <t>North Shoot Decline (NS_1040_ACC_N)</t>
  </si>
  <si>
    <t>NS_1040_SP_E</t>
  </si>
  <si>
    <t>MS_0900_SP_S</t>
  </si>
  <si>
    <t>MS_0900_RAD_E</t>
  </si>
  <si>
    <t>MS_0875_SMP_W</t>
  </si>
  <si>
    <t>29 June to 28 July 2026</t>
  </si>
  <si>
    <t>NORTH DECLINE_Waste</t>
  </si>
  <si>
    <t>NS_1040_LSP01_W</t>
  </si>
  <si>
    <t>MS_0870_DSP05_W</t>
  </si>
  <si>
    <t>NS_1040_DSP02_W</t>
  </si>
  <si>
    <t>MS_0900_SP_E</t>
  </si>
  <si>
    <t>NORTH DECLINE_Ore</t>
  </si>
  <si>
    <t>NS 1040 ACC_N_ore</t>
  </si>
  <si>
    <t>29 July to 28 August 2026</t>
  </si>
  <si>
    <t>MS_DSP06</t>
  </si>
  <si>
    <t>MS_PMP_STN1</t>
  </si>
  <si>
    <t>MS_840_DSMP W</t>
  </si>
  <si>
    <t>MS_900_RAD_E</t>
  </si>
  <si>
    <t>MS_900_RAD_N</t>
  </si>
  <si>
    <t>NS_1040_ACC_N</t>
  </si>
  <si>
    <t>Ore</t>
  </si>
  <si>
    <t>NS_1020_ACC_W</t>
  </si>
  <si>
    <t>NS_1020_DSMP</t>
  </si>
  <si>
    <t>NS_1020_LSP01</t>
  </si>
  <si>
    <t>NS_1020_RAD_N</t>
  </si>
  <si>
    <t>2    MONTHLY TOTALS, WHOLE UNDERGROUND MINE</t>
  </si>
  <si>
    <t>Period total</t>
  </si>
  <si>
    <t>Mean per month</t>
  </si>
  <si>
    <t>Days in period</t>
  </si>
  <si>
    <t>days</t>
  </si>
  <si>
    <t>Total advance</t>
  </si>
  <si>
    <t>Advance rate</t>
  </si>
  <si>
    <t>m / day</t>
  </si>
  <si>
    <t>m / shift</t>
  </si>
  <si>
    <t>y</t>
  </si>
  <si>
    <t>See Notes sheet, note 3.</t>
  </si>
  <si>
    <t>STOCK RECONCILIATION, MEASURED CONSUMPTION</t>
  </si>
  <si>
    <t>Source: EOM PL Count Sheets for May and June 2026 and the End July EOM Stocktake Sheet.</t>
  </si>
  <si>
    <t>Consumption = Opening count + Quantity received − Closing count. This measures material actually used, not material signed out of store.</t>
  </si>
  <si>
    <t>Opening (units)</t>
  </si>
  <si>
    <t>Received (units)</t>
  </si>
  <si>
    <t>Closing (units)</t>
  </si>
  <si>
    <t>Consumption (units)</t>
  </si>
  <si>
    <t>7324-8043-20</t>
  </si>
  <si>
    <t>Drifter rod T38 H35 A340 L=430, scaling rod</t>
  </si>
  <si>
    <t>D1515441GWA</t>
  </si>
  <si>
    <t>Plate dome 150 x 150 x 4, 41H galvanised</t>
  </si>
  <si>
    <t>CBP328154-47G</t>
  </si>
  <si>
    <t>D/Fly plate 300 x 280 galvanised</t>
  </si>
  <si>
    <t>BPG3002806</t>
  </si>
  <si>
    <t>Combi plate 300 x 280 x 6 mm galvanised</t>
  </si>
  <si>
    <t>BLW15003RWA</t>
  </si>
  <si>
    <t>Barrel and 3 piece wedge anchor</t>
  </si>
  <si>
    <t>FCB20203H222WA</t>
  </si>
  <si>
    <t>Plate flat 200 x 200 x 12 mm</t>
  </si>
  <si>
    <t>See Notes sheet, note 4.</t>
  </si>
  <si>
    <t>CONSUMPTION FROM THE STOCK USAGE ISSUE REGISTERS</t>
  </si>
  <si>
    <t>Source: Stock Usage Sheets, May to August 2026. Sum of the Qty issued column by item and month.</t>
  </si>
  <si>
    <t>This measures material signed out of store and recorded on a transaction. It is the second, independent measure of consumption.</t>
  </si>
  <si>
    <t>May (units)</t>
  </si>
  <si>
    <t>June (units)</t>
  </si>
  <si>
    <t>July (units)</t>
  </si>
  <si>
    <t>August (units)</t>
  </si>
  <si>
    <t>Total (units)</t>
  </si>
  <si>
    <t>Note</t>
  </si>
  <si>
    <t>No issue transaction recorded for this item</t>
  </si>
  <si>
    <t>Total, all items</t>
  </si>
  <si>
    <t>See Notes sheet, note 5.</t>
  </si>
  <si>
    <t>COMPARISON OF THE TWO CONSUMPTION MEASURES</t>
  </si>
  <si>
    <t>Stock count consumption against issue register consumption, by item and month.</t>
  </si>
  <si>
    <t>The stock count is the costing basis. The issue register is the corroborating measure. Neither has been adjusted to match the other.</t>
  </si>
  <si>
    <t>MAY 2026</t>
  </si>
  <si>
    <t>Stock count (units)</t>
  </si>
  <si>
    <t>Issue register (units)</t>
  </si>
  <si>
    <t>Gap (units)</t>
  </si>
  <si>
    <t>Register capture</t>
  </si>
  <si>
    <t>Flag</t>
  </si>
  <si>
    <t>May 2026 total</t>
  </si>
  <si>
    <t>JUNE 2026</t>
  </si>
  <si>
    <t>June 2026 total</t>
  </si>
  <si>
    <t>JULY 2026</t>
  </si>
  <si>
    <t>July 2026 total</t>
  </si>
  <si>
    <t>AUGUST 2026</t>
  </si>
  <si>
    <t>August 2026 total</t>
  </si>
  <si>
    <t>OVERALL</t>
  </si>
  <si>
    <t>All items, period total</t>
  </si>
  <si>
    <t>See Notes sheet, note 6.</t>
  </si>
  <si>
    <t>See Notes sheet, note 7.</t>
  </si>
  <si>
    <t>SHEET A   SCALING</t>
  </si>
  <si>
    <t>Scaling and sounding of the face and walls before development drilling.</t>
  </si>
  <si>
    <t>Quantities are measured consumption. Cost = quantity x unit cost. All costs in United States dollars.</t>
  </si>
  <si>
    <t>Units per metre</t>
  </si>
  <si>
    <t>Total cost (US$), period</t>
  </si>
  <si>
    <t>Cost per metre (US$/m), period</t>
  </si>
  <si>
    <t>Drilling consumables</t>
  </si>
  <si>
    <t>Drilling consumables, subtotal</t>
  </si>
  <si>
    <t>SHEET TOTAL</t>
  </si>
  <si>
    <t>Key</t>
  </si>
  <si>
    <t>No unit price in the source data.</t>
  </si>
  <si>
    <t>Same item as the face drill uses. Counted once, on sheet C.</t>
  </si>
  <si>
    <t>SHEET B   GROUND SUPPORT, BOLTING AND MESHING</t>
  </si>
  <si>
    <t>Installation of primary ground support: bolts, bearing plates and mesh.</t>
  </si>
  <si>
    <t>Bolts</t>
  </si>
  <si>
    <t>Bolts, subtotal</t>
  </si>
  <si>
    <t>Bearing plates</t>
  </si>
  <si>
    <t>Bearing plates, subtotal</t>
  </si>
  <si>
    <t>Mesh</t>
  </si>
  <si>
    <t>Mesh, subtotal</t>
  </si>
  <si>
    <t>Plate cost is inside the bolt price, quoted Bolt and Plate.</t>
  </si>
  <si>
    <t>SHEET C   DEVELOPMENT DRILLING, FACE DRILL</t>
  </si>
  <si>
    <t>Face drilling for blast rounds. This sheet carries all shared drill steel.</t>
  </si>
  <si>
    <t>Shanks</t>
  </si>
  <si>
    <t>Shanks, subtotal</t>
  </si>
  <si>
    <t>Couplings and adaptors</t>
  </si>
  <si>
    <t>Couplings and adaptors, subtotal</t>
  </si>
  <si>
    <t>Bits</t>
  </si>
  <si>
    <t>Bits, subtotal</t>
  </si>
  <si>
    <t>Rods</t>
  </si>
  <si>
    <t>Rods, subtotal</t>
  </si>
  <si>
    <t>Centralisers and dollies</t>
  </si>
  <si>
    <t>Centralisers and dollies, subtotal</t>
  </si>
  <si>
    <t>No unit price in the source data. Enter prices here and the model completes.</t>
  </si>
  <si>
    <t>Measured consumption. A complete result that needs no price.</t>
  </si>
  <si>
    <t>SHEET D   CABLE BOLTING</t>
  </si>
  <si>
    <t>Cable bolt installation in crosscuts, wide spans, poor ground and stock brows.</t>
  </si>
  <si>
    <t>Cable bolts and hardware, subtotal</t>
  </si>
  <si>
    <t>Plate cost is inside the bolt price.</t>
  </si>
  <si>
    <t>DRILLED METRES</t>
  </si>
  <si>
    <t>DRM = total metres of hole drilled. Drill steel wears with metres of hole drilled, not metres of heading advanced.</t>
  </si>
  <si>
    <t>Bolt hole metres come from bolts installed. Face metres come from the holes actually drilled, recorded in LiveMine.</t>
  </si>
  <si>
    <t>1    BOLT HOLE DRILLED METRES, CALCULATED FROM BOLTS INSTALLED</t>
  </si>
  <si>
    <t>Bolt type</t>
  </si>
  <si>
    <t>Hole length (m)</t>
  </si>
  <si>
    <t>May (drilled m)</t>
  </si>
  <si>
    <t>June (drilled m)</t>
  </si>
  <si>
    <t>July (drilled m)</t>
  </si>
  <si>
    <t>August (drilled m)</t>
  </si>
  <si>
    <t>Total (drilled m)</t>
  </si>
  <si>
    <t>Bolts installed, period</t>
  </si>
  <si>
    <t>Calculation</t>
  </si>
  <si>
    <t>Total bolt hole drilled metres</t>
  </si>
  <si>
    <t>2    FACE DRILLED METRES, FROM THE LIVEMINE JUMBO PLOD</t>
  </si>
  <si>
    <t>Term</t>
  </si>
  <si>
    <t>Face holes drilled</t>
  </si>
  <si>
    <t>LiveMine Jumbo PLOD, Face Hole Drilled</t>
  </si>
  <si>
    <t>Reaming holes drilled</t>
  </si>
  <si>
    <t>LiveMine Jumbo PLOD, Ream Hole Drilled</t>
  </si>
  <si>
    <t>Drilled length per hole</t>
  </si>
  <si>
    <t>LiveMine Jumbo PLOD, Hole Length</t>
  </si>
  <si>
    <t>Face drilled metres</t>
  </si>
  <si>
    <t>( face holes + reaming holes ) x drilled length per hole</t>
  </si>
  <si>
    <t>Metres advanced</t>
  </si>
  <si>
    <t>Face drilled metres per advance metre</t>
  </si>
  <si>
    <t>drilled m / m</t>
  </si>
  <si>
    <t>3    TOTAL DRILLED METRES</t>
  </si>
  <si>
    <t>DRM, total drilled metres</t>
  </si>
  <si>
    <t>DRM per advance metre</t>
  </si>
  <si>
    <t>4    BIT LIFE, THE TWO BITS UNDER INVESTIGATION</t>
  </si>
  <si>
    <t>See Notes sheet, note 8.</t>
  </si>
  <si>
    <t>Bit</t>
  </si>
  <si>
    <t>Bits consumed, period</t>
  </si>
  <si>
    <t>Drilled metres per bit, from records</t>
  </si>
  <si>
    <t>Resharpens per bit, from the trial</t>
  </si>
  <si>
    <t>Drilled metres per bit, from the trial</t>
  </si>
  <si>
    <t>Enter the trial result in the two shaded cells</t>
  </si>
  <si>
    <t>Difference, 48 mm against 43 mm</t>
  </si>
  <si>
    <t>See Notes sheet, note 9.</t>
  </si>
  <si>
    <t>PLAN VERSUS ACTUAL GROUND SUPPORT, BY GROUND CLASS</t>
  </si>
  <si>
    <t>V = actual per metre - design per metre.    V % = ( actual - design ) / design x 100</t>
  </si>
  <si>
    <t>Design quantities are read from the GSS drawings and are per cut. They are converted to a per metre basis using the cut length on the Inputs sheet.</t>
  </si>
  <si>
    <t>1    METRES DRIVEN IN EACH GROUND CLASS</t>
  </si>
  <si>
    <t>Ground class</t>
  </si>
  <si>
    <t>May (m)</t>
  </si>
  <si>
    <t>June (m)</t>
  </si>
  <si>
    <t>July (m)</t>
  </si>
  <si>
    <t>August (m)</t>
  </si>
  <si>
    <t>Period (m)</t>
  </si>
  <si>
    <t>Share of total</t>
  </si>
  <si>
    <t>Total</t>
  </si>
  <si>
    <t>2    DESIGN QUANTITY PER METRE, WEIGHTED BY GROUND CLASS</t>
  </si>
  <si>
    <t>Design per cut</t>
  </si>
  <si>
    <t>May (per m)</t>
  </si>
  <si>
    <t>June (per m)</t>
  </si>
  <si>
    <t>July (per m)</t>
  </si>
  <si>
    <t>August (per m)</t>
  </si>
  <si>
    <t>Period (per m)</t>
  </si>
  <si>
    <t>see Inputs section 6</t>
  </si>
  <si>
    <t>Weighted by the metres driven in each ground class</t>
  </si>
  <si>
    <t>3    ACTUAL QUANTITY PER METRE</t>
  </si>
  <si>
    <t>Units consumed, period</t>
  </si>
  <si>
    <t>4    VARIANCE AGAINST DESIGN</t>
  </si>
  <si>
    <t>MD bolt 2.4 m x 47 mm variance</t>
  </si>
  <si>
    <t>units / m</t>
  </si>
  <si>
    <t>Positive means more consumed than the design requires</t>
  </si>
  <si>
    <t>MD bolt 2.4 m x 47 mm variance, per cent</t>
  </si>
  <si>
    <t>%</t>
  </si>
  <si>
    <t>Split set 2.4 m x 47 mm variance</t>
  </si>
  <si>
    <t>Split set 2.4 m x 47 mm variance, per cent</t>
  </si>
  <si>
    <t>Stubby split set 0.9 m x 39 mm variance</t>
  </si>
  <si>
    <t>Stubby split set 0.9 m x 39 mm variance, per cent</t>
  </si>
  <si>
    <t>Mesh sheet 4.5 x 2.4 m variance</t>
  </si>
  <si>
    <t>Mesh sheet 4.5 x 2.4 m variance, per cent</t>
  </si>
  <si>
    <t>5    CLASSIFICATION OF ANY OVER CONSUMPTION</t>
  </si>
  <si>
    <t>Variance (units/m)</t>
  </si>
  <si>
    <t>Classification</t>
  </si>
  <si>
    <t>Evidence relied on</t>
  </si>
  <si>
    <t>Action</t>
  </si>
  <si>
    <t>See Notes sheet, note 10.</t>
  </si>
  <si>
    <t>6    DESIGN PER METRE AT A RANGE OF CUT LENGTHS, PERIOD BASIS</t>
  </si>
  <si>
    <t>Cut length (m)</t>
  </si>
  <si>
    <t>MD bolt design (per m)</t>
  </si>
  <si>
    <t>MD bolt actual (per m)</t>
  </si>
  <si>
    <t>Variance (per m)</t>
  </si>
  <si>
    <t>Variance (per cent)</t>
  </si>
  <si>
    <t>Mesh design (per m)</t>
  </si>
  <si>
    <t>See Notes sheet, note 11.</t>
  </si>
  <si>
    <t>See Notes sheet, note 12.</t>
  </si>
  <si>
    <t>DEVELOPMENT UNIT COST</t>
  </si>
  <si>
    <t>Equations 1 to 4, cost per drilled metre, and the advance rate scenarios.</t>
  </si>
  <si>
    <t>All costs in United States dollars. Metres are survey measured. Whole underground mine.</t>
  </si>
  <si>
    <t>1    EQUATION 2      UC support = ( C bolts + C mesh + C plates + C resin + C cable ) ÷ m</t>
  </si>
  <si>
    <t>C bolts</t>
  </si>
  <si>
    <t>Price includes the plate</t>
  </si>
  <si>
    <t>C mesh</t>
  </si>
  <si>
    <t>10.8 m2 per sheet</t>
  </si>
  <si>
    <t>C plates</t>
  </si>
  <si>
    <t>Zero, sits inside the bolt price</t>
  </si>
  <si>
    <t>C resin and grout</t>
  </si>
  <si>
    <t>Zero, no unit price available</t>
  </si>
  <si>
    <t>C cable bolts</t>
  </si>
  <si>
    <t>Reported separately</t>
  </si>
  <si>
    <t>Total ground support consumable cost</t>
  </si>
  <si>
    <t>m, metres advanced</t>
  </si>
  <si>
    <t>US$ / m</t>
  </si>
  <si>
    <t>2    EQUATION 1      UC drill = ( C bits + C rods + C shanks + C couplings + C centralisers ) ÷ m</t>
  </si>
  <si>
    <t>C bits</t>
  </si>
  <si>
    <t>Quantity x unit price, from C_Face_Drilling</t>
  </si>
  <si>
    <t>C rods</t>
  </si>
  <si>
    <t>C shanks</t>
  </si>
  <si>
    <t>C couplings</t>
  </si>
  <si>
    <t>C centralisers and dollies</t>
  </si>
  <si>
    <t>Total drilling consumable cost</t>
  </si>
  <si>
    <t>UC drill, per metre advanced</t>
  </si>
  <si>
    <t>UC drill per drilled metre</t>
  </si>
  <si>
    <t>US$ / drilled m</t>
  </si>
  <si>
    <t>See Notes sheet, note 13.</t>
  </si>
  <si>
    <t>See Notes sheet, note 14.</t>
  </si>
  <si>
    <t>3    EQUATION 3      UC total = UC drill + UC support</t>
  </si>
  <si>
    <t>UC support, from Equation 2</t>
  </si>
  <si>
    <t>UC drill, from Equation 1</t>
  </si>
  <si>
    <t>Consumable unit cost, UC drill + UC support</t>
  </si>
  <si>
    <t>4    ADVANCE RATE AGAINST CONSUMABLE UNIT COST</t>
  </si>
  <si>
    <t>Scenario, on the August basis</t>
  </si>
  <si>
    <t>If consumption stays at the same total (US$/m)</t>
  </si>
  <si>
    <t>If consumption stays at the same rate per metre (US$/m)</t>
  </si>
  <si>
    <t>Change in the first case</t>
  </si>
  <si>
    <t>Advance as achieved in July</t>
  </si>
  <si>
    <t>Advance 15 per cent higher</t>
  </si>
  <si>
    <t>Advance 30 per cent higher</t>
  </si>
  <si>
    <t>See Notes sheet, note 15.</t>
  </si>
  <si>
    <t>5    EQUATION 4      WHY THE CONSUMABLE UNIT COST MOVED</t>
  </si>
  <si>
    <t>May to June</t>
  </si>
  <si>
    <t>June to July</t>
  </si>
  <si>
    <t>July to August</t>
  </si>
  <si>
    <t>U0, unit cost in the earlier month</t>
  </si>
  <si>
    <t>U1, unit cost in the later month</t>
  </si>
  <si>
    <t>C0, total consumable cost in the earlier month</t>
  </si>
  <si>
    <t>C1, total consumable cost in the later month</t>
  </si>
  <si>
    <t>A0, metres advanced in the earlier month</t>
  </si>
  <si>
    <t>A1, metres advanced in the later month</t>
  </si>
  <si>
    <t>Total change in unit cost</t>
  </si>
  <si>
    <t>Change caused by consumption</t>
  </si>
  <si>
    <t>More or less material used</t>
  </si>
  <si>
    <t>Change caused by advance rate</t>
  </si>
  <si>
    <t>Spend spread over more or fewer metres</t>
  </si>
  <si>
    <t>Check, the two causes sum to the total</t>
  </si>
  <si>
    <t>Reads 0.000000, exact</t>
  </si>
  <si>
    <t>ANALYSIS BY HEADING AND BY PORTAL</t>
  </si>
  <si>
    <t>May, June, July and August 2026. Every heading in all four months is confirmed to a portal.</t>
  </si>
  <si>
    <t>The Northern Portal is driven entirely in GSS_02 and GSS_03 ground. The Southern Portal is driven entirely in GSS_01 ground.</t>
  </si>
  <si>
    <t>1    DEVELOPMENT ADVANCE BY HEADING</t>
  </si>
  <si>
    <t>Heading</t>
  </si>
  <si>
    <t>May 2026 (m)</t>
  </si>
  <si>
    <t>June 2026 (m)</t>
  </si>
  <si>
    <t>July 2026 (m)</t>
  </si>
  <si>
    <t>August 2026 (m)</t>
  </si>
  <si>
    <t>Total (m)</t>
  </si>
  <si>
    <t>Share of portal</t>
  </si>
  <si>
    <t>Share of mine</t>
  </si>
  <si>
    <t>Ground support standard</t>
  </si>
  <si>
    <t>Northern</t>
  </si>
  <si>
    <t>GSS_02, GSS_03</t>
  </si>
  <si>
    <t>GSS_01, GSS_02</t>
  </si>
  <si>
    <t>Southern</t>
  </si>
  <si>
    <t>Total, both portals</t>
  </si>
  <si>
    <t>2    PORTAL AND WHOLE MINE RESULTS</t>
  </si>
  <si>
    <t>Whole mine</t>
  </si>
  <si>
    <t>Metres advanced, May 2026</t>
  </si>
  <si>
    <t>Metres advanced, June 2026</t>
  </si>
  <si>
    <t>Metres advanced, July 2026</t>
  </si>
  <si>
    <t>Metres advanced, August 2026</t>
  </si>
  <si>
    <t>Metres advanced, May to August</t>
  </si>
  <si>
    <t>Measured by survey</t>
  </si>
  <si>
    <t>Ground support consumable cost, May 2026</t>
  </si>
  <si>
    <t>Split, see Inputs</t>
  </si>
  <si>
    <t>Ground support consumable cost, June 2026</t>
  </si>
  <si>
    <t>Ground support consumable cost, July 2026</t>
  </si>
  <si>
    <t>Ground support consumable cost, August 2026</t>
  </si>
  <si>
    <t>Ground support consumable cost, May to August</t>
  </si>
  <si>
    <t>UC support, May 2026</t>
  </si>
  <si>
    <t>UC support, June 2026</t>
  </si>
  <si>
    <t>UC support, July 2026</t>
  </si>
  <si>
    <t>UC support, August 2026</t>
  </si>
  <si>
    <t>UC support, May to August</t>
  </si>
  <si>
    <t>Drilling consumable cost, May 2026</t>
  </si>
  <si>
    <t>Split by measured drilled metres</t>
  </si>
  <si>
    <t>Drilling consumable cost, June 2026</t>
  </si>
  <si>
    <t>Drilling consumable cost, July 2026</t>
  </si>
  <si>
    <t>Drilling consumable cost, August 2026</t>
  </si>
  <si>
    <t>Drilling consumable cost, May to August</t>
  </si>
  <si>
    <t>UC drill, May to August</t>
  </si>
  <si>
    <t>UC total consumable, May to August</t>
  </si>
  <si>
    <t>Support plus drilling</t>
  </si>
  <si>
    <t>3    RECONCILIATION CHECKS</t>
  </si>
  <si>
    <t>Check</t>
  </si>
  <si>
    <t>Result</t>
  </si>
  <si>
    <t>Sum of headings less both portals combined</t>
  </si>
  <si>
    <t>Northern plus Southern metres less combined</t>
  </si>
  <si>
    <t>Northern plus Southern cost less combined</t>
  </si>
  <si>
    <t>May to August mine cost less Equation 2 total</t>
  </si>
  <si>
    <t>PARETO ANALYSIS OF CONSUMABLE COST</t>
  </si>
  <si>
    <t>P i = C i ÷ Σ C i × 100        Cum i = Σ ( C 1 … C i ) ÷ Σ C i × 100</t>
  </si>
  <si>
    <t>All priced consumables, ground support and drilling, over the whole four month period May to August 2026, not a single month.</t>
  </si>
  <si>
    <t>Rank and consumable</t>
  </si>
  <si>
    <t>Activity</t>
  </si>
  <si>
    <t>Total cost (US$)</t>
  </si>
  <si>
    <t>Cost per metre (US$/m)</t>
  </si>
  <si>
    <t>Cumulative share</t>
  </si>
  <si>
    <t>In the top 80 per cent</t>
  </si>
  <si>
    <t>1.   MD bolt 2.4 m galvanised</t>
  </si>
  <si>
    <t>Ground support</t>
  </si>
  <si>
    <t>2.   Shank T45 RD520/525 D45 L525</t>
  </si>
  <si>
    <t>Face drilling</t>
  </si>
  <si>
    <t>3.   Mesh 2.40 x 4.50 m galvanised</t>
  </si>
  <si>
    <t>4.   Bit adaptor T45F / T38M</t>
  </si>
  <si>
    <t>5.   Coupling sleeve T45 / T38</t>
  </si>
  <si>
    <t>6.   Friction bolt 47 x 2400 galvanised</t>
  </si>
  <si>
    <t>7.   Drifter rod T38 R39 A340 L=491, speed rod</t>
  </si>
  <si>
    <t>8.   Friction bolt 47 x 900 galvanised</t>
  </si>
  <si>
    <t>9.   Boring centraliser dia 41 mm</t>
  </si>
  <si>
    <t>10.   Shank T38 RD520/525 D45 L525</t>
  </si>
  <si>
    <t>11.   Speedy bit A340 45 mm XT49</t>
  </si>
  <si>
    <t>12.   Reaming bit A340 102 mm</t>
  </si>
  <si>
    <t>13.   Drifter rod T38 H35 A340 L=370, drilling steel</t>
  </si>
  <si>
    <t>14.   Cable bolt twin strand bulbed 15.2 mm</t>
  </si>
  <si>
    <t>Cable bolting</t>
  </si>
  <si>
    <t>15.   T38 extension round rod L=3050 mm</t>
  </si>
  <si>
    <t>16.   A340 45 mm button bit</t>
  </si>
  <si>
    <t>17.   A340 43 mm button bit</t>
  </si>
  <si>
    <t>18.   T38 64 mm button bit</t>
  </si>
  <si>
    <t>19.   Boring centraliser dia 48 mm</t>
  </si>
  <si>
    <t>20.   A340 51 mm retrac bit</t>
  </si>
  <si>
    <t>21.   MF rod T38 R39 L=3050 mm</t>
  </si>
  <si>
    <t>22.   A340 48 mm TC button bit</t>
  </si>
  <si>
    <t>23.   Friction bolt 39 x 900 galvanised</t>
  </si>
  <si>
    <t>24.   Bolting centraliser dia 66 mm guide</t>
  </si>
  <si>
    <t>25.   Bolting centraliser dia 70 mm front</t>
  </si>
  <si>
    <t>26.   Extension rod T38 R39 L=915 mm</t>
  </si>
  <si>
    <t>27.   MF rod T38 R39 L=915 mm</t>
  </si>
  <si>
    <t>28.   T38 dolly 47 mm</t>
  </si>
  <si>
    <t>29.   Coupling sleeve T38 / T38</t>
  </si>
  <si>
    <t>30.   T38 dolly 39 mm</t>
  </si>
  <si>
    <t>31.   Boring centraliser dia 48 mm</t>
  </si>
  <si>
    <t>32.   Bolting centraliser dia 70 mm back</t>
  </si>
  <si>
    <t>Yes marks every item needed to reach 80 per cent of cumulative cost.</t>
  </si>
  <si>
    <t>See Notes sheet, note 16.</t>
  </si>
  <si>
    <t>RECONCILIATION OF CONSUMPTION ACROSS THE THREE MINE RECORDS</t>
  </si>
  <si>
    <t>Source: EOM stock counts, LiveMine installation records and Stock Usage issue registers, May to August 2026.</t>
  </si>
  <si>
    <t>No record has been adjusted to match another. Where they disagree, the disagreement is the finding.</t>
  </si>
  <si>
    <t>1    WHAT EACH RECORD ACTUALLY MEASURES</t>
  </si>
  <si>
    <t>Record</t>
  </si>
  <si>
    <t>Measures</t>
  </si>
  <si>
    <t>What it captures</t>
  </si>
  <si>
    <t>Typically</t>
  </si>
  <si>
    <t>Stock count</t>
  </si>
  <si>
    <t>Left the store</t>
  </si>
  <si>
    <t>Everything drawn out of store between two counts, whether installed, broken, lost or still on the stockpile</t>
  </si>
  <si>
    <t>Highest</t>
  </si>
  <si>
    <t>LiveMine</t>
  </si>
  <si>
    <t>Went into the rock</t>
  </si>
  <si>
    <t>Material the operator recorded as installed, by shift and heading</t>
  </si>
  <si>
    <t>Middle</t>
  </si>
  <si>
    <t>Issue register</t>
  </si>
  <si>
    <t>Signed for</t>
  </si>
  <si>
    <t>Only transactions written on a docket. Bulk drops and untracked draws are missed</t>
  </si>
  <si>
    <t>Lowest</t>
  </si>
  <si>
    <t>See Notes sheet, note 17.</t>
  </si>
  <si>
    <t>2    THE THREE RECORDS COMPARED</t>
  </si>
  <si>
    <t>Costed in this model</t>
  </si>
  <si>
    <t>Spread, highest over lowest</t>
  </si>
  <si>
    <t>Bought but not installed</t>
  </si>
  <si>
    <t>Comment</t>
  </si>
  <si>
    <t>MD bolt 2.4 m</t>
  </si>
  <si>
    <t>not supplied</t>
  </si>
  <si>
    <t>Friction bolt 47 x 2400</t>
  </si>
  <si>
    <t>Friction bolt 47 x 900</t>
  </si>
  <si>
    <t>Friction bolt 39 x 900</t>
  </si>
  <si>
    <t>Mesh 2.40 x 4.50 m</t>
  </si>
  <si>
    <t>Cable bolt</t>
  </si>
  <si>
    <t>Total, all items, May to August</t>
  </si>
  <si>
    <t>3    WHAT THE GAP MEANS, FOR THE MONTHS WHERE LIVEMINE WAS SUPPLIED</t>
  </si>
  <si>
    <t>Units</t>
  </si>
  <si>
    <t>Share of stock count</t>
  </si>
  <si>
    <t>Left the store, by stock count</t>
  </si>
  <si>
    <t>The mine paid for all of this</t>
  </si>
  <si>
    <t>Went into the rock, by LiveMine</t>
  </si>
  <si>
    <t>This is what the ground actually received</t>
  </si>
  <si>
    <t>Difference, bought but not installed</t>
  </si>
  <si>
    <t>Breakage, loss, and stock still lying at the portal</t>
  </si>
  <si>
    <t>See Notes sheet, note 18.</t>
  </si>
  <si>
    <t>4    THE SAME GAP IN MONEY</t>
  </si>
  <si>
    <t>Cost (US$), May to July</t>
  </si>
  <si>
    <t>US$ per metre advanced</t>
  </si>
  <si>
    <t>Ground support cost as costed, on the stock count</t>
  </si>
  <si>
    <t>The months where an installation record exists</t>
  </si>
  <si>
    <t>Ground support cost of the material actually installed</t>
  </si>
  <si>
    <t>Scaled by the installed share above. It is an estimate, not a separate costing</t>
  </si>
  <si>
    <t>Cost of material bought but not installed</t>
  </si>
  <si>
    <t>The size of the prize if the loss is closed</t>
  </si>
  <si>
    <t>See Notes sheet, note 19.</t>
  </si>
  <si>
    <t>5    CHART DATA</t>
  </si>
  <si>
    <t>Units, period</t>
  </si>
  <si>
    <t>WHY MAY SHOWS LOW METRES AND A HIGH CONSUMPTION RATE</t>
  </si>
  <si>
    <t>Question raised by the mine manager. Every figure below is calculated on this sheet from the same sources as the rest of the workbook.</t>
  </si>
  <si>
    <t>1    THE TWO FIGURES THE QUESTION IS ABOUT</t>
  </si>
  <si>
    <t>Rank of May</t>
  </si>
  <si>
    <t>Lowest of the four months</t>
  </si>
  <si>
    <t>Consumable cost per metre, as counted</t>
  </si>
  <si>
    <t>Highest of the four months</t>
  </si>
  <si>
    <t>See Notes sheet, note 20.</t>
  </si>
  <si>
    <t>2    IS THE MAY CONSUMPTION REAL? THE MESH TEST</t>
  </si>
  <si>
    <t>What it measures</t>
  </si>
  <si>
    <t>Mesh sheets, stock count</t>
  </si>
  <si>
    <t>sheets</t>
  </si>
  <si>
    <t>Everything that left the store</t>
  </si>
  <si>
    <t>Mesh sheets, LiveMine installed</t>
  </si>
  <si>
    <t>What the operator recorded as installed</t>
  </si>
  <si>
    <t>Sheets per metre advanced</t>
  </si>
  <si>
    <t>Comparison</t>
  </si>
  <si>
    <t>From the stock count</t>
  </si>
  <si>
    <t>sheets / m</t>
  </si>
  <si>
    <t>May is four to six times every other month</t>
  </si>
  <si>
    <t>From LiveMine</t>
  </si>
  <si>
    <t>May sits with June, July and the design</t>
  </si>
  <si>
    <t>Design standard, both GSS drawings</t>
  </si>
  <si>
    <t>6 sheets per 4.0 m cut</t>
  </si>
  <si>
    <t>See Notes sheet, note 21.</t>
  </si>
  <si>
    <t>3    THE SIZE OF THE COUNTING ERROR</t>
  </si>
  <si>
    <t>Mesh sheets counted as used in May</t>
  </si>
  <si>
    <t>End of month stock reconciliation</t>
  </si>
  <si>
    <t>Mesh sheets recorded as installed in May</t>
  </si>
  <si>
    <t>LiveMine installation record</t>
  </si>
  <si>
    <t>Sheets counted but not installed</t>
  </si>
  <si>
    <t>The difference between the two rows above</t>
  </si>
  <si>
    <t>Unit cost of one mesh sheet</t>
  </si>
  <si>
    <t>Mine price list, converted at the rate on Inputs</t>
  </si>
  <si>
    <t>Value of the overstatement</t>
  </si>
  <si>
    <t>Sheets counted but not installed, multiplied by the unit cost</t>
  </si>
  <si>
    <t>4    MAY WITH THE COUNTING ERROR REMOVED</t>
  </si>
  <si>
    <t>The figure the question is about</t>
  </si>
  <si>
    <t>Less the mesh overstatement, per metre</t>
  </si>
  <si>
    <t>The counting error expressed per metre advanced</t>
  </si>
  <si>
    <t>Consumable cost per metre, corrected</t>
  </si>
  <si>
    <t>May on the same basis as the other three months</t>
  </si>
  <si>
    <t>Mean of June, July and August</t>
  </si>
  <si>
    <t>The three months with no known counting error</t>
  </si>
  <si>
    <t>Corrected May against that mean</t>
  </si>
  <si>
    <t>Negative means May was cheaper per metre than the other months</t>
  </si>
  <si>
    <t>See Notes sheet, note 22.</t>
  </si>
  <si>
    <t>5    ANSWER IN ONE LINE</t>
  </si>
  <si>
    <t>May did not have a high consumption rate. One mesh stock count was overstated, and that single error accounts for the whole difference.</t>
  </si>
  <si>
    <t>See Notes sheet, note 23.</t>
  </si>
  <si>
    <t>FIGURES</t>
  </si>
  <si>
    <t>Each figure is followed by the table of values it was drawn from.</t>
  </si>
  <si>
    <t>Figure 1.   Ground support consumable cost per metre, by month</t>
  </si>
  <si>
    <t>Values used in Figure 1</t>
  </si>
  <si>
    <t>US$ per metre</t>
  </si>
  <si>
    <t>Figure 2.   Development advance, by month</t>
  </si>
  <si>
    <t>Values used in Figure 2</t>
  </si>
  <si>
    <t>Figure 3.   Total consumable cost, ten largest items, May to August 2026</t>
  </si>
  <si>
    <t>Values used in Figure 3</t>
  </si>
  <si>
    <t>Shank T45</t>
  </si>
  <si>
    <t>Mesh 2.4 x 4.5 m</t>
  </si>
  <si>
    <t>Bit adaptor T45/T38</t>
  </si>
  <si>
    <t>Coupling T45/T38</t>
  </si>
  <si>
    <t>Friction bolt 47x2400</t>
  </si>
  <si>
    <t>Speed rod T38</t>
  </si>
  <si>
    <t>Friction bolt 47x900</t>
  </si>
  <si>
    <t>Boring centraliser 41</t>
  </si>
  <si>
    <t>Shank T38</t>
  </si>
  <si>
    <t>Figure 4.   Share of total consumable cost, ten largest items</t>
  </si>
  <si>
    <t>Values used in Figure 4</t>
  </si>
  <si>
    <t>Share of total cost</t>
  </si>
  <si>
    <t>Figure 5.   Bolts installed per metre advanced</t>
  </si>
  <si>
    <t>Values used in Figure 5</t>
  </si>
  <si>
    <t>Bolts per metre</t>
  </si>
  <si>
    <t>Figure 6.   Mesh sheets installed per metre advanced</t>
  </si>
  <si>
    <t>Values used in Figure 6</t>
  </si>
  <si>
    <t>Mesh sheets per metre</t>
  </si>
  <si>
    <t>Figure 7.   Consumption recorded by each measure, May to July 2026</t>
  </si>
  <si>
    <t>Values used in Figure 7</t>
  </si>
  <si>
    <t>Figure 8.   Metres driven in each ground class, May to August 2026</t>
  </si>
  <si>
    <t>Values used in Figure 8</t>
  </si>
  <si>
    <t>Metres</t>
  </si>
  <si>
    <t>GSS_01 good</t>
  </si>
  <si>
    <t>GSS_02 fair</t>
  </si>
  <si>
    <t>GSS_03 poor</t>
  </si>
  <si>
    <t>Figure 9.   Cost per metre by portal, May to August 2026</t>
  </si>
  <si>
    <t>Values used in Figure 9</t>
  </si>
  <si>
    <t>Figure 10.   Development advance by heading, the eight largest</t>
  </si>
  <si>
    <t>Values used in Figure 10</t>
  </si>
  <si>
    <t>DAILY LOG</t>
  </si>
  <si>
    <t>Source: LiveMine daily records, 1 May to 24 August 2026. One row per day.</t>
  </si>
  <si>
    <t>Rows to 24 August are loaded from LiveMine. Continue below in the same format, one row per day.</t>
  </si>
  <si>
    <t>Date</t>
  </si>
  <si>
    <t>Shift</t>
  </si>
  <si>
    <t>MD bolts installed</t>
  </si>
  <si>
    <t>Split sets installed</t>
  </si>
  <si>
    <t>Mesh sheets installed</t>
  </si>
  <si>
    <t>Holes drilled</t>
  </si>
  <si>
    <t>Rods changed</t>
  </si>
  <si>
    <t>Items returned serviceable</t>
  </si>
  <si>
    <t>Source or remark</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</si>
  <si>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</si>
  <si>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</si>
  <si>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</si>
  <si>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</si>
  <si>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</si>
  <si>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</si>
  <si>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</si>
  <si>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</si>
  <si>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</si>
  <si>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</si>
  <si>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</si>
  <si>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</si>
  <si>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</si>
  <si>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</si>
  <si>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</si>
  <si>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</si>
  <si>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</si>
  <si>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</si>
  <si>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</si>
  <si>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</si>
  <si>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</si>
  <si>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</si>
  <si>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</si>
  <si>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</si>
  <si>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</si>
  <si>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</si>
  <si>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</si>
  <si>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</si>
  <si>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</si>
  <si>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</si>
  <si>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</si>
  <si>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</si>
  <si>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</si>
  <si>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</si>
  <si>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</si>
  <si>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</si>
  <si>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</si>
  <si>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</si>
  <si>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</si>
  <si>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</si>
  <si>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</si>
  <si>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</si>
  <si>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</si>
  <si>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</si>
  <si>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</si>
  <si>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</si>
  <si>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</si>
  <si>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</si>
  <si>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</si>
  <si>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</si>
  <si>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</si>
  <si>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</si>
  <si>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</si>
  <si>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</si>
  <si>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</si>
  <si>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</si>
  <si>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</si>
  <si>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</si>
  <si>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</si>
  <si>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</si>
  <si>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</si>
  <si>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</si>
  <si>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</si>
  <si>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</si>
  <si>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</si>
  <si>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</si>
  <si>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</si>
  <si>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</si>
  <si>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</si>
  <si>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</si>
  <si>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</si>
  <si>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</si>
  <si>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</si>
  <si>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</si>
  <si>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</si>
  <si>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</si>
  <si>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</si>
  <si>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</si>
  <si>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</si>
  <si>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</si>
  <si>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</si>
  <si>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</si>
  <si>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</si>
  <si>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</si>
  <si>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</si>
  <si>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</si>
  <si>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</si>
  <si>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</si>
  <si>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</si>
  <si>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</si>
  <si>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</si>
  <si>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</si>
  <si>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</si>
  <si>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</si>
  <si>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</si>
  <si>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</si>
  <si>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</si>
  <si>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</si>
  <si>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</si>
  <si>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</si>
  <si>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</si>
  <si>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</si>
  <si>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</si>
  <si>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</si>
  <si>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</si>
  <si>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</si>
  <si>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</si>
  <si>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</si>
  <si>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</si>
  <si>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</si>
  <si>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</si>
  <si>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</si>
  <si>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</si>
  <si>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</si>
  <si>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</si>
  <si>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</si>
  <si>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</si>
  <si>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</si>
  <si>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</si>
  <si>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</si>
  <si>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</si>
  <si>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</si>
  <si>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DAILY TRACKER</t>
  </si>
  <si>
    <t>Reads the Daily Log. Compares what is happening now against the May to July baseline.</t>
  </si>
  <si>
    <t>The tracker measures material installed, not material issued. See the Dashboard for why those differ.</t>
  </si>
  <si>
    <t>1    BASELINE, MEASURED MAY TO JULY 2026</t>
  </si>
  <si>
    <t>Mean</t>
  </si>
  <si>
    <t>Standard deviation</t>
  </si>
  <si>
    <t>Lower limit</t>
  </si>
  <si>
    <t>Upper limit</t>
  </si>
  <si>
    <t>Bolts installed per metre</t>
  </si>
  <si>
    <t>bolts/m</t>
  </si>
  <si>
    <t>May to July figures, all bolt types</t>
  </si>
  <si>
    <t>sheets/m</t>
  </si>
  <si>
    <t>June and July only, May count is unreliable</t>
  </si>
  <si>
    <t>m/day</t>
  </si>
  <si>
    <t>Survey metres divided by days in period</t>
  </si>
  <si>
    <t>See Notes sheet, note 24.</t>
  </si>
  <si>
    <t>2    RUNNING TOTALS FROM THE DAILY LOG</t>
  </si>
  <si>
    <t>Against baseline</t>
  </si>
  <si>
    <t>Shifts logged</t>
  </si>
  <si>
    <t>shifts</t>
  </si>
  <si>
    <t>units</t>
  </si>
  <si>
    <t>Bolts per metre, actual</t>
  </si>
  <si>
    <t>per m</t>
  </si>
  <si>
    <t>Mesh sheets per metre, actual</t>
  </si>
  <si>
    <t>3    BY DAY</t>
  </si>
  <si>
    <t>Shifts</t>
  </si>
  <si>
    <t>MD bolts</t>
  </si>
  <si>
    <t>Split sets</t>
  </si>
  <si>
    <t>Mesh sheets</t>
  </si>
  <si>
    <t>Type a date in the first column and the row fills itself from the Daily Log.</t>
  </si>
  <si>
    <t>DATA QUERIES AND ITEMS FOR CONFIRMATION</t>
  </si>
  <si>
    <t>Queries raised against the source records during the analysis, with the effect of each on the result.</t>
  </si>
  <si>
    <t>No.</t>
  </si>
  <si>
    <t>Observation</t>
  </si>
  <si>
    <t>Effect on the result</t>
  </si>
  <si>
    <t>Action required</t>
  </si>
  <si>
    <t>May mesh count</t>
  </si>
  <si>
    <t>The May stock count says 2,291 sheets. LiveMine says 396, the issue register 200, and the design 1.5 per metre. June, July and August all sit between 1.3 and 2.1 per metre; May would need 8.5.</t>
  </si>
  <si>
    <t>1,895 sheets, US$156,310 of May cost</t>
  </si>
  <si>
    <t>Resolved, the count is wrong</t>
  </si>
  <si>
    <t>Recount, or accept the LiveMine figure of 396 which three records support. Worked through on the May_Question sheet.</t>
  </si>
  <si>
    <t>Support standard read off the drawings</t>
  </si>
  <si>
    <t>The GSS01 and GSS02 drawings give 33 and 15 MD bolts per cut, 0 and 18 split sets of 2.4 m, 11 stubby split sets, and 6 mesh sheets. Earlier design figures used in this model were not taken from the drawings.</t>
  </si>
  <si>
    <t>Changes every design variance in the model</t>
  </si>
  <si>
    <t>Resolved</t>
  </si>
  <si>
    <t>Design quantities now read directly off the two approved drawings, split by bolt type.</t>
  </si>
  <si>
    <t>Stubby split sets below the drawing quantity</t>
  </si>
  <si>
    <t>Both drawings call for 11 stubby 0.9 m split sets per cut. Consumption runs at 0.0 to 0.7 per metre against a drawing quantity of 2.75. The 0.9 m x 47 mm friction bolt, which has no line on either drawing, runs at 1.13 per metre.</t>
  </si>
  <si>
    <t>75 to 100 per cent below, every month</t>
  </si>
  <si>
    <t>Open, for ground control</t>
  </si>
  <si>
    <t>Ask ground control and the shift bosses why the stubby is not reaching the face, and whether the 47 mm 0.9 m bolt is being used in its place.</t>
  </si>
  <si>
    <t>Long bolts above the drawing quantity</t>
  </si>
  <si>
    <t>MD bolts run 37 to 102 per cent above and 2.4 m split sets 20 to 113 per cent above. Note that the drawings state a MINIMUM quantity per cut, so installing above it is compliance rather than over consumption.</t>
  </si>
  <si>
    <t>Long bolt excess is 2.55 times the stubby shortfall, so substitution explains at most 39 per cent of it</t>
  </si>
  <si>
    <t>Confirm whether the extra support was required by ground conditions. Quantity of ground support is a geotechnical decision, not a cost decision.</t>
  </si>
  <si>
    <t>Cut length assumption</t>
  </si>
  <si>
    <t>Design per metre is the quantity per cut divided by the cut length. The 4.0 m cut is an entered value, not a measured one.</t>
  </si>
  <si>
    <t>The MD bolt variance falls from 72 to 29 per cent between a 4.0 m and a 3.0 m cut</t>
  </si>
  <si>
    <t>Open</t>
  </si>
  <si>
    <t>Measure the achieved cut length from the survey record. Until then quote the range on Plan_vs_Actual section 6, not the single figure.</t>
  </si>
  <si>
    <t>Three drilling prices</t>
  </si>
  <si>
    <t>Shank T45 at 5,568.55 against 308.10 for the T38 equivalent. Coupling T45/T38 at 1,925.47 against 69.96. Boring centraliser 41 mm at 1,884.83 against 61.09 for the same part under a second supplier code.</t>
  </si>
  <si>
    <t>80 per cent of the drilling bill; the drilling unit cost ranges from US$717 to US$140 per metre</t>
  </si>
  <si>
    <t>Blocking</t>
  </si>
  <si>
    <t>Operations manager confirms whether these are per each, per box, or a currency error.</t>
  </si>
  <si>
    <t>August LiveMine inventory not supplied</t>
  </si>
  <si>
    <t>The August extract contains the Jumbo PLOD but no inventory sheet, so August has no measured installation record.</t>
  </si>
  <si>
    <t>August cannot be triangulated and its portal split falls back to metres</t>
  </si>
  <si>
    <t>Request the August inventory extract from LiveMine.</t>
  </si>
  <si>
    <t>July closing against August opening</t>
  </si>
  <si>
    <t>Six items show a different closing count at the end of July from the opening count at the start of August, the largest being 484 MD bolts.</t>
  </si>
  <si>
    <t>About 1 per cent of the period's bolts</t>
  </si>
  <si>
    <t>Open, small</t>
  </si>
  <si>
    <t>Confirm whether a recount or an unbooked issue took place between the two counts.</t>
  </si>
  <si>
    <t>Survey metres against PLOD metres</t>
  </si>
  <si>
    <t>The survey claim and the LiveMine PLOD disagree on metres advanced. August is the widest, at 391.0 surveyed against 366.1 recorded.</t>
  </si>
  <si>
    <t>Up to 6 per cent in a single month</t>
  </si>
  <si>
    <t>Survey remains the authority for metres in this model. Confirm the PLOD shortfall is unrecorded shifts.</t>
  </si>
  <si>
    <t>Friction bolt 39 x 900, July</t>
  </si>
  <si>
    <t>Closing count 3,380 against opening 3,123 with no receipt booked. Stock grew without a delivery, so consumption computes to a negative 257.</t>
  </si>
  <si>
    <t>One item, one month, held at zero</t>
  </si>
  <si>
    <t>Store confirms the unrecorded receipt.</t>
  </si>
  <si>
    <t>Portal and ground class confounded</t>
  </si>
  <si>
    <t>The Northern Portal is driven entirely in GSS_02 and GSS_03 ground and the Southern Portal entirely in GSS_01, in all four months.</t>
  </si>
  <si>
    <t>The two effects cannot be separated</t>
  </si>
  <si>
    <t>Limitation</t>
  </si>
  <si>
    <t>Note as a limitation of the study design. No further data from this period would resolve it.</t>
  </si>
  <si>
    <t>Stocktake and survey dates</t>
  </si>
  <si>
    <t>Survey months run from the 29th to the 28th. Stock counts run to calendar month end.</t>
  </si>
  <si>
    <t>Two to three days of consumption in the wrong month; no effect on period totals</t>
  </si>
  <si>
    <t>Agreed fix</t>
  </si>
  <si>
    <t>Align the stocktake date with the survey cut off.</t>
  </si>
  <si>
    <t>GSS_03 has no drawing</t>
  </si>
  <si>
    <t>No drawing was issued for GSS_03. It appears only in July, in the Northern Portal, where GSS_02 also applies.</t>
  </si>
  <si>
    <t>217 of the 398 metres driven in July</t>
  </si>
  <si>
    <t>GSS_03 is benchmarked against the GSS_02 standard. Confirm this with ground control.</t>
  </si>
  <si>
    <t>Locations with no parent heading</t>
  </si>
  <si>
    <t>The Southern Portal occupies levels 840 to 940 and the Northern Portal levels 1020 and 1040, with no overlap, so a location can be assigned from its level number.</t>
  </si>
  <si>
    <t>Nine locations resolved on this rule</t>
  </si>
  <si>
    <t>Rule applied. Four locations remain unassigned because they carry no level number.</t>
  </si>
  <si>
    <t>Four locations still unassigned</t>
  </si>
  <si>
    <t>PMP_STN01 and Navachab carry no level. DSP_O6 and DSP_07 match a DSP heading in both portals.</t>
  </si>
  <si>
    <t>Held out of the portal split, included in the mine total</t>
  </si>
  <si>
    <t>One question to survey on which decline each belongs to.</t>
  </si>
  <si>
    <t>DATA QUALITY AND LIMITATIONS</t>
  </si>
  <si>
    <t>Issues found in the source data and what is needed to resolve each one.</t>
  </si>
  <si>
    <t>Severity</t>
  </si>
  <si>
    <t>Affected data</t>
  </si>
  <si>
    <t>Issue and effect</t>
  </si>
  <si>
    <t>Critical</t>
  </si>
  <si>
    <t>Drilling consumable prices</t>
  </si>
  <si>
    <t>The unit cost file covers ground support only. No price exists for any bit, rod, shank or coupling. Drilling cost per metre shows x. Consumption is measured in full.</t>
  </si>
  <si>
    <t>Obtain the Sandvik, DSI and Maspro price list. Enter it on C_Face_Drilling.</t>
  </si>
  <si>
    <t>Fixed labour and machine cost</t>
  </si>
  <si>
    <t>No labour or machine cost, and no shift count, appears in any supplied file. Equation 3 and the advance scenarios show y.</t>
  </si>
  <si>
    <t>Obtain the fixed cost schedule and the shift count per month.</t>
  </si>
  <si>
    <t>Consumption not recorded by heading</t>
  </si>
  <si>
    <t>The stocktake is one count for the whole store. The issue register records only North Portal or South Portal. Cost per heading cannot be calculated.</t>
  </si>
  <si>
    <t>Code stores issues to a heading. This is what the field recording sheets capture.</t>
  </si>
  <si>
    <t>High</t>
  </si>
  <si>
    <t>MS_1040_ACC, May 2026</t>
  </si>
  <si>
    <t>Southern prefix but Northern level number. 27.178 m affected. May is therefore excluded from the portal analysis.</t>
  </si>
  <si>
    <t>Ask survey which side the 1040 access was driven from in May 2026.</t>
  </si>
  <si>
    <t>May 2026 stock counts</t>
  </si>
  <si>
    <t>The two May half month counts do not chain. 26 items disagree and 11 receipts appear twice. May mesh shows 8.47 sheets per metre against 1.29 in June, which is not physically achievable.</t>
  </si>
  <si>
    <t>Confirm the 15 May count with stores. Treat May as provisional.</t>
  </si>
  <si>
    <t>Closing count exceeds opening plus receipts, giving minus 257 units. Held at zero in every calculation.</t>
  </si>
  <si>
    <t>Locate the unrecorded receipt or recount.</t>
  </si>
  <si>
    <t>Ground support standard changed</t>
  </si>
  <si>
    <t>GSS_03 is absent in May and June, then covers 217 of 398 metres in July. This drives cost per metre directly.</t>
  </si>
  <si>
    <t>Confirm with the geotechnician whether ground or classification changed.</t>
  </si>
  <si>
    <t>Design support quantities</t>
  </si>
  <si>
    <t>The GSS design drawings are not among the supplied files, so over consumption cannot be proved.</t>
  </si>
  <si>
    <t>Obtain the GSS_01, GSS_02 and GSS_03 drawings.</t>
  </si>
  <si>
    <t>Medium</t>
  </si>
  <si>
    <t>Bolts per metre look high</t>
  </si>
  <si>
    <t>16.9 bolts per metre in July against an expected 9 to 12 for this profile.</t>
  </si>
  <si>
    <t>Compare against the design standard once the drawings are obtained.</t>
  </si>
  <si>
    <t>Heading naming across months</t>
  </si>
  <si>
    <t>May uses a different naming convention from June and July, so no continuous heading series can be built.</t>
  </si>
  <si>
    <t>Obtain the survey heading register.</t>
  </si>
  <si>
    <t>Reporting periods differ</t>
  </si>
  <si>
    <t>Survey months run 29th to 28th. Stock counts run to calendar month end.</t>
  </si>
  <si>
    <t>Stores item recoding</t>
  </si>
  <si>
    <t>Friction bolt 47 x 2400 changes code between June and July. Codes are combined in this model.</t>
  </si>
  <si>
    <t>Ask stores to keep one code per physical item.</t>
  </si>
  <si>
    <t>Low</t>
  </si>
  <si>
    <t>Shotcrete</t>
  </si>
  <si>
    <t>A price exists but no volume appears in the stock records, so the shotcrete term is zero.</t>
  </si>
  <si>
    <t>Confirm whether shotcrete was applied in the period.</t>
  </si>
  <si>
    <t>Cable bolt length</t>
  </si>
  <si>
    <t>The item consumed is 6.5 m, the price list has 6 m only. Cable bolting is 0.6 per cent of cost.</t>
  </si>
  <si>
    <t>Request the 6.5 m price.</t>
  </si>
  <si>
    <t>Barrel and wedge anchors</t>
  </si>
  <si>
    <t>Consumed in all three months but no unit price is available.</t>
  </si>
  <si>
    <t>Request the price from the supplier.</t>
  </si>
  <si>
    <t>HOW TO READ THIS WORKBOOK</t>
  </si>
  <si>
    <t>What each sheet contains, and what the symbols and formats mean.</t>
  </si>
  <si>
    <t>SYMBOLS AND FORMATS</t>
  </si>
  <si>
    <t>No unit price for this item exists in the source data. It is not zero and is never treated as zero.</t>
  </si>
  <si>
    <t>An input that has not yet been collected. It is not zero and is never treated as zero.</t>
  </si>
  <si>
    <t>The cost is already carried by another line. Repeating it here would double count.</t>
  </si>
  <si>
    <t>Negative number</t>
  </si>
  <si>
    <t>Shown with a minus sign. In the consumption sheets it means the closing stock count was higher than opening stock plus recorded receipts, which is a counting or receipting error, not negative usage.</t>
  </si>
  <si>
    <t>Entered directly from a source document.</t>
  </si>
  <si>
    <t>Drawn from another sheet in this workbook.</t>
  </si>
  <si>
    <t>Calculated on this sheet.</t>
  </si>
  <si>
    <t>Awaiting data. Every one is listed on the Data_Quality sheet.</t>
  </si>
  <si>
    <t>WHAT EACH SHEET CONTAINS</t>
  </si>
  <si>
    <t>Contents</t>
  </si>
  <si>
    <t>Every equation used, with each symbol defined and the sheet it is calculated on.</t>
  </si>
  <si>
    <t>Unit costs, the exchange rate, the ground support design quantities and the drilling geometry. Everything the model needs that is not consumption or metres.</t>
  </si>
  <si>
    <t>Survey advance exactly as recorded, then the monthly totals and advance rates.</t>
  </si>
  <si>
    <t>Consumption measured by physical stock count: opening plus received less closing.</t>
  </si>
  <si>
    <t>Consumption_Issues</t>
  </si>
  <si>
    <t>Consumption measured by the stores issue registers: the sum of quantities signed out.</t>
  </si>
  <si>
    <t>Consumption_Compare</t>
  </si>
  <si>
    <t>The two measures side by side, with the gap between them.</t>
  </si>
  <si>
    <t>A_Scaling to D_Cable_Bolting</t>
  </si>
  <si>
    <t>One sheet per development activity. Quantities consumed, units per metre, cost and cost per metre for every item.</t>
  </si>
  <si>
    <t>Drilled metres. Bolt hole metres are calculated from bolts installed. Face metres need the drilling geometry inputs.</t>
  </si>
  <si>
    <t>Design quantities from the GSS drawings against actual consumption, by ground class.</t>
  </si>
  <si>
    <t>Equations 1, 2 and 3, the advance rate scenarios, and the split of why unit cost moved.</t>
  </si>
  <si>
    <t>Results by heading and by portal, with the reconciliation checks.</t>
  </si>
  <si>
    <t>Consumables ranked by cost, showing which few carry most of the spend.</t>
  </si>
  <si>
    <t>Each figure, followed by the table of values it was drawn from.</t>
  </si>
  <si>
    <t>Every problem found in the source data and what is needed to resolve it.</t>
  </si>
  <si>
    <t>CHECKING THE WORKBOOK BALANCES</t>
  </si>
  <si>
    <t>Where</t>
  </si>
  <si>
    <t>Heading metres equal portal metres, and Northern plus Southern equals the mine total</t>
  </si>
  <si>
    <t>Portal_Analysis, section 3. All four checks must read zero.</t>
  </si>
  <si>
    <t>The two causes of a change in unit cost sum to the total change</t>
  </si>
  <si>
    <t>Unit_Cost, last row of the final section. Must read zero.</t>
  </si>
  <si>
    <t>The cumulative share reaches exactly 100 per cent</t>
  </si>
  <si>
    <t>Pareto, final row.</t>
  </si>
  <si>
    <t>Ground class metres equal total metres</t>
  </si>
  <si>
    <t>Plan_vs_Actual, section 1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</si>
</sst>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00"/>
    <numFmt numFmtId="165" formatCode="&quot;US$&quot;#,##0.0000"/>
    <numFmt numFmtId="166" formatCode="#,##0.000000"/>
    <numFmt numFmtId="167" formatCode="0.0%"/>
    <numFmt numFmtId="168" formatCode="&quot;US$&quot;#,##0.00"/>
    <numFmt numFmtId="169" formatCode="#,##0.0"/>
    <numFmt numFmtId="170" formatCode="#,##0.000"/>
    <numFmt numFmtId="171" formatCode="#,##0.00;\(#,##0.00\);0.00"/>
    <numFmt numFmtId="172" formatCode="#,##0;\(#,##0\);0"/>
    <numFmt numFmtId="173" formatCode="#,##0.0000"/>
    <numFmt numFmtId="174" formatCode="&quot;US$&quot;#,##0;\(&quot;US$&quot;#,##0\);&quot;-&quot;"/>
    <numFmt numFmtId="175" formatCode="&quot;US$&quot;#,##0.00;\(&quot;US$&quot;#,##0.00\);&quot;-&quot;"/>
    <numFmt numFmtId="176" formatCode="#,##0;\(#,##0\)"/>
    <numFmt numFmtId="177" formatCode="0.0%;\(0.0%\);\-"/>
    <numFmt numFmtId="178" formatCode="0.000000;\(0.000000\);&quot;0.000000, exact&quot;"/>
    <numFmt numFmtId="179" formatCode="0.000000;\(0.000000\);\-"/>
    <numFmt numFmtId="180" formatCode="#,##0.0&quot;x&quot;"/>
    <numFmt numFmtId="181" formatCode="yyyy\-mm\-dd"/>
  </numFmts>
  <fonts count="16">
    <font>
      <sz val="11"/>
      <color theme="1"/>
      <name val="Calibri"/>
      <family val="2"/>
      <scheme val="minor"/>
    </font>
    <font>
      <b/>
      <sz val="17"/>
      <color rgb="FF1F3864"/>
      <name val="Calibri"/>
    </font>
    <font>
      <i/>
      <sz val="11"/>
      <color rgb="FF595959"/>
      <name val="Calibri"/>
    </font>
    <font>
      <b/>
      <sz val="13"/>
      <color rgb="FF1F3864"/>
      <name val="Calibri"/>
    </font>
    <font>
      <b/>
      <sz val="13"/>
      <color rgb="FF1F3864"/>
      <name val="Cambria"/>
    </font>
    <font>
      <b/>
      <sz val="11"/>
      <name val="Calibri"/>
    </font>
    <font>
      <sz val="11"/>
      <name val="Calibri"/>
    </font>
    <font>
      <sz val="10"/>
      <color rgb="FF595959"/>
      <name val="Calibri"/>
    </font>
    <font>
      <b/>
      <sz val="11"/>
      <color rgb="FFC00000"/>
      <name val="Calibri"/>
    </font>
    <font>
      <b/>
      <sz val="11"/>
      <color rgb="FFFFFFFF"/>
      <name val="Calibri"/>
    </font>
    <font>
      <sz val="11"/>
      <color rgb="FF0000FF"/>
      <name val="Calibri"/>
    </font>
    <font>
      <b/>
      <sz val="12"/>
      <color rgb="FFFFFFFF"/>
      <name val="Calibri"/>
    </font>
    <font>
      <sz val="11"/>
      <color rgb="FF006100"/>
      <name val="Calibri"/>
    </font>
    <font>
      <b/>
      <sz val="11"/>
      <color rgb="FFB26B00"/>
      <name val="Calibri"/>
    </font>
    <font>
      <b/>
      <sz val="18"/>
      <color rgb="FF1F3864"/>
      <name val="Calibri"/>
    </font>
    <font>
      <b/>
      <sz val="15"/>
      <color rgb="FF1F3864"/>
      <name val="Calibri"/>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1F3864"/>
      </patternFill>
    </fill>
    <fill>
      <patternFill patternType="solid">
        <fgColor rgb="FFFFF2CC"/>
      </patternFill>
    </fill>
    <fill>
      <patternFill patternType="solid">
        <fgColor rgb="FFF8D7DA"/>
      </patternFill>
    </fill>
  </fills>
  <borders count="5">
    <border>
      <left/>
      <right/>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
      <left/>
      <right/>
      <top style="thin">
        <color rgb="FF1F3864"/>
      </top>
      <bottom/>
      <diagonal/>
    </border>
    <border>
      <left/>
      <right/>
      <top style="medium">
        <color rgb="FF1F3864"/>
      </top>
      <bottom/>
      <diagonal/>
    </border>
  </borders>
  <cellStyleXfs count="1">
    <xf numFmtId="0" fontId="0" fillId="0" borderId="0"/>
  </cellStyleXfs>
  <cellXfs count="132">
    <xf numFmtId="0" fontId="0" fillId="0" borderId="0" xfId="0"/>
    <xf numFmtId="0" fontId="14" fillId="0" borderId="0" xfId="0" applyFont="1"/>
    <xf numFmtId="0" fontId="15" fillId="0" borderId="0" xfId="0" applyFont="1"/>
    <xf numFmtId="0" fontId="2" fillId="0" borderId="0" xfId="0" applyFont="1"/>
    <xf numFmtId="0" fontId="3" fillId="2" borderId="1" xfId="0" applyFont="1" applyFill="1" applyBorder="1" applyAlignment="1">
      <alignment vertical="center"/>
    </xf>
    <xf numFmtId="0" fontId="0" fillId="2" borderId="1" xfId="0" applyFill="1" applyBorder="1"/>
    <xf numFmtId="0" fontId="5" fillId="0" borderId="0" xfId="0" applyFont="1"/>
    <xf numFmtId="0" fontId="6" fillId="0" borderId="0" xfId="0" applyFont="1" applyAlignment="1">
      <alignment vertical="center" wrapText="1"/>
    </xf>
    <xf numFmtId="0" fontId="9" fillId="4" borderId="1" xfId="0" applyFont="1" applyFill="1" applyBorder="1" applyAlignment="1">
      <alignment horizontal="center" vertical="center" wrapText="1"/>
    </xf>
    <xf numFmtId="0" fontId="6" fillId="0" borderId="1" xfId="0" applyFont="1" applyBorder="1" applyAlignment="1">
      <alignment vertical="top" wrapText="1"/>
    </xf>
    <xf numFmtId="0" fontId="5" fillId="0" borderId="1" xfId="0" applyFont="1" applyBorder="1" applyAlignment="1">
      <alignment vertical="top" wrapText="1"/>
    </xf>
    <xf numFmtId="0" fontId="6" fillId="0" borderId="0" xfId="0" applyFont="1"/>
    <xf numFmtId="0" fontId="1" fillId="0" borderId="0" xfId="0" applyFont="1"/>
    <xf numFmtId="0" fontId="5" fillId="0" borderId="1" xfId="0" applyFont="1" applyBorder="1"/>
    <xf numFmtId="0" fontId="6" fillId="0" borderId="1" xfId="0" applyFont="1" applyBorder="1"/>
    <xf numFmtId="170" fontId="12" fillId="0" borderId="1" xfId="0" applyNumberFormat="1" applyFont="1" applyBorder="1"/>
    <xf numFmtId="170" fontId="5" fillId="0" borderId="1" xfId="0" applyNumberFormat="1" applyFont="1" applyBorder="1"/>
    <xf numFmtId="174" fontId="12" fillId="0" borderId="1" xfId="0" applyNumberFormat="1" applyFont="1" applyBorder="1"/>
    <xf numFmtId="174" fontId="5" fillId="0" borderId="1" xfId="0" applyNumberFormat="1" applyFont="1" applyBorder="1"/>
    <xf numFmtId="3" fontId="12" fillId="0" borderId="1" xfId="0" applyNumberFormat="1" applyFont="1" applyBorder="1"/>
    <xf numFmtId="3" fontId="5" fillId="0" borderId="1" xfId="0" applyNumberFormat="1" applyFont="1" applyBorder="1"/>
    <xf numFmtId="0" fontId="11" fillId="4" borderId="0" xfId="0" applyFont="1" applyFill="1" applyAlignment="1">
      <alignment vertical="center"/>
    </xf>
    <xf numFmtId="0" fontId="11" fillId="4" borderId="0" xfId="0" applyFont="1" applyFill="1" applyAlignment="1">
      <alignment horizontal="center"/>
    </xf>
    <xf numFmtId="175" fontId="11" fillId="4" borderId="0" xfId="0" applyNumberFormat="1" applyFont="1" applyFill="1" applyAlignment="1">
      <alignment horizontal="center"/>
    </xf>
    <xf numFmtId="175" fontId="5" fillId="0" borderId="1" xfId="0" applyNumberFormat="1" applyFont="1" applyBorder="1"/>
    <xf numFmtId="171" fontId="5" fillId="0" borderId="1" xfId="0" applyNumberFormat="1" applyFont="1" applyBorder="1"/>
    <xf numFmtId="0" fontId="6" fillId="0" borderId="1" xfId="0" applyFont="1" applyBorder="1" applyAlignment="1">
      <alignment vertical="center" wrapText="1"/>
    </xf>
    <xf numFmtId="167" fontId="6" fillId="0" borderId="1" xfId="0" applyNumberFormat="1" applyFont="1" applyBorder="1"/>
    <xf numFmtId="0" fontId="7" fillId="0" borderId="0" xfId="0" applyFont="1" applyAlignment="1">
      <alignment vertical="center" wrapText="1"/>
    </xf>
    <xf numFmtId="0" fontId="12" fillId="0" borderId="1" xfId="0" applyFont="1" applyBorder="1"/>
    <xf numFmtId="167" fontId="5" fillId="0" borderId="1" xfId="0" applyNumberFormat="1" applyFont="1" applyBorder="1"/>
    <xf numFmtId="0" fontId="5" fillId="0" borderId="1" xfId="0" applyFont="1" applyBorder="1" applyAlignment="1">
      <alignment horizontal="right" vertical="top"/>
    </xf>
    <xf numFmtId="0" fontId="7" fillId="0" borderId="0" xfId="0" applyFont="1" applyAlignment="1">
      <alignment horizontal="right"/>
    </xf>
    <xf numFmtId="0" fontId="7" fillId="0" borderId="0" xfId="0" applyFont="1"/>
    <xf numFmtId="4" fontId="10" fillId="3" borderId="1" xfId="0" applyNumberFormat="1" applyFont="1" applyFill="1" applyBorder="1"/>
    <xf numFmtId="0" fontId="0" fillId="0" borderId="1" xfId="0" applyBorder="1"/>
    <xf numFmtId="164" fontId="10" fillId="0" borderId="1" xfId="0" applyNumberFormat="1" applyFont="1" applyBorder="1"/>
    <xf numFmtId="165" fontId="6" fillId="0" borderId="1" xfId="0" applyNumberFormat="1" applyFont="1" applyBorder="1"/>
    <xf numFmtId="164" fontId="6" fillId="0" borderId="1" xfId="0" applyNumberFormat="1" applyFont="1" applyBorder="1"/>
    <xf numFmtId="166" fontId="10" fillId="0" borderId="1" xfId="0" applyNumberFormat="1" applyFont="1" applyBorder="1"/>
    <xf numFmtId="167" fontId="10" fillId="0" borderId="1" xfId="0" applyNumberFormat="1" applyFont="1" applyBorder="1"/>
    <xf numFmtId="0" fontId="7" fillId="0" borderId="1" xfId="0" applyFont="1" applyBorder="1" applyAlignment="1">
      <alignment vertical="center" wrapText="1"/>
    </xf>
    <xf numFmtId="0" fontId="7" fillId="0" borderId="1" xfId="0" applyFont="1" applyBorder="1"/>
    <xf numFmtId="168" fontId="10" fillId="0" borderId="1" xfId="0" applyNumberFormat="1" applyFont="1" applyBorder="1"/>
    <xf numFmtId="1" fontId="10" fillId="0" borderId="1" xfId="0" applyNumberFormat="1" applyFont="1" applyBorder="1" applyAlignment="1">
      <alignment horizontal="center"/>
    </xf>
    <xf numFmtId="169" fontId="10" fillId="0" borderId="1" xfId="0" applyNumberFormat="1" applyFont="1" applyBorder="1"/>
    <xf numFmtId="0" fontId="6" fillId="0" borderId="1" xfId="0" applyFont="1" applyBorder="1" applyAlignment="1">
      <alignment vertical="center"/>
    </xf>
    <xf numFmtId="0" fontId="10" fillId="0" borderId="1" xfId="0" applyFont="1" applyBorder="1" applyAlignment="1">
      <alignment vertical="center"/>
    </xf>
    <xf numFmtId="4" fontId="6" fillId="0" borderId="1" xfId="0" applyNumberFormat="1" applyFont="1" applyBorder="1" applyAlignment="1">
      <alignment vertical="center"/>
    </xf>
    <xf numFmtId="170" fontId="10" fillId="0" borderId="1" xfId="0" applyNumberFormat="1" applyFont="1" applyBorder="1" applyAlignment="1">
      <alignment vertical="center"/>
    </xf>
    <xf numFmtId="1" fontId="10" fillId="0" borderId="1" xfId="0" applyNumberFormat="1" applyFont="1" applyBorder="1"/>
    <xf numFmtId="170" fontId="6" fillId="0" borderId="1" xfId="0" applyNumberFormat="1" applyFont="1" applyBorder="1"/>
    <xf numFmtId="171" fontId="6" fillId="0" borderId="1" xfId="0" applyNumberFormat="1" applyFont="1" applyBorder="1"/>
    <xf numFmtId="0" fontId="8" fillId="5" borderId="1" xfId="0" applyFont="1" applyFill="1" applyBorder="1" applyAlignment="1">
      <alignment horizontal="center"/>
    </xf>
    <xf numFmtId="0" fontId="0" fillId="4" borderId="0" xfId="0" applyFill="1"/>
    <xf numFmtId="0" fontId="11" fillId="4" borderId="0" xfId="0" applyFont="1" applyFill="1" applyAlignment="1">
      <alignment horizontal="center" vertical="center"/>
    </xf>
    <xf numFmtId="172" fontId="10" fillId="0" borderId="1" xfId="0" applyNumberFormat="1" applyFont="1" applyBorder="1"/>
    <xf numFmtId="172" fontId="5" fillId="0" borderId="1" xfId="0" applyNumberFormat="1" applyFont="1" applyBorder="1"/>
    <xf numFmtId="0" fontId="5" fillId="0" borderId="4" xfId="0" applyFont="1" applyBorder="1"/>
    <xf numFmtId="172" fontId="5" fillId="0" borderId="4" xfId="0" applyNumberFormat="1" applyFont="1" applyBorder="1"/>
    <xf numFmtId="172" fontId="12" fillId="0" borderId="1" xfId="0" applyNumberFormat="1" applyFont="1" applyBorder="1"/>
    <xf numFmtId="172" fontId="6" fillId="0" borderId="1" xfId="0" applyNumberFormat="1" applyFont="1" applyBorder="1"/>
    <xf numFmtId="0" fontId="8" fillId="0" borderId="1" xfId="0" applyFont="1" applyBorder="1"/>
    <xf numFmtId="167" fontId="5" fillId="0" borderId="4" xfId="0" applyNumberFormat="1" applyFont="1" applyBorder="1"/>
    <xf numFmtId="167" fontId="11" fillId="4" borderId="0" xfId="0" applyNumberFormat="1" applyFont="1" applyFill="1" applyAlignment="1">
      <alignment horizontal="center"/>
    </xf>
    <xf numFmtId="173" fontId="6" fillId="0" borderId="1" xfId="0" applyNumberFormat="1" applyFont="1" applyBorder="1"/>
    <xf numFmtId="174" fontId="6" fillId="0" borderId="1" xfId="0" applyNumberFormat="1" applyFont="1" applyBorder="1"/>
    <xf numFmtId="0" fontId="8" fillId="0" borderId="1" xfId="0" applyFont="1" applyBorder="1" applyAlignment="1">
      <alignment horizontal="center"/>
    </xf>
    <xf numFmtId="0" fontId="5" fillId="0" borderId="3" xfId="0" applyFont="1" applyBorder="1"/>
    <xf numFmtId="172" fontId="5" fillId="0" borderId="3" xfId="0" applyNumberFormat="1" applyFont="1" applyBorder="1"/>
    <xf numFmtId="173" fontId="5" fillId="0" borderId="3" xfId="0" applyNumberFormat="1" applyFont="1" applyBorder="1"/>
    <xf numFmtId="174" fontId="5" fillId="0" borderId="3" xfId="0" applyNumberFormat="1" applyFont="1" applyBorder="1"/>
    <xf numFmtId="175" fontId="5" fillId="0" borderId="3" xfId="0" applyNumberFormat="1" applyFont="1" applyBorder="1"/>
    <xf numFmtId="174" fontId="11" fillId="4" borderId="0" xfId="0" applyNumberFormat="1" applyFont="1" applyFill="1" applyAlignment="1">
      <alignment horizontal="center" vertical="center"/>
    </xf>
    <xf numFmtId="175" fontId="11" fillId="4" borderId="0" xfId="0" applyNumberFormat="1" applyFont="1" applyFill="1" applyAlignment="1">
      <alignment horizontal="center" vertical="center"/>
    </xf>
    <xf numFmtId="0" fontId="8" fillId="0" borderId="0" xfId="0" applyFont="1" applyAlignment="1">
      <alignment horizontal="center"/>
    </xf>
    <xf numFmtId="165" fontId="12" fillId="0" borderId="1" xfId="0" applyNumberFormat="1" applyFont="1" applyBorder="1"/>
    <xf numFmtId="168" fontId="12" fillId="0" borderId="1" xfId="0" applyNumberFormat="1" applyFont="1" applyBorder="1"/>
    <xf numFmtId="0" fontId="5" fillId="0" borderId="0" xfId="0" applyFont="1" applyAlignment="1">
      <alignment horizontal="center"/>
    </xf>
    <xf numFmtId="3" fontId="6" fillId="0" borderId="1" xfId="0" applyNumberFormat="1" applyFont="1" applyBorder="1"/>
    <xf numFmtId="3" fontId="5" fillId="0" borderId="4" xfId="0" applyNumberFormat="1" applyFont="1" applyBorder="1"/>
    <xf numFmtId="3" fontId="10" fillId="0" borderId="1" xfId="0" applyNumberFormat="1" applyFont="1" applyBorder="1"/>
    <xf numFmtId="169" fontId="6" fillId="0" borderId="1" xfId="0" applyNumberFormat="1" applyFont="1" applyBorder="1"/>
    <xf numFmtId="0" fontId="11" fillId="4" borderId="0" xfId="0" applyFont="1" applyFill="1"/>
    <xf numFmtId="3" fontId="11" fillId="4" borderId="0" xfId="0" applyNumberFormat="1" applyFont="1" applyFill="1" applyAlignment="1">
      <alignment horizontal="center"/>
    </xf>
    <xf numFmtId="169" fontId="10" fillId="5" borderId="1" xfId="0" applyNumberFormat="1" applyFont="1" applyFill="1" applyBorder="1"/>
    <xf numFmtId="3" fontId="10" fillId="5" borderId="1" xfId="0" applyNumberFormat="1" applyFont="1" applyFill="1" applyBorder="1"/>
    <xf numFmtId="176" fontId="5" fillId="0" borderId="1" xfId="0" applyNumberFormat="1" applyFont="1" applyBorder="1"/>
    <xf numFmtId="0" fontId="4" fillId="0" borderId="0" xfId="0" applyFont="1"/>
    <xf numFmtId="170" fontId="5" fillId="0" borderId="4" xfId="0" applyNumberFormat="1" applyFont="1" applyBorder="1"/>
    <xf numFmtId="177" fontId="6" fillId="0" borderId="1" xfId="0" applyNumberFormat="1" applyFont="1" applyBorder="1"/>
    <xf numFmtId="171" fontId="12" fillId="0" borderId="1" xfId="0" applyNumberFormat="1" applyFont="1" applyBorder="1"/>
    <xf numFmtId="0" fontId="10" fillId="5" borderId="1" xfId="0" applyFont="1" applyFill="1" applyBorder="1"/>
    <xf numFmtId="174" fontId="5" fillId="0" borderId="4" xfId="0" applyNumberFormat="1" applyFont="1" applyBorder="1"/>
    <xf numFmtId="175" fontId="12" fillId="0" borderId="1" xfId="0" applyNumberFormat="1" applyFont="1" applyBorder="1"/>
    <xf numFmtId="175" fontId="6" fillId="0" borderId="1" xfId="0" applyNumberFormat="1" applyFont="1" applyBorder="1"/>
    <xf numFmtId="178" fontId="6" fillId="0" borderId="1" xfId="0" applyNumberFormat="1" applyFont="1" applyBorder="1"/>
    <xf numFmtId="0" fontId="0" fillId="0" borderId="0" xfId="0" applyAlignment="1">
      <alignment vertical="center" wrapText="1"/>
    </xf>
    <xf numFmtId="0" fontId="11" fillId="4" borderId="1" xfId="0" applyFont="1" applyFill="1" applyBorder="1" applyAlignment="1">
      <alignment vertical="center"/>
    </xf>
    <xf numFmtId="0" fontId="11" fillId="4" borderId="1" xfId="0" applyFont="1" applyFill="1" applyBorder="1" applyAlignment="1">
      <alignment horizontal="center" vertical="center"/>
    </xf>
    <xf numFmtId="175" fontId="11" fillId="4" borderId="1" xfId="0" applyNumberFormat="1" applyFont="1" applyFill="1" applyBorder="1" applyAlignment="1">
      <alignment horizontal="center" vertical="center"/>
    </xf>
    <xf numFmtId="179" fontId="6" fillId="0" borderId="1" xfId="0" applyNumberFormat="1" applyFont="1" applyBorder="1"/>
    <xf numFmtId="0" fontId="5" fillId="0" borderId="1" xfId="0" applyFont="1" applyBorder="1" applyAlignment="1">
      <alignment horizontal="center"/>
    </xf>
    <xf numFmtId="175" fontId="5" fillId="0" borderId="4" xfId="0" applyNumberFormat="1" applyFont="1" applyBorder="1"/>
    <xf numFmtId="180" fontId="6" fillId="0" borderId="1" xfId="0" applyNumberFormat="1" applyFont="1" applyBorder="1"/>
    <xf numFmtId="172" fontId="8" fillId="0" borderId="1" xfId="0" applyNumberFormat="1" applyFont="1" applyBorder="1" applyAlignment="1">
      <alignment horizontal="center"/>
    </xf>
    <xf numFmtId="174" fontId="11" fillId="4" borderId="1" xfId="0" applyNumberFormat="1" applyFont="1" applyFill="1" applyBorder="1"/>
    <xf numFmtId="174" fontId="11" fillId="4" borderId="1" xfId="0" applyNumberFormat="1" applyFont="1" applyFill="1" applyBorder="1" applyAlignment="1">
      <alignment horizontal="center" vertical="center"/>
    </xf>
    <xf numFmtId="0" fontId="3" fillId="0" borderId="0" xfId="0" applyFont="1"/>
    <xf numFmtId="167" fontId="12" fillId="0" borderId="1" xfId="0" applyNumberFormat="1" applyFont="1" applyBorder="1"/>
    <xf numFmtId="0" fontId="10" fillId="0" borderId="1" xfId="0" applyFont="1" applyBorder="1"/>
    <xf numFmtId="171" fontId="10" fillId="0" borderId="1" xfId="0" applyNumberFormat="1" applyFont="1" applyBorder="1"/>
    <xf numFmtId="171" fontId="0" fillId="0" borderId="1" xfId="0" applyNumberFormat="1" applyBorder="1"/>
    <xf numFmtId="172" fontId="0" fillId="0" borderId="1" xfId="0" applyNumberFormat="1" applyBorder="1"/>
    <xf numFmtId="181" fontId="10" fillId="0" borderId="1" xfId="0" applyNumberFormat="1" applyFont="1" applyBorder="1"/>
    <xf numFmtId="0" fontId="5" fillId="0" borderId="1" xfId="0" applyFont="1" applyBorder="1" applyAlignment="1">
      <alignment horizontal="center" vertical="top"/>
    </xf>
    <xf numFmtId="0" fontId="8" fillId="6" borderId="1" xfId="0" applyFont="1" applyFill="1" applyBorder="1" applyAlignment="1">
      <alignment vertical="top" wrapText="1"/>
    </xf>
    <xf numFmtId="0" fontId="8" fillId="6" borderId="1" xfId="0" applyFont="1" applyFill="1" applyBorder="1" applyAlignment="1">
      <alignment horizontal="center" vertical="top"/>
    </xf>
    <xf numFmtId="0" fontId="13" fillId="5" borderId="1" xfId="0" applyFont="1" applyFill="1" applyBorder="1" applyAlignment="1">
      <alignment horizontal="center" vertical="top"/>
    </xf>
    <xf numFmtId="0" fontId="6" fillId="0" borderId="1" xfId="0" applyFont="1" applyBorder="1" applyAlignment="1">
      <alignment horizontal="center" vertical="top"/>
    </xf>
    <xf numFmtId="0" fontId="5" fillId="0" borderId="1" xfId="0" applyFont="1" applyBorder="1" applyAlignment="1">
      <alignment vertical="top"/>
    </xf>
    <xf numFmtId="0" fontId="7" fillId="0" borderId="0" xfId="0" applyFont="1" applyAlignment="1">
      <alignment vertical="center" wrapText="1"/>
    </xf>
    <xf numFmtId="0" fontId="0" fillId="0" borderId="0" xfId="0"/>
    <xf numFmtId="0" fontId="4" fillId="3" borderId="1" xfId="0" applyFont="1" applyFill="1" applyBorder="1" applyAlignment="1">
      <alignment horizontal="center" vertical="center"/>
    </xf>
    <xf numFmtId="0" fontId="0" fillId="0" borderId="2" xfId="0" applyBorder="1"/>
    <xf numFmtId="0" fontId="8" fillId="0" borderId="0" xfId="0" applyFont="1" applyAlignment="1">
      <alignment vertical="center" wrapText="1"/>
    </xf>
    <xf numFmtId="0" fontId="11" fillId="4" borderId="0" xfId="0" applyFont="1" applyFill="1" applyAlignment="1">
      <alignment horizontal="center" vertical="center"/>
    </xf>
    <xf numFmtId="0" fontId="7" fillId="0" borderId="0" xfId="0" applyFont="1"/>
    <xf numFmtId="0" fontId="6" fillId="0" borderId="1" xfId="0" applyFont="1" applyBorder="1" applyAlignment="1">
      <alignment vertical="center" wrapText="1"/>
    </xf>
    <xf numFmtId="0" fontId="0" fillId="0" borderId="1" xfId="0" applyBorder="1"/>
    <xf numFmtId="0" fontId="11" fillId="4" borderId="0" xfId="0" applyFont="1" applyFill="1" applyAlignment="1">
      <alignment vertical="center"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Consumption recorded by each of the three records, May to July 2026</a:t>
            </a:r>
          </a:p>
        </c:rich>
      </c:tx>
      <c:overlay val="1"/>
    </c:title>
    <c:autoTitleDeleted val="0"/>
    <c:plotArea>
      <c:layout/>
      <c:barChart>
        <c:barDir val="col"/>
        <c:grouping val="clustered"/>
        <c:varyColors val="1"/>
        <c:ser>
          <c:idx val="0"/>
          <c:order val="0"/>
          <c:tx>
            <c:strRef>
              <c:f>Triangulation!$C$59</c:f>
              <c:strCache>
                <c:ptCount val="1"/>
                <c:pt idx="0">
                  <c:v>Units, period</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Triangulation!$B$60:$B$62</c:f>
              <c:strCache>
                <c:ptCount val="3"/>
                <c:pt idx="0">
                  <c:v>Stock count</c:v>
                </c:pt>
                <c:pt idx="1">
                  <c:v>LiveMine</c:v>
                </c:pt>
                <c:pt idx="2">
                  <c:v>Issue register</c:v>
                </c:pt>
              </c:strCache>
            </c:strRef>
          </c:cat>
          <c:val>
            <c:numRef>
              <c:f>Triangulation!$C$60:$C$62</c:f>
              <c:numCache>
                <c:formatCode>#,##0;\(#,##0\);0</c:formatCode>
                <c:ptCount val="3"/>
                <c:pt idx="0">
                  <c:v>26294</c:v>
                </c:pt>
                <c:pt idx="1">
                  <c:v>16343</c:v>
                </c:pt>
                <c:pt idx="2">
                  <c:v>16074</c:v>
                </c:pt>
              </c:numCache>
            </c:numRef>
          </c:val>
          <c:extLst>
            <c:ext xmlns:c16="http://schemas.microsoft.com/office/drawing/2014/chart" uri="{C3380CC4-5D6E-409C-BE32-E72D297353CC}">
              <c16:uniqueId val="{00000000-D576-4ADE-ADC4-62F85F40B856}"/>
            </c:ext>
          </c:extLst>
        </c:ser>
        <c:dLbls>
          <c:showLegendKey val="1"/>
          <c:showVal val="1"/>
          <c:showCatName val="1"/>
          <c:showSerName val="1"/>
          <c:showPercent val="1"/>
          <c:showBubbleSize val="1"/>
        </c:dLbls>
        <c:gapWidth val="60"/>
        <c:axId val="10"/>
        <c:axId val="100"/>
      </c:barChart>
      <c:catAx>
        <c:axId val="10"/>
        <c:scaling>
          <c:orientation val="minMax"/>
        </c:scaling>
        <c:delete val="0"/>
        <c:axPos val="b"/>
        <c:title>
          <c:tx>
            <c:rich>
              <a:bodyPr/>
              <a:lstStyle/>
              <a:p>
                <a:pPr>
                  <a:defRPr/>
                </a:pPr>
                <a:r>
                  <a:t>Record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Units</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Ground support consumable cost per metre advanced</a:t>
            </a:r>
          </a:p>
        </c:rich>
      </c:tx>
      <c:overlay val="1"/>
    </c:title>
    <c:autoTitleDeleted val="0"/>
    <c:plotArea>
      <c:layout/>
      <c:barChart>
        <c:barDir val="col"/>
        <c:grouping val="clustered"/>
        <c:varyColors val="1"/>
        <c:ser>
          <c:idx val="0"/>
          <c:order val="0"/>
          <c:tx>
            <c:strRef>
              <c:f>Charts!$C$30</c:f>
              <c:strCache>
                <c:ptCount val="1"/>
                <c:pt idx="0">
                  <c:v>US$ per metre</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Charts!$B$31:$B$34</c:f>
              <c:strCache>
                <c:ptCount val="4"/>
                <c:pt idx="0">
                  <c:v>May</c:v>
                </c:pt>
                <c:pt idx="1">
                  <c:v>June</c:v>
                </c:pt>
                <c:pt idx="2">
                  <c:v>July</c:v>
                </c:pt>
                <c:pt idx="3">
                  <c:v>August</c:v>
                </c:pt>
              </c:strCache>
            </c:strRef>
          </c:cat>
          <c:val>
            <c:numRef>
              <c:f>Charts!$C$31:$C$34</c:f>
              <c:numCache>
                <c:formatCode>"US$"#,##0;\("US$"#,##0\);"-"</c:formatCode>
                <c:ptCount val="4"/>
                <c:pt idx="0">
                  <c:v>1395.9164769451679</c:v>
                </c:pt>
                <c:pt idx="1">
                  <c:v>944.16707980574654</c:v>
                </c:pt>
                <c:pt idx="2">
                  <c:v>969.39502884101182</c:v>
                </c:pt>
                <c:pt idx="3">
                  <c:v>837.16065822014036</c:v>
                </c:pt>
              </c:numCache>
            </c:numRef>
          </c:val>
          <c:extLst>
            <c:ext xmlns:c16="http://schemas.microsoft.com/office/drawing/2014/chart" uri="{C3380CC4-5D6E-409C-BE32-E72D297353CC}">
              <c16:uniqueId val="{00000000-7451-40CE-85DA-FAB0AB7A60BA}"/>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US$ per metre</a:t>
                </a:r>
              </a:p>
            </c:rich>
          </c:tx>
          <c:overlay val="1"/>
        </c:title>
        <c:numFmt formatCode="&quot;US$&quot;#,##0;\(&quot;US$&quot;#,##0\);&quot;-&quot;"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Development advance by month</a:t>
            </a:r>
          </a:p>
        </c:rich>
      </c:tx>
      <c:overlay val="1"/>
    </c:title>
    <c:autoTitleDeleted val="0"/>
    <c:plotArea>
      <c:layout/>
      <c:barChart>
        <c:barDir val="col"/>
        <c:grouping val="clustered"/>
        <c:varyColors val="1"/>
        <c:ser>
          <c:idx val="0"/>
          <c:order val="0"/>
          <c:tx>
            <c:strRef>
              <c:f>Charts!$C$62</c:f>
              <c:strCache>
                <c:ptCount val="1"/>
                <c:pt idx="0">
                  <c:v>Metres advanced</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Charts!$B$63:$B$66</c:f>
              <c:strCache>
                <c:ptCount val="4"/>
                <c:pt idx="0">
                  <c:v>May</c:v>
                </c:pt>
                <c:pt idx="1">
                  <c:v>June</c:v>
                </c:pt>
                <c:pt idx="2">
                  <c:v>July</c:v>
                </c:pt>
                <c:pt idx="3">
                  <c:v>August</c:v>
                </c:pt>
              </c:strCache>
            </c:strRef>
          </c:cat>
          <c:val>
            <c:numRef>
              <c:f>Charts!$C$63:$C$66</c:f>
              <c:numCache>
                <c:formatCode>#,##0.000</c:formatCode>
                <c:ptCount val="4"/>
                <c:pt idx="0">
                  <c:v>270.43599999999998</c:v>
                </c:pt>
                <c:pt idx="1">
                  <c:v>316.61700000000008</c:v>
                </c:pt>
                <c:pt idx="2">
                  <c:v>397.79799999999994</c:v>
                </c:pt>
                <c:pt idx="3">
                  <c:v>390.96699999999998</c:v>
                </c:pt>
              </c:numCache>
            </c:numRef>
          </c:val>
          <c:extLst>
            <c:ext xmlns:c16="http://schemas.microsoft.com/office/drawing/2014/chart" uri="{C3380CC4-5D6E-409C-BE32-E72D297353CC}">
              <c16:uniqueId val="{00000000-3838-4287-A8B8-10C0AA21C52A}"/>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Metres advanced</a:t>
                </a:r>
              </a:p>
            </c:rich>
          </c:tx>
          <c:overlay val="1"/>
        </c:title>
        <c:numFmt formatCode="#,##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Total consumable cost by item, May to July 2026</a:t>
            </a:r>
          </a:p>
        </c:rich>
      </c:tx>
      <c:overlay val="1"/>
    </c:title>
    <c:autoTitleDeleted val="0"/>
    <c:plotArea>
      <c:layout/>
      <c:barChart>
        <c:barDir val="col"/>
        <c:grouping val="clustered"/>
        <c:varyColors val="1"/>
        <c:ser>
          <c:idx val="0"/>
          <c:order val="0"/>
          <c:tx>
            <c:strRef>
              <c:f>Charts!$C$94</c:f>
              <c:strCache>
                <c:ptCount val="1"/>
                <c:pt idx="0">
                  <c:v>Total cost (US$)</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Charts!$B$95:$B$104</c:f>
              <c:strCache>
                <c:ptCount val="10"/>
                <c:pt idx="0">
                  <c:v>MD bolt 2.4 m</c:v>
                </c:pt>
                <c:pt idx="1">
                  <c:v>Shank T45</c:v>
                </c:pt>
                <c:pt idx="2">
                  <c:v>Mesh 2.4 x 4.5 m</c:v>
                </c:pt>
                <c:pt idx="3">
                  <c:v>Bit adaptor T45/T38</c:v>
                </c:pt>
                <c:pt idx="4">
                  <c:v>Coupling T45/T38</c:v>
                </c:pt>
                <c:pt idx="5">
                  <c:v>Friction bolt 47x2400</c:v>
                </c:pt>
                <c:pt idx="6">
                  <c:v>Speed rod T38</c:v>
                </c:pt>
                <c:pt idx="7">
                  <c:v>Friction bolt 47x900</c:v>
                </c:pt>
                <c:pt idx="8">
                  <c:v>Boring centraliser 41</c:v>
                </c:pt>
                <c:pt idx="9">
                  <c:v>Shank T38</c:v>
                </c:pt>
              </c:strCache>
            </c:strRef>
          </c:cat>
          <c:val>
            <c:numRef>
              <c:f>Charts!$C$95:$C$104</c:f>
              <c:numCache>
                <c:formatCode>"US$"#,##0;\("US$"#,##0\);"-"</c:formatCode>
                <c:ptCount val="10"/>
                <c:pt idx="0">
                  <c:v>904575.31611336849</c:v>
                </c:pt>
                <c:pt idx="1">
                  <c:v>473326.75</c:v>
                </c:pt>
                <c:pt idx="2">
                  <c:v>353779.92667963501</c:v>
                </c:pt>
                <c:pt idx="3">
                  <c:v>227125.94999999998</c:v>
                </c:pt>
                <c:pt idx="4">
                  <c:v>100124.44</c:v>
                </c:pt>
                <c:pt idx="5">
                  <c:v>97769.314125000004</c:v>
                </c:pt>
                <c:pt idx="6">
                  <c:v>46647</c:v>
                </c:pt>
                <c:pt idx="7">
                  <c:v>19990.698662812501</c:v>
                </c:pt>
                <c:pt idx="8">
                  <c:v>18848.3</c:v>
                </c:pt>
                <c:pt idx="9">
                  <c:v>16021.2</c:v>
                </c:pt>
              </c:numCache>
            </c:numRef>
          </c:val>
          <c:extLst>
            <c:ext xmlns:c16="http://schemas.microsoft.com/office/drawing/2014/chart" uri="{C3380CC4-5D6E-409C-BE32-E72D297353CC}">
              <c16:uniqueId val="{00000000-6001-405E-A33B-BC796A417260}"/>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Consumable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US$</a:t>
                </a:r>
              </a:p>
            </c:rich>
          </c:tx>
          <c:overlay val="1"/>
        </c:title>
        <c:numFmt formatCode="&quot;US$&quot;#,##0;\(&quot;US$&quot;#,##0\);&quot;-&quot;"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Share of total consumable cost by item</a:t>
            </a:r>
          </a:p>
        </c:rich>
      </c:tx>
      <c:overlay val="1"/>
    </c:title>
    <c:autoTitleDeleted val="0"/>
    <c:plotArea>
      <c:layout/>
      <c:barChart>
        <c:barDir val="col"/>
        <c:grouping val="clustered"/>
        <c:varyColors val="1"/>
        <c:ser>
          <c:idx val="0"/>
          <c:order val="0"/>
          <c:tx>
            <c:strRef>
              <c:f>Charts!$C$132</c:f>
              <c:strCache>
                <c:ptCount val="1"/>
                <c:pt idx="0">
                  <c:v>Share of total cost</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Charts!$B$133:$B$142</c:f>
              <c:strCache>
                <c:ptCount val="10"/>
                <c:pt idx="0">
                  <c:v>MD bolt 2.4 m</c:v>
                </c:pt>
                <c:pt idx="1">
                  <c:v>Shank T45</c:v>
                </c:pt>
                <c:pt idx="2">
                  <c:v>Mesh 2.4 x 4.5 m</c:v>
                </c:pt>
                <c:pt idx="3">
                  <c:v>Bit adaptor T45/T38</c:v>
                </c:pt>
                <c:pt idx="4">
                  <c:v>Coupling T45/T38</c:v>
                </c:pt>
                <c:pt idx="5">
                  <c:v>Friction bolt 47x2400</c:v>
                </c:pt>
                <c:pt idx="6">
                  <c:v>Speed rod T38</c:v>
                </c:pt>
                <c:pt idx="7">
                  <c:v>Friction bolt 47x900</c:v>
                </c:pt>
                <c:pt idx="8">
                  <c:v>Boring centraliser 41</c:v>
                </c:pt>
                <c:pt idx="9">
                  <c:v>Shank T38</c:v>
                </c:pt>
              </c:strCache>
            </c:strRef>
          </c:cat>
          <c:val>
            <c:numRef>
              <c:f>Charts!$C$133:$C$142</c:f>
              <c:numCache>
                <c:formatCode>0.0%</c:formatCode>
                <c:ptCount val="10"/>
                <c:pt idx="0">
                  <c:v>0.38082776017615583</c:v>
                </c:pt>
                <c:pt idx="1">
                  <c:v>0.19927137389560184</c:v>
                </c:pt>
                <c:pt idx="2">
                  <c:v>0.14894195615636799</c:v>
                </c:pt>
                <c:pt idx="3">
                  <c:v>9.5620414658254077E-2</c:v>
                </c:pt>
                <c:pt idx="4">
                  <c:v>4.2152561035960365E-2</c:v>
                </c:pt>
                <c:pt idx="5">
                  <c:v>4.1161049001602848E-2</c:v>
                </c:pt>
                <c:pt idx="6">
                  <c:v>1.9638467038062265E-2</c:v>
                </c:pt>
                <c:pt idx="7">
                  <c:v>8.4161184375732365E-3</c:v>
                </c:pt>
                <c:pt idx="8">
                  <c:v>7.9351666403736365E-3</c:v>
                </c:pt>
                <c:pt idx="9">
                  <c:v>6.744952689566386E-3</c:v>
                </c:pt>
              </c:numCache>
            </c:numRef>
          </c:val>
          <c:extLst>
            <c:ext xmlns:c16="http://schemas.microsoft.com/office/drawing/2014/chart" uri="{C3380CC4-5D6E-409C-BE32-E72D297353CC}">
              <c16:uniqueId val="{00000000-F822-4969-8F2D-5D28336DECBA}"/>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Consumable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Share of total cost</a:t>
                </a:r>
              </a:p>
            </c:rich>
          </c:tx>
          <c:overlay val="1"/>
        </c:title>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Bolts installed per metre advanced</a:t>
            </a:r>
          </a:p>
        </c:rich>
      </c:tx>
      <c:overlay val="1"/>
    </c:title>
    <c:autoTitleDeleted val="0"/>
    <c:plotArea>
      <c:layout/>
      <c:barChart>
        <c:barDir val="col"/>
        <c:grouping val="clustered"/>
        <c:varyColors val="1"/>
        <c:ser>
          <c:idx val="0"/>
          <c:order val="0"/>
          <c:tx>
            <c:strRef>
              <c:f>Charts!$C$170</c:f>
              <c:strCache>
                <c:ptCount val="1"/>
                <c:pt idx="0">
                  <c:v>Bolts per metre</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Charts!$B$171:$B$174</c:f>
              <c:strCache>
                <c:ptCount val="4"/>
                <c:pt idx="0">
                  <c:v>May</c:v>
                </c:pt>
                <c:pt idx="1">
                  <c:v>June</c:v>
                </c:pt>
                <c:pt idx="2">
                  <c:v>July</c:v>
                </c:pt>
                <c:pt idx="3">
                  <c:v>August</c:v>
                </c:pt>
              </c:strCache>
            </c:strRef>
          </c:cat>
          <c:val>
            <c:numRef>
              <c:f>Charts!$C$171:$C$174</c:f>
              <c:numCache>
                <c:formatCode>#,##0.00;\(#,##0.00\);0.00</c:formatCode>
                <c:ptCount val="4"/>
                <c:pt idx="0">
                  <c:v>14.05508142407076</c:v>
                </c:pt>
                <c:pt idx="1">
                  <c:v>16.831060871652497</c:v>
                </c:pt>
                <c:pt idx="2">
                  <c:v>16.9005374587102</c:v>
                </c:pt>
                <c:pt idx="3">
                  <c:v>15.359352579629483</c:v>
                </c:pt>
              </c:numCache>
            </c:numRef>
          </c:val>
          <c:extLst>
            <c:ext xmlns:c16="http://schemas.microsoft.com/office/drawing/2014/chart" uri="{C3380CC4-5D6E-409C-BE32-E72D297353CC}">
              <c16:uniqueId val="{00000000-C706-462D-A5B3-B9FAE73B44C8}"/>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Bolts per metre</a:t>
                </a:r>
              </a:p>
            </c:rich>
          </c:tx>
          <c:overlay val="1"/>
        </c:title>
        <c:numFmt formatCode="#,##0.00;\(#,##0.0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Mesh sheets installed per metre advanced</a:t>
            </a:r>
          </a:p>
        </c:rich>
      </c:tx>
      <c:overlay val="1"/>
    </c:title>
    <c:autoTitleDeleted val="0"/>
    <c:plotArea>
      <c:layout/>
      <c:barChart>
        <c:barDir val="col"/>
        <c:grouping val="clustered"/>
        <c:varyColors val="1"/>
        <c:ser>
          <c:idx val="0"/>
          <c:order val="0"/>
          <c:tx>
            <c:strRef>
              <c:f>Charts!$C$202</c:f>
              <c:strCache>
                <c:ptCount val="1"/>
                <c:pt idx="0">
                  <c:v>Mesh sheets per metre</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Charts!$B$203:$B$206</c:f>
              <c:strCache>
                <c:ptCount val="4"/>
                <c:pt idx="0">
                  <c:v>May</c:v>
                </c:pt>
                <c:pt idx="1">
                  <c:v>June</c:v>
                </c:pt>
                <c:pt idx="2">
                  <c:v>July</c:v>
                </c:pt>
                <c:pt idx="3">
                  <c:v>August</c:v>
                </c:pt>
              </c:strCache>
            </c:strRef>
          </c:cat>
          <c:val>
            <c:numRef>
              <c:f>Charts!$C$203:$C$206</c:f>
              <c:numCache>
                <c:formatCode>#,##0.00;\(#,##0.00\);0.00</c:formatCode>
                <c:ptCount val="4"/>
                <c:pt idx="0">
                  <c:v>8.4715052729666169</c:v>
                </c:pt>
                <c:pt idx="1">
                  <c:v>1.2886231630013547</c:v>
                </c:pt>
                <c:pt idx="2">
                  <c:v>2.0638615578761081</c:v>
                </c:pt>
                <c:pt idx="3">
                  <c:v>1.9669179240191628</c:v>
                </c:pt>
              </c:numCache>
            </c:numRef>
          </c:val>
          <c:extLst>
            <c:ext xmlns:c16="http://schemas.microsoft.com/office/drawing/2014/chart" uri="{C3380CC4-5D6E-409C-BE32-E72D297353CC}">
              <c16:uniqueId val="{00000000-9C54-42C7-900A-C329C929DFCE}"/>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Sheets per metre</a:t>
                </a:r>
              </a:p>
            </c:rich>
          </c:tx>
          <c:overlay val="1"/>
        </c:title>
        <c:numFmt formatCode="#,##0.00;\(#,##0.0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Consumption recorded by each measure</a:t>
            </a:r>
          </a:p>
        </c:rich>
      </c:tx>
      <c:overlay val="1"/>
    </c:title>
    <c:autoTitleDeleted val="0"/>
    <c:plotArea>
      <c:layout/>
      <c:barChart>
        <c:barDir val="col"/>
        <c:grouping val="clustered"/>
        <c:varyColors val="1"/>
        <c:ser>
          <c:idx val="0"/>
          <c:order val="0"/>
          <c:tx>
            <c:strRef>
              <c:f>Charts!$C$234</c:f>
              <c:strCache>
                <c:ptCount val="1"/>
                <c:pt idx="0">
                  <c:v>Units</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Charts!$B$235:$B$236</c:f>
              <c:strCache>
                <c:ptCount val="2"/>
                <c:pt idx="0">
                  <c:v>Stock count</c:v>
                </c:pt>
                <c:pt idx="1">
                  <c:v>Issue register</c:v>
                </c:pt>
              </c:strCache>
            </c:strRef>
          </c:cat>
          <c:val>
            <c:numRef>
              <c:f>Charts!$C$235:$C$236</c:f>
              <c:numCache>
                <c:formatCode>#,##0;\(#,##0\);0</c:formatCode>
                <c:ptCount val="2"/>
                <c:pt idx="0">
                  <c:v>34961</c:v>
                </c:pt>
                <c:pt idx="1">
                  <c:v>17102</c:v>
                </c:pt>
              </c:numCache>
            </c:numRef>
          </c:val>
          <c:extLst>
            <c:ext xmlns:c16="http://schemas.microsoft.com/office/drawing/2014/chart" uri="{C3380CC4-5D6E-409C-BE32-E72D297353CC}">
              <c16:uniqueId val="{00000000-CB22-4380-BA4C-42D054E6D90D}"/>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Measure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Units</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Metres driven in each ground class</a:t>
            </a:r>
          </a:p>
        </c:rich>
      </c:tx>
      <c:overlay val="1"/>
    </c:title>
    <c:autoTitleDeleted val="0"/>
    <c:plotArea>
      <c:layout/>
      <c:barChart>
        <c:barDir val="col"/>
        <c:grouping val="clustered"/>
        <c:varyColors val="1"/>
        <c:ser>
          <c:idx val="0"/>
          <c:order val="0"/>
          <c:tx>
            <c:strRef>
              <c:f>Charts!$C$264</c:f>
              <c:strCache>
                <c:ptCount val="1"/>
                <c:pt idx="0">
                  <c:v>Metres</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Charts!$B$265:$B$267</c:f>
              <c:strCache>
                <c:ptCount val="3"/>
                <c:pt idx="0">
                  <c:v>GSS_01 good</c:v>
                </c:pt>
                <c:pt idx="1">
                  <c:v>GSS_02 fair</c:v>
                </c:pt>
                <c:pt idx="2">
                  <c:v>GSS_03 poor</c:v>
                </c:pt>
              </c:strCache>
            </c:strRef>
          </c:cat>
          <c:val>
            <c:numRef>
              <c:f>Charts!$C$265:$C$267</c:f>
              <c:numCache>
                <c:formatCode>#,##0.000</c:formatCode>
                <c:ptCount val="3"/>
                <c:pt idx="0">
                  <c:v>152.678</c:v>
                </c:pt>
                <c:pt idx="1">
                  <c:v>238.28899999999999</c:v>
                </c:pt>
                <c:pt idx="2">
                  <c:v>0</c:v>
                </c:pt>
              </c:numCache>
            </c:numRef>
          </c:val>
          <c:extLst>
            <c:ext xmlns:c16="http://schemas.microsoft.com/office/drawing/2014/chart" uri="{C3380CC4-5D6E-409C-BE32-E72D297353CC}">
              <c16:uniqueId val="{00000000-8B6B-42EA-A5D6-D53810EBB595}"/>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Ground class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Metres advanced</a:t>
                </a:r>
              </a:p>
            </c:rich>
          </c:tx>
          <c:overlay val="1"/>
        </c:title>
        <c:numFmt formatCode="#,##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Ground support cost per metre by portal</a:t>
            </a:r>
          </a:p>
        </c:rich>
      </c:tx>
      <c:overlay val="1"/>
    </c:title>
    <c:autoTitleDeleted val="0"/>
    <c:plotArea>
      <c:layout/>
      <c:barChart>
        <c:barDir val="col"/>
        <c:grouping val="clustered"/>
        <c:varyColors val="1"/>
        <c:ser>
          <c:idx val="0"/>
          <c:order val="0"/>
          <c:tx>
            <c:strRef>
              <c:f>Charts!$C$295</c:f>
              <c:strCache>
                <c:ptCount val="1"/>
                <c:pt idx="0">
                  <c:v>US$ per metre</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Charts!$B$296:$B$297</c:f>
              <c:strCache>
                <c:ptCount val="2"/>
                <c:pt idx="0">
                  <c:v>Northern Portal</c:v>
                </c:pt>
                <c:pt idx="1">
                  <c:v>Southern Portal</c:v>
                </c:pt>
              </c:strCache>
            </c:strRef>
          </c:cat>
          <c:val>
            <c:numRef>
              <c:f>Charts!$C$296:$C$297</c:f>
              <c:numCache>
                <c:formatCode>"US$"#,##0;\("US$"#,##0\);"-"</c:formatCode>
                <c:ptCount val="2"/>
                <c:pt idx="0">
                  <c:v>1036.7868632552179</c:v>
                </c:pt>
                <c:pt idx="1">
                  <c:v>976.95905886339619</c:v>
                </c:pt>
              </c:numCache>
            </c:numRef>
          </c:val>
          <c:extLst>
            <c:ext xmlns:c16="http://schemas.microsoft.com/office/drawing/2014/chart" uri="{C3380CC4-5D6E-409C-BE32-E72D297353CC}">
              <c16:uniqueId val="{00000000-D161-4E21-8AAE-389B219346DD}"/>
            </c:ext>
          </c:extLst>
        </c:ser>
        <c:dLbls>
          <c:showLegendKey val="1"/>
          <c:showVal val="1"/>
          <c:showCatName val="1"/>
          <c:showSerName val="1"/>
          <c:showPercent val="1"/>
          <c:showBubbleSize val="1"/>
        </c:dLbls>
        <c:gapWidth val="55"/>
        <c:axId val="10"/>
        <c:axId val="100"/>
      </c:barChart>
      <c:catAx>
        <c:axId val="10"/>
        <c:scaling>
          <c:orientation val="minMax"/>
        </c:scaling>
        <c:delete val="0"/>
        <c:axPos val="b"/>
        <c:title>
          <c:tx>
            <c:rich>
              <a:bodyPr/>
              <a:lstStyle/>
              <a:p>
                <a:pPr>
                  <a:defRPr/>
                </a:pPr>
                <a:r>
                  <a:t>Portal</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US$ per metre</a:t>
                </a:r>
              </a:p>
            </c:rich>
          </c:tx>
          <c:overlay val="1"/>
        </c:title>
        <c:numFmt formatCode="&quot;US$&quot;#,##0;\(&quot;US$&quot;#,##0\);&quot;-&quot;"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Development advance by heading, eight largest</a:t>
            </a:r>
          </a:p>
        </c:rich>
      </c:tx>
      <c:overlay val="1"/>
    </c:title>
    <c:autoTitleDeleted val="0"/>
    <c:plotArea>
      <c:layout/>
      <c:barChart>
        <c:barDir val="bar"/>
        <c:grouping val="clustered"/>
        <c:varyColors val="1"/>
        <c:ser>
          <c:idx val="0"/>
          <c:order val="0"/>
          <c:tx>
            <c:strRef>
              <c:f>Charts!$C$333</c:f>
              <c:strCache>
                <c:ptCount val="1"/>
                <c:pt idx="0">
                  <c:v>Metres advanced</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Charts!$B$334:$B$341</c:f>
              <c:strCache>
                <c:ptCount val="8"/>
                <c:pt idx="0">
                  <c:v>North Decline</c:v>
                </c:pt>
                <c:pt idx="1">
                  <c:v>South Decline</c:v>
                </c:pt>
                <c:pt idx="2">
                  <c:v>North Shoot Decline (NS_1040_ACC_N)</c:v>
                </c:pt>
                <c:pt idx="3">
                  <c:v>MS900_DDR_N</c:v>
                </c:pt>
                <c:pt idx="4">
                  <c:v>NS_1020_ACC_W</c:v>
                </c:pt>
                <c:pt idx="5">
                  <c:v>MS_0900_RAD_E</c:v>
                </c:pt>
                <c:pt idx="6">
                  <c:v>MS_900_RAD_E</c:v>
                </c:pt>
                <c:pt idx="7">
                  <c:v>NS_1020_RAD_N</c:v>
                </c:pt>
              </c:strCache>
            </c:strRef>
          </c:cat>
          <c:val>
            <c:numRef>
              <c:f>Charts!$C$334:$C$341</c:f>
              <c:numCache>
                <c:formatCode>#,##0.000</c:formatCode>
                <c:ptCount val="8"/>
                <c:pt idx="0">
                  <c:v>95.451999999999998</c:v>
                </c:pt>
                <c:pt idx="1">
                  <c:v>66.894000000000005</c:v>
                </c:pt>
                <c:pt idx="2">
                  <c:v>31.786999999999999</c:v>
                </c:pt>
                <c:pt idx="3">
                  <c:v>0</c:v>
                </c:pt>
                <c:pt idx="4">
                  <c:v>57.558</c:v>
                </c:pt>
                <c:pt idx="5">
                  <c:v>0</c:v>
                </c:pt>
                <c:pt idx="6">
                  <c:v>32.860999999999997</c:v>
                </c:pt>
                <c:pt idx="7">
                  <c:v>32.709000000000003</c:v>
                </c:pt>
              </c:numCache>
            </c:numRef>
          </c:val>
          <c:extLst>
            <c:ext xmlns:c16="http://schemas.microsoft.com/office/drawing/2014/chart" uri="{C3380CC4-5D6E-409C-BE32-E72D297353CC}">
              <c16:uniqueId val="{00000000-0E62-419F-A73E-286C0AA3A93C}"/>
            </c:ext>
          </c:extLst>
        </c:ser>
        <c:dLbls>
          <c:showLegendKey val="1"/>
          <c:showVal val="1"/>
          <c:showCatName val="1"/>
          <c:showSerName val="1"/>
          <c:showPercent val="1"/>
          <c:showBubbleSize val="1"/>
        </c:dLbls>
        <c:gapWidth val="55"/>
        <c:axId val="10"/>
        <c:axId val="100"/>
      </c:barChart>
      <c:catAx>
        <c:axId val="10"/>
        <c:scaling>
          <c:orientation val="minMax"/>
        </c:scaling>
        <c:delete val="0"/>
        <c:axPos val="l"/>
        <c:title>
          <c:tx>
            <c:rich>
              <a:bodyPr/>
              <a:lstStyle/>
              <a:p>
                <a:pPr>
                  <a:defRPr/>
                </a:pPr>
                <a:r>
                  <a:t>Metres advanced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t>Heading</a:t>
                </a:r>
              </a:p>
            </c:rich>
          </c:tx>
          <c:overlay val="1"/>
        </c:title>
        <c:numFmt formatCode="#,##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4</xdr:col>
      <xdr:colOff>0</xdr:colOff>
      <xdr:row>58</xdr:row>
      <xdr:rowOff>0</xdr:rowOff>
    </xdr:from>
    <xdr:ext cx="7920000" cy="396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6</xdr:row>
      <xdr:rowOff>0</xdr:rowOff>
    </xdr:from>
    <xdr:ext cx="8280000" cy="396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38</xdr:row>
      <xdr:rowOff>0</xdr:rowOff>
    </xdr:from>
    <xdr:ext cx="8280000" cy="3960000"/>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70</xdr:row>
      <xdr:rowOff>0</xdr:rowOff>
    </xdr:from>
    <xdr:ext cx="8280000" cy="3960000"/>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108</xdr:row>
      <xdr:rowOff>0</xdr:rowOff>
    </xdr:from>
    <xdr:ext cx="8280000" cy="3960000"/>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146</xdr:row>
      <xdr:rowOff>0</xdr:rowOff>
    </xdr:from>
    <xdr:ext cx="8280000" cy="3960000"/>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xdr:col>
      <xdr:colOff>0</xdr:colOff>
      <xdr:row>178</xdr:row>
      <xdr:rowOff>0</xdr:rowOff>
    </xdr:from>
    <xdr:ext cx="8280000" cy="3960000"/>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210</xdr:row>
      <xdr:rowOff>0</xdr:rowOff>
    </xdr:from>
    <xdr:ext cx="8280000" cy="3960000"/>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xdr:col>
      <xdr:colOff>0</xdr:colOff>
      <xdr:row>240</xdr:row>
      <xdr:rowOff>0</xdr:rowOff>
    </xdr:from>
    <xdr:ext cx="8280000" cy="3960000"/>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0</xdr:colOff>
      <xdr:row>271</xdr:row>
      <xdr:rowOff>0</xdr:rowOff>
    </xdr:from>
    <xdr:ext cx="8280000" cy="3960000"/>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xdr:col>
      <xdr:colOff>0</xdr:colOff>
      <xdr:row>301</xdr:row>
      <xdr:rowOff>0</xdr:rowOff>
    </xdr:from>
    <xdr:ext cx="8280000" cy="5400000"/>
    <xdr:graphicFrame macro="">
      <xdr:nvGraphicFramePr>
        <xdr:cNvPr id="11" name="Chart 10">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3"/>
  <sheetViews>
    <sheetView showGridLines="0" tabSelected="1" workbookViewId="0"/>
  </sheetViews>
  <sheetFormatPr defaultRowHeight="14.4"/>
  <cols>
    <col min="1" max="1" width="4" customWidth="1"/>
    <col min="2" max="2" width="44" customWidth="1"/>
    <col min="3" max="3" width="74" customWidth="1"/>
    <col min="4" max="4" width="4" customWidth="1"/>
    <col min="5" max="5" width="56" customWidth="1"/>
  </cols>
  <sheetData>
    <row r="1" spans="2:5" ht="10.050000000000001" customHeight="1"/>
    <row r="2" spans="2:5" ht="30" customHeight="1">
      <c r="B2" s="1" t="s">
        <v>0</v>
      </c>
    </row>
    <row r="3" spans="2:5" ht="25.95" customHeight="1">
      <c r="B3" s="2" t="s">
        <v>1</v>
      </c>
    </row>
    <row r="4" spans="2:5" ht="22.05" customHeight="1">
      <c r="B4" s="3" t="s">
        <v>2</v>
      </c>
    </row>
    <row r="5" spans="2:5" ht="12" customHeight="1"/>
    <row r="6" spans="2:5" ht="24" customHeight="1">
      <c r="B6" s="4" t="s">
        <v>3</v>
      </c>
      <c r="C6" s="5"/>
      <c r="D6" s="5"/>
    </row>
    <row r="7" spans="2:5" ht="22.05" customHeight="1">
      <c r="B7" s="6" t="s">
        <v>4</v>
      </c>
      <c r="C7" s="7" t="s">
        <v>5</v>
      </c>
    </row>
    <row r="8" spans="2:5" ht="22.05" customHeight="1">
      <c r="B8" s="6" t="s">
        <v>6</v>
      </c>
      <c r="C8" s="7" t="s">
        <v>7</v>
      </c>
    </row>
    <row r="9" spans="2:5" ht="22.05" customHeight="1">
      <c r="B9" s="6" t="s">
        <v>8</v>
      </c>
      <c r="C9" s="7" t="s">
        <v>9</v>
      </c>
    </row>
    <row r="10" spans="2:5" ht="22.05" customHeight="1">
      <c r="B10" s="6" t="s">
        <v>10</v>
      </c>
      <c r="C10" s="7" t="s">
        <v>11</v>
      </c>
    </row>
    <row r="11" spans="2:5" ht="22.05" customHeight="1">
      <c r="B11" s="6" t="s">
        <v>12</v>
      </c>
      <c r="C11" s="7" t="s">
        <v>13</v>
      </c>
    </row>
    <row r="12" spans="2:5" ht="22.05" customHeight="1">
      <c r="B12" s="6" t="s">
        <v>14</v>
      </c>
      <c r="C12" s="7" t="s">
        <v>15</v>
      </c>
    </row>
    <row r="13" spans="2:5" ht="22.05" customHeight="1">
      <c r="B13" s="6" t="s">
        <v>16</v>
      </c>
      <c r="C13" s="7" t="s">
        <v>17</v>
      </c>
    </row>
    <row r="15" spans="2:5" ht="24" customHeight="1">
      <c r="B15" s="4" t="s">
        <v>18</v>
      </c>
      <c r="C15" s="5"/>
      <c r="D15" s="5"/>
    </row>
    <row r="16" spans="2:5" ht="30" customHeight="1">
      <c r="B16" s="8" t="s">
        <v>19</v>
      </c>
      <c r="C16" s="8" t="s">
        <v>20</v>
      </c>
      <c r="D16" s="8"/>
      <c r="E16" s="8" t="s">
        <v>21</v>
      </c>
    </row>
    <row r="17" spans="2:5" ht="31.95" customHeight="1">
      <c r="B17" s="9" t="s">
        <v>22</v>
      </c>
      <c r="C17" s="10" t="s">
        <v>23</v>
      </c>
      <c r="E17" s="9" t="s">
        <v>24</v>
      </c>
    </row>
    <row r="18" spans="2:5" ht="31.95" customHeight="1">
      <c r="B18" s="9" t="s">
        <v>25</v>
      </c>
      <c r="C18" s="10" t="s">
        <v>26</v>
      </c>
      <c r="E18" s="9" t="s">
        <v>27</v>
      </c>
    </row>
    <row r="19" spans="2:5" ht="31.95" customHeight="1">
      <c r="B19" s="9" t="s">
        <v>28</v>
      </c>
      <c r="C19" s="10" t="s">
        <v>29</v>
      </c>
      <c r="E19" s="9" t="s">
        <v>30</v>
      </c>
    </row>
    <row r="20" spans="2:5" ht="31.95" customHeight="1">
      <c r="B20" s="9" t="s">
        <v>31</v>
      </c>
      <c r="C20" s="10" t="s">
        <v>32</v>
      </c>
      <c r="E20" s="9" t="s">
        <v>33</v>
      </c>
    </row>
    <row r="21" spans="2:5" ht="31.95" customHeight="1">
      <c r="B21" s="9" t="s">
        <v>34</v>
      </c>
      <c r="C21" s="10" t="s">
        <v>35</v>
      </c>
      <c r="E21" s="9" t="s">
        <v>36</v>
      </c>
    </row>
    <row r="22" spans="2:5" ht="31.95" customHeight="1">
      <c r="B22" s="9" t="s">
        <v>37</v>
      </c>
      <c r="C22" s="10" t="s">
        <v>38</v>
      </c>
      <c r="E22" s="9" t="s">
        <v>39</v>
      </c>
    </row>
    <row r="24" spans="2:5" ht="24" customHeight="1">
      <c r="B24" s="4" t="s">
        <v>40</v>
      </c>
      <c r="C24" s="5"/>
      <c r="D24" s="5"/>
    </row>
    <row r="25" spans="2:5" ht="22.05" customHeight="1">
      <c r="B25" s="6" t="s">
        <v>41</v>
      </c>
      <c r="C25" s="11" t="s">
        <v>42</v>
      </c>
    </row>
    <row r="26" spans="2:5" ht="22.05" customHeight="1">
      <c r="B26" s="6" t="s">
        <v>43</v>
      </c>
      <c r="C26" s="11" t="s">
        <v>44</v>
      </c>
    </row>
    <row r="27" spans="2:5" ht="22.05" customHeight="1">
      <c r="B27" s="6" t="s">
        <v>45</v>
      </c>
      <c r="C27" s="11" t="s">
        <v>46</v>
      </c>
    </row>
    <row r="28" spans="2:5" ht="22.05" customHeight="1">
      <c r="B28" s="6" t="s">
        <v>47</v>
      </c>
      <c r="C28" s="11" t="s">
        <v>48</v>
      </c>
    </row>
    <row r="29" spans="2:5" ht="22.05" customHeight="1">
      <c r="B29" s="6" t="s">
        <v>49</v>
      </c>
      <c r="C29" s="11" t="s">
        <v>50</v>
      </c>
    </row>
    <row r="30" spans="2:5" ht="22.05" customHeight="1">
      <c r="B30" s="6" t="s">
        <v>51</v>
      </c>
      <c r="C30" s="11" t="s">
        <v>52</v>
      </c>
    </row>
    <row r="31" spans="2:5" ht="22.05" customHeight="1">
      <c r="B31" s="6" t="s">
        <v>53</v>
      </c>
      <c r="C31" s="11" t="s">
        <v>54</v>
      </c>
    </row>
    <row r="32" spans="2:5" ht="22.05" customHeight="1">
      <c r="B32" s="6" t="s">
        <v>55</v>
      </c>
      <c r="C32" s="11" t="s">
        <v>56</v>
      </c>
    </row>
    <row r="33" spans="2:4" ht="22.05" customHeight="1">
      <c r="B33" s="6" t="s">
        <v>57</v>
      </c>
      <c r="C33" s="11" t="s">
        <v>58</v>
      </c>
    </row>
    <row r="34" spans="2:4" ht="22.05" customHeight="1">
      <c r="B34" s="6" t="s">
        <v>38</v>
      </c>
      <c r="C34" s="11" t="s">
        <v>59</v>
      </c>
    </row>
    <row r="35" spans="2:4" ht="22.05" customHeight="1">
      <c r="B35" s="6" t="s">
        <v>60</v>
      </c>
      <c r="C35" s="11" t="s">
        <v>61</v>
      </c>
    </row>
    <row r="36" spans="2:4" ht="22.05" customHeight="1">
      <c r="B36" s="6" t="s">
        <v>35</v>
      </c>
      <c r="C36" s="11" t="s">
        <v>62</v>
      </c>
    </row>
    <row r="37" spans="2:4" ht="22.05" customHeight="1">
      <c r="B37" s="6" t="s">
        <v>63</v>
      </c>
      <c r="C37" s="11" t="s">
        <v>64</v>
      </c>
    </row>
    <row r="38" spans="2:4" ht="22.05" customHeight="1">
      <c r="B38" s="6" t="s">
        <v>65</v>
      </c>
      <c r="C38" s="11" t="s">
        <v>66</v>
      </c>
    </row>
    <row r="39" spans="2:4" ht="22.05" customHeight="1">
      <c r="B39" s="6" t="s">
        <v>67</v>
      </c>
      <c r="C39" s="11" t="s">
        <v>68</v>
      </c>
    </row>
    <row r="40" spans="2:4" ht="22.05" customHeight="1">
      <c r="B40" s="6" t="s">
        <v>69</v>
      </c>
      <c r="C40" s="11" t="s">
        <v>70</v>
      </c>
    </row>
    <row r="41" spans="2:4" ht="22.05" customHeight="1">
      <c r="B41" s="6" t="s">
        <v>71</v>
      </c>
      <c r="C41" s="11" t="s">
        <v>72</v>
      </c>
    </row>
    <row r="42" spans="2:4" ht="22.05" customHeight="1">
      <c r="B42" s="6" t="s">
        <v>73</v>
      </c>
      <c r="C42" s="11" t="s">
        <v>74</v>
      </c>
    </row>
    <row r="43" spans="2:4" ht="22.05" customHeight="1">
      <c r="B43" s="6" t="s">
        <v>75</v>
      </c>
      <c r="C43" s="11" t="s">
        <v>76</v>
      </c>
    </row>
    <row r="44" spans="2:4" ht="22.05" customHeight="1">
      <c r="B44" s="6" t="s">
        <v>77</v>
      </c>
      <c r="C44" s="11" t="s">
        <v>78</v>
      </c>
    </row>
    <row r="46" spans="2:4" ht="24" customHeight="1">
      <c r="B46" s="4" t="s">
        <v>79</v>
      </c>
      <c r="C46" s="5"/>
      <c r="D46" s="5"/>
    </row>
    <row r="47" spans="2:4" ht="22.05" customHeight="1">
      <c r="B47" s="6" t="s">
        <v>80</v>
      </c>
      <c r="C47" s="7" t="s">
        <v>81</v>
      </c>
    </row>
    <row r="48" spans="2:4" ht="22.05" customHeight="1">
      <c r="B48" s="6" t="s">
        <v>82</v>
      </c>
      <c r="C48" s="7" t="s">
        <v>83</v>
      </c>
    </row>
    <row r="49" spans="2:3" ht="22.05" customHeight="1">
      <c r="B49" s="6" t="s">
        <v>84</v>
      </c>
      <c r="C49" s="7" t="s">
        <v>85</v>
      </c>
    </row>
    <row r="50" spans="2:3" ht="22.05" customHeight="1">
      <c r="B50" s="6" t="s">
        <v>86</v>
      </c>
      <c r="C50" s="7" t="s">
        <v>87</v>
      </c>
    </row>
    <row r="51" spans="2:3" ht="22.05" customHeight="1">
      <c r="B51" s="6" t="s">
        <v>88</v>
      </c>
      <c r="C51" s="7" t="s">
        <v>89</v>
      </c>
    </row>
    <row r="52" spans="2:3" ht="22.05" customHeight="1">
      <c r="B52" s="6" t="s">
        <v>90</v>
      </c>
      <c r="C52" s="7" t="s">
        <v>91</v>
      </c>
    </row>
    <row r="53" spans="2:3" ht="22.05" customHeight="1">
      <c r="B53" s="6" t="s">
        <v>92</v>
      </c>
      <c r="C53" s="7"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37"/>
  <sheetViews>
    <sheetView showGridLines="0" workbookViewId="0"/>
  </sheetViews>
  <sheetFormatPr defaultRowHeight="14.4"/>
  <cols>
    <col min="1" max="1" width="4" customWidth="1"/>
    <col min="2" max="2" width="46" customWidth="1"/>
    <col min="3" max="3" width="38" customWidth="1"/>
    <col min="4" max="4" width="4" customWidth="1"/>
    <col min="5" max="8" width="22" customWidth="1"/>
    <col min="9" max="9" width="4" customWidth="1"/>
    <col min="10" max="10" width="24" customWidth="1"/>
    <col min="11" max="11" width="4" customWidth="1"/>
    <col min="12" max="12" width="44" customWidth="1"/>
  </cols>
  <sheetData>
    <row r="1" spans="2:10" ht="7.95" customHeight="1"/>
    <row r="2" spans="2:10" ht="30" customHeight="1">
      <c r="B2" s="12" t="s">
        <v>94</v>
      </c>
    </row>
    <row r="3" spans="2:10" ht="19.95" customHeight="1">
      <c r="B3" s="3" t="s">
        <v>95</v>
      </c>
    </row>
    <row r="5" spans="2:10" ht="7.95" customHeight="1"/>
    <row r="6" spans="2:10" ht="24" customHeight="1">
      <c r="B6" s="4" t="s">
        <v>96</v>
      </c>
      <c r="C6" s="5"/>
      <c r="D6" s="5"/>
      <c r="E6" s="5"/>
      <c r="F6" s="5"/>
      <c r="G6" s="5"/>
      <c r="H6" s="5"/>
      <c r="I6" s="5"/>
      <c r="J6" s="5"/>
    </row>
    <row r="7" spans="2:10" ht="46.05" customHeight="1">
      <c r="B7" s="8" t="s">
        <v>97</v>
      </c>
      <c r="C7" s="8" t="s">
        <v>98</v>
      </c>
      <c r="D7" s="8"/>
      <c r="E7" s="8" t="s">
        <v>99</v>
      </c>
      <c r="F7" s="8" t="s">
        <v>100</v>
      </c>
      <c r="G7" s="8" t="s">
        <v>101</v>
      </c>
      <c r="H7" s="8" t="s">
        <v>102</v>
      </c>
      <c r="I7" s="8"/>
      <c r="J7" s="8" t="s">
        <v>103</v>
      </c>
    </row>
    <row r="8" spans="2:10" ht="22.05" customHeight="1">
      <c r="B8" s="13" t="s">
        <v>104</v>
      </c>
      <c r="C8" s="14" t="s">
        <v>105</v>
      </c>
      <c r="E8" s="15">
        <f>Advance!E53</f>
        <v>270.43599999999998</v>
      </c>
      <c r="F8" s="15">
        <f>Advance!F53</f>
        <v>316.61700000000008</v>
      </c>
      <c r="G8" s="15">
        <f>Advance!G53</f>
        <v>397.79799999999994</v>
      </c>
      <c r="H8" s="15">
        <f>Advance!H53</f>
        <v>390.96699999999998</v>
      </c>
      <c r="J8" s="16">
        <f>Advance!H53</f>
        <v>390.96699999999998</v>
      </c>
    </row>
    <row r="9" spans="2:10" ht="22.05" customHeight="1">
      <c r="B9" s="13" t="s">
        <v>106</v>
      </c>
      <c r="C9" s="14" t="s">
        <v>107</v>
      </c>
      <c r="E9" s="17">
        <f>Unit_Cost!E13</f>
        <v>377506.06835914339</v>
      </c>
      <c r="F9" s="17">
        <f>Unit_Cost!F13</f>
        <v>298939.34830685612</v>
      </c>
      <c r="G9" s="17">
        <f>Unit_Cost!G13</f>
        <v>385623.40368289675</v>
      </c>
      <c r="H9" s="17">
        <f>Unit_Cost!H13</f>
        <v>327302.19106235361</v>
      </c>
      <c r="J9" s="18">
        <f>Unit_Cost!H13</f>
        <v>327302.19106235361</v>
      </c>
    </row>
    <row r="10" spans="2:10" ht="22.05" customHeight="1">
      <c r="B10" s="13" t="s">
        <v>108</v>
      </c>
      <c r="C10" s="14" t="s">
        <v>107</v>
      </c>
      <c r="E10" s="17">
        <f>Unit_Cost!E24</f>
        <v>175938.32</v>
      </c>
      <c r="F10" s="17">
        <f>Unit_Cost!F24</f>
        <v>164342.43</v>
      </c>
      <c r="G10" s="17">
        <f>Unit_Cost!G24</f>
        <v>350729.41000000003</v>
      </c>
      <c r="H10" s="17">
        <f>Unit_Cost!H24</f>
        <v>294906.06000000006</v>
      </c>
      <c r="J10" s="18">
        <f>Unit_Cost!H24</f>
        <v>294906.06000000006</v>
      </c>
    </row>
    <row r="11" spans="2:10" ht="22.05" customHeight="1">
      <c r="B11" s="13" t="s">
        <v>109</v>
      </c>
      <c r="C11" s="14" t="s">
        <v>107</v>
      </c>
      <c r="E11" s="17">
        <f>Unit_Cost!E13+Unit_Cost!E24</f>
        <v>553444.3883591434</v>
      </c>
      <c r="F11" s="17">
        <f>Unit_Cost!F13+Unit_Cost!F24</f>
        <v>463281.77830685611</v>
      </c>
      <c r="G11" s="17">
        <f>Unit_Cost!G13+Unit_Cost!G24</f>
        <v>736352.81368289678</v>
      </c>
      <c r="H11" s="17">
        <f>Unit_Cost!H13+Unit_Cost!H24</f>
        <v>622208.25106235361</v>
      </c>
      <c r="J11" s="18">
        <f>Unit_Cost!H13+Unit_Cost!H24</f>
        <v>622208.25106235361</v>
      </c>
    </row>
    <row r="12" spans="2:10" ht="22.05" customHeight="1">
      <c r="B12" s="13" t="s">
        <v>110</v>
      </c>
      <c r="C12" s="14" t="s">
        <v>111</v>
      </c>
      <c r="E12" s="19">
        <f>DRM!E26</f>
        <v>29381.100000000002</v>
      </c>
      <c r="F12" s="19">
        <f>DRM!F26</f>
        <v>33867</v>
      </c>
      <c r="G12" s="19">
        <f>DRM!G26</f>
        <v>49347.6</v>
      </c>
      <c r="H12" s="19">
        <f>DRM!H26</f>
        <v>42289.599999999999</v>
      </c>
      <c r="J12" s="20">
        <f>DRM!H26</f>
        <v>42289.599999999999</v>
      </c>
    </row>
    <row r="13" spans="2:10" ht="25.95" customHeight="1">
      <c r="B13" s="21" t="s">
        <v>112</v>
      </c>
      <c r="C13" s="22" t="s">
        <v>113</v>
      </c>
      <c r="E13" s="23">
        <f>IF(E8=0,0,E11/E8)</f>
        <v>2046.489329671876</v>
      </c>
      <c r="F13" s="23">
        <f>IF(F8=0,0,F11/F8)</f>
        <v>1463.2245846143953</v>
      </c>
      <c r="G13" s="23">
        <f>IF(G8=0,0,G11/G8)</f>
        <v>1851.0721865944447</v>
      </c>
      <c r="H13" s="23">
        <f>IF(H8=0,0,H11/H8)</f>
        <v>1591.4597678636653</v>
      </c>
      <c r="J13" s="23">
        <f>IF(J8=0,0,J11/J8)</f>
        <v>1591.4597678636653</v>
      </c>
    </row>
    <row r="14" spans="2:10" ht="22.05" customHeight="1">
      <c r="B14" s="13" t="s">
        <v>114</v>
      </c>
      <c r="C14" s="14" t="s">
        <v>115</v>
      </c>
      <c r="E14" s="24">
        <f>IF(E12=0,0,E11/E12)</f>
        <v>18.836748398090723</v>
      </c>
      <c r="F14" s="24">
        <f>IF(F12=0,0,F11/F12)</f>
        <v>13.679445427904925</v>
      </c>
      <c r="G14" s="24">
        <f>IF(G12=0,0,G11/G12)</f>
        <v>14.921755337299013</v>
      </c>
      <c r="H14" s="24">
        <f>IF(H12=0,0,H11/H12)</f>
        <v>14.713032307289584</v>
      </c>
      <c r="J14" s="24">
        <f>IF(J12=0,0,J11/J12)</f>
        <v>14.713032307289584</v>
      </c>
    </row>
    <row r="15" spans="2:10" ht="22.05" customHeight="1">
      <c r="B15" s="13" t="s">
        <v>116</v>
      </c>
      <c r="C15" s="14" t="s">
        <v>117</v>
      </c>
      <c r="E15" s="25">
        <f>IF(E8=0,0,E12/E8)</f>
        <v>108.64344983656024</v>
      </c>
      <c r="F15" s="25">
        <f>IF(F8=0,0,F12/F8)</f>
        <v>106.96519769942863</v>
      </c>
      <c r="G15" s="25">
        <f>IF(G8=0,0,G12/G8)</f>
        <v>124.05190574110479</v>
      </c>
      <c r="H15" s="25">
        <f>IF(H8=0,0,H12/H8)</f>
        <v>108.16667391365512</v>
      </c>
      <c r="J15" s="25">
        <f>IF(J8=0,0,J12/J8)</f>
        <v>108.16667391365512</v>
      </c>
    </row>
    <row r="17" spans="2:11" ht="24" customHeight="1">
      <c r="B17" s="4" t="s">
        <v>118</v>
      </c>
      <c r="C17" s="5"/>
      <c r="D17" s="5"/>
      <c r="E17" s="5"/>
      <c r="F17" s="5"/>
      <c r="G17" s="5"/>
      <c r="H17" s="5"/>
      <c r="I17" s="5"/>
      <c r="J17" s="5"/>
    </row>
    <row r="18" spans="2:11" ht="46.05" customHeight="1">
      <c r="B18" s="8" t="s">
        <v>119</v>
      </c>
      <c r="C18" s="8" t="s">
        <v>120</v>
      </c>
      <c r="D18" s="8"/>
      <c r="E18" s="8" t="s">
        <v>121</v>
      </c>
      <c r="F18" s="8" t="s">
        <v>122</v>
      </c>
      <c r="G18" s="8"/>
      <c r="H18" s="8"/>
      <c r="I18" s="8"/>
      <c r="J18" s="8" t="s">
        <v>123</v>
      </c>
    </row>
    <row r="19" spans="2:11" ht="22.05" customHeight="1">
      <c r="B19" s="13" t="s">
        <v>124</v>
      </c>
      <c r="C19" s="26" t="s">
        <v>125</v>
      </c>
      <c r="E19" s="15">
        <f>Portal_Analysis!E41</f>
        <v>756.38999999999987</v>
      </c>
      <c r="F19" s="27">
        <f>IF(Portal_Analysis!G41=0,0,E19/Portal_Analysis!G41)</f>
        <v>0.54977475218379157</v>
      </c>
      <c r="J19" s="24">
        <f>Portal_Analysis!E53</f>
        <v>1036.7868632552179</v>
      </c>
    </row>
    <row r="20" spans="2:11" ht="22.05" customHeight="1">
      <c r="B20" s="13" t="s">
        <v>126</v>
      </c>
      <c r="C20" s="26" t="s">
        <v>127</v>
      </c>
      <c r="E20" s="15">
        <f>Portal_Analysis!F41</f>
        <v>619.428</v>
      </c>
      <c r="F20" s="27">
        <f>IF(Portal_Analysis!G41=0,0,E20/Portal_Analysis!G41)</f>
        <v>0.45022524781620815</v>
      </c>
      <c r="J20" s="24">
        <f>Portal_Analysis!F53</f>
        <v>976.95905886339619</v>
      </c>
    </row>
    <row r="22" spans="2:11" ht="24" customHeight="1">
      <c r="B22" s="121" t="s">
        <v>128</v>
      </c>
      <c r="C22" s="122"/>
      <c r="D22" s="122"/>
      <c r="E22" s="122"/>
      <c r="F22" s="122"/>
      <c r="G22" s="122"/>
      <c r="H22" s="122"/>
      <c r="I22" s="122"/>
      <c r="J22" s="122"/>
      <c r="K22" s="122"/>
    </row>
    <row r="24" spans="2:11" ht="24" customHeight="1">
      <c r="B24" s="4" t="s">
        <v>129</v>
      </c>
      <c r="C24" s="5"/>
      <c r="D24" s="5"/>
      <c r="E24" s="5"/>
      <c r="F24" s="5"/>
      <c r="G24" s="5"/>
      <c r="H24" s="5"/>
      <c r="I24" s="5"/>
      <c r="J24" s="5"/>
    </row>
    <row r="25" spans="2:11" ht="46.05" customHeight="1">
      <c r="B25" s="8" t="s">
        <v>130</v>
      </c>
      <c r="C25" s="8"/>
      <c r="D25" s="8"/>
      <c r="E25" s="8" t="s">
        <v>131</v>
      </c>
      <c r="F25" s="8" t="s">
        <v>132</v>
      </c>
      <c r="G25" s="8" t="s">
        <v>133</v>
      </c>
      <c r="H25" s="8"/>
      <c r="I25" s="8"/>
    </row>
    <row r="26" spans="2:11" ht="22.05" customHeight="1">
      <c r="B26" s="29" t="str">
        <f>Pareto!B7</f>
        <v>1.   MD bolt 2.4 m galvanised</v>
      </c>
      <c r="E26" s="17">
        <f>Pareto!E7</f>
        <v>904575.31611336849</v>
      </c>
      <c r="F26" s="27">
        <f>Pareto!H7</f>
        <v>0.38082776017615583</v>
      </c>
      <c r="G26" s="30">
        <f>Pareto!I7</f>
        <v>0.38082776017615583</v>
      </c>
    </row>
    <row r="27" spans="2:11" ht="22.05" customHeight="1">
      <c r="B27" s="29" t="str">
        <f>Pareto!B8</f>
        <v>2.   Shank T45 RD520/525 D45 L525</v>
      </c>
      <c r="E27" s="17">
        <f>Pareto!E8</f>
        <v>473326.75</v>
      </c>
      <c r="F27" s="27">
        <f>Pareto!H8</f>
        <v>0.19927137389560184</v>
      </c>
      <c r="G27" s="30">
        <f>Pareto!I8</f>
        <v>0.58009913407175773</v>
      </c>
    </row>
    <row r="28" spans="2:11" ht="22.05" customHeight="1">
      <c r="B28" s="29" t="str">
        <f>Pareto!B9</f>
        <v>3.   Mesh 2.40 x 4.50 m galvanised</v>
      </c>
      <c r="E28" s="17">
        <f>Pareto!E9</f>
        <v>353779.92667963501</v>
      </c>
      <c r="F28" s="27">
        <f>Pareto!H9</f>
        <v>0.14894195615636799</v>
      </c>
      <c r="G28" s="30">
        <f>Pareto!I9</f>
        <v>0.72904109022812569</v>
      </c>
    </row>
    <row r="29" spans="2:11" ht="22.05" customHeight="1">
      <c r="B29" s="29" t="str">
        <f>Pareto!B10</f>
        <v>4.   Bit adaptor T45F / T38M</v>
      </c>
      <c r="E29" s="17">
        <f>Pareto!E10</f>
        <v>227125.94999999998</v>
      </c>
      <c r="F29" s="27">
        <f>Pareto!H10</f>
        <v>9.5620414658254077E-2</v>
      </c>
      <c r="G29" s="30">
        <f>Pareto!I10</f>
        <v>0.82466150488637979</v>
      </c>
    </row>
    <row r="30" spans="2:11" ht="22.05" customHeight="1">
      <c r="B30" s="29" t="str">
        <f>Pareto!B11</f>
        <v>5.   Coupling sleeve T45 / T38</v>
      </c>
      <c r="E30" s="17">
        <f>Pareto!E11</f>
        <v>100124.44</v>
      </c>
      <c r="F30" s="27">
        <f>Pareto!H11</f>
        <v>4.2152561035960365E-2</v>
      </c>
      <c r="G30" s="30">
        <f>Pareto!I11</f>
        <v>0.86681406592234012</v>
      </c>
    </row>
    <row r="33" spans="2:12" ht="24" customHeight="1">
      <c r="B33" s="4" t="s">
        <v>134</v>
      </c>
      <c r="C33" s="5"/>
      <c r="D33" s="5"/>
      <c r="E33" s="5"/>
      <c r="F33" s="5"/>
      <c r="G33" s="5"/>
      <c r="H33" s="5"/>
      <c r="I33" s="5"/>
      <c r="J33" s="5"/>
    </row>
    <row r="34" spans="2:12" ht="46.05" customHeight="1">
      <c r="B34" s="8" t="s">
        <v>97</v>
      </c>
      <c r="C34" s="8"/>
      <c r="D34" s="8"/>
      <c r="E34" s="8" t="s">
        <v>135</v>
      </c>
      <c r="F34" s="8"/>
      <c r="G34" s="8"/>
      <c r="H34" s="8"/>
      <c r="I34" s="8" t="s">
        <v>136</v>
      </c>
    </row>
    <row r="35" spans="2:12" ht="48" customHeight="1">
      <c r="B35" s="13" t="s">
        <v>137</v>
      </c>
      <c r="E35" s="30">
        <f>Consumption_Compare!J176</f>
        <v>0</v>
      </c>
      <c r="L35" s="28" t="s">
        <v>138</v>
      </c>
    </row>
    <row r="36" spans="2:12" ht="31.95" customHeight="1">
      <c r="B36" s="13" t="s">
        <v>139</v>
      </c>
      <c r="E36" s="20">
        <f>COUNTIF(C_Face_Drilling!$E$7:$E$60,"x")</f>
        <v>0</v>
      </c>
      <c r="L36" s="28" t="s">
        <v>140</v>
      </c>
    </row>
    <row r="37" spans="2:12" ht="48" customHeight="1">
      <c r="B37" s="13" t="s">
        <v>141</v>
      </c>
      <c r="E37" s="30">
        <f>IF(Triangulation!$E$40=0,0,1-Triangulation!$F$40/Triangulation!$E$40)</f>
        <v>0.37845135772419558</v>
      </c>
      <c r="L37" s="28" t="s">
        <v>142</v>
      </c>
    </row>
  </sheetData>
  <mergeCells count="1">
    <mergeCell ref="B22:K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50"/>
  <sheetViews>
    <sheetView showGridLines="0" workbookViewId="0"/>
  </sheetViews>
  <sheetFormatPr defaultRowHeight="14.4"/>
  <cols>
    <col min="1" max="1" width="4" customWidth="1"/>
    <col min="2" max="2" width="46" customWidth="1"/>
    <col min="3" max="3" width="104" customWidth="1"/>
    <col min="4" max="4" width="4" customWidth="1"/>
  </cols>
  <sheetData>
    <row r="1" spans="2:3" ht="7.95" customHeight="1"/>
    <row r="2" spans="2:3" ht="30" customHeight="1">
      <c r="B2" s="12" t="s">
        <v>143</v>
      </c>
    </row>
    <row r="3" spans="2:3" ht="19.95" customHeight="1">
      <c r="B3" s="3" t="s">
        <v>144</v>
      </c>
    </row>
    <row r="5" spans="2:3" ht="7.95" customHeight="1"/>
    <row r="6" spans="2:3" ht="24" customHeight="1">
      <c r="B6" s="4" t="s">
        <v>145</v>
      </c>
      <c r="C6" s="5"/>
    </row>
    <row r="7" spans="2:3" ht="34.049999999999997" customHeight="1">
      <c r="B7" s="123" t="s">
        <v>146</v>
      </c>
      <c r="C7" s="124"/>
    </row>
    <row r="8" spans="2:3" ht="22.05" customHeight="1">
      <c r="B8" s="31" t="s">
        <v>147</v>
      </c>
      <c r="C8" s="9" t="s">
        <v>148</v>
      </c>
    </row>
    <row r="9" spans="2:3" ht="30" customHeight="1">
      <c r="B9" s="31" t="s">
        <v>149</v>
      </c>
      <c r="C9" s="9" t="s">
        <v>150</v>
      </c>
    </row>
    <row r="10" spans="2:3" ht="22.05" customHeight="1">
      <c r="B10" s="31" t="s">
        <v>105</v>
      </c>
      <c r="C10" s="9" t="s">
        <v>151</v>
      </c>
    </row>
    <row r="11" spans="2:3" ht="22.05" customHeight="1">
      <c r="B11" s="32" t="s">
        <v>152</v>
      </c>
      <c r="C11" s="33" t="s">
        <v>153</v>
      </c>
    </row>
    <row r="13" spans="2:3" ht="24" customHeight="1">
      <c r="B13" s="4" t="s">
        <v>154</v>
      </c>
      <c r="C13" s="5"/>
    </row>
    <row r="14" spans="2:3" ht="34.049999999999997" customHeight="1">
      <c r="B14" s="123" t="s">
        <v>155</v>
      </c>
      <c r="C14" s="124"/>
    </row>
    <row r="15" spans="2:3" ht="22.05" customHeight="1">
      <c r="B15" s="31" t="s">
        <v>156</v>
      </c>
      <c r="C15" s="9" t="s">
        <v>157</v>
      </c>
    </row>
    <row r="16" spans="2:3" ht="30" customHeight="1">
      <c r="B16" s="31" t="s">
        <v>158</v>
      </c>
      <c r="C16" s="9" t="s">
        <v>159</v>
      </c>
    </row>
    <row r="17" spans="2:3" ht="22.05" customHeight="1">
      <c r="B17" s="31" t="s">
        <v>105</v>
      </c>
      <c r="C17" s="9" t="s">
        <v>160</v>
      </c>
    </row>
    <row r="18" spans="2:3" ht="22.05" customHeight="1">
      <c r="B18" s="32" t="s">
        <v>152</v>
      </c>
      <c r="C18" s="33" t="s">
        <v>161</v>
      </c>
    </row>
    <row r="20" spans="2:3" ht="24" customHeight="1">
      <c r="B20" s="4" t="s">
        <v>162</v>
      </c>
      <c r="C20" s="5"/>
    </row>
    <row r="21" spans="2:3" ht="34.049999999999997" customHeight="1">
      <c r="B21" s="123" t="s">
        <v>163</v>
      </c>
      <c r="C21" s="124"/>
    </row>
    <row r="22" spans="2:3" ht="22.05" customHeight="1">
      <c r="B22" s="31" t="s">
        <v>164</v>
      </c>
      <c r="C22" s="9" t="s">
        <v>165</v>
      </c>
    </row>
    <row r="23" spans="2:3" ht="22.05" customHeight="1">
      <c r="B23" s="31" t="s">
        <v>166</v>
      </c>
      <c r="C23" s="9" t="s">
        <v>167</v>
      </c>
    </row>
    <row r="24" spans="2:3" ht="30" customHeight="1">
      <c r="B24" s="31" t="s">
        <v>168</v>
      </c>
      <c r="C24" s="9" t="s">
        <v>169</v>
      </c>
    </row>
    <row r="25" spans="2:3" ht="22.05" customHeight="1">
      <c r="B25" s="32" t="s">
        <v>152</v>
      </c>
      <c r="C25" s="33" t="s">
        <v>60</v>
      </c>
    </row>
    <row r="27" spans="2:3" ht="24" customHeight="1">
      <c r="B27" s="4" t="s">
        <v>170</v>
      </c>
      <c r="C27" s="5"/>
    </row>
    <row r="28" spans="2:3" ht="34.049999999999997" customHeight="1">
      <c r="B28" s="123" t="s">
        <v>171</v>
      </c>
      <c r="C28" s="124"/>
    </row>
    <row r="29" spans="2:3" ht="22.05" customHeight="1">
      <c r="B29" s="31" t="s">
        <v>172</v>
      </c>
      <c r="C29" s="9" t="s">
        <v>173</v>
      </c>
    </row>
    <row r="30" spans="2:3" ht="22.05" customHeight="1">
      <c r="B30" s="31" t="s">
        <v>174</v>
      </c>
      <c r="C30" s="9" t="s">
        <v>175</v>
      </c>
    </row>
    <row r="31" spans="2:3" ht="22.05" customHeight="1">
      <c r="B31" s="31" t="s">
        <v>176</v>
      </c>
      <c r="C31" s="9" t="s">
        <v>177</v>
      </c>
    </row>
    <row r="32" spans="2:3" ht="22.05" customHeight="1">
      <c r="B32" s="31" t="s">
        <v>178</v>
      </c>
      <c r="C32" s="9" t="s">
        <v>179</v>
      </c>
    </row>
    <row r="33" spans="2:3" ht="22.05" customHeight="1">
      <c r="B33" s="31" t="s">
        <v>180</v>
      </c>
      <c r="C33" s="9" t="s">
        <v>181</v>
      </c>
    </row>
    <row r="34" spans="2:3" ht="22.05" customHeight="1">
      <c r="B34" s="32" t="s">
        <v>152</v>
      </c>
      <c r="C34" s="33" t="s">
        <v>182</v>
      </c>
    </row>
    <row r="36" spans="2:3" ht="24" customHeight="1">
      <c r="B36" s="4" t="s">
        <v>183</v>
      </c>
      <c r="C36" s="5"/>
    </row>
    <row r="37" spans="2:3" ht="34.049999999999997" customHeight="1">
      <c r="B37" s="123" t="s">
        <v>184</v>
      </c>
      <c r="C37" s="124"/>
    </row>
    <row r="38" spans="2:3" ht="22.05" customHeight="1">
      <c r="B38" s="31" t="s">
        <v>185</v>
      </c>
      <c r="C38" s="9" t="s">
        <v>186</v>
      </c>
    </row>
    <row r="39" spans="2:3" ht="22.05" customHeight="1">
      <c r="B39" s="31" t="s">
        <v>187</v>
      </c>
      <c r="C39" s="9" t="s">
        <v>188</v>
      </c>
    </row>
    <row r="40" spans="2:3" ht="22.05" customHeight="1">
      <c r="B40" s="31" t="s">
        <v>189</v>
      </c>
      <c r="C40" s="9" t="s">
        <v>190</v>
      </c>
    </row>
    <row r="41" spans="2:3" ht="22.05" customHeight="1">
      <c r="B41" s="32" t="s">
        <v>152</v>
      </c>
      <c r="C41" s="33" t="s">
        <v>63</v>
      </c>
    </row>
    <row r="43" spans="2:3" ht="24" customHeight="1">
      <c r="B43" s="4" t="s">
        <v>191</v>
      </c>
      <c r="C43" s="5"/>
    </row>
    <row r="44" spans="2:3" ht="34.049999999999997" customHeight="1">
      <c r="B44" s="123" t="s">
        <v>192</v>
      </c>
      <c r="C44" s="124"/>
    </row>
    <row r="45" spans="2:3" ht="22.05" customHeight="1">
      <c r="B45" s="31" t="s">
        <v>193</v>
      </c>
      <c r="C45" s="9" t="s">
        <v>194</v>
      </c>
    </row>
    <row r="46" spans="2:3" ht="22.05" customHeight="1">
      <c r="B46" s="31" t="s">
        <v>195</v>
      </c>
      <c r="C46" s="9" t="s">
        <v>196</v>
      </c>
    </row>
    <row r="47" spans="2:3" ht="30" customHeight="1">
      <c r="B47" s="31" t="s">
        <v>197</v>
      </c>
      <c r="C47" s="9" t="s">
        <v>198</v>
      </c>
    </row>
    <row r="48" spans="2:3" ht="22.05" customHeight="1">
      <c r="B48" s="32" t="s">
        <v>152</v>
      </c>
      <c r="C48" s="33" t="s">
        <v>199</v>
      </c>
    </row>
    <row r="50" spans="2:3" ht="24" customHeight="1">
      <c r="B50" s="125" t="s">
        <v>200</v>
      </c>
      <c r="C50" s="122"/>
    </row>
  </sheetData>
  <mergeCells count="7">
    <mergeCell ref="B50:C50"/>
    <mergeCell ref="B21:C21"/>
    <mergeCell ref="B44:C44"/>
    <mergeCell ref="B7:C7"/>
    <mergeCell ref="B37:C37"/>
    <mergeCell ref="B28:C28"/>
    <mergeCell ref="B14:C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85"/>
  <sheetViews>
    <sheetView showGridLines="0" workbookViewId="0"/>
  </sheetViews>
  <sheetFormatPr defaultRowHeight="14.4"/>
  <cols>
    <col min="1" max="1" width="4" customWidth="1"/>
    <col min="2" max="2" width="32" customWidth="1"/>
    <col min="3" max="3" width="52" customWidth="1"/>
    <col min="4" max="5" width="22" customWidth="1"/>
    <col min="6" max="6" width="26" customWidth="1"/>
    <col min="7" max="7" width="22" customWidth="1"/>
    <col min="8" max="8" width="4" customWidth="1"/>
    <col min="9" max="9" width="46" customWidth="1"/>
  </cols>
  <sheetData>
    <row r="1" spans="2:8" ht="7.95" customHeight="1"/>
    <row r="2" spans="2:8" ht="30" customHeight="1">
      <c r="B2" s="12" t="s">
        <v>201</v>
      </c>
    </row>
    <row r="3" spans="2:8" ht="19.95" customHeight="1">
      <c r="B3" s="3" t="s">
        <v>202</v>
      </c>
    </row>
    <row r="4" spans="2:8" ht="24" customHeight="1">
      <c r="B4" s="121" t="s">
        <v>203</v>
      </c>
      <c r="C4" s="122"/>
      <c r="D4" s="122"/>
      <c r="E4" s="122"/>
      <c r="F4" s="122"/>
      <c r="G4" s="122"/>
      <c r="H4" s="122"/>
    </row>
    <row r="5" spans="2:8" ht="7.95" customHeight="1"/>
    <row r="6" spans="2:8" ht="24" customHeight="1">
      <c r="B6" s="4" t="s">
        <v>204</v>
      </c>
      <c r="C6" s="5"/>
      <c r="D6" s="5"/>
      <c r="E6" s="5"/>
      <c r="F6" s="5"/>
      <c r="G6" s="5"/>
    </row>
    <row r="7" spans="2:8" ht="46.05" customHeight="1">
      <c r="B7" s="8" t="s">
        <v>205</v>
      </c>
      <c r="C7" s="8" t="s">
        <v>206</v>
      </c>
      <c r="D7" s="8" t="s">
        <v>98</v>
      </c>
      <c r="E7" s="8" t="s">
        <v>135</v>
      </c>
    </row>
    <row r="8" spans="2:8" ht="22.05" customHeight="1">
      <c r="B8" s="13" t="s">
        <v>193</v>
      </c>
      <c r="C8" s="14" t="s">
        <v>207</v>
      </c>
      <c r="D8" s="14" t="s">
        <v>208</v>
      </c>
      <c r="E8" s="34">
        <v>16.16</v>
      </c>
      <c r="F8" s="35"/>
    </row>
    <row r="10" spans="2:8" ht="24" customHeight="1">
      <c r="B10" s="4" t="s">
        <v>209</v>
      </c>
      <c r="C10" s="5"/>
      <c r="D10" s="5"/>
      <c r="E10" s="5"/>
      <c r="F10" s="5"/>
      <c r="G10" s="5"/>
    </row>
    <row r="11" spans="2:8" ht="46.05" customHeight="1">
      <c r="B11" s="8" t="s">
        <v>210</v>
      </c>
      <c r="C11" s="8" t="s">
        <v>206</v>
      </c>
      <c r="D11" s="8" t="s">
        <v>98</v>
      </c>
      <c r="E11" s="8" t="s">
        <v>211</v>
      </c>
      <c r="F11" s="8" t="s">
        <v>212</v>
      </c>
    </row>
    <row r="12" spans="2:8" ht="22.05" customHeight="1">
      <c r="B12" s="14" t="s">
        <v>213</v>
      </c>
      <c r="C12" s="14" t="s">
        <v>214</v>
      </c>
      <c r="D12" s="14" t="s">
        <v>215</v>
      </c>
      <c r="E12" s="36">
        <v>7.3844946000000009</v>
      </c>
      <c r="F12" s="37">
        <f>E12*Inputs!$E$8</f>
        <v>119.33343273600002</v>
      </c>
    </row>
    <row r="13" spans="2:8" ht="22.05" customHeight="1">
      <c r="B13" s="14" t="s">
        <v>216</v>
      </c>
      <c r="C13" s="14" t="s">
        <v>217</v>
      </c>
      <c r="D13" s="14" t="s">
        <v>215</v>
      </c>
      <c r="E13" s="36">
        <v>12.89722494375</v>
      </c>
      <c r="F13" s="37">
        <f>E13*Inputs!$E$8</f>
        <v>208.41915509100002</v>
      </c>
    </row>
    <row r="14" spans="2:8" ht="22.05" customHeight="1">
      <c r="B14" s="14" t="s">
        <v>218</v>
      </c>
      <c r="C14" s="14" t="s">
        <v>219</v>
      </c>
      <c r="D14" s="14" t="s">
        <v>215</v>
      </c>
      <c r="E14" s="36">
        <v>15.931125</v>
      </c>
      <c r="F14" s="37">
        <f>E14*Inputs!$E$8</f>
        <v>257.44698</v>
      </c>
    </row>
    <row r="15" spans="2:8" ht="22.05" customHeight="1">
      <c r="B15" s="14" t="s">
        <v>220</v>
      </c>
      <c r="C15" s="14" t="s">
        <v>221</v>
      </c>
      <c r="D15" s="14" t="s">
        <v>215</v>
      </c>
      <c r="E15" s="36">
        <v>65.878327588185016</v>
      </c>
      <c r="F15" s="37">
        <f>E15*Inputs!$E$8</f>
        <v>1064.5937738250698</v>
      </c>
    </row>
    <row r="16" spans="2:8" ht="22.05" customHeight="1">
      <c r="B16" s="14" t="s">
        <v>222</v>
      </c>
      <c r="C16" s="14" t="s">
        <v>223</v>
      </c>
      <c r="D16" s="14" t="s">
        <v>215</v>
      </c>
      <c r="E16" s="36">
        <v>68.071960587985402</v>
      </c>
      <c r="F16" s="37">
        <f>E16*Inputs!$E$8</f>
        <v>1100.0428831018442</v>
      </c>
    </row>
    <row r="17" spans="2:8" ht="22.05" customHeight="1">
      <c r="B17" s="14" t="s">
        <v>224</v>
      </c>
      <c r="C17" s="14" t="s">
        <v>225</v>
      </c>
      <c r="D17" s="14" t="s">
        <v>226</v>
      </c>
      <c r="E17" s="38">
        <f>E20*E21</f>
        <v>82.485410743678017</v>
      </c>
      <c r="F17" s="37">
        <f>E17*Inputs!$E$8</f>
        <v>1332.9642376178367</v>
      </c>
    </row>
    <row r="19" spans="2:8" ht="24" customHeight="1">
      <c r="B19" s="4" t="s">
        <v>227</v>
      </c>
      <c r="C19" s="5"/>
      <c r="D19" s="5"/>
      <c r="E19" s="5"/>
      <c r="F19" s="5"/>
      <c r="G19" s="5"/>
    </row>
    <row r="20" spans="2:8" ht="22.05" customHeight="1">
      <c r="B20" s="13" t="s">
        <v>228</v>
      </c>
      <c r="C20" s="14" t="s">
        <v>229</v>
      </c>
      <c r="D20" s="14" t="s">
        <v>230</v>
      </c>
      <c r="E20" s="39">
        <v>10.8</v>
      </c>
      <c r="F20" s="35"/>
    </row>
    <row r="21" spans="2:8" ht="22.05" customHeight="1">
      <c r="B21" s="13" t="s">
        <v>231</v>
      </c>
      <c r="C21" s="14" t="s">
        <v>232</v>
      </c>
      <c r="D21" s="14" t="s">
        <v>233</v>
      </c>
      <c r="E21" s="39">
        <v>7.6375380318220376</v>
      </c>
      <c r="F21" s="35"/>
    </row>
    <row r="23" spans="2:8" ht="24" customHeight="1">
      <c r="B23" s="4" t="s">
        <v>234</v>
      </c>
      <c r="C23" s="5"/>
      <c r="D23" s="5"/>
      <c r="E23" s="5"/>
      <c r="F23" s="5"/>
      <c r="G23" s="5"/>
    </row>
    <row r="24" spans="2:8" ht="46.05" customHeight="1">
      <c r="B24" s="8" t="s">
        <v>235</v>
      </c>
      <c r="C24" s="8" t="s">
        <v>124</v>
      </c>
      <c r="D24" s="8" t="s">
        <v>126</v>
      </c>
      <c r="E24" s="8"/>
      <c r="F24" s="8" t="s">
        <v>236</v>
      </c>
    </row>
    <row r="25" spans="2:8" ht="31.95" customHeight="1">
      <c r="B25" s="13" t="s">
        <v>237</v>
      </c>
      <c r="C25" s="40">
        <v>0.39673913043478259</v>
      </c>
      <c r="D25" s="27">
        <f>1-C25</f>
        <v>0.60326086956521741</v>
      </c>
      <c r="E25" s="35"/>
      <c r="F25" s="41" t="s">
        <v>238</v>
      </c>
    </row>
    <row r="26" spans="2:8" ht="31.95" customHeight="1">
      <c r="B26" s="13" t="s">
        <v>239</v>
      </c>
      <c r="C26" s="40">
        <v>0.60118078175895762</v>
      </c>
      <c r="D26" s="27">
        <f>1-C26</f>
        <v>0.39881921824104238</v>
      </c>
      <c r="E26" s="35"/>
      <c r="F26" s="41" t="s">
        <v>238</v>
      </c>
    </row>
    <row r="27" spans="2:8" ht="31.95" customHeight="1">
      <c r="B27" s="13" t="s">
        <v>240</v>
      </c>
      <c r="C27" s="40">
        <v>0.66189193022266346</v>
      </c>
      <c r="D27" s="27">
        <f>1-C27</f>
        <v>0.33810806977733654</v>
      </c>
      <c r="E27" s="35"/>
      <c r="F27" s="41" t="s">
        <v>238</v>
      </c>
    </row>
    <row r="28" spans="2:8" ht="48" customHeight="1">
      <c r="B28" s="13" t="s">
        <v>241</v>
      </c>
      <c r="C28" s="40">
        <v>0.60948622262236962</v>
      </c>
      <c r="D28" s="27">
        <f>1-C28</f>
        <v>0.39051377737763038</v>
      </c>
      <c r="E28" s="35"/>
      <c r="F28" s="41" t="s">
        <v>242</v>
      </c>
    </row>
    <row r="30" spans="2:8" ht="24" customHeight="1">
      <c r="B30" s="125" t="s">
        <v>243</v>
      </c>
      <c r="C30" s="122"/>
      <c r="D30" s="122"/>
      <c r="E30" s="122"/>
      <c r="F30" s="122"/>
      <c r="G30" s="122"/>
      <c r="H30" s="122"/>
    </row>
    <row r="32" spans="2:8" ht="24" customHeight="1">
      <c r="B32" s="4" t="s">
        <v>244</v>
      </c>
      <c r="C32" s="5"/>
      <c r="D32" s="5"/>
      <c r="E32" s="5"/>
      <c r="F32" s="5"/>
      <c r="G32" s="5"/>
    </row>
    <row r="33" spans="2:8" ht="46.05" customHeight="1">
      <c r="B33" s="8" t="s">
        <v>235</v>
      </c>
      <c r="C33" s="8" t="s">
        <v>124</v>
      </c>
      <c r="D33" s="8" t="s">
        <v>126</v>
      </c>
      <c r="E33" s="8"/>
      <c r="F33" s="8" t="s">
        <v>236</v>
      </c>
    </row>
    <row r="34" spans="2:8" ht="22.05" customHeight="1">
      <c r="B34" s="13" t="s">
        <v>237</v>
      </c>
      <c r="C34" s="40">
        <v>0.40359578425294468</v>
      </c>
      <c r="D34" s="27">
        <f>1-C34</f>
        <v>0.59640421574705527</v>
      </c>
      <c r="E34" s="35"/>
      <c r="F34" s="42" t="s">
        <v>245</v>
      </c>
    </row>
    <row r="35" spans="2:8" ht="22.05" customHeight="1">
      <c r="B35" s="13" t="s">
        <v>239</v>
      </c>
      <c r="C35" s="40">
        <v>0.56313131313131293</v>
      </c>
      <c r="D35" s="27">
        <f>1-C35</f>
        <v>0.43686868686868707</v>
      </c>
      <c r="E35" s="35"/>
      <c r="F35" s="42" t="s">
        <v>246</v>
      </c>
    </row>
    <row r="36" spans="2:8" ht="22.05" customHeight="1">
      <c r="B36" s="13" t="s">
        <v>240</v>
      </c>
      <c r="C36" s="40">
        <v>0.64772424807026907</v>
      </c>
      <c r="D36" s="27">
        <f>1-C36</f>
        <v>0.35227575192973093</v>
      </c>
      <c r="E36" s="35"/>
      <c r="F36" s="42" t="s">
        <v>247</v>
      </c>
    </row>
    <row r="37" spans="2:8" ht="22.05" customHeight="1">
      <c r="B37" s="13" t="s">
        <v>241</v>
      </c>
      <c r="C37" s="40">
        <v>0.64296727771115303</v>
      </c>
      <c r="D37" s="27">
        <f>1-C37</f>
        <v>0.35703272228884697</v>
      </c>
      <c r="E37" s="35"/>
      <c r="F37" s="42" t="s">
        <v>248</v>
      </c>
    </row>
    <row r="39" spans="2:8" ht="24" customHeight="1">
      <c r="B39" s="125" t="s">
        <v>249</v>
      </c>
      <c r="C39" s="122"/>
      <c r="D39" s="122"/>
      <c r="E39" s="122"/>
      <c r="F39" s="122"/>
      <c r="G39" s="122"/>
      <c r="H39" s="122"/>
    </row>
    <row r="41" spans="2:8" ht="24" customHeight="1">
      <c r="B41" s="4" t="s">
        <v>250</v>
      </c>
      <c r="C41" s="5"/>
      <c r="D41" s="5"/>
      <c r="E41" s="5"/>
      <c r="F41" s="5"/>
      <c r="G41" s="5"/>
    </row>
    <row r="42" spans="2:8" ht="46.05" customHeight="1">
      <c r="B42" s="8" t="s">
        <v>210</v>
      </c>
      <c r="C42" s="8" t="s">
        <v>206</v>
      </c>
      <c r="D42" s="8" t="s">
        <v>98</v>
      </c>
      <c r="E42" s="8" t="s">
        <v>212</v>
      </c>
    </row>
    <row r="43" spans="2:8" ht="22.05" customHeight="1">
      <c r="B43" s="14" t="s">
        <v>251</v>
      </c>
      <c r="C43" s="14" t="s">
        <v>252</v>
      </c>
      <c r="D43" s="14" t="s">
        <v>215</v>
      </c>
      <c r="E43" s="43">
        <v>308.10000000000002</v>
      </c>
    </row>
    <row r="44" spans="2:8" ht="22.05" customHeight="1">
      <c r="B44" s="14" t="s">
        <v>253</v>
      </c>
      <c r="C44" s="14" t="s">
        <v>254</v>
      </c>
      <c r="D44" s="14" t="s">
        <v>215</v>
      </c>
      <c r="E44" s="43">
        <v>5568.55</v>
      </c>
    </row>
    <row r="45" spans="2:8" ht="22.05" customHeight="1">
      <c r="B45" s="14" t="s">
        <v>255</v>
      </c>
      <c r="C45" s="14" t="s">
        <v>256</v>
      </c>
      <c r="D45" s="14" t="s">
        <v>215</v>
      </c>
      <c r="E45" s="43">
        <v>4453.45</v>
      </c>
    </row>
    <row r="46" spans="2:8" ht="22.05" customHeight="1">
      <c r="B46" s="14" t="s">
        <v>257</v>
      </c>
      <c r="C46" s="14" t="s">
        <v>258</v>
      </c>
      <c r="D46" s="14" t="s">
        <v>215</v>
      </c>
      <c r="E46" s="43">
        <v>1925.47</v>
      </c>
    </row>
    <row r="47" spans="2:8" ht="22.05" customHeight="1">
      <c r="B47" s="14" t="s">
        <v>259</v>
      </c>
      <c r="C47" s="14" t="s">
        <v>260</v>
      </c>
      <c r="D47" s="14" t="s">
        <v>215</v>
      </c>
      <c r="E47" s="43">
        <v>69.959999999999994</v>
      </c>
    </row>
    <row r="48" spans="2:8" ht="22.05" customHeight="1">
      <c r="B48" s="14" t="s">
        <v>261</v>
      </c>
      <c r="C48" s="14" t="s">
        <v>262</v>
      </c>
      <c r="D48" s="14" t="s">
        <v>215</v>
      </c>
      <c r="E48" s="43">
        <v>66.52</v>
      </c>
    </row>
    <row r="49" spans="2:5" ht="22.05" customHeight="1">
      <c r="B49" s="14" t="s">
        <v>263</v>
      </c>
      <c r="C49" s="14" t="s">
        <v>264</v>
      </c>
      <c r="D49" s="14" t="s">
        <v>215</v>
      </c>
      <c r="E49" s="43">
        <v>78.930000000000007</v>
      </c>
    </row>
    <row r="50" spans="2:5" ht="22.05" customHeight="1">
      <c r="B50" s="14" t="s">
        <v>265</v>
      </c>
      <c r="C50" s="14" t="s">
        <v>266</v>
      </c>
      <c r="D50" s="14" t="s">
        <v>215</v>
      </c>
      <c r="E50" s="43">
        <v>108.19</v>
      </c>
    </row>
    <row r="51" spans="2:5" ht="22.05" customHeight="1">
      <c r="B51" s="14" t="s">
        <v>267</v>
      </c>
      <c r="C51" s="14" t="s">
        <v>268</v>
      </c>
      <c r="D51" s="14" t="s">
        <v>215</v>
      </c>
      <c r="E51" s="43">
        <v>94.13</v>
      </c>
    </row>
    <row r="52" spans="2:5" ht="22.05" customHeight="1">
      <c r="B52" s="14" t="s">
        <v>269</v>
      </c>
      <c r="C52" s="14" t="s">
        <v>270</v>
      </c>
      <c r="D52" s="14" t="s">
        <v>215</v>
      </c>
      <c r="E52" s="43">
        <v>343.33</v>
      </c>
    </row>
    <row r="53" spans="2:5" ht="22.05" customHeight="1">
      <c r="B53" s="14" t="s">
        <v>271</v>
      </c>
      <c r="C53" s="14" t="s">
        <v>272</v>
      </c>
      <c r="D53" s="14" t="s">
        <v>215</v>
      </c>
      <c r="E53" s="43">
        <v>136.44</v>
      </c>
    </row>
    <row r="54" spans="2:5" ht="22.05" customHeight="1">
      <c r="B54" s="14" t="s">
        <v>273</v>
      </c>
      <c r="C54" s="14" t="s">
        <v>274</v>
      </c>
      <c r="D54" s="14" t="s">
        <v>215</v>
      </c>
      <c r="E54" s="43">
        <v>79.73</v>
      </c>
    </row>
    <row r="55" spans="2:5" ht="22.05" customHeight="1">
      <c r="B55" s="14" t="s">
        <v>275</v>
      </c>
      <c r="C55" s="14" t="s">
        <v>276</v>
      </c>
      <c r="D55" s="14" t="s">
        <v>215</v>
      </c>
      <c r="E55" s="43">
        <v>498.85</v>
      </c>
    </row>
    <row r="56" spans="2:5" ht="22.05" customHeight="1">
      <c r="B56" s="14" t="s">
        <v>277</v>
      </c>
      <c r="C56" s="14" t="s">
        <v>278</v>
      </c>
      <c r="D56" s="14" t="s">
        <v>215</v>
      </c>
      <c r="E56" s="43">
        <v>639</v>
      </c>
    </row>
    <row r="57" spans="2:5" ht="22.05" customHeight="1">
      <c r="B57" s="14" t="s">
        <v>279</v>
      </c>
      <c r="C57" s="14" t="s">
        <v>280</v>
      </c>
      <c r="D57" s="14" t="s">
        <v>215</v>
      </c>
      <c r="E57" s="43">
        <v>439.59</v>
      </c>
    </row>
    <row r="58" spans="2:5" ht="22.05" customHeight="1">
      <c r="B58" s="14" t="s">
        <v>281</v>
      </c>
      <c r="C58" s="14" t="s">
        <v>282</v>
      </c>
      <c r="D58" s="14" t="s">
        <v>215</v>
      </c>
      <c r="E58" s="43">
        <v>317.43</v>
      </c>
    </row>
    <row r="59" spans="2:5" ht="22.05" customHeight="1">
      <c r="B59" s="14" t="s">
        <v>283</v>
      </c>
      <c r="C59" s="14" t="s">
        <v>284</v>
      </c>
      <c r="D59" s="14" t="s">
        <v>215</v>
      </c>
      <c r="E59" s="43">
        <v>184.75</v>
      </c>
    </row>
    <row r="60" spans="2:5" ht="22.05" customHeight="1">
      <c r="B60" s="14" t="s">
        <v>285</v>
      </c>
      <c r="C60" s="14" t="s">
        <v>286</v>
      </c>
      <c r="D60" s="14" t="s">
        <v>215</v>
      </c>
      <c r="E60" s="43">
        <v>276.63</v>
      </c>
    </row>
    <row r="61" spans="2:5" ht="22.05" customHeight="1">
      <c r="B61" s="14" t="s">
        <v>287</v>
      </c>
      <c r="C61" s="14" t="s">
        <v>288</v>
      </c>
      <c r="D61" s="14" t="s">
        <v>215</v>
      </c>
      <c r="E61" s="43">
        <v>45.12</v>
      </c>
    </row>
    <row r="62" spans="2:5" ht="22.05" customHeight="1">
      <c r="B62" s="14" t="s">
        <v>289</v>
      </c>
      <c r="C62" s="14" t="s">
        <v>290</v>
      </c>
      <c r="D62" s="14" t="s">
        <v>215</v>
      </c>
      <c r="E62" s="43">
        <v>68</v>
      </c>
    </row>
    <row r="63" spans="2:5" ht="22.05" customHeight="1">
      <c r="B63" s="14" t="s">
        <v>291</v>
      </c>
      <c r="C63" s="14" t="s">
        <v>292</v>
      </c>
      <c r="D63" s="14" t="s">
        <v>215</v>
      </c>
      <c r="E63" s="43">
        <v>61.09</v>
      </c>
    </row>
    <row r="64" spans="2:5" ht="22.05" customHeight="1">
      <c r="B64" s="14" t="s">
        <v>293</v>
      </c>
      <c r="C64" s="14" t="s">
        <v>294</v>
      </c>
      <c r="D64" s="14" t="s">
        <v>215</v>
      </c>
      <c r="E64" s="43">
        <v>1884.83</v>
      </c>
    </row>
    <row r="65" spans="2:9" ht="22.05" customHeight="1">
      <c r="B65" s="14" t="s">
        <v>295</v>
      </c>
      <c r="C65" s="14" t="s">
        <v>292</v>
      </c>
      <c r="D65" s="14" t="s">
        <v>215</v>
      </c>
      <c r="E65" s="43">
        <v>1733.67</v>
      </c>
    </row>
    <row r="66" spans="2:9" ht="22.05" customHeight="1">
      <c r="B66" s="14" t="s">
        <v>296</v>
      </c>
      <c r="C66" s="14" t="s">
        <v>297</v>
      </c>
      <c r="D66" s="14" t="s">
        <v>215</v>
      </c>
      <c r="E66" s="43">
        <v>1376.29</v>
      </c>
    </row>
    <row r="67" spans="2:9" ht="22.05" customHeight="1">
      <c r="B67" s="14" t="s">
        <v>298</v>
      </c>
      <c r="C67" s="14" t="s">
        <v>299</v>
      </c>
      <c r="D67" s="14" t="s">
        <v>215</v>
      </c>
      <c r="E67" s="43">
        <v>96.3</v>
      </c>
    </row>
    <row r="68" spans="2:9" ht="22.05" customHeight="1">
      <c r="B68" s="14" t="s">
        <v>300</v>
      </c>
      <c r="C68" s="14" t="s">
        <v>301</v>
      </c>
      <c r="D68" s="14" t="s">
        <v>215</v>
      </c>
      <c r="E68" s="43">
        <v>96.3</v>
      </c>
    </row>
    <row r="71" spans="2:9" ht="24" customHeight="1">
      <c r="B71" s="4" t="s">
        <v>302</v>
      </c>
      <c r="C71" s="5"/>
      <c r="D71" s="5"/>
      <c r="E71" s="5"/>
      <c r="F71" s="5"/>
      <c r="G71" s="5"/>
    </row>
    <row r="72" spans="2:9" ht="46.05" customHeight="1">
      <c r="B72" s="8" t="s">
        <v>303</v>
      </c>
      <c r="C72" s="8" t="s">
        <v>304</v>
      </c>
      <c r="D72" s="8" t="s">
        <v>305</v>
      </c>
      <c r="E72" s="8" t="s">
        <v>306</v>
      </c>
      <c r="F72" s="8" t="s">
        <v>307</v>
      </c>
      <c r="G72" s="8" t="s">
        <v>308</v>
      </c>
      <c r="H72" s="8"/>
      <c r="I72" s="8" t="s">
        <v>309</v>
      </c>
    </row>
    <row r="73" spans="2:9" ht="22.05" customHeight="1">
      <c r="B73" s="13" t="s">
        <v>310</v>
      </c>
      <c r="C73" s="14" t="s">
        <v>311</v>
      </c>
      <c r="D73" s="44">
        <v>33</v>
      </c>
      <c r="E73" s="44">
        <v>0</v>
      </c>
      <c r="F73" s="44">
        <v>11</v>
      </c>
      <c r="G73" s="44">
        <v>6</v>
      </c>
      <c r="H73" s="35"/>
      <c r="I73" s="33" t="s">
        <v>312</v>
      </c>
    </row>
    <row r="74" spans="2:9" ht="22.05" customHeight="1">
      <c r="B74" s="13" t="s">
        <v>313</v>
      </c>
      <c r="C74" s="14" t="s">
        <v>314</v>
      </c>
      <c r="D74" s="44">
        <v>15</v>
      </c>
      <c r="E74" s="44">
        <v>18</v>
      </c>
      <c r="F74" s="44">
        <v>11</v>
      </c>
      <c r="G74" s="44">
        <v>6</v>
      </c>
      <c r="H74" s="35"/>
      <c r="I74" s="33" t="s">
        <v>315</v>
      </c>
    </row>
    <row r="75" spans="2:9" ht="22.05" customHeight="1">
      <c r="B75" s="13" t="s">
        <v>316</v>
      </c>
      <c r="C75" s="14" t="s">
        <v>317</v>
      </c>
      <c r="D75" s="44">
        <v>15</v>
      </c>
      <c r="E75" s="44">
        <v>18</v>
      </c>
      <c r="F75" s="44">
        <v>11</v>
      </c>
      <c r="G75" s="44">
        <v>6</v>
      </c>
      <c r="H75" s="35"/>
      <c r="I75" s="33" t="s">
        <v>318</v>
      </c>
    </row>
    <row r="77" spans="2:9" ht="24" customHeight="1">
      <c r="B77" s="4" t="s">
        <v>319</v>
      </c>
      <c r="C77" s="5"/>
      <c r="D77" s="5"/>
      <c r="E77" s="5"/>
      <c r="F77" s="5"/>
      <c r="G77" s="5"/>
    </row>
    <row r="78" spans="2:9" ht="46.05" customHeight="1">
      <c r="B78" s="8" t="s">
        <v>320</v>
      </c>
      <c r="C78" s="8" t="s">
        <v>206</v>
      </c>
      <c r="D78" s="8" t="s">
        <v>98</v>
      </c>
      <c r="E78" s="8" t="s">
        <v>135</v>
      </c>
    </row>
    <row r="79" spans="2:9" ht="22.05" customHeight="1">
      <c r="B79" s="13" t="s">
        <v>321</v>
      </c>
      <c r="C79" s="14" t="s">
        <v>322</v>
      </c>
      <c r="D79" s="14" t="s">
        <v>105</v>
      </c>
      <c r="E79" s="45">
        <v>4</v>
      </c>
      <c r="F79" s="35"/>
    </row>
    <row r="80" spans="2:9" ht="22.05" customHeight="1">
      <c r="B80" s="13" t="s">
        <v>323</v>
      </c>
      <c r="C80" s="14" t="s">
        <v>324</v>
      </c>
      <c r="D80" s="14" t="s">
        <v>325</v>
      </c>
      <c r="E80" s="45">
        <v>65.400000000000006</v>
      </c>
      <c r="F80" s="35"/>
    </row>
    <row r="81" spans="2:6" ht="22.05" customHeight="1">
      <c r="B81" s="13" t="s">
        <v>326</v>
      </c>
      <c r="C81" s="14" t="s">
        <v>327</v>
      </c>
      <c r="D81" s="14" t="s">
        <v>105</v>
      </c>
      <c r="E81" s="45">
        <v>4.3</v>
      </c>
      <c r="F81" s="35"/>
    </row>
    <row r="82" spans="2:6" ht="22.05" customHeight="1">
      <c r="B82" s="13" t="s">
        <v>328</v>
      </c>
      <c r="C82" s="14" t="s">
        <v>329</v>
      </c>
      <c r="D82" s="14" t="s">
        <v>105</v>
      </c>
      <c r="E82" s="45">
        <v>2.4</v>
      </c>
      <c r="F82" s="35"/>
    </row>
    <row r="83" spans="2:6" ht="22.05" customHeight="1">
      <c r="B83" s="13" t="s">
        <v>330</v>
      </c>
      <c r="C83" s="14" t="s">
        <v>331</v>
      </c>
      <c r="D83" s="14" t="s">
        <v>105</v>
      </c>
      <c r="E83" s="45">
        <v>2.4</v>
      </c>
      <c r="F83" s="35"/>
    </row>
    <row r="84" spans="2:6" ht="22.05" customHeight="1">
      <c r="B84" s="13" t="s">
        <v>332</v>
      </c>
      <c r="C84" s="14" t="s">
        <v>333</v>
      </c>
      <c r="D84" s="14" t="s">
        <v>105</v>
      </c>
      <c r="E84" s="45">
        <v>0.9</v>
      </c>
      <c r="F84" s="35"/>
    </row>
    <row r="85" spans="2:6" ht="22.05" customHeight="1">
      <c r="B85" s="13" t="s">
        <v>334</v>
      </c>
      <c r="C85" s="14" t="s">
        <v>335</v>
      </c>
      <c r="D85" s="14" t="s">
        <v>105</v>
      </c>
      <c r="E85" s="45">
        <v>6.5</v>
      </c>
      <c r="F85" s="35"/>
    </row>
  </sheetData>
  <mergeCells count="3">
    <mergeCell ref="B30:H30"/>
    <mergeCell ref="B4:H4"/>
    <mergeCell ref="B39:H3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57"/>
  <sheetViews>
    <sheetView showGridLines="0" workbookViewId="0">
      <pane xSplit="1" ySplit="7" topLeftCell="B8" activePane="bottomRight" state="frozen"/>
      <selection pane="topRight"/>
      <selection pane="bottomLeft"/>
      <selection pane="bottomRight"/>
    </sheetView>
  </sheetViews>
  <sheetFormatPr defaultRowHeight="14.4"/>
  <cols>
    <col min="1" max="1" width="4" customWidth="1"/>
    <col min="2" max="2" width="17" customWidth="1"/>
    <col min="3" max="3" width="27" customWidth="1"/>
    <col min="4" max="4" width="34" customWidth="1"/>
    <col min="5" max="5" width="44" customWidth="1"/>
    <col min="6" max="6" width="22" customWidth="1"/>
    <col min="7" max="7" width="16" customWidth="1"/>
    <col min="8" max="8" width="14" customWidth="1"/>
    <col min="9" max="9" width="16" customWidth="1"/>
    <col min="10" max="10" width="20" customWidth="1"/>
  </cols>
  <sheetData>
    <row r="1" spans="2:10" ht="7.95" customHeight="1"/>
    <row r="2" spans="2:10" ht="30" customHeight="1">
      <c r="B2" s="12" t="s">
        <v>336</v>
      </c>
    </row>
    <row r="3" spans="2:10" ht="19.95" customHeight="1">
      <c r="B3" s="3" t="s">
        <v>337</v>
      </c>
    </row>
    <row r="4" spans="2:10" ht="24" customHeight="1">
      <c r="B4" s="121" t="s">
        <v>338</v>
      </c>
      <c r="C4" s="122"/>
      <c r="D4" s="122"/>
      <c r="E4" s="122"/>
      <c r="F4" s="122"/>
      <c r="G4" s="122"/>
      <c r="H4" s="122"/>
      <c r="I4" s="122"/>
      <c r="J4" s="122"/>
    </row>
    <row r="5" spans="2:10" ht="7.95" customHeight="1"/>
    <row r="6" spans="2:10" ht="24" customHeight="1">
      <c r="B6" s="4" t="s">
        <v>339</v>
      </c>
      <c r="C6" s="5"/>
      <c r="D6" s="5"/>
      <c r="E6" s="5"/>
      <c r="F6" s="5"/>
      <c r="G6" s="5"/>
      <c r="H6" s="5"/>
      <c r="I6" s="5"/>
      <c r="J6" s="5"/>
    </row>
    <row r="7" spans="2:10" ht="46.05" customHeight="1">
      <c r="B7" s="8" t="s">
        <v>235</v>
      </c>
      <c r="C7" s="8" t="s">
        <v>340</v>
      </c>
      <c r="D7" s="8" t="s">
        <v>341</v>
      </c>
      <c r="E7" s="8" t="s">
        <v>342</v>
      </c>
      <c r="F7" s="8" t="s">
        <v>119</v>
      </c>
      <c r="G7" s="8" t="s">
        <v>343</v>
      </c>
      <c r="H7" s="8" t="s">
        <v>344</v>
      </c>
      <c r="I7" s="8" t="s">
        <v>345</v>
      </c>
      <c r="J7" s="8" t="s">
        <v>346</v>
      </c>
    </row>
    <row r="8" spans="2:10" ht="22.05" customHeight="1">
      <c r="B8" s="46" t="s">
        <v>237</v>
      </c>
      <c r="C8" s="46" t="s">
        <v>347</v>
      </c>
      <c r="D8" s="47" t="s">
        <v>348</v>
      </c>
      <c r="E8" s="46" t="s">
        <v>349</v>
      </c>
      <c r="F8" s="46" t="s">
        <v>126</v>
      </c>
      <c r="G8" s="46" t="s">
        <v>350</v>
      </c>
      <c r="H8" s="46" t="s">
        <v>310</v>
      </c>
      <c r="I8" s="48">
        <v>31.12</v>
      </c>
      <c r="J8" s="49">
        <v>75.153999999999996</v>
      </c>
    </row>
    <row r="9" spans="2:10" ht="22.05" customHeight="1">
      <c r="B9" s="46" t="s">
        <v>237</v>
      </c>
      <c r="C9" s="46" t="s">
        <v>347</v>
      </c>
      <c r="D9" s="47" t="s">
        <v>351</v>
      </c>
      <c r="E9" s="46" t="s">
        <v>352</v>
      </c>
      <c r="F9" s="46" t="s">
        <v>124</v>
      </c>
      <c r="G9" s="46" t="s">
        <v>350</v>
      </c>
      <c r="H9" s="46" t="s">
        <v>313</v>
      </c>
      <c r="I9" s="48">
        <v>31.12</v>
      </c>
      <c r="J9" s="49">
        <v>55.881999999999998</v>
      </c>
    </row>
    <row r="10" spans="2:10" ht="22.05" customHeight="1">
      <c r="B10" s="46" t="s">
        <v>237</v>
      </c>
      <c r="C10" s="46" t="s">
        <v>347</v>
      </c>
      <c r="D10" s="47" t="s">
        <v>353</v>
      </c>
      <c r="E10" s="46" t="s">
        <v>354</v>
      </c>
      <c r="F10" s="46" t="s">
        <v>124</v>
      </c>
      <c r="G10" s="46" t="s">
        <v>350</v>
      </c>
      <c r="H10" s="46" t="s">
        <v>313</v>
      </c>
      <c r="I10" s="48">
        <v>31.12</v>
      </c>
      <c r="J10" s="49">
        <v>6</v>
      </c>
    </row>
    <row r="11" spans="2:10" ht="22.05" customHeight="1">
      <c r="B11" s="46" t="s">
        <v>237</v>
      </c>
      <c r="C11" s="46" t="s">
        <v>347</v>
      </c>
      <c r="D11" s="47" t="s">
        <v>355</v>
      </c>
      <c r="E11" s="46" t="s">
        <v>355</v>
      </c>
      <c r="F11" s="46" t="s">
        <v>126</v>
      </c>
      <c r="G11" s="46" t="s">
        <v>350</v>
      </c>
      <c r="H11" s="46" t="s">
        <v>310</v>
      </c>
      <c r="I11" s="48">
        <v>31.12</v>
      </c>
      <c r="J11" s="49">
        <v>17.507999999999999</v>
      </c>
    </row>
    <row r="12" spans="2:10" ht="22.05" customHeight="1">
      <c r="B12" s="46" t="s">
        <v>237</v>
      </c>
      <c r="C12" s="46" t="s">
        <v>347</v>
      </c>
      <c r="D12" s="47" t="s">
        <v>353</v>
      </c>
      <c r="E12" s="46" t="s">
        <v>354</v>
      </c>
      <c r="F12" s="46" t="s">
        <v>124</v>
      </c>
      <c r="G12" s="46" t="s">
        <v>350</v>
      </c>
      <c r="H12" s="46" t="s">
        <v>310</v>
      </c>
      <c r="I12" s="48">
        <v>31.12</v>
      </c>
      <c r="J12" s="49">
        <v>4.2779999999999996</v>
      </c>
    </row>
    <row r="13" spans="2:10" ht="22.05" customHeight="1">
      <c r="B13" s="46" t="s">
        <v>237</v>
      </c>
      <c r="C13" s="46" t="s">
        <v>347</v>
      </c>
      <c r="D13" s="47" t="s">
        <v>356</v>
      </c>
      <c r="E13" s="46" t="s">
        <v>357</v>
      </c>
      <c r="F13" s="46" t="s">
        <v>126</v>
      </c>
      <c r="G13" s="46" t="s">
        <v>350</v>
      </c>
      <c r="H13" s="46" t="s">
        <v>310</v>
      </c>
      <c r="I13" s="48">
        <v>31.12</v>
      </c>
      <c r="J13" s="49">
        <v>22.683</v>
      </c>
    </row>
    <row r="14" spans="2:10" ht="22.05" customHeight="1">
      <c r="B14" s="46" t="s">
        <v>237</v>
      </c>
      <c r="C14" s="46" t="s">
        <v>347</v>
      </c>
      <c r="D14" s="47" t="s">
        <v>358</v>
      </c>
      <c r="E14" s="46" t="s">
        <v>357</v>
      </c>
      <c r="F14" s="46" t="s">
        <v>126</v>
      </c>
      <c r="G14" s="46" t="s">
        <v>350</v>
      </c>
      <c r="H14" s="46" t="s">
        <v>310</v>
      </c>
      <c r="I14" s="48">
        <v>24.518999999999998</v>
      </c>
      <c r="J14" s="49">
        <v>16.102</v>
      </c>
    </row>
    <row r="15" spans="2:10" ht="22.05" customHeight="1">
      <c r="B15" s="46" t="s">
        <v>237</v>
      </c>
      <c r="C15" s="46" t="s">
        <v>347</v>
      </c>
      <c r="D15" s="47" t="s">
        <v>359</v>
      </c>
      <c r="E15" s="46" t="s">
        <v>359</v>
      </c>
      <c r="F15" s="46" t="s">
        <v>126</v>
      </c>
      <c r="G15" s="46" t="s">
        <v>350</v>
      </c>
      <c r="H15" s="46" t="s">
        <v>310</v>
      </c>
      <c r="I15" s="48">
        <v>31.12</v>
      </c>
      <c r="J15" s="49">
        <v>24.029</v>
      </c>
    </row>
    <row r="16" spans="2:10" ht="22.05" customHeight="1">
      <c r="B16" s="46" t="s">
        <v>237</v>
      </c>
      <c r="C16" s="46" t="s">
        <v>347</v>
      </c>
      <c r="D16" s="47" t="s">
        <v>360</v>
      </c>
      <c r="E16" s="46" t="s">
        <v>361</v>
      </c>
      <c r="F16" s="46" t="s">
        <v>126</v>
      </c>
      <c r="G16" s="46" t="s">
        <v>350</v>
      </c>
      <c r="H16" s="46" t="s">
        <v>310</v>
      </c>
      <c r="I16" s="48">
        <v>24.518999999999998</v>
      </c>
      <c r="J16" s="49">
        <v>5</v>
      </c>
    </row>
    <row r="17" spans="2:10" ht="22.05" customHeight="1">
      <c r="B17" s="46" t="s">
        <v>237</v>
      </c>
      <c r="C17" s="46" t="s">
        <v>347</v>
      </c>
      <c r="D17" s="47" t="s">
        <v>362</v>
      </c>
      <c r="E17" s="46" t="s">
        <v>354</v>
      </c>
      <c r="F17" s="46" t="s">
        <v>124</v>
      </c>
      <c r="G17" s="46" t="s">
        <v>363</v>
      </c>
      <c r="H17" s="46" t="s">
        <v>313</v>
      </c>
      <c r="I17" s="48">
        <v>31.12</v>
      </c>
      <c r="J17" s="49">
        <v>16.899999999999999</v>
      </c>
    </row>
    <row r="18" spans="2:10" ht="22.05" customHeight="1">
      <c r="B18" s="46" t="s">
        <v>237</v>
      </c>
      <c r="C18" s="46" t="s">
        <v>347</v>
      </c>
      <c r="D18" s="47" t="s">
        <v>364</v>
      </c>
      <c r="E18" s="46" t="s">
        <v>357</v>
      </c>
      <c r="F18" s="46" t="s">
        <v>126</v>
      </c>
      <c r="G18" s="46" t="s">
        <v>363</v>
      </c>
      <c r="H18" s="46" t="s">
        <v>310</v>
      </c>
      <c r="I18" s="48">
        <v>24.518999999999998</v>
      </c>
      <c r="J18" s="49">
        <v>26.9</v>
      </c>
    </row>
    <row r="19" spans="2:10" ht="22.05" customHeight="1">
      <c r="B19" s="46" t="s">
        <v>239</v>
      </c>
      <c r="C19" s="46" t="s">
        <v>365</v>
      </c>
      <c r="D19" s="47" t="s">
        <v>348</v>
      </c>
      <c r="E19" s="46" t="s">
        <v>349</v>
      </c>
      <c r="F19" s="46" t="s">
        <v>126</v>
      </c>
      <c r="G19" s="46" t="s">
        <v>350</v>
      </c>
      <c r="H19" s="46" t="s">
        <v>310</v>
      </c>
      <c r="I19" s="48">
        <v>31.12</v>
      </c>
      <c r="J19" s="49">
        <v>70.355999999999995</v>
      </c>
    </row>
    <row r="20" spans="2:10" ht="22.05" customHeight="1">
      <c r="B20" s="46" t="s">
        <v>239</v>
      </c>
      <c r="C20" s="46" t="s">
        <v>365</v>
      </c>
      <c r="D20" s="47" t="s">
        <v>351</v>
      </c>
      <c r="E20" s="46" t="s">
        <v>352</v>
      </c>
      <c r="F20" s="46" t="s">
        <v>124</v>
      </c>
      <c r="G20" s="46" t="s">
        <v>350</v>
      </c>
      <c r="H20" s="46" t="s">
        <v>313</v>
      </c>
      <c r="I20" s="48">
        <v>31.12</v>
      </c>
      <c r="J20" s="49">
        <v>81.290000000000006</v>
      </c>
    </row>
    <row r="21" spans="2:10" ht="22.05" customHeight="1">
      <c r="B21" s="46" t="s">
        <v>239</v>
      </c>
      <c r="C21" s="46" t="s">
        <v>365</v>
      </c>
      <c r="D21" s="47" t="s">
        <v>366</v>
      </c>
      <c r="E21" s="46" t="s">
        <v>367</v>
      </c>
      <c r="F21" s="46" t="s">
        <v>124</v>
      </c>
      <c r="G21" s="46" t="s">
        <v>350</v>
      </c>
      <c r="H21" s="46" t="s">
        <v>313</v>
      </c>
      <c r="I21" s="48">
        <v>31.12</v>
      </c>
      <c r="J21" s="49">
        <v>71.537999999999997</v>
      </c>
    </row>
    <row r="22" spans="2:10" ht="22.05" customHeight="1">
      <c r="B22" s="46" t="s">
        <v>239</v>
      </c>
      <c r="C22" s="46" t="s">
        <v>365</v>
      </c>
      <c r="D22" s="47" t="s">
        <v>368</v>
      </c>
      <c r="E22" s="46" t="s">
        <v>368</v>
      </c>
      <c r="F22" s="46" t="s">
        <v>124</v>
      </c>
      <c r="G22" s="46" t="s">
        <v>350</v>
      </c>
      <c r="H22" s="46" t="s">
        <v>313</v>
      </c>
      <c r="I22" s="48">
        <v>31.12</v>
      </c>
      <c r="J22" s="49">
        <v>23.007000000000001</v>
      </c>
    </row>
    <row r="23" spans="2:10" ht="22.05" customHeight="1">
      <c r="B23" s="46" t="s">
        <v>239</v>
      </c>
      <c r="C23" s="46" t="s">
        <v>365</v>
      </c>
      <c r="D23" s="47" t="s">
        <v>369</v>
      </c>
      <c r="E23" s="46" t="s">
        <v>369</v>
      </c>
      <c r="F23" s="46" t="s">
        <v>126</v>
      </c>
      <c r="G23" s="46" t="s">
        <v>350</v>
      </c>
      <c r="H23" s="46" t="s">
        <v>310</v>
      </c>
      <c r="I23" s="48">
        <v>31.12</v>
      </c>
      <c r="J23" s="49">
        <v>19.667000000000002</v>
      </c>
    </row>
    <row r="24" spans="2:10" ht="22.05" customHeight="1">
      <c r="B24" s="46" t="s">
        <v>239</v>
      </c>
      <c r="C24" s="46" t="s">
        <v>365</v>
      </c>
      <c r="D24" s="47" t="s">
        <v>370</v>
      </c>
      <c r="E24" s="46" t="s">
        <v>370</v>
      </c>
      <c r="F24" s="46" t="s">
        <v>126</v>
      </c>
      <c r="G24" s="46" t="s">
        <v>350</v>
      </c>
      <c r="H24" s="46" t="s">
        <v>310</v>
      </c>
      <c r="I24" s="48">
        <v>29.81</v>
      </c>
      <c r="J24" s="49">
        <v>39.551000000000002</v>
      </c>
    </row>
    <row r="25" spans="2:10" ht="22.05" customHeight="1">
      <c r="B25" s="46" t="s">
        <v>239</v>
      </c>
      <c r="C25" s="46" t="s">
        <v>365</v>
      </c>
      <c r="D25" s="47" t="s">
        <v>371</v>
      </c>
      <c r="E25" s="46" t="s">
        <v>371</v>
      </c>
      <c r="F25" s="46" t="s">
        <v>126</v>
      </c>
      <c r="G25" s="46" t="s">
        <v>350</v>
      </c>
      <c r="H25" s="46" t="s">
        <v>310</v>
      </c>
      <c r="I25" s="48">
        <v>24.558</v>
      </c>
      <c r="J25" s="49">
        <v>11.208</v>
      </c>
    </row>
    <row r="26" spans="2:10" ht="22.05" customHeight="1">
      <c r="B26" s="46" t="s">
        <v>240</v>
      </c>
      <c r="C26" s="46" t="s">
        <v>372</v>
      </c>
      <c r="D26" s="47" t="s">
        <v>348</v>
      </c>
      <c r="E26" s="46" t="s">
        <v>349</v>
      </c>
      <c r="F26" s="46" t="s">
        <v>126</v>
      </c>
      <c r="G26" s="46" t="s">
        <v>350</v>
      </c>
      <c r="H26" s="46" t="s">
        <v>310</v>
      </c>
      <c r="I26" s="48">
        <v>31.12</v>
      </c>
      <c r="J26" s="49">
        <v>95.816999999999993</v>
      </c>
    </row>
    <row r="27" spans="2:10" ht="22.05" customHeight="1">
      <c r="B27" s="46" t="s">
        <v>240</v>
      </c>
      <c r="C27" s="46" t="s">
        <v>372</v>
      </c>
      <c r="D27" s="47" t="s">
        <v>351</v>
      </c>
      <c r="E27" s="46" t="s">
        <v>352</v>
      </c>
      <c r="F27" s="46" t="s">
        <v>124</v>
      </c>
      <c r="G27" s="46" t="s">
        <v>350</v>
      </c>
      <c r="H27" s="46" t="s">
        <v>316</v>
      </c>
      <c r="I27" s="48">
        <v>31.12</v>
      </c>
      <c r="J27" s="49">
        <v>87.864999999999995</v>
      </c>
    </row>
    <row r="28" spans="2:10" ht="22.05" customHeight="1">
      <c r="B28" s="46" t="s">
        <v>240</v>
      </c>
      <c r="C28" s="46" t="s">
        <v>372</v>
      </c>
      <c r="D28" s="47" t="s">
        <v>373</v>
      </c>
      <c r="E28" s="46" t="s">
        <v>352</v>
      </c>
      <c r="F28" s="46" t="s">
        <v>124</v>
      </c>
      <c r="G28" s="46" t="s">
        <v>350</v>
      </c>
      <c r="H28" s="46" t="s">
        <v>316</v>
      </c>
      <c r="I28" s="48">
        <v>31.12</v>
      </c>
      <c r="J28" s="49">
        <v>4.2</v>
      </c>
    </row>
    <row r="29" spans="2:10" ht="22.05" customHeight="1">
      <c r="B29" s="46" t="s">
        <v>240</v>
      </c>
      <c r="C29" s="46" t="s">
        <v>372</v>
      </c>
      <c r="D29" s="47" t="s">
        <v>366</v>
      </c>
      <c r="E29" s="46" t="s">
        <v>367</v>
      </c>
      <c r="F29" s="46" t="s">
        <v>124</v>
      </c>
      <c r="G29" s="46" t="s">
        <v>350</v>
      </c>
      <c r="H29" s="46" t="s">
        <v>316</v>
      </c>
      <c r="I29" s="48">
        <v>31.12</v>
      </c>
      <c r="J29" s="49">
        <v>96.63</v>
      </c>
    </row>
    <row r="30" spans="2:10" ht="22.05" customHeight="1">
      <c r="B30" s="46" t="s">
        <v>240</v>
      </c>
      <c r="C30" s="46" t="s">
        <v>372</v>
      </c>
      <c r="D30" s="47" t="s">
        <v>374</v>
      </c>
      <c r="E30" s="46" t="s">
        <v>374</v>
      </c>
      <c r="F30" s="46" t="s">
        <v>124</v>
      </c>
      <c r="G30" s="46" t="s">
        <v>350</v>
      </c>
      <c r="H30" s="46" t="s">
        <v>316</v>
      </c>
      <c r="I30" s="48">
        <v>31.12</v>
      </c>
      <c r="J30" s="49">
        <v>24.352</v>
      </c>
    </row>
    <row r="31" spans="2:10" ht="22.05" customHeight="1">
      <c r="B31" s="46" t="s">
        <v>240</v>
      </c>
      <c r="C31" s="46" t="s">
        <v>372</v>
      </c>
      <c r="D31" s="47" t="s">
        <v>370</v>
      </c>
      <c r="E31" s="46" t="s">
        <v>370</v>
      </c>
      <c r="F31" s="46" t="s">
        <v>126</v>
      </c>
      <c r="G31" s="46" t="s">
        <v>350</v>
      </c>
      <c r="H31" s="46" t="s">
        <v>310</v>
      </c>
      <c r="I31" s="48">
        <v>29.81</v>
      </c>
      <c r="J31" s="49">
        <v>17.111999999999998</v>
      </c>
    </row>
    <row r="32" spans="2:10" ht="22.05" customHeight="1">
      <c r="B32" s="46" t="s">
        <v>240</v>
      </c>
      <c r="C32" s="46" t="s">
        <v>372</v>
      </c>
      <c r="D32" s="47" t="s">
        <v>375</v>
      </c>
      <c r="E32" s="46" t="s">
        <v>375</v>
      </c>
      <c r="F32" s="46" t="s">
        <v>126</v>
      </c>
      <c r="G32" s="46" t="s">
        <v>350</v>
      </c>
      <c r="H32" s="46" t="s">
        <v>310</v>
      </c>
      <c r="I32" s="48">
        <v>31.12</v>
      </c>
      <c r="J32" s="49">
        <v>23.463000000000001</v>
      </c>
    </row>
    <row r="33" spans="2:10" ht="22.05" customHeight="1">
      <c r="B33" s="46" t="s">
        <v>240</v>
      </c>
      <c r="C33" s="46" t="s">
        <v>372</v>
      </c>
      <c r="D33" s="47" t="s">
        <v>376</v>
      </c>
      <c r="E33" s="46" t="s">
        <v>376</v>
      </c>
      <c r="F33" s="46" t="s">
        <v>124</v>
      </c>
      <c r="G33" s="46" t="s">
        <v>350</v>
      </c>
      <c r="H33" s="46" t="s">
        <v>313</v>
      </c>
      <c r="I33" s="48">
        <v>31.12</v>
      </c>
      <c r="J33" s="49">
        <v>25.788</v>
      </c>
    </row>
    <row r="34" spans="2:10" ht="22.05" customHeight="1">
      <c r="B34" s="46" t="s">
        <v>240</v>
      </c>
      <c r="C34" s="46" t="s">
        <v>372</v>
      </c>
      <c r="D34" s="47" t="s">
        <v>377</v>
      </c>
      <c r="E34" s="46" t="s">
        <v>377</v>
      </c>
      <c r="F34" s="46" t="s">
        <v>126</v>
      </c>
      <c r="G34" s="46" t="s">
        <v>350</v>
      </c>
      <c r="H34" s="46" t="s">
        <v>310</v>
      </c>
      <c r="I34" s="48">
        <v>31.12</v>
      </c>
      <c r="J34" s="49">
        <v>2.2000000000000002</v>
      </c>
    </row>
    <row r="35" spans="2:10" ht="22.05" customHeight="1">
      <c r="B35" s="46" t="s">
        <v>240</v>
      </c>
      <c r="C35" s="46" t="s">
        <v>372</v>
      </c>
      <c r="D35" s="47" t="s">
        <v>378</v>
      </c>
      <c r="E35" s="46" t="s">
        <v>352</v>
      </c>
      <c r="F35" s="46" t="s">
        <v>124</v>
      </c>
      <c r="G35" s="46" t="s">
        <v>363</v>
      </c>
      <c r="H35" s="46" t="s">
        <v>313</v>
      </c>
      <c r="I35" s="48">
        <v>31.12</v>
      </c>
      <c r="J35" s="49">
        <v>16.027000000000001</v>
      </c>
    </row>
    <row r="36" spans="2:10" ht="22.05" customHeight="1">
      <c r="B36" s="46" t="s">
        <v>240</v>
      </c>
      <c r="C36" s="46" t="s">
        <v>372</v>
      </c>
      <c r="D36" s="47" t="s">
        <v>379</v>
      </c>
      <c r="E36" s="46" t="s">
        <v>367</v>
      </c>
      <c r="F36" s="46" t="s">
        <v>124</v>
      </c>
      <c r="G36" s="46" t="s">
        <v>363</v>
      </c>
      <c r="H36" s="46" t="s">
        <v>316</v>
      </c>
      <c r="I36" s="48">
        <v>31.12</v>
      </c>
      <c r="J36" s="49">
        <v>4.3440000000000003</v>
      </c>
    </row>
    <row r="37" spans="2:10" ht="22.05" customHeight="1">
      <c r="B37" s="46" t="s">
        <v>241</v>
      </c>
      <c r="C37" s="46" t="s">
        <v>380</v>
      </c>
      <c r="D37" s="47" t="s">
        <v>348</v>
      </c>
      <c r="E37" s="46" t="s">
        <v>349</v>
      </c>
      <c r="F37" s="46" t="s">
        <v>126</v>
      </c>
      <c r="G37" s="46" t="s">
        <v>350</v>
      </c>
      <c r="H37" s="46" t="s">
        <v>310</v>
      </c>
      <c r="I37" s="48">
        <v>31.12</v>
      </c>
      <c r="J37" s="49">
        <v>66.894000000000005</v>
      </c>
    </row>
    <row r="38" spans="2:10" ht="22.05" customHeight="1">
      <c r="B38" s="46" t="s">
        <v>241</v>
      </c>
      <c r="C38" s="46" t="s">
        <v>380</v>
      </c>
      <c r="D38" s="47" t="s">
        <v>381</v>
      </c>
      <c r="E38" s="46" t="s">
        <v>381</v>
      </c>
      <c r="F38" s="46" t="s">
        <v>126</v>
      </c>
      <c r="G38" s="46" t="s">
        <v>350</v>
      </c>
      <c r="H38" s="46" t="s">
        <v>310</v>
      </c>
      <c r="I38" s="48">
        <v>31.12</v>
      </c>
      <c r="J38" s="49">
        <v>24.425000000000001</v>
      </c>
    </row>
    <row r="39" spans="2:10" ht="22.05" customHeight="1">
      <c r="B39" s="46" t="s">
        <v>241</v>
      </c>
      <c r="C39" s="46" t="s">
        <v>380</v>
      </c>
      <c r="D39" s="47" t="s">
        <v>382</v>
      </c>
      <c r="E39" s="46" t="s">
        <v>382</v>
      </c>
      <c r="F39" s="46" t="s">
        <v>126</v>
      </c>
      <c r="G39" s="46" t="s">
        <v>350</v>
      </c>
      <c r="H39" s="46" t="s">
        <v>310</v>
      </c>
      <c r="I39" s="48">
        <v>29.81</v>
      </c>
      <c r="J39" s="49">
        <v>16.689</v>
      </c>
    </row>
    <row r="40" spans="2:10" ht="22.05" customHeight="1">
      <c r="B40" s="46" t="s">
        <v>241</v>
      </c>
      <c r="C40" s="46" t="s">
        <v>380</v>
      </c>
      <c r="D40" s="47" t="s">
        <v>383</v>
      </c>
      <c r="E40" s="46" t="s">
        <v>383</v>
      </c>
      <c r="F40" s="46" t="s">
        <v>126</v>
      </c>
      <c r="G40" s="46" t="s">
        <v>350</v>
      </c>
      <c r="H40" s="46" t="s">
        <v>310</v>
      </c>
      <c r="I40" s="48">
        <v>24.558</v>
      </c>
      <c r="J40" s="49">
        <v>5.7389999999999999</v>
      </c>
    </row>
    <row r="41" spans="2:10" ht="22.05" customHeight="1">
      <c r="B41" s="46" t="s">
        <v>241</v>
      </c>
      <c r="C41" s="46" t="s">
        <v>380</v>
      </c>
      <c r="D41" s="47" t="s">
        <v>384</v>
      </c>
      <c r="E41" s="46" t="s">
        <v>384</v>
      </c>
      <c r="F41" s="46" t="s">
        <v>126</v>
      </c>
      <c r="G41" s="46" t="s">
        <v>350</v>
      </c>
      <c r="H41" s="46" t="s">
        <v>310</v>
      </c>
      <c r="I41" s="48">
        <v>29.81</v>
      </c>
      <c r="J41" s="49">
        <v>32.860999999999997</v>
      </c>
    </row>
    <row r="42" spans="2:10" ht="22.05" customHeight="1">
      <c r="B42" s="46" t="s">
        <v>241</v>
      </c>
      <c r="C42" s="46" t="s">
        <v>380</v>
      </c>
      <c r="D42" s="47" t="s">
        <v>385</v>
      </c>
      <c r="E42" s="46" t="s">
        <v>385</v>
      </c>
      <c r="F42" s="46" t="s">
        <v>126</v>
      </c>
      <c r="G42" s="46" t="s">
        <v>350</v>
      </c>
      <c r="H42" s="46" t="s">
        <v>310</v>
      </c>
      <c r="I42" s="48">
        <v>29.81</v>
      </c>
      <c r="J42" s="49">
        <v>6.07</v>
      </c>
    </row>
    <row r="43" spans="2:10" ht="22.05" customHeight="1">
      <c r="B43" s="46" t="s">
        <v>241</v>
      </c>
      <c r="C43" s="46" t="s">
        <v>380</v>
      </c>
      <c r="D43" s="47" t="s">
        <v>351</v>
      </c>
      <c r="E43" s="46" t="s">
        <v>352</v>
      </c>
      <c r="F43" s="46" t="s">
        <v>124</v>
      </c>
      <c r="G43" s="46" t="s">
        <v>350</v>
      </c>
      <c r="H43" s="46" t="s">
        <v>313</v>
      </c>
      <c r="I43" s="48">
        <v>31.12</v>
      </c>
      <c r="J43" s="49">
        <v>95.451999999999998</v>
      </c>
    </row>
    <row r="44" spans="2:10" ht="22.05" customHeight="1">
      <c r="B44" s="46" t="s">
        <v>241</v>
      </c>
      <c r="C44" s="46" t="s">
        <v>380</v>
      </c>
      <c r="D44" s="47" t="s">
        <v>386</v>
      </c>
      <c r="E44" s="46" t="s">
        <v>367</v>
      </c>
      <c r="F44" s="46" t="s">
        <v>124</v>
      </c>
      <c r="G44" s="46" t="s">
        <v>387</v>
      </c>
      <c r="H44" s="46" t="s">
        <v>313</v>
      </c>
      <c r="I44" s="48">
        <v>31.12</v>
      </c>
      <c r="J44" s="49">
        <v>31.786999999999999</v>
      </c>
    </row>
    <row r="45" spans="2:10" ht="22.05" customHeight="1">
      <c r="B45" s="46" t="s">
        <v>241</v>
      </c>
      <c r="C45" s="46" t="s">
        <v>380</v>
      </c>
      <c r="D45" s="47" t="s">
        <v>388</v>
      </c>
      <c r="E45" s="46" t="s">
        <v>388</v>
      </c>
      <c r="F45" s="46" t="s">
        <v>124</v>
      </c>
      <c r="G45" s="46" t="s">
        <v>350</v>
      </c>
      <c r="H45" s="46" t="s">
        <v>313</v>
      </c>
      <c r="I45" s="48">
        <v>31.12</v>
      </c>
      <c r="J45" s="49">
        <v>57.558</v>
      </c>
    </row>
    <row r="46" spans="2:10" ht="22.05" customHeight="1">
      <c r="B46" s="46" t="s">
        <v>241</v>
      </c>
      <c r="C46" s="46" t="s">
        <v>380</v>
      </c>
      <c r="D46" s="47" t="s">
        <v>389</v>
      </c>
      <c r="E46" s="46" t="s">
        <v>389</v>
      </c>
      <c r="F46" s="46" t="s">
        <v>124</v>
      </c>
      <c r="G46" s="46" t="s">
        <v>350</v>
      </c>
      <c r="H46" s="46" t="s">
        <v>313</v>
      </c>
      <c r="I46" s="48">
        <v>24.558</v>
      </c>
      <c r="J46" s="49">
        <v>10.505000000000001</v>
      </c>
    </row>
    <row r="47" spans="2:10" ht="22.05" customHeight="1">
      <c r="B47" s="46" t="s">
        <v>241</v>
      </c>
      <c r="C47" s="46" t="s">
        <v>380</v>
      </c>
      <c r="D47" s="47" t="s">
        <v>390</v>
      </c>
      <c r="E47" s="46" t="s">
        <v>390</v>
      </c>
      <c r="F47" s="46" t="s">
        <v>124</v>
      </c>
      <c r="G47" s="46" t="s">
        <v>350</v>
      </c>
      <c r="H47" s="46" t="s">
        <v>313</v>
      </c>
      <c r="I47" s="48">
        <v>31.12</v>
      </c>
      <c r="J47" s="49">
        <v>10.278</v>
      </c>
    </row>
    <row r="48" spans="2:10" ht="22.05" customHeight="1">
      <c r="B48" s="46" t="s">
        <v>241</v>
      </c>
      <c r="C48" s="46" t="s">
        <v>380</v>
      </c>
      <c r="D48" s="47" t="s">
        <v>391</v>
      </c>
      <c r="E48" s="46" t="s">
        <v>391</v>
      </c>
      <c r="F48" s="46" t="s">
        <v>124</v>
      </c>
      <c r="G48" s="46" t="s">
        <v>350</v>
      </c>
      <c r="H48" s="46" t="s">
        <v>313</v>
      </c>
      <c r="I48" s="48">
        <v>29.81</v>
      </c>
      <c r="J48" s="49">
        <v>32.709000000000003</v>
      </c>
    </row>
    <row r="50" spans="2:11" ht="24" customHeight="1">
      <c r="B50" s="4" t="s">
        <v>392</v>
      </c>
      <c r="C50" s="5"/>
      <c r="D50" s="5"/>
      <c r="E50" s="5"/>
      <c r="F50" s="5"/>
      <c r="G50" s="5"/>
      <c r="H50" s="5"/>
      <c r="I50" s="5"/>
      <c r="J50" s="5"/>
    </row>
    <row r="51" spans="2:11" ht="46.05" customHeight="1">
      <c r="B51" s="8" t="s">
        <v>97</v>
      </c>
      <c r="C51" s="8" t="s">
        <v>98</v>
      </c>
      <c r="D51" s="8"/>
      <c r="E51" s="8" t="s">
        <v>237</v>
      </c>
      <c r="F51" s="8" t="s">
        <v>239</v>
      </c>
      <c r="G51" s="8" t="s">
        <v>240</v>
      </c>
      <c r="H51" s="8" t="s">
        <v>241</v>
      </c>
      <c r="I51" s="8" t="s">
        <v>393</v>
      </c>
      <c r="J51" s="8"/>
      <c r="K51" s="8" t="s">
        <v>394</v>
      </c>
    </row>
    <row r="52" spans="2:11" ht="22.05" customHeight="1">
      <c r="B52" s="13" t="s">
        <v>395</v>
      </c>
      <c r="C52" s="14" t="s">
        <v>396</v>
      </c>
      <c r="E52" s="50">
        <v>31</v>
      </c>
      <c r="F52" s="50">
        <v>31</v>
      </c>
      <c r="G52" s="50">
        <v>30</v>
      </c>
      <c r="H52" s="50">
        <v>31</v>
      </c>
    </row>
    <row r="53" spans="2:11" ht="22.05" customHeight="1">
      <c r="B53" s="13" t="s">
        <v>397</v>
      </c>
      <c r="C53" s="14" t="s">
        <v>105</v>
      </c>
      <c r="E53" s="16">
        <f>SUMIFS($J$8:$J$48,$B$8:$B$48,"May 2026")</f>
        <v>270.43599999999998</v>
      </c>
      <c r="F53" s="16">
        <f>SUMIFS($J$8:$J$48,$B$8:$B$48,"June 2026")</f>
        <v>316.61700000000008</v>
      </c>
      <c r="G53" s="16">
        <f>SUMIFS($J$8:$J$48,$B$8:$B$48,"July 2026")</f>
        <v>397.79799999999994</v>
      </c>
      <c r="H53" s="16">
        <f>SUMIFS($J$8:$J$48,$B$8:$B$48,"August 2026")</f>
        <v>390.96699999999998</v>
      </c>
      <c r="I53" s="16">
        <f>SUM(E53:H53)</f>
        <v>1375.8180000000002</v>
      </c>
      <c r="K53" s="51">
        <f>AVERAGE(E53:H53)</f>
        <v>343.95450000000005</v>
      </c>
    </row>
    <row r="54" spans="2:11" ht="22.05" customHeight="1">
      <c r="B54" s="13" t="s">
        <v>398</v>
      </c>
      <c r="C54" s="14" t="s">
        <v>399</v>
      </c>
      <c r="E54" s="25">
        <f>IF(E52=0,0,E53/E52)</f>
        <v>8.7237419354838703</v>
      </c>
      <c r="F54" s="25">
        <f>IF(F52=0,0,F53/F52)</f>
        <v>10.213451612903228</v>
      </c>
      <c r="G54" s="25">
        <f>IF(G52=0,0,G53/G52)</f>
        <v>13.259933333333331</v>
      </c>
      <c r="H54" s="25">
        <f>IF(H52=0,0,H53/H52)</f>
        <v>12.61183870967742</v>
      </c>
      <c r="K54" s="52">
        <f>AVERAGE(E54:H54)</f>
        <v>11.202241397849463</v>
      </c>
    </row>
    <row r="55" spans="2:11" ht="22.05" customHeight="1">
      <c r="B55" s="13" t="s">
        <v>398</v>
      </c>
      <c r="C55" s="14" t="s">
        <v>400</v>
      </c>
      <c r="E55" s="53" t="s">
        <v>401</v>
      </c>
      <c r="F55" s="53" t="s">
        <v>401</v>
      </c>
      <c r="G55" s="53" t="s">
        <v>401</v>
      </c>
      <c r="H55" s="53" t="s">
        <v>401</v>
      </c>
    </row>
    <row r="57" spans="2:11" ht="24" customHeight="1">
      <c r="B57" s="121" t="s">
        <v>402</v>
      </c>
      <c r="C57" s="122"/>
      <c r="D57" s="122"/>
      <c r="E57" s="122"/>
      <c r="F57" s="122"/>
      <c r="G57" s="122"/>
      <c r="H57" s="122"/>
      <c r="I57" s="122"/>
      <c r="J57" s="122"/>
    </row>
  </sheetData>
  <mergeCells count="2">
    <mergeCell ref="B57:J57"/>
    <mergeCell ref="B4:J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U47"/>
  <sheetViews>
    <sheetView showGridLines="0" workbookViewId="0">
      <pane xSplit="5" ySplit="7" topLeftCell="F8" activePane="bottomRight" state="frozen"/>
      <selection pane="topRight"/>
      <selection pane="bottomLeft"/>
      <selection pane="bottomRight"/>
    </sheetView>
  </sheetViews>
  <sheetFormatPr defaultRowHeight="14.4"/>
  <cols>
    <col min="1" max="1" width="4" customWidth="1"/>
    <col min="2" max="2" width="26" customWidth="1"/>
    <col min="3" max="3" width="60" customWidth="1"/>
    <col min="4" max="4" width="14" customWidth="1"/>
    <col min="5" max="5" width="4" customWidth="1"/>
    <col min="6" max="21" width="19" customWidth="1"/>
  </cols>
  <sheetData>
    <row r="1" spans="2:21" ht="7.95" customHeight="1"/>
    <row r="2" spans="2:21" ht="30" customHeight="1">
      <c r="B2" s="12" t="s">
        <v>403</v>
      </c>
    </row>
    <row r="3" spans="2:21" ht="19.95" customHeight="1">
      <c r="B3" s="3" t="s">
        <v>404</v>
      </c>
    </row>
    <row r="4" spans="2:21" ht="24" customHeight="1">
      <c r="B4" s="121" t="s">
        <v>405</v>
      </c>
      <c r="C4" s="122"/>
      <c r="D4" s="122"/>
      <c r="E4" s="122"/>
      <c r="F4" s="122"/>
      <c r="G4" s="122"/>
      <c r="H4" s="122"/>
      <c r="I4" s="122"/>
      <c r="J4" s="122"/>
      <c r="K4" s="122"/>
      <c r="L4" s="122"/>
    </row>
    <row r="5" spans="2:21" ht="7.95" customHeight="1"/>
    <row r="6" spans="2:21" ht="24" customHeight="1">
      <c r="B6" s="54"/>
      <c r="C6" s="54"/>
      <c r="D6" s="54"/>
      <c r="E6" s="54"/>
      <c r="F6" s="126" t="s">
        <v>237</v>
      </c>
      <c r="G6" s="122"/>
      <c r="H6" s="122"/>
      <c r="I6" s="122"/>
      <c r="J6" s="126" t="s">
        <v>239</v>
      </c>
      <c r="K6" s="122"/>
      <c r="L6" s="122"/>
      <c r="M6" s="122"/>
      <c r="N6" s="126" t="s">
        <v>240</v>
      </c>
      <c r="O6" s="122"/>
      <c r="P6" s="122"/>
      <c r="Q6" s="122"/>
      <c r="R6" s="126" t="s">
        <v>241</v>
      </c>
      <c r="S6" s="122"/>
      <c r="T6" s="122"/>
      <c r="U6" s="122"/>
    </row>
    <row r="7" spans="2:21" ht="46.05" customHeight="1">
      <c r="B7" s="8" t="s">
        <v>210</v>
      </c>
      <c r="C7" s="8" t="s">
        <v>206</v>
      </c>
      <c r="D7" s="8" t="s">
        <v>98</v>
      </c>
      <c r="E7" s="8"/>
      <c r="F7" s="8" t="s">
        <v>406</v>
      </c>
      <c r="G7" s="8" t="s">
        <v>407</v>
      </c>
      <c r="H7" s="8" t="s">
        <v>408</v>
      </c>
      <c r="I7" s="8" t="s">
        <v>409</v>
      </c>
      <c r="J7" s="8" t="s">
        <v>406</v>
      </c>
      <c r="K7" s="8" t="s">
        <v>407</v>
      </c>
      <c r="L7" s="8" t="s">
        <v>408</v>
      </c>
      <c r="M7" s="8" t="s">
        <v>409</v>
      </c>
      <c r="N7" s="8" t="s">
        <v>406</v>
      </c>
      <c r="O7" s="8" t="s">
        <v>407</v>
      </c>
      <c r="P7" s="8" t="s">
        <v>408</v>
      </c>
      <c r="Q7" s="8" t="s">
        <v>409</v>
      </c>
    </row>
    <row r="8" spans="2:21" ht="22.05" customHeight="1">
      <c r="B8" s="14" t="s">
        <v>410</v>
      </c>
      <c r="C8" s="14" t="s">
        <v>411</v>
      </c>
      <c r="D8" s="14" t="s">
        <v>215</v>
      </c>
      <c r="F8" s="56">
        <v>75</v>
      </c>
      <c r="G8" s="56">
        <v>0</v>
      </c>
      <c r="H8" s="56">
        <v>68</v>
      </c>
      <c r="I8" s="57">
        <f t="shared" ref="I8:I45" si="0">F8+G8-H8</f>
        <v>7</v>
      </c>
      <c r="J8" s="56">
        <v>68</v>
      </c>
      <c r="K8" s="56"/>
      <c r="L8" s="56">
        <v>67</v>
      </c>
      <c r="M8" s="57">
        <f t="shared" ref="M8:M45" si="1">J8+K8-L8</f>
        <v>1</v>
      </c>
      <c r="N8" s="56">
        <v>67</v>
      </c>
      <c r="O8" s="56">
        <v>5</v>
      </c>
      <c r="P8" s="56">
        <v>71</v>
      </c>
      <c r="Q8" s="57">
        <f t="shared" ref="Q8:Q45" si="2">N8+O8-P8</f>
        <v>1</v>
      </c>
      <c r="R8" s="56">
        <v>71</v>
      </c>
      <c r="S8" s="56"/>
      <c r="T8" s="56">
        <v>72</v>
      </c>
      <c r="U8" s="57">
        <f t="shared" ref="U8:U45" si="3">R8+S8-T8</f>
        <v>-1</v>
      </c>
    </row>
    <row r="9" spans="2:21" ht="22.05" customHeight="1">
      <c r="B9" s="14" t="s">
        <v>261</v>
      </c>
      <c r="C9" s="14" t="s">
        <v>262</v>
      </c>
      <c r="D9" s="14" t="s">
        <v>215</v>
      </c>
      <c r="F9" s="56">
        <v>85</v>
      </c>
      <c r="G9" s="56">
        <v>50</v>
      </c>
      <c r="H9" s="56">
        <v>20</v>
      </c>
      <c r="I9" s="57">
        <f t="shared" si="0"/>
        <v>115</v>
      </c>
      <c r="J9" s="56">
        <v>20</v>
      </c>
      <c r="K9" s="56"/>
      <c r="L9" s="56">
        <v>20</v>
      </c>
      <c r="M9" s="57">
        <f t="shared" si="1"/>
        <v>0</v>
      </c>
      <c r="N9" s="56">
        <v>20</v>
      </c>
      <c r="O9" s="56">
        <v>40</v>
      </c>
      <c r="P9" s="56">
        <v>50</v>
      </c>
      <c r="Q9" s="57">
        <f t="shared" si="2"/>
        <v>10</v>
      </c>
      <c r="R9" s="56">
        <v>50</v>
      </c>
      <c r="S9" s="56"/>
      <c r="T9" s="56">
        <v>50</v>
      </c>
      <c r="U9" s="57">
        <f t="shared" si="3"/>
        <v>0</v>
      </c>
    </row>
    <row r="10" spans="2:21" ht="22.05" customHeight="1">
      <c r="B10" s="14" t="s">
        <v>263</v>
      </c>
      <c r="C10" s="14" t="s">
        <v>264</v>
      </c>
      <c r="D10" s="14" t="s">
        <v>215</v>
      </c>
      <c r="F10" s="56">
        <v>330</v>
      </c>
      <c r="G10" s="56">
        <v>0</v>
      </c>
      <c r="H10" s="56">
        <v>258</v>
      </c>
      <c r="I10" s="57">
        <f t="shared" si="0"/>
        <v>72</v>
      </c>
      <c r="J10" s="56">
        <v>258</v>
      </c>
      <c r="K10" s="56"/>
      <c r="L10" s="56">
        <v>258</v>
      </c>
      <c r="M10" s="57">
        <f t="shared" si="1"/>
        <v>0</v>
      </c>
      <c r="N10" s="56">
        <v>258</v>
      </c>
      <c r="O10" s="56"/>
      <c r="P10" s="56">
        <v>248</v>
      </c>
      <c r="Q10" s="57">
        <f t="shared" si="2"/>
        <v>10</v>
      </c>
      <c r="R10" s="56">
        <v>248</v>
      </c>
      <c r="S10" s="56"/>
      <c r="T10" s="56">
        <v>223</v>
      </c>
      <c r="U10" s="57">
        <f t="shared" si="3"/>
        <v>25</v>
      </c>
    </row>
    <row r="11" spans="2:21" ht="22.05" customHeight="1">
      <c r="B11" s="14" t="s">
        <v>251</v>
      </c>
      <c r="C11" s="14" t="s">
        <v>252</v>
      </c>
      <c r="D11" s="14" t="s">
        <v>215</v>
      </c>
      <c r="F11" s="56">
        <v>26</v>
      </c>
      <c r="G11" s="56">
        <v>0</v>
      </c>
      <c r="H11" s="56">
        <v>25</v>
      </c>
      <c r="I11" s="57">
        <f t="shared" si="0"/>
        <v>1</v>
      </c>
      <c r="J11" s="56">
        <v>25</v>
      </c>
      <c r="K11" s="56"/>
      <c r="L11" s="56">
        <v>20</v>
      </c>
      <c r="M11" s="57">
        <f t="shared" si="1"/>
        <v>5</v>
      </c>
      <c r="N11" s="56">
        <v>20</v>
      </c>
      <c r="O11" s="56">
        <v>45</v>
      </c>
      <c r="P11" s="56">
        <v>20</v>
      </c>
      <c r="Q11" s="57">
        <f t="shared" si="2"/>
        <v>45</v>
      </c>
      <c r="R11" s="56">
        <v>20</v>
      </c>
      <c r="S11" s="56"/>
      <c r="T11" s="56">
        <v>19</v>
      </c>
      <c r="U11" s="57">
        <f t="shared" si="3"/>
        <v>1</v>
      </c>
    </row>
    <row r="12" spans="2:21" ht="22.05" customHeight="1">
      <c r="B12" s="14" t="s">
        <v>213</v>
      </c>
      <c r="C12" s="14" t="s">
        <v>214</v>
      </c>
      <c r="D12" s="14" t="s">
        <v>215</v>
      </c>
      <c r="F12" s="56">
        <v>3483</v>
      </c>
      <c r="G12" s="56">
        <v>0</v>
      </c>
      <c r="H12" s="56">
        <v>3300</v>
      </c>
      <c r="I12" s="57">
        <f t="shared" si="0"/>
        <v>183</v>
      </c>
      <c r="J12" s="56">
        <v>3300</v>
      </c>
      <c r="K12" s="56"/>
      <c r="L12" s="56">
        <v>3123</v>
      </c>
      <c r="M12" s="57">
        <f t="shared" si="1"/>
        <v>177</v>
      </c>
      <c r="N12" s="56">
        <v>3123</v>
      </c>
      <c r="O12" s="56"/>
      <c r="P12" s="56">
        <v>3380</v>
      </c>
      <c r="Q12" s="57">
        <f t="shared" si="2"/>
        <v>-257</v>
      </c>
      <c r="R12" s="56">
        <v>3380</v>
      </c>
      <c r="S12" s="56"/>
      <c r="T12" s="56">
        <v>3300</v>
      </c>
      <c r="U12" s="57">
        <f t="shared" si="3"/>
        <v>80</v>
      </c>
    </row>
    <row r="13" spans="2:21" ht="22.05" customHeight="1">
      <c r="B13" s="14" t="s">
        <v>216</v>
      </c>
      <c r="C13" s="14" t="s">
        <v>217</v>
      </c>
      <c r="D13" s="14" t="s">
        <v>215</v>
      </c>
      <c r="F13" s="56">
        <v>3750</v>
      </c>
      <c r="G13" s="56">
        <v>0</v>
      </c>
      <c r="H13" s="56">
        <v>3450</v>
      </c>
      <c r="I13" s="57">
        <f t="shared" si="0"/>
        <v>300</v>
      </c>
      <c r="J13" s="56">
        <v>3450</v>
      </c>
      <c r="K13" s="56"/>
      <c r="L13" s="56">
        <v>2921</v>
      </c>
      <c r="M13" s="57">
        <f t="shared" si="1"/>
        <v>529</v>
      </c>
      <c r="N13" s="56">
        <v>2921</v>
      </c>
      <c r="O13" s="56"/>
      <c r="P13" s="56">
        <v>2520</v>
      </c>
      <c r="Q13" s="57">
        <f t="shared" si="2"/>
        <v>401</v>
      </c>
      <c r="R13" s="56">
        <v>2520</v>
      </c>
      <c r="S13" s="56"/>
      <c r="T13" s="56">
        <v>2200</v>
      </c>
      <c r="U13" s="57">
        <f t="shared" si="3"/>
        <v>320</v>
      </c>
    </row>
    <row r="14" spans="2:21" ht="22.05" customHeight="1">
      <c r="B14" s="14" t="s">
        <v>218</v>
      </c>
      <c r="C14" s="14" t="s">
        <v>219</v>
      </c>
      <c r="D14" s="14" t="s">
        <v>215</v>
      </c>
      <c r="F14" s="56">
        <v>888</v>
      </c>
      <c r="G14" s="56">
        <v>0</v>
      </c>
      <c r="H14" s="56">
        <v>145</v>
      </c>
      <c r="I14" s="57">
        <f t="shared" si="0"/>
        <v>743</v>
      </c>
      <c r="J14" s="56">
        <v>145</v>
      </c>
      <c r="K14" s="56">
        <v>4800</v>
      </c>
      <c r="L14" s="56">
        <v>3996</v>
      </c>
      <c r="M14" s="57">
        <f t="shared" si="1"/>
        <v>949</v>
      </c>
      <c r="N14" s="56">
        <v>3996</v>
      </c>
      <c r="O14" s="56">
        <v>4800</v>
      </c>
      <c r="P14" s="56">
        <v>6637</v>
      </c>
      <c r="Q14" s="57">
        <f t="shared" si="2"/>
        <v>2159</v>
      </c>
      <c r="R14" s="56">
        <v>6486</v>
      </c>
      <c r="S14" s="56"/>
      <c r="T14" s="56">
        <v>4200</v>
      </c>
      <c r="U14" s="57">
        <f t="shared" si="3"/>
        <v>2286</v>
      </c>
    </row>
    <row r="15" spans="2:21" ht="22.05" customHeight="1">
      <c r="B15" s="14" t="s">
        <v>220</v>
      </c>
      <c r="C15" s="14" t="s">
        <v>221</v>
      </c>
      <c r="D15" s="14" t="s">
        <v>215</v>
      </c>
      <c r="F15" s="56">
        <v>11095</v>
      </c>
      <c r="G15" s="56">
        <v>0</v>
      </c>
      <c r="H15" s="56">
        <v>8520</v>
      </c>
      <c r="I15" s="57">
        <f t="shared" si="0"/>
        <v>2575</v>
      </c>
      <c r="J15" s="56">
        <v>8520</v>
      </c>
      <c r="K15" s="56">
        <v>10080</v>
      </c>
      <c r="L15" s="56">
        <v>14926</v>
      </c>
      <c r="M15" s="57">
        <f t="shared" si="1"/>
        <v>3674</v>
      </c>
      <c r="N15" s="56">
        <v>14926</v>
      </c>
      <c r="O15" s="56"/>
      <c r="P15" s="56">
        <v>10763</v>
      </c>
      <c r="Q15" s="57">
        <f t="shared" si="2"/>
        <v>4163</v>
      </c>
      <c r="R15" s="56">
        <v>10279</v>
      </c>
      <c r="S15" s="56"/>
      <c r="T15" s="56">
        <v>6960</v>
      </c>
      <c r="U15" s="57">
        <f t="shared" si="3"/>
        <v>3319</v>
      </c>
    </row>
    <row r="16" spans="2:21" ht="22.05" customHeight="1">
      <c r="B16" s="14" t="s">
        <v>412</v>
      </c>
      <c r="C16" s="14" t="s">
        <v>413</v>
      </c>
      <c r="D16" s="14" t="s">
        <v>215</v>
      </c>
      <c r="F16" s="56">
        <v>3560</v>
      </c>
      <c r="G16" s="56">
        <v>0</v>
      </c>
      <c r="H16" s="56">
        <v>3560</v>
      </c>
      <c r="I16" s="57">
        <f t="shared" si="0"/>
        <v>0</v>
      </c>
      <c r="J16" s="56">
        <v>3560</v>
      </c>
      <c r="K16" s="56"/>
      <c r="L16" s="56">
        <v>3545</v>
      </c>
      <c r="M16" s="57">
        <f t="shared" si="1"/>
        <v>15</v>
      </c>
      <c r="N16" s="56">
        <v>3545</v>
      </c>
      <c r="O16" s="56"/>
      <c r="P16" s="56">
        <v>3545</v>
      </c>
      <c r="Q16" s="57">
        <f t="shared" si="2"/>
        <v>0</v>
      </c>
      <c r="R16" s="56">
        <v>3545</v>
      </c>
      <c r="S16" s="56"/>
      <c r="T16" s="56">
        <v>3336</v>
      </c>
      <c r="U16" s="57">
        <f t="shared" si="3"/>
        <v>209</v>
      </c>
    </row>
    <row r="17" spans="2:21" ht="22.05" customHeight="1">
      <c r="B17" s="14" t="s">
        <v>414</v>
      </c>
      <c r="C17" s="14" t="s">
        <v>415</v>
      </c>
      <c r="D17" s="14" t="s">
        <v>215</v>
      </c>
      <c r="F17" s="56">
        <v>4078</v>
      </c>
      <c r="G17" s="56">
        <v>0</v>
      </c>
      <c r="H17" s="56">
        <v>3438</v>
      </c>
      <c r="I17" s="57">
        <f t="shared" si="0"/>
        <v>640</v>
      </c>
      <c r="J17" s="56">
        <v>3356</v>
      </c>
      <c r="K17" s="56">
        <v>4800</v>
      </c>
      <c r="L17" s="56">
        <v>7102</v>
      </c>
      <c r="M17" s="57">
        <f t="shared" si="1"/>
        <v>1054</v>
      </c>
      <c r="N17" s="56">
        <v>7102</v>
      </c>
      <c r="O17" s="56">
        <v>4800</v>
      </c>
      <c r="P17" s="56">
        <v>9300</v>
      </c>
      <c r="Q17" s="57">
        <f t="shared" si="2"/>
        <v>2602</v>
      </c>
      <c r="R17" s="56">
        <v>9200</v>
      </c>
      <c r="S17" s="56"/>
      <c r="T17" s="56">
        <v>5970</v>
      </c>
      <c r="U17" s="57">
        <f t="shared" si="3"/>
        <v>3230</v>
      </c>
    </row>
    <row r="18" spans="2:21" ht="22.05" customHeight="1">
      <c r="B18" s="14" t="s">
        <v>416</v>
      </c>
      <c r="C18" s="14" t="s">
        <v>417</v>
      </c>
      <c r="D18" s="14" t="s">
        <v>215</v>
      </c>
      <c r="F18" s="56">
        <v>10560</v>
      </c>
      <c r="G18" s="56">
        <v>0</v>
      </c>
      <c r="H18" s="56">
        <v>7820</v>
      </c>
      <c r="I18" s="57">
        <f t="shared" si="0"/>
        <v>2740</v>
      </c>
      <c r="J18" s="56">
        <v>7820</v>
      </c>
      <c r="K18" s="56">
        <v>10080</v>
      </c>
      <c r="L18" s="56">
        <v>15170</v>
      </c>
      <c r="M18" s="57">
        <f t="shared" si="1"/>
        <v>2730</v>
      </c>
      <c r="N18" s="56">
        <v>15170</v>
      </c>
      <c r="O18" s="56"/>
      <c r="P18" s="56">
        <v>10680</v>
      </c>
      <c r="Q18" s="57">
        <f t="shared" si="2"/>
        <v>4490</v>
      </c>
      <c r="R18" s="56">
        <v>10638</v>
      </c>
      <c r="S18" s="56"/>
      <c r="T18" s="56">
        <v>6240</v>
      </c>
      <c r="U18" s="57">
        <f t="shared" si="3"/>
        <v>4398</v>
      </c>
    </row>
    <row r="19" spans="2:21" ht="22.05" customHeight="1">
      <c r="B19" s="14" t="s">
        <v>224</v>
      </c>
      <c r="C19" s="14" t="s">
        <v>225</v>
      </c>
      <c r="D19" s="14" t="s">
        <v>226</v>
      </c>
      <c r="F19" s="56">
        <v>2256</v>
      </c>
      <c r="G19" s="56">
        <v>3675</v>
      </c>
      <c r="H19" s="56">
        <v>3640</v>
      </c>
      <c r="I19" s="57">
        <f t="shared" si="0"/>
        <v>2291</v>
      </c>
      <c r="J19" s="56">
        <v>3640</v>
      </c>
      <c r="K19" s="56"/>
      <c r="L19" s="56">
        <v>3232</v>
      </c>
      <c r="M19" s="57">
        <f t="shared" si="1"/>
        <v>408</v>
      </c>
      <c r="N19" s="56">
        <v>3232</v>
      </c>
      <c r="O19" s="56"/>
      <c r="P19" s="56">
        <v>2411</v>
      </c>
      <c r="Q19" s="57">
        <f t="shared" si="2"/>
        <v>821</v>
      </c>
      <c r="R19" s="56">
        <v>2411</v>
      </c>
      <c r="S19" s="56"/>
      <c r="T19" s="56">
        <v>1642</v>
      </c>
      <c r="U19" s="57">
        <f t="shared" si="3"/>
        <v>769</v>
      </c>
    </row>
    <row r="20" spans="2:21" ht="22.05" customHeight="1">
      <c r="B20" s="14" t="s">
        <v>253</v>
      </c>
      <c r="C20" s="14" t="s">
        <v>254</v>
      </c>
      <c r="D20" s="14" t="s">
        <v>215</v>
      </c>
      <c r="F20" s="56">
        <v>15</v>
      </c>
      <c r="G20" s="56">
        <v>50</v>
      </c>
      <c r="H20" s="56">
        <v>57</v>
      </c>
      <c r="I20" s="57">
        <f t="shared" si="0"/>
        <v>8</v>
      </c>
      <c r="J20" s="56">
        <v>57</v>
      </c>
      <c r="K20" s="56">
        <v>60</v>
      </c>
      <c r="L20" s="56">
        <v>98</v>
      </c>
      <c r="M20" s="57">
        <f t="shared" si="1"/>
        <v>19</v>
      </c>
      <c r="N20" s="56">
        <v>98</v>
      </c>
      <c r="O20" s="56">
        <v>45</v>
      </c>
      <c r="P20" s="56">
        <v>109</v>
      </c>
      <c r="Q20" s="57">
        <f t="shared" si="2"/>
        <v>34</v>
      </c>
      <c r="R20" s="56">
        <v>109</v>
      </c>
      <c r="S20" s="56"/>
      <c r="T20" s="56">
        <v>85</v>
      </c>
      <c r="U20" s="57">
        <f t="shared" si="3"/>
        <v>24</v>
      </c>
    </row>
    <row r="21" spans="2:21" ht="22.05" customHeight="1">
      <c r="B21" s="14" t="s">
        <v>255</v>
      </c>
      <c r="C21" s="14" t="s">
        <v>256</v>
      </c>
      <c r="D21" s="14" t="s">
        <v>215</v>
      </c>
      <c r="F21" s="56">
        <v>39</v>
      </c>
      <c r="G21" s="56">
        <v>30</v>
      </c>
      <c r="H21" s="56">
        <v>54</v>
      </c>
      <c r="I21" s="57">
        <f t="shared" si="0"/>
        <v>15</v>
      </c>
      <c r="J21" s="56">
        <v>54</v>
      </c>
      <c r="K21" s="56"/>
      <c r="L21" s="56">
        <v>50</v>
      </c>
      <c r="M21" s="57">
        <f t="shared" si="1"/>
        <v>4</v>
      </c>
      <c r="N21" s="56">
        <v>50</v>
      </c>
      <c r="O21" s="56"/>
      <c r="P21" s="56">
        <v>34</v>
      </c>
      <c r="Q21" s="57">
        <f t="shared" si="2"/>
        <v>16</v>
      </c>
      <c r="R21" s="56">
        <v>34</v>
      </c>
      <c r="S21" s="56"/>
      <c r="T21" s="56">
        <v>18</v>
      </c>
      <c r="U21" s="57">
        <f t="shared" si="3"/>
        <v>16</v>
      </c>
    </row>
    <row r="22" spans="2:21" ht="22.05" customHeight="1">
      <c r="B22" s="14" t="s">
        <v>257</v>
      </c>
      <c r="C22" s="14" t="s">
        <v>258</v>
      </c>
      <c r="D22" s="14" t="s">
        <v>215</v>
      </c>
      <c r="F22" s="56">
        <v>13</v>
      </c>
      <c r="G22" s="56">
        <v>0</v>
      </c>
      <c r="H22" s="56">
        <v>2</v>
      </c>
      <c r="I22" s="57">
        <f t="shared" si="0"/>
        <v>11</v>
      </c>
      <c r="J22" s="56">
        <v>2</v>
      </c>
      <c r="K22" s="56">
        <v>60</v>
      </c>
      <c r="L22" s="56">
        <v>55</v>
      </c>
      <c r="M22" s="57">
        <f t="shared" si="1"/>
        <v>7</v>
      </c>
      <c r="N22" s="56">
        <v>55</v>
      </c>
      <c r="O22" s="56">
        <v>45</v>
      </c>
      <c r="P22" s="56">
        <v>86</v>
      </c>
      <c r="Q22" s="57">
        <f t="shared" si="2"/>
        <v>14</v>
      </c>
      <c r="R22" s="56">
        <v>86</v>
      </c>
      <c r="S22" s="56"/>
      <c r="T22" s="56">
        <v>66</v>
      </c>
      <c r="U22" s="57">
        <f t="shared" si="3"/>
        <v>20</v>
      </c>
    </row>
    <row r="23" spans="2:21" ht="22.05" customHeight="1">
      <c r="B23" s="14" t="s">
        <v>259</v>
      </c>
      <c r="C23" s="14" t="s">
        <v>260</v>
      </c>
      <c r="D23" s="14" t="s">
        <v>215</v>
      </c>
      <c r="F23" s="56">
        <v>55</v>
      </c>
      <c r="G23" s="56">
        <v>0</v>
      </c>
      <c r="H23" s="56">
        <v>50</v>
      </c>
      <c r="I23" s="57">
        <f t="shared" si="0"/>
        <v>5</v>
      </c>
      <c r="J23" s="56">
        <v>50</v>
      </c>
      <c r="K23" s="56"/>
      <c r="L23" s="56">
        <v>49</v>
      </c>
      <c r="M23" s="57">
        <f t="shared" si="1"/>
        <v>1</v>
      </c>
      <c r="N23" s="56">
        <v>49</v>
      </c>
      <c r="O23" s="56"/>
      <c r="P23" s="56">
        <v>46</v>
      </c>
      <c r="Q23" s="57">
        <f t="shared" si="2"/>
        <v>3</v>
      </c>
      <c r="R23" s="56">
        <v>46</v>
      </c>
      <c r="S23" s="56"/>
      <c r="T23" s="56">
        <v>46</v>
      </c>
      <c r="U23" s="57">
        <f t="shared" si="3"/>
        <v>0</v>
      </c>
    </row>
    <row r="24" spans="2:21" ht="22.05" customHeight="1">
      <c r="B24" s="14" t="s">
        <v>265</v>
      </c>
      <c r="C24" s="14" t="s">
        <v>266</v>
      </c>
      <c r="D24" s="14" t="s">
        <v>215</v>
      </c>
      <c r="F24" s="56">
        <v>0</v>
      </c>
      <c r="G24" s="56">
        <v>0</v>
      </c>
      <c r="H24" s="56">
        <v>0</v>
      </c>
      <c r="I24" s="57">
        <f t="shared" si="0"/>
        <v>0</v>
      </c>
      <c r="J24" s="56">
        <v>0</v>
      </c>
      <c r="K24" s="56"/>
      <c r="L24" s="56">
        <v>0</v>
      </c>
      <c r="M24" s="57">
        <f t="shared" si="1"/>
        <v>0</v>
      </c>
      <c r="N24" s="56">
        <v>0</v>
      </c>
      <c r="O24" s="56">
        <v>70</v>
      </c>
      <c r="P24" s="56">
        <v>70</v>
      </c>
      <c r="Q24" s="57">
        <f t="shared" si="2"/>
        <v>0</v>
      </c>
      <c r="R24" s="56">
        <v>70</v>
      </c>
      <c r="S24" s="56"/>
      <c r="T24" s="56">
        <v>35</v>
      </c>
      <c r="U24" s="57">
        <f t="shared" si="3"/>
        <v>35</v>
      </c>
    </row>
    <row r="25" spans="2:21" ht="22.05" customHeight="1">
      <c r="B25" s="14" t="s">
        <v>267</v>
      </c>
      <c r="C25" s="14" t="s">
        <v>268</v>
      </c>
      <c r="D25" s="14" t="s">
        <v>215</v>
      </c>
      <c r="F25" s="56">
        <v>30</v>
      </c>
      <c r="G25" s="56">
        <v>0</v>
      </c>
      <c r="H25" s="56">
        <v>20</v>
      </c>
      <c r="I25" s="57">
        <f t="shared" si="0"/>
        <v>10</v>
      </c>
      <c r="J25" s="56">
        <v>20</v>
      </c>
      <c r="K25" s="56"/>
      <c r="L25" s="56">
        <v>5</v>
      </c>
      <c r="M25" s="57">
        <f t="shared" si="1"/>
        <v>15</v>
      </c>
      <c r="N25" s="56">
        <v>5</v>
      </c>
      <c r="O25" s="56">
        <v>20</v>
      </c>
      <c r="P25" s="56">
        <v>15</v>
      </c>
      <c r="Q25" s="57">
        <f t="shared" si="2"/>
        <v>10</v>
      </c>
      <c r="R25" s="56">
        <v>15</v>
      </c>
      <c r="S25" s="56"/>
      <c r="T25" s="56">
        <v>0</v>
      </c>
      <c r="U25" s="57">
        <f t="shared" si="3"/>
        <v>15</v>
      </c>
    </row>
    <row r="26" spans="2:21" ht="22.05" customHeight="1">
      <c r="B26" s="14" t="s">
        <v>269</v>
      </c>
      <c r="C26" s="14" t="s">
        <v>270</v>
      </c>
      <c r="D26" s="14" t="s">
        <v>215</v>
      </c>
      <c r="F26" s="56">
        <v>38</v>
      </c>
      <c r="G26" s="56">
        <v>0</v>
      </c>
      <c r="H26" s="56">
        <v>24</v>
      </c>
      <c r="I26" s="57">
        <f t="shared" si="0"/>
        <v>14</v>
      </c>
      <c r="J26" s="56">
        <v>24</v>
      </c>
      <c r="K26" s="56"/>
      <c r="L26" s="56">
        <v>22</v>
      </c>
      <c r="M26" s="57">
        <f t="shared" si="1"/>
        <v>2</v>
      </c>
      <c r="N26" s="56">
        <v>22</v>
      </c>
      <c r="O26" s="56">
        <v>15</v>
      </c>
      <c r="P26" s="56">
        <v>23</v>
      </c>
      <c r="Q26" s="57">
        <f t="shared" si="2"/>
        <v>14</v>
      </c>
      <c r="R26" s="56">
        <v>23</v>
      </c>
      <c r="S26" s="56"/>
      <c r="T26" s="56">
        <v>11</v>
      </c>
      <c r="U26" s="57">
        <f t="shared" si="3"/>
        <v>12</v>
      </c>
    </row>
    <row r="27" spans="2:21" ht="22.05" customHeight="1">
      <c r="B27" s="14" t="s">
        <v>271</v>
      </c>
      <c r="C27" s="14" t="s">
        <v>272</v>
      </c>
      <c r="D27" s="14" t="s">
        <v>215</v>
      </c>
      <c r="F27" s="56">
        <v>3</v>
      </c>
      <c r="G27" s="56">
        <v>40</v>
      </c>
      <c r="H27" s="56">
        <v>21</v>
      </c>
      <c r="I27" s="57">
        <f t="shared" si="0"/>
        <v>22</v>
      </c>
      <c r="J27" s="56">
        <v>21</v>
      </c>
      <c r="K27" s="56"/>
      <c r="L27" s="56">
        <v>1</v>
      </c>
      <c r="M27" s="57">
        <f t="shared" si="1"/>
        <v>20</v>
      </c>
      <c r="N27" s="56">
        <v>1</v>
      </c>
      <c r="O27" s="56">
        <v>20</v>
      </c>
      <c r="P27" s="56">
        <v>20</v>
      </c>
      <c r="Q27" s="57">
        <f t="shared" si="2"/>
        <v>1</v>
      </c>
      <c r="R27" s="56">
        <v>20</v>
      </c>
      <c r="S27" s="56"/>
      <c r="T27" s="56">
        <v>8</v>
      </c>
      <c r="U27" s="57">
        <f t="shared" si="3"/>
        <v>12</v>
      </c>
    </row>
    <row r="28" spans="2:21" ht="22.05" customHeight="1">
      <c r="B28" s="14" t="s">
        <v>273</v>
      </c>
      <c r="C28" s="14" t="s">
        <v>274</v>
      </c>
      <c r="D28" s="14" t="s">
        <v>215</v>
      </c>
      <c r="F28" s="56">
        <v>70</v>
      </c>
      <c r="G28" s="56">
        <v>100</v>
      </c>
      <c r="H28" s="56">
        <v>108</v>
      </c>
      <c r="I28" s="57">
        <f t="shared" si="0"/>
        <v>62</v>
      </c>
      <c r="J28" s="56">
        <v>108</v>
      </c>
      <c r="K28" s="56"/>
      <c r="L28" s="56">
        <v>66</v>
      </c>
      <c r="M28" s="57">
        <f t="shared" si="1"/>
        <v>42</v>
      </c>
      <c r="N28" s="56">
        <v>66</v>
      </c>
      <c r="O28" s="56">
        <v>70</v>
      </c>
      <c r="P28" s="56">
        <v>116</v>
      </c>
      <c r="Q28" s="57">
        <f t="shared" si="2"/>
        <v>20</v>
      </c>
      <c r="R28" s="56">
        <v>116</v>
      </c>
      <c r="S28" s="56"/>
      <c r="T28" s="56">
        <v>46</v>
      </c>
      <c r="U28" s="57">
        <f t="shared" si="3"/>
        <v>70</v>
      </c>
    </row>
    <row r="29" spans="2:21" ht="22.05" customHeight="1">
      <c r="B29" s="14" t="s">
        <v>275</v>
      </c>
      <c r="C29" s="14" t="s">
        <v>276</v>
      </c>
      <c r="D29" s="14" t="s">
        <v>215</v>
      </c>
      <c r="F29" s="56">
        <v>27</v>
      </c>
      <c r="G29" s="56">
        <v>0</v>
      </c>
      <c r="H29" s="56">
        <v>26</v>
      </c>
      <c r="I29" s="57">
        <f t="shared" si="0"/>
        <v>1</v>
      </c>
      <c r="J29" s="56">
        <v>26</v>
      </c>
      <c r="K29" s="56"/>
      <c r="L29" s="56">
        <v>26</v>
      </c>
      <c r="M29" s="57">
        <f t="shared" si="1"/>
        <v>0</v>
      </c>
      <c r="N29" s="56">
        <v>26</v>
      </c>
      <c r="O29" s="56"/>
      <c r="P29" s="56">
        <v>19</v>
      </c>
      <c r="Q29" s="57">
        <f t="shared" si="2"/>
        <v>7</v>
      </c>
      <c r="R29" s="56">
        <v>19</v>
      </c>
      <c r="S29" s="56"/>
      <c r="T29" s="56">
        <v>0</v>
      </c>
      <c r="U29" s="57">
        <f t="shared" si="3"/>
        <v>19</v>
      </c>
    </row>
    <row r="30" spans="2:21" ht="22.05" customHeight="1">
      <c r="B30" s="14" t="s">
        <v>277</v>
      </c>
      <c r="C30" s="14" t="s">
        <v>278</v>
      </c>
      <c r="D30" s="14" t="s">
        <v>215</v>
      </c>
      <c r="F30" s="56">
        <v>202</v>
      </c>
      <c r="G30" s="56">
        <v>0</v>
      </c>
      <c r="H30" s="56">
        <v>187</v>
      </c>
      <c r="I30" s="57">
        <f t="shared" si="0"/>
        <v>15</v>
      </c>
      <c r="J30" s="56">
        <v>187</v>
      </c>
      <c r="K30" s="56"/>
      <c r="L30" s="56">
        <v>169</v>
      </c>
      <c r="M30" s="57">
        <f t="shared" si="1"/>
        <v>18</v>
      </c>
      <c r="N30" s="56">
        <v>169</v>
      </c>
      <c r="O30" s="56">
        <v>35</v>
      </c>
      <c r="P30" s="56">
        <v>188</v>
      </c>
      <c r="Q30" s="57">
        <f t="shared" si="2"/>
        <v>16</v>
      </c>
      <c r="R30" s="56">
        <v>187</v>
      </c>
      <c r="S30" s="56"/>
      <c r="T30" s="56">
        <v>163</v>
      </c>
      <c r="U30" s="57">
        <f t="shared" si="3"/>
        <v>24</v>
      </c>
    </row>
    <row r="31" spans="2:21" ht="22.05" customHeight="1">
      <c r="B31" s="14" t="s">
        <v>279</v>
      </c>
      <c r="C31" s="14" t="s">
        <v>280</v>
      </c>
      <c r="D31" s="14" t="s">
        <v>215</v>
      </c>
      <c r="F31" s="56">
        <v>59</v>
      </c>
      <c r="G31" s="56">
        <v>0</v>
      </c>
      <c r="H31" s="56">
        <v>57</v>
      </c>
      <c r="I31" s="57">
        <f t="shared" si="0"/>
        <v>2</v>
      </c>
      <c r="J31" s="56">
        <v>57</v>
      </c>
      <c r="K31" s="56"/>
      <c r="L31" s="56">
        <v>56</v>
      </c>
      <c r="M31" s="57">
        <f t="shared" si="1"/>
        <v>1</v>
      </c>
      <c r="N31" s="56">
        <v>56</v>
      </c>
      <c r="O31" s="56"/>
      <c r="P31" s="56">
        <v>53</v>
      </c>
      <c r="Q31" s="57">
        <f t="shared" si="2"/>
        <v>3</v>
      </c>
      <c r="R31" s="56">
        <v>53</v>
      </c>
      <c r="S31" s="56"/>
      <c r="T31" s="56">
        <v>49</v>
      </c>
      <c r="U31" s="57">
        <f t="shared" si="3"/>
        <v>4</v>
      </c>
    </row>
    <row r="32" spans="2:21" ht="22.05" customHeight="1">
      <c r="B32" s="14" t="s">
        <v>281</v>
      </c>
      <c r="C32" s="14" t="s">
        <v>282</v>
      </c>
      <c r="D32" s="14" t="s">
        <v>215</v>
      </c>
      <c r="F32" s="56">
        <v>36</v>
      </c>
      <c r="G32" s="56">
        <v>0</v>
      </c>
      <c r="H32" s="56">
        <v>21</v>
      </c>
      <c r="I32" s="57">
        <f t="shared" si="0"/>
        <v>15</v>
      </c>
      <c r="J32" s="56">
        <v>21</v>
      </c>
      <c r="K32" s="56"/>
      <c r="L32" s="56">
        <v>9</v>
      </c>
      <c r="M32" s="57">
        <f t="shared" si="1"/>
        <v>12</v>
      </c>
      <c r="N32" s="56">
        <v>9</v>
      </c>
      <c r="O32" s="56"/>
      <c r="P32" s="56">
        <v>9</v>
      </c>
      <c r="Q32" s="57">
        <f t="shared" si="2"/>
        <v>0</v>
      </c>
      <c r="R32" s="56">
        <v>9</v>
      </c>
      <c r="S32" s="56"/>
      <c r="T32" s="56">
        <v>5</v>
      </c>
      <c r="U32" s="57">
        <f t="shared" si="3"/>
        <v>4</v>
      </c>
    </row>
    <row r="33" spans="2:21" ht="22.05" customHeight="1">
      <c r="B33" s="14" t="s">
        <v>283</v>
      </c>
      <c r="C33" s="14" t="s">
        <v>284</v>
      </c>
      <c r="D33" s="14" t="s">
        <v>215</v>
      </c>
      <c r="F33" s="56">
        <v>7</v>
      </c>
      <c r="G33" s="56">
        <v>0</v>
      </c>
      <c r="H33" s="56">
        <v>7</v>
      </c>
      <c r="I33" s="57">
        <f t="shared" si="0"/>
        <v>0</v>
      </c>
      <c r="J33" s="56">
        <v>7</v>
      </c>
      <c r="K33" s="56"/>
      <c r="L33" s="56">
        <v>3</v>
      </c>
      <c r="M33" s="57">
        <f t="shared" si="1"/>
        <v>4</v>
      </c>
      <c r="N33" s="56">
        <v>3</v>
      </c>
      <c r="O33" s="56">
        <v>5</v>
      </c>
      <c r="P33" s="56">
        <v>7</v>
      </c>
      <c r="Q33" s="57">
        <f t="shared" si="2"/>
        <v>1</v>
      </c>
      <c r="R33" s="56">
        <v>7</v>
      </c>
      <c r="S33" s="56"/>
      <c r="T33" s="56">
        <v>6</v>
      </c>
      <c r="U33" s="57">
        <f t="shared" si="3"/>
        <v>1</v>
      </c>
    </row>
    <row r="34" spans="2:21" ht="22.05" customHeight="1">
      <c r="B34" s="14" t="s">
        <v>285</v>
      </c>
      <c r="C34" s="14" t="s">
        <v>286</v>
      </c>
      <c r="D34" s="14" t="s">
        <v>215</v>
      </c>
      <c r="F34" s="56">
        <v>6</v>
      </c>
      <c r="G34" s="56">
        <v>0</v>
      </c>
      <c r="H34" s="56">
        <v>6</v>
      </c>
      <c r="I34" s="57">
        <f t="shared" si="0"/>
        <v>0</v>
      </c>
      <c r="J34" s="56">
        <v>6</v>
      </c>
      <c r="K34" s="56"/>
      <c r="L34" s="56">
        <v>5</v>
      </c>
      <c r="M34" s="57">
        <f t="shared" si="1"/>
        <v>1</v>
      </c>
      <c r="N34" s="56">
        <v>5</v>
      </c>
      <c r="O34" s="56">
        <v>5</v>
      </c>
      <c r="P34" s="56">
        <v>9</v>
      </c>
      <c r="Q34" s="57">
        <f t="shared" si="2"/>
        <v>1</v>
      </c>
      <c r="R34" s="56">
        <v>9</v>
      </c>
      <c r="S34" s="56"/>
      <c r="T34" s="56">
        <v>8</v>
      </c>
      <c r="U34" s="57">
        <f t="shared" si="3"/>
        <v>1</v>
      </c>
    </row>
    <row r="35" spans="2:21" ht="22.05" customHeight="1">
      <c r="B35" s="14" t="s">
        <v>287</v>
      </c>
      <c r="C35" s="14" t="s">
        <v>288</v>
      </c>
      <c r="D35" s="14" t="s">
        <v>215</v>
      </c>
      <c r="F35" s="56"/>
      <c r="G35" s="56">
        <v>0</v>
      </c>
      <c r="H35" s="56">
        <v>48</v>
      </c>
      <c r="I35" s="57">
        <f t="shared" si="0"/>
        <v>-48</v>
      </c>
      <c r="J35" s="56">
        <v>48</v>
      </c>
      <c r="K35" s="56"/>
      <c r="L35" s="56">
        <v>39</v>
      </c>
      <c r="M35" s="57">
        <f t="shared" si="1"/>
        <v>9</v>
      </c>
      <c r="N35" s="56">
        <v>39</v>
      </c>
      <c r="O35" s="56">
        <v>60</v>
      </c>
      <c r="P35" s="56">
        <v>87</v>
      </c>
      <c r="Q35" s="57">
        <f t="shared" si="2"/>
        <v>12</v>
      </c>
      <c r="R35" s="56">
        <v>87</v>
      </c>
      <c r="S35" s="56"/>
      <c r="T35" s="56">
        <v>83</v>
      </c>
      <c r="U35" s="57">
        <f t="shared" si="3"/>
        <v>4</v>
      </c>
    </row>
    <row r="36" spans="2:21" ht="22.05" customHeight="1">
      <c r="B36" s="14" t="s">
        <v>289</v>
      </c>
      <c r="C36" s="14" t="s">
        <v>290</v>
      </c>
      <c r="D36" s="14" t="s">
        <v>215</v>
      </c>
      <c r="F36" s="56">
        <v>26</v>
      </c>
      <c r="G36" s="56">
        <v>0</v>
      </c>
      <c r="H36" s="56">
        <v>60</v>
      </c>
      <c r="I36" s="57">
        <f t="shared" si="0"/>
        <v>-34</v>
      </c>
      <c r="J36" s="56">
        <v>60</v>
      </c>
      <c r="K36" s="56"/>
      <c r="L36" s="56">
        <v>60</v>
      </c>
      <c r="M36" s="57">
        <f t="shared" si="1"/>
        <v>0</v>
      </c>
      <c r="N36" s="56">
        <v>60</v>
      </c>
      <c r="O36" s="56">
        <v>60</v>
      </c>
      <c r="P36" s="56">
        <v>118</v>
      </c>
      <c r="Q36" s="57">
        <f t="shared" si="2"/>
        <v>2</v>
      </c>
      <c r="R36" s="56">
        <v>118</v>
      </c>
      <c r="S36" s="56"/>
      <c r="T36" s="56">
        <v>117</v>
      </c>
      <c r="U36" s="57">
        <f t="shared" si="3"/>
        <v>1</v>
      </c>
    </row>
    <row r="37" spans="2:21" ht="22.05" customHeight="1">
      <c r="B37" s="14" t="s">
        <v>291</v>
      </c>
      <c r="C37" s="14" t="s">
        <v>292</v>
      </c>
      <c r="D37" s="14" t="s">
        <v>215</v>
      </c>
      <c r="F37" s="56"/>
      <c r="G37" s="56">
        <v>0</v>
      </c>
      <c r="H37" s="56">
        <v>48</v>
      </c>
      <c r="I37" s="57">
        <f t="shared" si="0"/>
        <v>-48</v>
      </c>
      <c r="J37" s="56">
        <v>48</v>
      </c>
      <c r="K37" s="56"/>
      <c r="L37" s="56">
        <v>48</v>
      </c>
      <c r="M37" s="57">
        <f t="shared" si="1"/>
        <v>0</v>
      </c>
      <c r="N37" s="56">
        <v>48</v>
      </c>
      <c r="O37" s="56">
        <v>50</v>
      </c>
      <c r="P37" s="56">
        <v>94</v>
      </c>
      <c r="Q37" s="57">
        <f t="shared" si="2"/>
        <v>4</v>
      </c>
      <c r="R37" s="56">
        <v>94</v>
      </c>
      <c r="S37" s="56"/>
      <c r="T37" s="56">
        <v>92</v>
      </c>
      <c r="U37" s="57">
        <f t="shared" si="3"/>
        <v>2</v>
      </c>
    </row>
    <row r="38" spans="2:21" ht="22.05" customHeight="1">
      <c r="B38" s="14" t="s">
        <v>293</v>
      </c>
      <c r="C38" s="14" t="s">
        <v>294</v>
      </c>
      <c r="D38" s="14" t="s">
        <v>215</v>
      </c>
      <c r="F38" s="56"/>
      <c r="G38" s="56"/>
      <c r="H38" s="56"/>
      <c r="I38" s="57">
        <f t="shared" si="0"/>
        <v>0</v>
      </c>
      <c r="J38" s="56"/>
      <c r="K38" s="56"/>
      <c r="L38" s="56"/>
      <c r="M38" s="57">
        <f t="shared" si="1"/>
        <v>0</v>
      </c>
      <c r="N38" s="56">
        <v>87</v>
      </c>
      <c r="O38" s="56"/>
      <c r="P38" s="56">
        <v>78</v>
      </c>
      <c r="Q38" s="57">
        <f t="shared" si="2"/>
        <v>9</v>
      </c>
      <c r="R38" s="56">
        <v>78</v>
      </c>
      <c r="S38" s="56"/>
      <c r="T38" s="56">
        <v>77</v>
      </c>
      <c r="U38" s="57">
        <f t="shared" si="3"/>
        <v>1</v>
      </c>
    </row>
    <row r="39" spans="2:21" ht="22.05" customHeight="1">
      <c r="B39" s="14" t="s">
        <v>295</v>
      </c>
      <c r="C39" s="14" t="s">
        <v>292</v>
      </c>
      <c r="D39" s="14" t="s">
        <v>215</v>
      </c>
      <c r="F39" s="56"/>
      <c r="G39" s="56"/>
      <c r="H39" s="56"/>
      <c r="I39" s="57">
        <f t="shared" si="0"/>
        <v>0</v>
      </c>
      <c r="J39" s="56"/>
      <c r="K39" s="56"/>
      <c r="L39" s="56"/>
      <c r="M39" s="57">
        <f t="shared" si="1"/>
        <v>0</v>
      </c>
      <c r="N39" s="56">
        <v>85</v>
      </c>
      <c r="O39" s="56"/>
      <c r="P39" s="56">
        <v>83</v>
      </c>
      <c r="Q39" s="57">
        <f t="shared" si="2"/>
        <v>2</v>
      </c>
      <c r="R39" s="56">
        <v>83</v>
      </c>
      <c r="S39" s="56"/>
      <c r="T39" s="56">
        <v>82</v>
      </c>
      <c r="U39" s="57">
        <f t="shared" si="3"/>
        <v>1</v>
      </c>
    </row>
    <row r="40" spans="2:21" ht="22.05" customHeight="1">
      <c r="B40" s="14" t="s">
        <v>296</v>
      </c>
      <c r="C40" s="14" t="s">
        <v>297</v>
      </c>
      <c r="D40" s="14" t="s">
        <v>215</v>
      </c>
      <c r="F40" s="56"/>
      <c r="G40" s="56"/>
      <c r="H40" s="56"/>
      <c r="I40" s="57">
        <f t="shared" si="0"/>
        <v>0</v>
      </c>
      <c r="J40" s="56"/>
      <c r="K40" s="56"/>
      <c r="L40" s="56"/>
      <c r="M40" s="57">
        <f t="shared" si="1"/>
        <v>0</v>
      </c>
      <c r="N40" s="56">
        <v>163</v>
      </c>
      <c r="O40" s="56"/>
      <c r="P40" s="56">
        <v>161</v>
      </c>
      <c r="Q40" s="57">
        <f t="shared" si="2"/>
        <v>2</v>
      </c>
      <c r="R40" s="56">
        <v>161</v>
      </c>
      <c r="S40" s="56"/>
      <c r="T40" s="56">
        <v>161</v>
      </c>
      <c r="U40" s="57">
        <f t="shared" si="3"/>
        <v>0</v>
      </c>
    </row>
    <row r="41" spans="2:21" ht="22.05" customHeight="1">
      <c r="B41" s="14" t="s">
        <v>298</v>
      </c>
      <c r="C41" s="14" t="s">
        <v>299</v>
      </c>
      <c r="D41" s="14" t="s">
        <v>215</v>
      </c>
      <c r="F41" s="56">
        <v>46</v>
      </c>
      <c r="G41" s="56">
        <v>0</v>
      </c>
      <c r="H41" s="56">
        <v>46</v>
      </c>
      <c r="I41" s="57">
        <f t="shared" si="0"/>
        <v>0</v>
      </c>
      <c r="J41" s="56">
        <v>46</v>
      </c>
      <c r="K41" s="56"/>
      <c r="L41" s="56">
        <v>43</v>
      </c>
      <c r="M41" s="57">
        <f t="shared" si="1"/>
        <v>3</v>
      </c>
      <c r="N41" s="56">
        <v>43</v>
      </c>
      <c r="O41" s="56">
        <v>5</v>
      </c>
      <c r="P41" s="56">
        <v>47</v>
      </c>
      <c r="Q41" s="57">
        <f t="shared" si="2"/>
        <v>1</v>
      </c>
      <c r="R41" s="56">
        <v>47</v>
      </c>
      <c r="S41" s="56"/>
      <c r="T41" s="56">
        <v>43</v>
      </c>
      <c r="U41" s="57">
        <f t="shared" si="3"/>
        <v>4</v>
      </c>
    </row>
    <row r="42" spans="2:21" ht="22.05" customHeight="1">
      <c r="B42" s="14" t="s">
        <v>300</v>
      </c>
      <c r="C42" s="14" t="s">
        <v>301</v>
      </c>
      <c r="D42" s="14" t="s">
        <v>215</v>
      </c>
      <c r="F42" s="56">
        <v>7</v>
      </c>
      <c r="G42" s="56">
        <v>0</v>
      </c>
      <c r="H42" s="56">
        <v>7</v>
      </c>
      <c r="I42" s="57">
        <f t="shared" si="0"/>
        <v>0</v>
      </c>
      <c r="J42" s="56">
        <v>7</v>
      </c>
      <c r="K42" s="56"/>
      <c r="L42" s="56">
        <v>7</v>
      </c>
      <c r="M42" s="57">
        <f t="shared" si="1"/>
        <v>0</v>
      </c>
      <c r="N42" s="56">
        <v>7</v>
      </c>
      <c r="O42" s="56">
        <v>5</v>
      </c>
      <c r="P42" s="56">
        <v>7</v>
      </c>
      <c r="Q42" s="57">
        <f t="shared" si="2"/>
        <v>5</v>
      </c>
      <c r="R42" s="56">
        <v>7</v>
      </c>
      <c r="S42" s="56"/>
      <c r="T42" s="56">
        <v>7</v>
      </c>
      <c r="U42" s="57">
        <f t="shared" si="3"/>
        <v>0</v>
      </c>
    </row>
    <row r="43" spans="2:21" ht="22.05" customHeight="1">
      <c r="B43" s="14" t="s">
        <v>222</v>
      </c>
      <c r="C43" s="14" t="s">
        <v>223</v>
      </c>
      <c r="D43" s="14" t="s">
        <v>215</v>
      </c>
      <c r="F43" s="56">
        <v>1777</v>
      </c>
      <c r="G43" s="56">
        <v>0</v>
      </c>
      <c r="H43" s="56">
        <v>1750</v>
      </c>
      <c r="I43" s="57">
        <f t="shared" si="0"/>
        <v>27</v>
      </c>
      <c r="J43" s="56">
        <v>1750</v>
      </c>
      <c r="K43" s="56"/>
      <c r="L43" s="56">
        <v>1750</v>
      </c>
      <c r="M43" s="57">
        <f t="shared" si="1"/>
        <v>0</v>
      </c>
      <c r="N43" s="56">
        <v>1750</v>
      </c>
      <c r="O43" s="56"/>
      <c r="P43" s="56">
        <v>1690</v>
      </c>
      <c r="Q43" s="57">
        <f t="shared" si="2"/>
        <v>60</v>
      </c>
      <c r="R43" s="56">
        <v>1690</v>
      </c>
      <c r="S43" s="56"/>
      <c r="T43" s="56">
        <v>1630</v>
      </c>
      <c r="U43" s="57">
        <f t="shared" si="3"/>
        <v>60</v>
      </c>
    </row>
    <row r="44" spans="2:21" ht="22.05" customHeight="1">
      <c r="B44" s="14" t="s">
        <v>418</v>
      </c>
      <c r="C44" s="14" t="s">
        <v>419</v>
      </c>
      <c r="D44" s="14" t="s">
        <v>215</v>
      </c>
      <c r="F44" s="56">
        <v>1850</v>
      </c>
      <c r="G44" s="56">
        <v>0</v>
      </c>
      <c r="H44" s="56">
        <v>1847</v>
      </c>
      <c r="I44" s="57">
        <f t="shared" si="0"/>
        <v>3</v>
      </c>
      <c r="J44" s="56">
        <v>1847</v>
      </c>
      <c r="K44" s="56">
        <v>400</v>
      </c>
      <c r="L44" s="56">
        <v>1841</v>
      </c>
      <c r="M44" s="57">
        <f t="shared" si="1"/>
        <v>406</v>
      </c>
      <c r="N44" s="56">
        <v>1841</v>
      </c>
      <c r="O44" s="56"/>
      <c r="P44" s="56">
        <v>1841</v>
      </c>
      <c r="Q44" s="57">
        <f t="shared" si="2"/>
        <v>0</v>
      </c>
      <c r="R44" s="56">
        <v>1841</v>
      </c>
      <c r="S44" s="56"/>
      <c r="T44" s="56">
        <v>1700</v>
      </c>
      <c r="U44" s="57">
        <f t="shared" si="3"/>
        <v>141</v>
      </c>
    </row>
    <row r="45" spans="2:21" ht="22.05" customHeight="1">
      <c r="B45" s="14" t="s">
        <v>420</v>
      </c>
      <c r="C45" s="14" t="s">
        <v>421</v>
      </c>
      <c r="D45" s="14" t="s">
        <v>215</v>
      </c>
      <c r="F45" s="56">
        <v>2490</v>
      </c>
      <c r="G45" s="56">
        <v>0</v>
      </c>
      <c r="H45" s="56">
        <v>2184</v>
      </c>
      <c r="I45" s="57">
        <f t="shared" si="0"/>
        <v>306</v>
      </c>
      <c r="J45" s="56">
        <v>2184</v>
      </c>
      <c r="K45" s="56">
        <v>600</v>
      </c>
      <c r="L45" s="56">
        <v>2690</v>
      </c>
      <c r="M45" s="57">
        <f t="shared" si="1"/>
        <v>94</v>
      </c>
      <c r="N45" s="56">
        <v>2690</v>
      </c>
      <c r="O45" s="56"/>
      <c r="P45" s="56">
        <v>2664</v>
      </c>
      <c r="Q45" s="57">
        <f t="shared" si="2"/>
        <v>26</v>
      </c>
      <c r="R45" s="56">
        <v>2664</v>
      </c>
      <c r="S45" s="56"/>
      <c r="T45" s="56">
        <v>2507</v>
      </c>
      <c r="U45" s="57">
        <f t="shared" si="3"/>
        <v>157</v>
      </c>
    </row>
    <row r="47" spans="2:21" ht="24" customHeight="1">
      <c r="B47" s="121" t="s">
        <v>422</v>
      </c>
      <c r="C47" s="122"/>
      <c r="D47" s="122"/>
      <c r="E47" s="122"/>
      <c r="F47" s="122"/>
      <c r="G47" s="122"/>
      <c r="H47" s="122"/>
      <c r="I47" s="122"/>
      <c r="J47" s="122"/>
      <c r="K47" s="122"/>
      <c r="L47" s="122"/>
    </row>
  </sheetData>
  <mergeCells count="6">
    <mergeCell ref="B4:L4"/>
    <mergeCell ref="B47:L47"/>
    <mergeCell ref="J6:M6"/>
    <mergeCell ref="N6:Q6"/>
    <mergeCell ref="R6:U6"/>
    <mergeCell ref="F6:I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47"/>
  <sheetViews>
    <sheetView showGridLines="0" workbookViewId="0">
      <pane xSplit="5" ySplit="6" topLeftCell="F7" activePane="bottomRight" state="frozen"/>
      <selection pane="topRight"/>
      <selection pane="bottomLeft"/>
      <selection pane="bottomRight"/>
    </sheetView>
  </sheetViews>
  <sheetFormatPr defaultRowHeight="14.4"/>
  <cols>
    <col min="1" max="1" width="4" customWidth="1"/>
    <col min="2" max="2" width="26" customWidth="1"/>
    <col min="3" max="3" width="60" customWidth="1"/>
    <col min="4" max="4" width="14" customWidth="1"/>
    <col min="5" max="5" width="4" customWidth="1"/>
    <col min="6" max="10" width="20" customWidth="1"/>
    <col min="11" max="11" width="4" customWidth="1"/>
    <col min="12" max="12" width="46" customWidth="1"/>
  </cols>
  <sheetData>
    <row r="1" spans="2:12" ht="7.95" customHeight="1"/>
    <row r="2" spans="2:12" ht="30" customHeight="1">
      <c r="B2" s="12" t="s">
        <v>423</v>
      </c>
    </row>
    <row r="3" spans="2:12" ht="19.95" customHeight="1">
      <c r="B3" s="3" t="s">
        <v>424</v>
      </c>
    </row>
    <row r="4" spans="2:12" ht="24" customHeight="1">
      <c r="B4" s="121" t="s">
        <v>425</v>
      </c>
      <c r="C4" s="122"/>
      <c r="D4" s="122"/>
      <c r="E4" s="122"/>
      <c r="F4" s="122"/>
      <c r="G4" s="122"/>
      <c r="H4" s="122"/>
      <c r="I4" s="122"/>
      <c r="J4" s="122"/>
      <c r="K4" s="122"/>
    </row>
    <row r="5" spans="2:12" ht="7.95" customHeight="1"/>
    <row r="6" spans="2:12" ht="46.05" customHeight="1">
      <c r="B6" s="8" t="s">
        <v>210</v>
      </c>
      <c r="C6" s="8" t="s">
        <v>206</v>
      </c>
      <c r="D6" s="8" t="s">
        <v>98</v>
      </c>
      <c r="E6" s="8"/>
      <c r="F6" s="8" t="s">
        <v>426</v>
      </c>
      <c r="G6" s="8" t="s">
        <v>427</v>
      </c>
      <c r="H6" s="8" t="s">
        <v>428</v>
      </c>
      <c r="I6" s="8" t="s">
        <v>429</v>
      </c>
      <c r="J6" s="8" t="s">
        <v>430</v>
      </c>
      <c r="K6" s="8"/>
      <c r="L6" s="8" t="s">
        <v>431</v>
      </c>
    </row>
    <row r="7" spans="2:12" ht="22.05" customHeight="1">
      <c r="B7" s="14" t="s">
        <v>410</v>
      </c>
      <c r="C7" s="14" t="s">
        <v>411</v>
      </c>
      <c r="D7" s="14" t="s">
        <v>215</v>
      </c>
      <c r="F7" s="56">
        <v>0</v>
      </c>
      <c r="G7" s="56">
        <v>2</v>
      </c>
      <c r="H7" s="56">
        <v>0</v>
      </c>
      <c r="I7" s="57">
        <f t="shared" ref="I7:I44" si="0">SUM(F7:H7)</f>
        <v>2</v>
      </c>
    </row>
    <row r="8" spans="2:12" ht="22.05" customHeight="1">
      <c r="B8" s="14" t="s">
        <v>261</v>
      </c>
      <c r="C8" s="14" t="s">
        <v>262</v>
      </c>
      <c r="D8" s="14" t="s">
        <v>215</v>
      </c>
      <c r="F8" s="56">
        <v>110</v>
      </c>
      <c r="G8" s="56">
        <v>0</v>
      </c>
      <c r="H8" s="56">
        <v>10</v>
      </c>
      <c r="I8" s="57">
        <f t="shared" si="0"/>
        <v>120</v>
      </c>
    </row>
    <row r="9" spans="2:12" ht="22.05" customHeight="1">
      <c r="B9" s="14" t="s">
        <v>263</v>
      </c>
      <c r="C9" s="14" t="s">
        <v>264</v>
      </c>
      <c r="D9" s="14" t="s">
        <v>215</v>
      </c>
      <c r="F9" s="56">
        <v>62</v>
      </c>
      <c r="G9" s="56">
        <v>0</v>
      </c>
      <c r="H9" s="56">
        <v>10</v>
      </c>
      <c r="I9" s="57">
        <f t="shared" si="0"/>
        <v>72</v>
      </c>
    </row>
    <row r="10" spans="2:12" ht="22.05" customHeight="1">
      <c r="B10" s="14" t="s">
        <v>251</v>
      </c>
      <c r="C10" s="14" t="s">
        <v>252</v>
      </c>
      <c r="D10" s="14" t="s">
        <v>215</v>
      </c>
      <c r="F10" s="56">
        <v>1</v>
      </c>
      <c r="G10" s="56">
        <v>7</v>
      </c>
      <c r="H10" s="56">
        <v>2</v>
      </c>
      <c r="I10" s="57">
        <f t="shared" si="0"/>
        <v>10</v>
      </c>
    </row>
    <row r="11" spans="2:12" ht="22.05" customHeight="1">
      <c r="B11" s="14" t="s">
        <v>213</v>
      </c>
      <c r="C11" s="14" t="s">
        <v>214</v>
      </c>
      <c r="D11" s="14" t="s">
        <v>215</v>
      </c>
      <c r="F11" s="56">
        <v>0</v>
      </c>
      <c r="G11" s="56">
        <v>0</v>
      </c>
      <c r="H11" s="56">
        <v>150</v>
      </c>
      <c r="I11" s="57">
        <f t="shared" si="0"/>
        <v>150</v>
      </c>
    </row>
    <row r="12" spans="2:12" ht="22.05" customHeight="1">
      <c r="B12" s="14" t="s">
        <v>216</v>
      </c>
      <c r="C12" s="14" t="s">
        <v>217</v>
      </c>
      <c r="D12" s="14" t="s">
        <v>215</v>
      </c>
      <c r="F12" s="56">
        <v>26</v>
      </c>
      <c r="G12" s="56">
        <v>150</v>
      </c>
      <c r="H12" s="56">
        <v>270</v>
      </c>
      <c r="I12" s="57">
        <f t="shared" si="0"/>
        <v>446</v>
      </c>
    </row>
    <row r="13" spans="2:12" ht="22.05" customHeight="1">
      <c r="B13" s="14" t="s">
        <v>218</v>
      </c>
      <c r="C13" s="14" t="s">
        <v>219</v>
      </c>
      <c r="D13" s="14" t="s">
        <v>215</v>
      </c>
      <c r="F13" s="56">
        <v>156</v>
      </c>
      <c r="G13" s="56">
        <v>1350</v>
      </c>
      <c r="H13" s="56">
        <v>728</v>
      </c>
      <c r="I13" s="57">
        <f t="shared" si="0"/>
        <v>2234</v>
      </c>
    </row>
    <row r="14" spans="2:12" ht="22.05" customHeight="1">
      <c r="B14" s="14" t="s">
        <v>220</v>
      </c>
      <c r="C14" s="14" t="s">
        <v>221</v>
      </c>
      <c r="D14" s="14" t="s">
        <v>215</v>
      </c>
      <c r="F14" s="56">
        <v>1852</v>
      </c>
      <c r="G14" s="56">
        <v>885</v>
      </c>
      <c r="H14" s="56">
        <v>1602</v>
      </c>
      <c r="I14" s="57">
        <f t="shared" si="0"/>
        <v>4339</v>
      </c>
    </row>
    <row r="15" spans="2:12" ht="22.05" customHeight="1">
      <c r="B15" s="14" t="s">
        <v>412</v>
      </c>
      <c r="C15" s="14" t="s">
        <v>413</v>
      </c>
      <c r="D15" s="14" t="s">
        <v>215</v>
      </c>
      <c r="F15" s="56">
        <v>0</v>
      </c>
      <c r="G15" s="56">
        <v>0</v>
      </c>
      <c r="H15" s="56">
        <v>0</v>
      </c>
      <c r="I15" s="57">
        <f t="shared" si="0"/>
        <v>0</v>
      </c>
      <c r="K15" s="33" t="s">
        <v>432</v>
      </c>
    </row>
    <row r="16" spans="2:12" ht="22.05" customHeight="1">
      <c r="B16" s="14" t="s">
        <v>414</v>
      </c>
      <c r="C16" s="14" t="s">
        <v>415</v>
      </c>
      <c r="D16" s="14" t="s">
        <v>215</v>
      </c>
      <c r="F16" s="56">
        <v>20</v>
      </c>
      <c r="G16" s="56">
        <v>0</v>
      </c>
      <c r="H16" s="56">
        <v>780</v>
      </c>
      <c r="I16" s="57">
        <f t="shared" si="0"/>
        <v>800</v>
      </c>
    </row>
    <row r="17" spans="2:9" ht="22.05" customHeight="1">
      <c r="B17" s="14" t="s">
        <v>416</v>
      </c>
      <c r="C17" s="14" t="s">
        <v>417</v>
      </c>
      <c r="D17" s="14" t="s">
        <v>215</v>
      </c>
      <c r="F17" s="56">
        <v>3496</v>
      </c>
      <c r="G17" s="56">
        <v>2245</v>
      </c>
      <c r="H17" s="56">
        <v>1733</v>
      </c>
      <c r="I17" s="57">
        <f t="shared" si="0"/>
        <v>7474</v>
      </c>
    </row>
    <row r="18" spans="2:9" ht="22.05" customHeight="1">
      <c r="B18" s="14" t="s">
        <v>224</v>
      </c>
      <c r="C18" s="14" t="s">
        <v>225</v>
      </c>
      <c r="D18" s="14" t="s">
        <v>226</v>
      </c>
      <c r="F18" s="56">
        <v>200</v>
      </c>
      <c r="G18" s="56">
        <v>230</v>
      </c>
      <c r="H18" s="56">
        <v>369</v>
      </c>
      <c r="I18" s="57">
        <f t="shared" si="0"/>
        <v>799</v>
      </c>
    </row>
    <row r="19" spans="2:9" ht="22.05" customHeight="1">
      <c r="B19" s="14" t="s">
        <v>253</v>
      </c>
      <c r="C19" s="14" t="s">
        <v>254</v>
      </c>
      <c r="D19" s="14" t="s">
        <v>215</v>
      </c>
      <c r="F19" s="56">
        <v>6</v>
      </c>
      <c r="G19" s="56">
        <v>23</v>
      </c>
      <c r="H19" s="56">
        <v>32</v>
      </c>
      <c r="I19" s="57">
        <f t="shared" si="0"/>
        <v>61</v>
      </c>
    </row>
    <row r="20" spans="2:9" ht="22.05" customHeight="1">
      <c r="B20" s="14" t="s">
        <v>255</v>
      </c>
      <c r="C20" s="14" t="s">
        <v>256</v>
      </c>
      <c r="D20" s="14" t="s">
        <v>215</v>
      </c>
      <c r="F20" s="56">
        <v>12</v>
      </c>
      <c r="G20" s="56">
        <v>4</v>
      </c>
      <c r="H20" s="56">
        <v>10</v>
      </c>
      <c r="I20" s="57">
        <f t="shared" si="0"/>
        <v>26</v>
      </c>
    </row>
    <row r="21" spans="2:9" ht="22.05" customHeight="1">
      <c r="B21" s="14" t="s">
        <v>257</v>
      </c>
      <c r="C21" s="14" t="s">
        <v>258</v>
      </c>
      <c r="D21" s="14" t="s">
        <v>215</v>
      </c>
      <c r="F21" s="56">
        <v>10</v>
      </c>
      <c r="G21" s="56">
        <v>7</v>
      </c>
      <c r="H21" s="56">
        <v>14</v>
      </c>
      <c r="I21" s="57">
        <f t="shared" si="0"/>
        <v>31</v>
      </c>
    </row>
    <row r="22" spans="2:9" ht="22.05" customHeight="1">
      <c r="B22" s="14" t="s">
        <v>259</v>
      </c>
      <c r="C22" s="14" t="s">
        <v>260</v>
      </c>
      <c r="D22" s="14" t="s">
        <v>215</v>
      </c>
      <c r="F22" s="56">
        <v>5</v>
      </c>
      <c r="G22" s="56">
        <v>1</v>
      </c>
      <c r="H22" s="56">
        <v>3</v>
      </c>
      <c r="I22" s="57">
        <f t="shared" si="0"/>
        <v>9</v>
      </c>
    </row>
    <row r="23" spans="2:9" ht="22.05" customHeight="1">
      <c r="B23" s="14" t="s">
        <v>265</v>
      </c>
      <c r="C23" s="14" t="s">
        <v>266</v>
      </c>
      <c r="D23" s="14" t="s">
        <v>215</v>
      </c>
      <c r="F23" s="56">
        <v>0</v>
      </c>
      <c r="G23" s="56">
        <v>0</v>
      </c>
      <c r="H23" s="56">
        <v>10</v>
      </c>
      <c r="I23" s="57">
        <f t="shared" si="0"/>
        <v>10</v>
      </c>
    </row>
    <row r="24" spans="2:9" ht="22.05" customHeight="1">
      <c r="B24" s="14" t="s">
        <v>267</v>
      </c>
      <c r="C24" s="14" t="s">
        <v>268</v>
      </c>
      <c r="D24" s="14" t="s">
        <v>215</v>
      </c>
      <c r="F24" s="56">
        <v>8</v>
      </c>
      <c r="G24" s="56">
        <v>15</v>
      </c>
      <c r="H24" s="56">
        <v>10</v>
      </c>
      <c r="I24" s="57">
        <f t="shared" si="0"/>
        <v>33</v>
      </c>
    </row>
    <row r="25" spans="2:9" ht="22.05" customHeight="1">
      <c r="B25" s="14" t="s">
        <v>269</v>
      </c>
      <c r="C25" s="14" t="s">
        <v>270</v>
      </c>
      <c r="D25" s="14" t="s">
        <v>215</v>
      </c>
      <c r="F25" s="56">
        <v>12</v>
      </c>
      <c r="G25" s="56">
        <v>0</v>
      </c>
      <c r="H25" s="56">
        <v>14</v>
      </c>
      <c r="I25" s="57">
        <f t="shared" si="0"/>
        <v>26</v>
      </c>
    </row>
    <row r="26" spans="2:9" ht="22.05" customHeight="1">
      <c r="B26" s="14" t="s">
        <v>271</v>
      </c>
      <c r="C26" s="14" t="s">
        <v>272</v>
      </c>
      <c r="D26" s="14" t="s">
        <v>215</v>
      </c>
      <c r="F26" s="56">
        <v>27</v>
      </c>
      <c r="G26" s="56">
        <v>20</v>
      </c>
      <c r="H26" s="56">
        <v>3</v>
      </c>
      <c r="I26" s="57">
        <f t="shared" si="0"/>
        <v>50</v>
      </c>
    </row>
    <row r="27" spans="2:9" ht="22.05" customHeight="1">
      <c r="B27" s="14" t="s">
        <v>273</v>
      </c>
      <c r="C27" s="14" t="s">
        <v>274</v>
      </c>
      <c r="D27" s="14" t="s">
        <v>215</v>
      </c>
      <c r="F27" s="56">
        <v>60</v>
      </c>
      <c r="G27" s="56">
        <v>26</v>
      </c>
      <c r="H27" s="56">
        <v>30</v>
      </c>
      <c r="I27" s="57">
        <f t="shared" si="0"/>
        <v>116</v>
      </c>
    </row>
    <row r="28" spans="2:9" ht="22.05" customHeight="1">
      <c r="B28" s="14" t="s">
        <v>275</v>
      </c>
      <c r="C28" s="14" t="s">
        <v>276</v>
      </c>
      <c r="D28" s="14" t="s">
        <v>215</v>
      </c>
      <c r="F28" s="56">
        <v>1</v>
      </c>
      <c r="G28" s="56">
        <v>0</v>
      </c>
      <c r="H28" s="56">
        <v>0</v>
      </c>
      <c r="I28" s="57">
        <f t="shared" si="0"/>
        <v>1</v>
      </c>
    </row>
    <row r="29" spans="2:9" ht="22.05" customHeight="1">
      <c r="B29" s="14" t="s">
        <v>277</v>
      </c>
      <c r="C29" s="14" t="s">
        <v>278</v>
      </c>
      <c r="D29" s="14" t="s">
        <v>215</v>
      </c>
      <c r="F29" s="56">
        <v>1</v>
      </c>
      <c r="G29" s="56">
        <v>10</v>
      </c>
      <c r="H29" s="56">
        <v>2</v>
      </c>
      <c r="I29" s="57">
        <f t="shared" si="0"/>
        <v>13</v>
      </c>
    </row>
    <row r="30" spans="2:9" ht="22.05" customHeight="1">
      <c r="B30" s="14" t="s">
        <v>279</v>
      </c>
      <c r="C30" s="14" t="s">
        <v>280</v>
      </c>
      <c r="D30" s="14" t="s">
        <v>215</v>
      </c>
      <c r="F30" s="56">
        <v>1</v>
      </c>
      <c r="G30" s="56">
        <v>3</v>
      </c>
      <c r="H30" s="56">
        <v>0</v>
      </c>
      <c r="I30" s="57">
        <f t="shared" si="0"/>
        <v>4</v>
      </c>
    </row>
    <row r="31" spans="2:9" ht="22.05" customHeight="1">
      <c r="B31" s="14" t="s">
        <v>281</v>
      </c>
      <c r="C31" s="14" t="s">
        <v>282</v>
      </c>
      <c r="D31" s="14" t="s">
        <v>215</v>
      </c>
      <c r="F31" s="56">
        <v>4</v>
      </c>
      <c r="G31" s="56">
        <v>6</v>
      </c>
      <c r="H31" s="56">
        <v>0</v>
      </c>
      <c r="I31" s="57">
        <f t="shared" si="0"/>
        <v>10</v>
      </c>
    </row>
    <row r="32" spans="2:9" ht="22.05" customHeight="1">
      <c r="B32" s="14" t="s">
        <v>283</v>
      </c>
      <c r="C32" s="14" t="s">
        <v>284</v>
      </c>
      <c r="D32" s="14" t="s">
        <v>215</v>
      </c>
      <c r="F32" s="56">
        <v>0</v>
      </c>
      <c r="G32" s="56">
        <v>4</v>
      </c>
      <c r="H32" s="56">
        <v>1</v>
      </c>
      <c r="I32" s="57">
        <f t="shared" si="0"/>
        <v>5</v>
      </c>
    </row>
    <row r="33" spans="2:11" ht="22.05" customHeight="1">
      <c r="B33" s="14" t="s">
        <v>285</v>
      </c>
      <c r="C33" s="14" t="s">
        <v>286</v>
      </c>
      <c r="D33" s="14" t="s">
        <v>215</v>
      </c>
      <c r="F33" s="56">
        <v>0</v>
      </c>
      <c r="G33" s="56">
        <v>1</v>
      </c>
      <c r="H33" s="56">
        <v>1</v>
      </c>
      <c r="I33" s="57">
        <f t="shared" si="0"/>
        <v>2</v>
      </c>
    </row>
    <row r="34" spans="2:11" ht="22.05" customHeight="1">
      <c r="B34" s="14" t="s">
        <v>287</v>
      </c>
      <c r="C34" s="14" t="s">
        <v>288</v>
      </c>
      <c r="D34" s="14" t="s">
        <v>215</v>
      </c>
      <c r="F34" s="56">
        <v>0</v>
      </c>
      <c r="G34" s="56">
        <v>9</v>
      </c>
      <c r="H34" s="56">
        <v>9</v>
      </c>
      <c r="I34" s="57">
        <f t="shared" si="0"/>
        <v>18</v>
      </c>
    </row>
    <row r="35" spans="2:11" ht="22.05" customHeight="1">
      <c r="B35" s="14" t="s">
        <v>289</v>
      </c>
      <c r="C35" s="14" t="s">
        <v>290</v>
      </c>
      <c r="D35" s="14" t="s">
        <v>215</v>
      </c>
      <c r="F35" s="56">
        <v>0</v>
      </c>
      <c r="G35" s="56">
        <v>0</v>
      </c>
      <c r="H35" s="56">
        <v>2</v>
      </c>
      <c r="I35" s="57">
        <f t="shared" si="0"/>
        <v>2</v>
      </c>
    </row>
    <row r="36" spans="2:11" ht="22.05" customHeight="1">
      <c r="B36" s="14" t="s">
        <v>291</v>
      </c>
      <c r="C36" s="14" t="s">
        <v>292</v>
      </c>
      <c r="D36" s="14" t="s">
        <v>215</v>
      </c>
      <c r="F36" s="56">
        <v>0</v>
      </c>
      <c r="G36" s="56">
        <v>0</v>
      </c>
      <c r="H36" s="56">
        <v>0</v>
      </c>
      <c r="I36" s="57">
        <f t="shared" si="0"/>
        <v>0</v>
      </c>
      <c r="K36" s="33" t="s">
        <v>432</v>
      </c>
    </row>
    <row r="37" spans="2:11" ht="22.05" customHeight="1">
      <c r="B37" s="14" t="s">
        <v>293</v>
      </c>
      <c r="C37" s="14" t="s">
        <v>294</v>
      </c>
      <c r="D37" s="14" t="s">
        <v>215</v>
      </c>
      <c r="F37" s="56">
        <v>4</v>
      </c>
      <c r="G37" s="56">
        <v>3</v>
      </c>
      <c r="H37" s="56">
        <v>5</v>
      </c>
      <c r="I37" s="57">
        <f t="shared" si="0"/>
        <v>12</v>
      </c>
    </row>
    <row r="38" spans="2:11" ht="22.05" customHeight="1">
      <c r="B38" s="14" t="s">
        <v>295</v>
      </c>
      <c r="C38" s="14" t="s">
        <v>292</v>
      </c>
      <c r="D38" s="14" t="s">
        <v>215</v>
      </c>
      <c r="F38" s="56">
        <v>0</v>
      </c>
      <c r="G38" s="56">
        <v>5</v>
      </c>
      <c r="H38" s="56">
        <v>6</v>
      </c>
      <c r="I38" s="57">
        <f t="shared" si="0"/>
        <v>11</v>
      </c>
    </row>
    <row r="39" spans="2:11" ht="22.05" customHeight="1">
      <c r="B39" s="14" t="s">
        <v>296</v>
      </c>
      <c r="C39" s="14" t="s">
        <v>297</v>
      </c>
      <c r="D39" s="14" t="s">
        <v>215</v>
      </c>
      <c r="F39" s="56">
        <v>0</v>
      </c>
      <c r="G39" s="56">
        <v>2</v>
      </c>
      <c r="H39" s="56">
        <v>2</v>
      </c>
      <c r="I39" s="57">
        <f t="shared" si="0"/>
        <v>4</v>
      </c>
    </row>
    <row r="40" spans="2:11" ht="22.05" customHeight="1">
      <c r="B40" s="14" t="s">
        <v>298</v>
      </c>
      <c r="C40" s="14" t="s">
        <v>299</v>
      </c>
      <c r="D40" s="14" t="s">
        <v>215</v>
      </c>
      <c r="F40" s="56">
        <v>0</v>
      </c>
      <c r="G40" s="56">
        <v>1</v>
      </c>
      <c r="H40" s="56">
        <v>2</v>
      </c>
      <c r="I40" s="57">
        <f t="shared" si="0"/>
        <v>3</v>
      </c>
    </row>
    <row r="41" spans="2:11" ht="22.05" customHeight="1">
      <c r="B41" s="14" t="s">
        <v>300</v>
      </c>
      <c r="C41" s="14" t="s">
        <v>301</v>
      </c>
      <c r="D41" s="14" t="s">
        <v>215</v>
      </c>
      <c r="F41" s="56">
        <v>0</v>
      </c>
      <c r="G41" s="56">
        <v>2</v>
      </c>
      <c r="H41" s="56">
        <v>0</v>
      </c>
      <c r="I41" s="57">
        <f t="shared" si="0"/>
        <v>2</v>
      </c>
    </row>
    <row r="42" spans="2:11" ht="22.05" customHeight="1">
      <c r="B42" s="14" t="s">
        <v>222</v>
      </c>
      <c r="C42" s="14" t="s">
        <v>223</v>
      </c>
      <c r="D42" s="14" t="s">
        <v>215</v>
      </c>
      <c r="F42" s="56">
        <v>0</v>
      </c>
      <c r="G42" s="56">
        <v>51</v>
      </c>
      <c r="H42" s="56">
        <v>18</v>
      </c>
      <c r="I42" s="57">
        <f t="shared" si="0"/>
        <v>69</v>
      </c>
    </row>
    <row r="43" spans="2:11" ht="22.05" customHeight="1">
      <c r="B43" s="14" t="s">
        <v>418</v>
      </c>
      <c r="C43" s="14" t="s">
        <v>419</v>
      </c>
      <c r="D43" s="14" t="s">
        <v>215</v>
      </c>
      <c r="F43" s="56">
        <v>50</v>
      </c>
      <c r="G43" s="56">
        <v>0</v>
      </c>
      <c r="H43" s="56">
        <v>50</v>
      </c>
      <c r="I43" s="57">
        <f t="shared" si="0"/>
        <v>100</v>
      </c>
    </row>
    <row r="44" spans="2:11" ht="22.05" customHeight="1">
      <c r="B44" s="14" t="s">
        <v>420</v>
      </c>
      <c r="C44" s="14" t="s">
        <v>421</v>
      </c>
      <c r="D44" s="14" t="s">
        <v>215</v>
      </c>
      <c r="F44" s="56">
        <v>0</v>
      </c>
      <c r="G44" s="56">
        <v>0</v>
      </c>
      <c r="H44" s="56">
        <v>38</v>
      </c>
      <c r="I44" s="57">
        <f t="shared" si="0"/>
        <v>38</v>
      </c>
    </row>
    <row r="45" spans="2:11">
      <c r="C45" s="58" t="s">
        <v>433</v>
      </c>
      <c r="F45" s="59">
        <f>SUM(F7:F44)</f>
        <v>6124</v>
      </c>
      <c r="G45" s="59">
        <f>SUM(G7:G44)</f>
        <v>5062</v>
      </c>
      <c r="H45" s="59">
        <f>SUM(H7:H44)</f>
        <v>5916</v>
      </c>
      <c r="I45" s="59">
        <f>SUM(I7:I44)</f>
        <v>17102</v>
      </c>
      <c r="J45" s="59">
        <f>SUM(J7:J44)</f>
        <v>0</v>
      </c>
    </row>
    <row r="47" spans="2:11" ht="24" customHeight="1">
      <c r="B47" s="121" t="s">
        <v>434</v>
      </c>
      <c r="C47" s="122"/>
      <c r="D47" s="122"/>
      <c r="E47" s="122"/>
      <c r="F47" s="122"/>
      <c r="G47" s="122"/>
      <c r="H47" s="122"/>
      <c r="I47" s="122"/>
      <c r="J47" s="122"/>
      <c r="K47" s="122"/>
    </row>
  </sheetData>
  <mergeCells count="2">
    <mergeCell ref="B4:K4"/>
    <mergeCell ref="B47:K4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180"/>
  <sheetViews>
    <sheetView showGridLines="0" workbookViewId="0"/>
  </sheetViews>
  <sheetFormatPr defaultRowHeight="14.4"/>
  <cols>
    <col min="1" max="1" width="4" customWidth="1"/>
    <col min="2" max="2" width="26" customWidth="1"/>
    <col min="3" max="3" width="56" customWidth="1"/>
    <col min="4" max="4" width="14" customWidth="1"/>
    <col min="5" max="5" width="4" customWidth="1"/>
    <col min="6" max="9" width="20" customWidth="1"/>
    <col min="10" max="10" width="4" customWidth="1"/>
    <col min="11" max="11" width="20" customWidth="1"/>
    <col min="12" max="12" width="4" customWidth="1"/>
    <col min="13" max="13" width="44" customWidth="1"/>
  </cols>
  <sheetData>
    <row r="1" spans="2:13" ht="7.95" customHeight="1"/>
    <row r="2" spans="2:13" ht="30" customHeight="1">
      <c r="B2" s="12" t="s">
        <v>435</v>
      </c>
    </row>
    <row r="3" spans="2:13" ht="19.95" customHeight="1">
      <c r="B3" s="3" t="s">
        <v>436</v>
      </c>
    </row>
    <row r="4" spans="2:13" ht="24" customHeight="1">
      <c r="B4" s="121" t="s">
        <v>437</v>
      </c>
      <c r="C4" s="122"/>
      <c r="D4" s="122"/>
      <c r="E4" s="122"/>
      <c r="F4" s="122"/>
      <c r="G4" s="122"/>
      <c r="H4" s="122"/>
      <c r="I4" s="122"/>
      <c r="J4" s="122"/>
      <c r="K4" s="122"/>
      <c r="L4" s="122"/>
    </row>
    <row r="5" spans="2:13" ht="7.95" customHeight="1"/>
    <row r="6" spans="2:13" ht="24" customHeight="1">
      <c r="B6" s="4" t="s">
        <v>438</v>
      </c>
      <c r="C6" s="5"/>
      <c r="D6" s="5"/>
      <c r="E6" s="5"/>
      <c r="F6" s="5"/>
      <c r="G6" s="5"/>
      <c r="H6" s="5"/>
      <c r="I6" s="5"/>
      <c r="J6" s="5"/>
      <c r="K6" s="5"/>
    </row>
    <row r="7" spans="2:13" ht="46.05" customHeight="1">
      <c r="B7" s="8" t="s">
        <v>210</v>
      </c>
      <c r="C7" s="8" t="s">
        <v>206</v>
      </c>
      <c r="D7" s="8" t="s">
        <v>98</v>
      </c>
      <c r="E7" s="8"/>
      <c r="F7" s="8" t="s">
        <v>439</v>
      </c>
      <c r="G7" s="8" t="s">
        <v>440</v>
      </c>
      <c r="H7" s="8" t="s">
        <v>441</v>
      </c>
      <c r="I7" s="8"/>
      <c r="J7" s="8"/>
      <c r="K7" s="8" t="s">
        <v>442</v>
      </c>
      <c r="L7" s="8"/>
      <c r="M7" s="8" t="s">
        <v>443</v>
      </c>
    </row>
    <row r="8" spans="2:13" ht="22.05" customHeight="1">
      <c r="B8" s="14" t="s">
        <v>410</v>
      </c>
      <c r="C8" s="14" t="s">
        <v>411</v>
      </c>
      <c r="D8" s="14" t="s">
        <v>215</v>
      </c>
      <c r="F8" s="60">
        <f>Consumption_PL!I8</f>
        <v>7</v>
      </c>
      <c r="G8" s="60">
        <f>Consumption_Issues!F7</f>
        <v>0</v>
      </c>
      <c r="H8" s="61">
        <f t="shared" ref="H8:H45" si="0">G8-F8</f>
        <v>-7</v>
      </c>
      <c r="K8" s="30">
        <f t="shared" ref="K8:K46" si="1">IF(F8&lt;=0,"n/a",G8/F8)</f>
        <v>0</v>
      </c>
      <c r="L8" s="62" t="str">
        <f t="shared" ref="L8:L45" si="2">IF(F8&lt;=0,"",IF(OR(J8&lt;0.5,J8&gt;1.5),"Check",""))</f>
        <v>Check</v>
      </c>
    </row>
    <row r="9" spans="2:13" ht="22.05" customHeight="1">
      <c r="B9" s="14" t="s">
        <v>261</v>
      </c>
      <c r="C9" s="14" t="s">
        <v>262</v>
      </c>
      <c r="D9" s="14" t="s">
        <v>215</v>
      </c>
      <c r="F9" s="60">
        <f>Consumption_PL!I9</f>
        <v>115</v>
      </c>
      <c r="G9" s="60">
        <f>Consumption_Issues!F8</f>
        <v>110</v>
      </c>
      <c r="H9" s="61">
        <f t="shared" si="0"/>
        <v>-5</v>
      </c>
      <c r="K9" s="30">
        <f t="shared" si="1"/>
        <v>0.95652173913043481</v>
      </c>
      <c r="L9" s="62" t="str">
        <f t="shared" si="2"/>
        <v>Check</v>
      </c>
    </row>
    <row r="10" spans="2:13" ht="22.05" customHeight="1">
      <c r="B10" s="14" t="s">
        <v>263</v>
      </c>
      <c r="C10" s="14" t="s">
        <v>264</v>
      </c>
      <c r="D10" s="14" t="s">
        <v>215</v>
      </c>
      <c r="F10" s="60">
        <f>Consumption_PL!I10</f>
        <v>72</v>
      </c>
      <c r="G10" s="60">
        <f>Consumption_Issues!F9</f>
        <v>62</v>
      </c>
      <c r="H10" s="61">
        <f t="shared" si="0"/>
        <v>-10</v>
      </c>
      <c r="K10" s="30">
        <f t="shared" si="1"/>
        <v>0.86111111111111116</v>
      </c>
      <c r="L10" s="62" t="str">
        <f t="shared" si="2"/>
        <v>Check</v>
      </c>
    </row>
    <row r="11" spans="2:13" ht="22.05" customHeight="1">
      <c r="B11" s="14" t="s">
        <v>251</v>
      </c>
      <c r="C11" s="14" t="s">
        <v>252</v>
      </c>
      <c r="D11" s="14" t="s">
        <v>215</v>
      </c>
      <c r="F11" s="60">
        <f>Consumption_PL!I11</f>
        <v>1</v>
      </c>
      <c r="G11" s="60">
        <f>Consumption_Issues!F10</f>
        <v>1</v>
      </c>
      <c r="H11" s="61">
        <f t="shared" si="0"/>
        <v>0</v>
      </c>
      <c r="K11" s="30">
        <f t="shared" si="1"/>
        <v>1</v>
      </c>
      <c r="L11" s="62" t="str">
        <f t="shared" si="2"/>
        <v>Check</v>
      </c>
    </row>
    <row r="12" spans="2:13" ht="22.05" customHeight="1">
      <c r="B12" s="14" t="s">
        <v>213</v>
      </c>
      <c r="C12" s="14" t="s">
        <v>214</v>
      </c>
      <c r="D12" s="14" t="s">
        <v>215</v>
      </c>
      <c r="F12" s="60">
        <f>Consumption_PL!I12</f>
        <v>183</v>
      </c>
      <c r="G12" s="60">
        <f>Consumption_Issues!F11</f>
        <v>0</v>
      </c>
      <c r="H12" s="61">
        <f t="shared" si="0"/>
        <v>-183</v>
      </c>
      <c r="K12" s="30">
        <f t="shared" si="1"/>
        <v>0</v>
      </c>
      <c r="L12" s="62" t="str">
        <f t="shared" si="2"/>
        <v>Check</v>
      </c>
    </row>
    <row r="13" spans="2:13" ht="22.05" customHeight="1">
      <c r="B13" s="14" t="s">
        <v>216</v>
      </c>
      <c r="C13" s="14" t="s">
        <v>217</v>
      </c>
      <c r="D13" s="14" t="s">
        <v>215</v>
      </c>
      <c r="F13" s="60">
        <f>Consumption_PL!I13</f>
        <v>300</v>
      </c>
      <c r="G13" s="60">
        <f>Consumption_Issues!F12</f>
        <v>26</v>
      </c>
      <c r="H13" s="61">
        <f t="shared" si="0"/>
        <v>-274</v>
      </c>
      <c r="K13" s="30">
        <f t="shared" si="1"/>
        <v>8.666666666666667E-2</v>
      </c>
      <c r="L13" s="62" t="str">
        <f t="shared" si="2"/>
        <v>Check</v>
      </c>
    </row>
    <row r="14" spans="2:13" ht="22.05" customHeight="1">
      <c r="B14" s="14" t="s">
        <v>218</v>
      </c>
      <c r="C14" s="14" t="s">
        <v>219</v>
      </c>
      <c r="D14" s="14" t="s">
        <v>215</v>
      </c>
      <c r="F14" s="60">
        <f>Consumption_PL!I14</f>
        <v>743</v>
      </c>
      <c r="G14" s="60">
        <f>Consumption_Issues!F13</f>
        <v>156</v>
      </c>
      <c r="H14" s="61">
        <f t="shared" si="0"/>
        <v>-587</v>
      </c>
      <c r="K14" s="30">
        <f t="shared" si="1"/>
        <v>0.20995962314939434</v>
      </c>
      <c r="L14" s="62" t="str">
        <f t="shared" si="2"/>
        <v>Check</v>
      </c>
    </row>
    <row r="15" spans="2:13" ht="22.05" customHeight="1">
      <c r="B15" s="14" t="s">
        <v>220</v>
      </c>
      <c r="C15" s="14" t="s">
        <v>221</v>
      </c>
      <c r="D15" s="14" t="s">
        <v>215</v>
      </c>
      <c r="F15" s="60">
        <f>Consumption_PL!I15</f>
        <v>2575</v>
      </c>
      <c r="G15" s="60">
        <f>Consumption_Issues!F14</f>
        <v>1852</v>
      </c>
      <c r="H15" s="61">
        <f t="shared" si="0"/>
        <v>-723</v>
      </c>
      <c r="K15" s="30">
        <f t="shared" si="1"/>
        <v>0.71922330097087384</v>
      </c>
      <c r="L15" s="62" t="str">
        <f t="shared" si="2"/>
        <v>Check</v>
      </c>
    </row>
    <row r="16" spans="2:13" ht="22.05" customHeight="1">
      <c r="B16" s="14" t="s">
        <v>412</v>
      </c>
      <c r="C16" s="14" t="s">
        <v>413</v>
      </c>
      <c r="D16" s="14" t="s">
        <v>215</v>
      </c>
      <c r="F16" s="60">
        <f>Consumption_PL!I16</f>
        <v>0</v>
      </c>
      <c r="G16" s="60">
        <f>Consumption_Issues!F15</f>
        <v>0</v>
      </c>
      <c r="H16" s="61">
        <f t="shared" si="0"/>
        <v>0</v>
      </c>
      <c r="K16" s="30" t="str">
        <f t="shared" si="1"/>
        <v>n/a</v>
      </c>
      <c r="L16" s="62" t="str">
        <f t="shared" si="2"/>
        <v/>
      </c>
    </row>
    <row r="17" spans="2:12" ht="22.05" customHeight="1">
      <c r="B17" s="14" t="s">
        <v>414</v>
      </c>
      <c r="C17" s="14" t="s">
        <v>415</v>
      </c>
      <c r="D17" s="14" t="s">
        <v>215</v>
      </c>
      <c r="F17" s="60">
        <f>Consumption_PL!I17</f>
        <v>640</v>
      </c>
      <c r="G17" s="60">
        <f>Consumption_Issues!F16</f>
        <v>20</v>
      </c>
      <c r="H17" s="61">
        <f t="shared" si="0"/>
        <v>-620</v>
      </c>
      <c r="K17" s="30">
        <f t="shared" si="1"/>
        <v>3.125E-2</v>
      </c>
      <c r="L17" s="62" t="str">
        <f t="shared" si="2"/>
        <v>Check</v>
      </c>
    </row>
    <row r="18" spans="2:12" ht="22.05" customHeight="1">
      <c r="B18" s="14" t="s">
        <v>416</v>
      </c>
      <c r="C18" s="14" t="s">
        <v>417</v>
      </c>
      <c r="D18" s="14" t="s">
        <v>215</v>
      </c>
      <c r="F18" s="60">
        <f>Consumption_PL!I18</f>
        <v>2740</v>
      </c>
      <c r="G18" s="60">
        <f>Consumption_Issues!F17</f>
        <v>3496</v>
      </c>
      <c r="H18" s="61">
        <f t="shared" si="0"/>
        <v>756</v>
      </c>
      <c r="K18" s="30">
        <f t="shared" si="1"/>
        <v>1.275912408759124</v>
      </c>
      <c r="L18" s="62" t="str">
        <f t="shared" si="2"/>
        <v>Check</v>
      </c>
    </row>
    <row r="19" spans="2:12" ht="22.05" customHeight="1">
      <c r="B19" s="14" t="s">
        <v>224</v>
      </c>
      <c r="C19" s="14" t="s">
        <v>225</v>
      </c>
      <c r="D19" s="14" t="s">
        <v>226</v>
      </c>
      <c r="F19" s="60">
        <f>Consumption_PL!I19</f>
        <v>2291</v>
      </c>
      <c r="G19" s="60">
        <f>Consumption_Issues!F18</f>
        <v>200</v>
      </c>
      <c r="H19" s="61">
        <f t="shared" si="0"/>
        <v>-2091</v>
      </c>
      <c r="K19" s="30">
        <f t="shared" si="1"/>
        <v>8.7298123090353563E-2</v>
      </c>
      <c r="L19" s="62" t="str">
        <f t="shared" si="2"/>
        <v>Check</v>
      </c>
    </row>
    <row r="20" spans="2:12" ht="22.05" customHeight="1">
      <c r="B20" s="14" t="s">
        <v>253</v>
      </c>
      <c r="C20" s="14" t="s">
        <v>254</v>
      </c>
      <c r="D20" s="14" t="s">
        <v>215</v>
      </c>
      <c r="F20" s="60">
        <f>Consumption_PL!I20</f>
        <v>8</v>
      </c>
      <c r="G20" s="60">
        <f>Consumption_Issues!F19</f>
        <v>6</v>
      </c>
      <c r="H20" s="61">
        <f t="shared" si="0"/>
        <v>-2</v>
      </c>
      <c r="K20" s="30">
        <f t="shared" si="1"/>
        <v>0.75</v>
      </c>
      <c r="L20" s="62" t="str">
        <f t="shared" si="2"/>
        <v>Check</v>
      </c>
    </row>
    <row r="21" spans="2:12" ht="22.05" customHeight="1">
      <c r="B21" s="14" t="s">
        <v>255</v>
      </c>
      <c r="C21" s="14" t="s">
        <v>256</v>
      </c>
      <c r="D21" s="14" t="s">
        <v>215</v>
      </c>
      <c r="F21" s="60">
        <f>Consumption_PL!I21</f>
        <v>15</v>
      </c>
      <c r="G21" s="60">
        <f>Consumption_Issues!F20</f>
        <v>12</v>
      </c>
      <c r="H21" s="61">
        <f t="shared" si="0"/>
        <v>-3</v>
      </c>
      <c r="K21" s="30">
        <f t="shared" si="1"/>
        <v>0.8</v>
      </c>
      <c r="L21" s="62" t="str">
        <f t="shared" si="2"/>
        <v>Check</v>
      </c>
    </row>
    <row r="22" spans="2:12" ht="22.05" customHeight="1">
      <c r="B22" s="14" t="s">
        <v>257</v>
      </c>
      <c r="C22" s="14" t="s">
        <v>258</v>
      </c>
      <c r="D22" s="14" t="s">
        <v>215</v>
      </c>
      <c r="F22" s="60">
        <f>Consumption_PL!I22</f>
        <v>11</v>
      </c>
      <c r="G22" s="60">
        <f>Consumption_Issues!F21</f>
        <v>10</v>
      </c>
      <c r="H22" s="61">
        <f t="shared" si="0"/>
        <v>-1</v>
      </c>
      <c r="K22" s="30">
        <f t="shared" si="1"/>
        <v>0.90909090909090906</v>
      </c>
      <c r="L22" s="62" t="str">
        <f t="shared" si="2"/>
        <v>Check</v>
      </c>
    </row>
    <row r="23" spans="2:12" ht="22.05" customHeight="1">
      <c r="B23" s="14" t="s">
        <v>259</v>
      </c>
      <c r="C23" s="14" t="s">
        <v>260</v>
      </c>
      <c r="D23" s="14" t="s">
        <v>215</v>
      </c>
      <c r="F23" s="60">
        <f>Consumption_PL!I23</f>
        <v>5</v>
      </c>
      <c r="G23" s="60">
        <f>Consumption_Issues!F22</f>
        <v>5</v>
      </c>
      <c r="H23" s="61">
        <f t="shared" si="0"/>
        <v>0</v>
      </c>
      <c r="K23" s="30">
        <f t="shared" si="1"/>
        <v>1</v>
      </c>
      <c r="L23" s="62" t="str">
        <f t="shared" si="2"/>
        <v>Check</v>
      </c>
    </row>
    <row r="24" spans="2:12" ht="22.05" customHeight="1">
      <c r="B24" s="14" t="s">
        <v>265</v>
      </c>
      <c r="C24" s="14" t="s">
        <v>266</v>
      </c>
      <c r="D24" s="14" t="s">
        <v>215</v>
      </c>
      <c r="F24" s="60">
        <f>Consumption_PL!I24</f>
        <v>0</v>
      </c>
      <c r="G24" s="60">
        <f>Consumption_Issues!F23</f>
        <v>0</v>
      </c>
      <c r="H24" s="61">
        <f t="shared" si="0"/>
        <v>0</v>
      </c>
      <c r="K24" s="30" t="str">
        <f t="shared" si="1"/>
        <v>n/a</v>
      </c>
      <c r="L24" s="62" t="str">
        <f t="shared" si="2"/>
        <v/>
      </c>
    </row>
    <row r="25" spans="2:12" ht="22.05" customHeight="1">
      <c r="B25" s="14" t="s">
        <v>267</v>
      </c>
      <c r="C25" s="14" t="s">
        <v>268</v>
      </c>
      <c r="D25" s="14" t="s">
        <v>215</v>
      </c>
      <c r="F25" s="60">
        <f>Consumption_PL!I25</f>
        <v>10</v>
      </c>
      <c r="G25" s="60">
        <f>Consumption_Issues!F24</f>
        <v>8</v>
      </c>
      <c r="H25" s="61">
        <f t="shared" si="0"/>
        <v>-2</v>
      </c>
      <c r="K25" s="30">
        <f t="shared" si="1"/>
        <v>0.8</v>
      </c>
      <c r="L25" s="62" t="str">
        <f t="shared" si="2"/>
        <v>Check</v>
      </c>
    </row>
    <row r="26" spans="2:12" ht="22.05" customHeight="1">
      <c r="B26" s="14" t="s">
        <v>269</v>
      </c>
      <c r="C26" s="14" t="s">
        <v>270</v>
      </c>
      <c r="D26" s="14" t="s">
        <v>215</v>
      </c>
      <c r="F26" s="60">
        <f>Consumption_PL!I26</f>
        <v>14</v>
      </c>
      <c r="G26" s="60">
        <f>Consumption_Issues!F25</f>
        <v>12</v>
      </c>
      <c r="H26" s="61">
        <f t="shared" si="0"/>
        <v>-2</v>
      </c>
      <c r="K26" s="30">
        <f t="shared" si="1"/>
        <v>0.8571428571428571</v>
      </c>
      <c r="L26" s="62" t="str">
        <f t="shared" si="2"/>
        <v>Check</v>
      </c>
    </row>
    <row r="27" spans="2:12" ht="22.05" customHeight="1">
      <c r="B27" s="14" t="s">
        <v>271</v>
      </c>
      <c r="C27" s="14" t="s">
        <v>272</v>
      </c>
      <c r="D27" s="14" t="s">
        <v>215</v>
      </c>
      <c r="F27" s="60">
        <f>Consumption_PL!I27</f>
        <v>22</v>
      </c>
      <c r="G27" s="60">
        <f>Consumption_Issues!F26</f>
        <v>27</v>
      </c>
      <c r="H27" s="61">
        <f t="shared" si="0"/>
        <v>5</v>
      </c>
      <c r="K27" s="30">
        <f t="shared" si="1"/>
        <v>1.2272727272727273</v>
      </c>
      <c r="L27" s="62" t="str">
        <f t="shared" si="2"/>
        <v>Check</v>
      </c>
    </row>
    <row r="28" spans="2:12" ht="22.05" customHeight="1">
      <c r="B28" s="14" t="s">
        <v>273</v>
      </c>
      <c r="C28" s="14" t="s">
        <v>274</v>
      </c>
      <c r="D28" s="14" t="s">
        <v>215</v>
      </c>
      <c r="F28" s="60">
        <f>Consumption_PL!I28</f>
        <v>62</v>
      </c>
      <c r="G28" s="60">
        <f>Consumption_Issues!F27</f>
        <v>60</v>
      </c>
      <c r="H28" s="61">
        <f t="shared" si="0"/>
        <v>-2</v>
      </c>
      <c r="K28" s="30">
        <f t="shared" si="1"/>
        <v>0.967741935483871</v>
      </c>
      <c r="L28" s="62" t="str">
        <f t="shared" si="2"/>
        <v>Check</v>
      </c>
    </row>
    <row r="29" spans="2:12" ht="22.05" customHeight="1">
      <c r="B29" s="14" t="s">
        <v>275</v>
      </c>
      <c r="C29" s="14" t="s">
        <v>276</v>
      </c>
      <c r="D29" s="14" t="s">
        <v>215</v>
      </c>
      <c r="F29" s="60">
        <f>Consumption_PL!I29</f>
        <v>1</v>
      </c>
      <c r="G29" s="60">
        <f>Consumption_Issues!F28</f>
        <v>1</v>
      </c>
      <c r="H29" s="61">
        <f t="shared" si="0"/>
        <v>0</v>
      </c>
      <c r="K29" s="30">
        <f t="shared" si="1"/>
        <v>1</v>
      </c>
      <c r="L29" s="62" t="str">
        <f t="shared" si="2"/>
        <v>Check</v>
      </c>
    </row>
    <row r="30" spans="2:12" ht="22.05" customHeight="1">
      <c r="B30" s="14" t="s">
        <v>277</v>
      </c>
      <c r="C30" s="14" t="s">
        <v>278</v>
      </c>
      <c r="D30" s="14" t="s">
        <v>215</v>
      </c>
      <c r="F30" s="60">
        <f>Consumption_PL!I30</f>
        <v>15</v>
      </c>
      <c r="G30" s="60">
        <f>Consumption_Issues!F29</f>
        <v>1</v>
      </c>
      <c r="H30" s="61">
        <f t="shared" si="0"/>
        <v>-14</v>
      </c>
      <c r="K30" s="30">
        <f t="shared" si="1"/>
        <v>6.6666666666666666E-2</v>
      </c>
      <c r="L30" s="62" t="str">
        <f t="shared" si="2"/>
        <v>Check</v>
      </c>
    </row>
    <row r="31" spans="2:12" ht="22.05" customHeight="1">
      <c r="B31" s="14" t="s">
        <v>279</v>
      </c>
      <c r="C31" s="14" t="s">
        <v>280</v>
      </c>
      <c r="D31" s="14" t="s">
        <v>215</v>
      </c>
      <c r="F31" s="60">
        <f>Consumption_PL!I31</f>
        <v>2</v>
      </c>
      <c r="G31" s="60">
        <f>Consumption_Issues!F30</f>
        <v>1</v>
      </c>
      <c r="H31" s="61">
        <f t="shared" si="0"/>
        <v>-1</v>
      </c>
      <c r="K31" s="30">
        <f t="shared" si="1"/>
        <v>0.5</v>
      </c>
      <c r="L31" s="62" t="str">
        <f t="shared" si="2"/>
        <v>Check</v>
      </c>
    </row>
    <row r="32" spans="2:12" ht="22.05" customHeight="1">
      <c r="B32" s="14" t="s">
        <v>281</v>
      </c>
      <c r="C32" s="14" t="s">
        <v>282</v>
      </c>
      <c r="D32" s="14" t="s">
        <v>215</v>
      </c>
      <c r="F32" s="60">
        <f>Consumption_PL!I32</f>
        <v>15</v>
      </c>
      <c r="G32" s="60">
        <f>Consumption_Issues!F31</f>
        <v>4</v>
      </c>
      <c r="H32" s="61">
        <f t="shared" si="0"/>
        <v>-11</v>
      </c>
      <c r="K32" s="30">
        <f t="shared" si="1"/>
        <v>0.26666666666666666</v>
      </c>
      <c r="L32" s="62" t="str">
        <f t="shared" si="2"/>
        <v>Check</v>
      </c>
    </row>
    <row r="33" spans="2:12" ht="22.05" customHeight="1">
      <c r="B33" s="14" t="s">
        <v>283</v>
      </c>
      <c r="C33" s="14" t="s">
        <v>284</v>
      </c>
      <c r="D33" s="14" t="s">
        <v>215</v>
      </c>
      <c r="F33" s="60">
        <f>Consumption_PL!I33</f>
        <v>0</v>
      </c>
      <c r="G33" s="60">
        <f>Consumption_Issues!F32</f>
        <v>0</v>
      </c>
      <c r="H33" s="61">
        <f t="shared" si="0"/>
        <v>0</v>
      </c>
      <c r="K33" s="30" t="str">
        <f t="shared" si="1"/>
        <v>n/a</v>
      </c>
      <c r="L33" s="62" t="str">
        <f t="shared" si="2"/>
        <v/>
      </c>
    </row>
    <row r="34" spans="2:12" ht="22.05" customHeight="1">
      <c r="B34" s="14" t="s">
        <v>285</v>
      </c>
      <c r="C34" s="14" t="s">
        <v>286</v>
      </c>
      <c r="D34" s="14" t="s">
        <v>215</v>
      </c>
      <c r="F34" s="60">
        <f>Consumption_PL!I34</f>
        <v>0</v>
      </c>
      <c r="G34" s="60">
        <f>Consumption_Issues!F33</f>
        <v>0</v>
      </c>
      <c r="H34" s="61">
        <f t="shared" si="0"/>
        <v>0</v>
      </c>
      <c r="K34" s="30" t="str">
        <f t="shared" si="1"/>
        <v>n/a</v>
      </c>
      <c r="L34" s="62" t="str">
        <f t="shared" si="2"/>
        <v/>
      </c>
    </row>
    <row r="35" spans="2:12" ht="22.05" customHeight="1">
      <c r="B35" s="14" t="s">
        <v>287</v>
      </c>
      <c r="C35" s="14" t="s">
        <v>288</v>
      </c>
      <c r="D35" s="14" t="s">
        <v>215</v>
      </c>
      <c r="F35" s="60">
        <f>Consumption_PL!I35</f>
        <v>-48</v>
      </c>
      <c r="G35" s="60">
        <f>Consumption_Issues!F34</f>
        <v>0</v>
      </c>
      <c r="H35" s="61">
        <f t="shared" si="0"/>
        <v>48</v>
      </c>
      <c r="K35" s="30" t="str">
        <f t="shared" si="1"/>
        <v>n/a</v>
      </c>
      <c r="L35" s="62" t="str">
        <f t="shared" si="2"/>
        <v/>
      </c>
    </row>
    <row r="36" spans="2:12" ht="22.05" customHeight="1">
      <c r="B36" s="14" t="s">
        <v>289</v>
      </c>
      <c r="C36" s="14" t="s">
        <v>290</v>
      </c>
      <c r="D36" s="14" t="s">
        <v>215</v>
      </c>
      <c r="F36" s="60">
        <f>Consumption_PL!I36</f>
        <v>-34</v>
      </c>
      <c r="G36" s="60">
        <f>Consumption_Issues!F35</f>
        <v>0</v>
      </c>
      <c r="H36" s="61">
        <f t="shared" si="0"/>
        <v>34</v>
      </c>
      <c r="K36" s="30" t="str">
        <f t="shared" si="1"/>
        <v>n/a</v>
      </c>
      <c r="L36" s="62" t="str">
        <f t="shared" si="2"/>
        <v/>
      </c>
    </row>
    <row r="37" spans="2:12" ht="22.05" customHeight="1">
      <c r="B37" s="14" t="s">
        <v>291</v>
      </c>
      <c r="C37" s="14" t="s">
        <v>292</v>
      </c>
      <c r="D37" s="14" t="s">
        <v>215</v>
      </c>
      <c r="F37" s="60">
        <f>Consumption_PL!I37</f>
        <v>-48</v>
      </c>
      <c r="G37" s="60">
        <f>Consumption_Issues!F36</f>
        <v>0</v>
      </c>
      <c r="H37" s="61">
        <f t="shared" si="0"/>
        <v>48</v>
      </c>
      <c r="K37" s="30" t="str">
        <f t="shared" si="1"/>
        <v>n/a</v>
      </c>
      <c r="L37" s="62" t="str">
        <f t="shared" si="2"/>
        <v/>
      </c>
    </row>
    <row r="38" spans="2:12" ht="22.05" customHeight="1">
      <c r="B38" s="14" t="s">
        <v>293</v>
      </c>
      <c r="C38" s="14" t="s">
        <v>294</v>
      </c>
      <c r="D38" s="14" t="s">
        <v>215</v>
      </c>
      <c r="F38" s="60">
        <f>Consumption_PL!I38</f>
        <v>0</v>
      </c>
      <c r="G38" s="60">
        <f>Consumption_Issues!F37</f>
        <v>4</v>
      </c>
      <c r="H38" s="61">
        <f t="shared" si="0"/>
        <v>4</v>
      </c>
      <c r="K38" s="30" t="str">
        <f t="shared" si="1"/>
        <v>n/a</v>
      </c>
      <c r="L38" s="62" t="str">
        <f t="shared" si="2"/>
        <v/>
      </c>
    </row>
    <row r="39" spans="2:12" ht="22.05" customHeight="1">
      <c r="B39" s="14" t="s">
        <v>295</v>
      </c>
      <c r="C39" s="14" t="s">
        <v>292</v>
      </c>
      <c r="D39" s="14" t="s">
        <v>215</v>
      </c>
      <c r="F39" s="60">
        <f>Consumption_PL!I39</f>
        <v>0</v>
      </c>
      <c r="G39" s="60">
        <f>Consumption_Issues!F38</f>
        <v>0</v>
      </c>
      <c r="H39" s="61">
        <f t="shared" si="0"/>
        <v>0</v>
      </c>
      <c r="K39" s="30" t="str">
        <f t="shared" si="1"/>
        <v>n/a</v>
      </c>
      <c r="L39" s="62" t="str">
        <f t="shared" si="2"/>
        <v/>
      </c>
    </row>
    <row r="40" spans="2:12" ht="22.05" customHeight="1">
      <c r="B40" s="14" t="s">
        <v>296</v>
      </c>
      <c r="C40" s="14" t="s">
        <v>297</v>
      </c>
      <c r="D40" s="14" t="s">
        <v>215</v>
      </c>
      <c r="F40" s="60">
        <f>Consumption_PL!I40</f>
        <v>0</v>
      </c>
      <c r="G40" s="60">
        <f>Consumption_Issues!F39</f>
        <v>0</v>
      </c>
      <c r="H40" s="61">
        <f t="shared" si="0"/>
        <v>0</v>
      </c>
      <c r="K40" s="30" t="str">
        <f t="shared" si="1"/>
        <v>n/a</v>
      </c>
      <c r="L40" s="62" t="str">
        <f t="shared" si="2"/>
        <v/>
      </c>
    </row>
    <row r="41" spans="2:12" ht="22.05" customHeight="1">
      <c r="B41" s="14" t="s">
        <v>298</v>
      </c>
      <c r="C41" s="14" t="s">
        <v>299</v>
      </c>
      <c r="D41" s="14" t="s">
        <v>215</v>
      </c>
      <c r="F41" s="60">
        <f>Consumption_PL!I41</f>
        <v>0</v>
      </c>
      <c r="G41" s="60">
        <f>Consumption_Issues!F40</f>
        <v>0</v>
      </c>
      <c r="H41" s="61">
        <f t="shared" si="0"/>
        <v>0</v>
      </c>
      <c r="K41" s="30" t="str">
        <f t="shared" si="1"/>
        <v>n/a</v>
      </c>
      <c r="L41" s="62" t="str">
        <f t="shared" si="2"/>
        <v/>
      </c>
    </row>
    <row r="42" spans="2:12" ht="22.05" customHeight="1">
      <c r="B42" s="14" t="s">
        <v>300</v>
      </c>
      <c r="C42" s="14" t="s">
        <v>301</v>
      </c>
      <c r="D42" s="14" t="s">
        <v>215</v>
      </c>
      <c r="F42" s="60">
        <f>Consumption_PL!I42</f>
        <v>0</v>
      </c>
      <c r="G42" s="60">
        <f>Consumption_Issues!F41</f>
        <v>0</v>
      </c>
      <c r="H42" s="61">
        <f t="shared" si="0"/>
        <v>0</v>
      </c>
      <c r="K42" s="30" t="str">
        <f t="shared" si="1"/>
        <v>n/a</v>
      </c>
      <c r="L42" s="62" t="str">
        <f t="shared" si="2"/>
        <v/>
      </c>
    </row>
    <row r="43" spans="2:12" ht="22.05" customHeight="1">
      <c r="B43" s="14" t="s">
        <v>222</v>
      </c>
      <c r="C43" s="14" t="s">
        <v>223</v>
      </c>
      <c r="D43" s="14" t="s">
        <v>215</v>
      </c>
      <c r="F43" s="60">
        <f>Consumption_PL!I43</f>
        <v>27</v>
      </c>
      <c r="G43" s="60">
        <f>Consumption_Issues!F42</f>
        <v>0</v>
      </c>
      <c r="H43" s="61">
        <f t="shared" si="0"/>
        <v>-27</v>
      </c>
      <c r="K43" s="30">
        <f t="shared" si="1"/>
        <v>0</v>
      </c>
      <c r="L43" s="62" t="str">
        <f t="shared" si="2"/>
        <v>Check</v>
      </c>
    </row>
    <row r="44" spans="2:12" ht="22.05" customHeight="1">
      <c r="B44" s="14" t="s">
        <v>418</v>
      </c>
      <c r="C44" s="14" t="s">
        <v>419</v>
      </c>
      <c r="D44" s="14" t="s">
        <v>215</v>
      </c>
      <c r="F44" s="60">
        <f>Consumption_PL!I44</f>
        <v>3</v>
      </c>
      <c r="G44" s="60">
        <f>Consumption_Issues!F43</f>
        <v>50</v>
      </c>
      <c r="H44" s="61">
        <f t="shared" si="0"/>
        <v>47</v>
      </c>
      <c r="K44" s="30">
        <f t="shared" si="1"/>
        <v>16.666666666666668</v>
      </c>
      <c r="L44" s="62" t="str">
        <f t="shared" si="2"/>
        <v>Check</v>
      </c>
    </row>
    <row r="45" spans="2:12" ht="22.05" customHeight="1">
      <c r="B45" s="14" t="s">
        <v>420</v>
      </c>
      <c r="C45" s="14" t="s">
        <v>421</v>
      </c>
      <c r="D45" s="14" t="s">
        <v>215</v>
      </c>
      <c r="F45" s="60">
        <f>Consumption_PL!I45</f>
        <v>306</v>
      </c>
      <c r="G45" s="60">
        <f>Consumption_Issues!F44</f>
        <v>0</v>
      </c>
      <c r="H45" s="61">
        <f t="shared" si="0"/>
        <v>-306</v>
      </c>
      <c r="K45" s="30">
        <f t="shared" si="1"/>
        <v>0</v>
      </c>
      <c r="L45" s="62" t="str">
        <f t="shared" si="2"/>
        <v>Check</v>
      </c>
    </row>
    <row r="46" spans="2:12">
      <c r="C46" s="58" t="s">
        <v>444</v>
      </c>
      <c r="F46" s="59">
        <f>SUM(F8:F45)</f>
        <v>10053</v>
      </c>
      <c r="G46" s="59">
        <f>SUM(G8:G45)</f>
        <v>6124</v>
      </c>
      <c r="H46" s="59">
        <f>SUM(H8:H45)</f>
        <v>-3929</v>
      </c>
      <c r="K46" s="63">
        <f t="shared" si="1"/>
        <v>0.60917139162439071</v>
      </c>
    </row>
    <row r="48" spans="2:12" ht="24" customHeight="1">
      <c r="B48" s="4" t="s">
        <v>445</v>
      </c>
      <c r="C48" s="5"/>
      <c r="D48" s="5"/>
      <c r="E48" s="5"/>
      <c r="F48" s="5"/>
      <c r="G48" s="5"/>
      <c r="H48" s="5"/>
      <c r="I48" s="5"/>
      <c r="J48" s="5"/>
      <c r="K48" s="5"/>
    </row>
    <row r="49" spans="2:13" ht="46.05" customHeight="1">
      <c r="B49" s="8" t="s">
        <v>210</v>
      </c>
      <c r="C49" s="8" t="s">
        <v>206</v>
      </c>
      <c r="D49" s="8" t="s">
        <v>98</v>
      </c>
      <c r="E49" s="8"/>
      <c r="F49" s="8" t="s">
        <v>439</v>
      </c>
      <c r="G49" s="8" t="s">
        <v>440</v>
      </c>
      <c r="H49" s="8" t="s">
        <v>441</v>
      </c>
      <c r="I49" s="8"/>
      <c r="J49" s="8"/>
      <c r="K49" s="8" t="s">
        <v>442</v>
      </c>
      <c r="L49" s="8"/>
      <c r="M49" s="8" t="s">
        <v>443</v>
      </c>
    </row>
    <row r="50" spans="2:13" ht="22.05" customHeight="1">
      <c r="B50" s="14" t="s">
        <v>410</v>
      </c>
      <c r="C50" s="14" t="s">
        <v>411</v>
      </c>
      <c r="D50" s="14" t="s">
        <v>215</v>
      </c>
      <c r="F50" s="60">
        <f>Consumption_PL!M8</f>
        <v>1</v>
      </c>
      <c r="G50" s="60">
        <f>Consumption_Issues!G7</f>
        <v>2</v>
      </c>
      <c r="H50" s="61">
        <f t="shared" ref="H50:H87" si="3">G50-F50</f>
        <v>1</v>
      </c>
      <c r="K50" s="30">
        <f t="shared" ref="K50:K88" si="4">IF(F50&lt;=0,"n/a",G50/F50)</f>
        <v>2</v>
      </c>
      <c r="L50" s="62" t="str">
        <f t="shared" ref="L50:L87" si="5">IF(F50&lt;=0,"",IF(OR(J50&lt;0.5,J50&gt;1.5),"Check",""))</f>
        <v>Check</v>
      </c>
    </row>
    <row r="51" spans="2:13" ht="22.05" customHeight="1">
      <c r="B51" s="14" t="s">
        <v>261</v>
      </c>
      <c r="C51" s="14" t="s">
        <v>262</v>
      </c>
      <c r="D51" s="14" t="s">
        <v>215</v>
      </c>
      <c r="F51" s="60">
        <f>Consumption_PL!M9</f>
        <v>0</v>
      </c>
      <c r="G51" s="60">
        <f>Consumption_Issues!G8</f>
        <v>0</v>
      </c>
      <c r="H51" s="61">
        <f t="shared" si="3"/>
        <v>0</v>
      </c>
      <c r="K51" s="30" t="str">
        <f t="shared" si="4"/>
        <v>n/a</v>
      </c>
      <c r="L51" s="62" t="str">
        <f t="shared" si="5"/>
        <v/>
      </c>
    </row>
    <row r="52" spans="2:13" ht="22.05" customHeight="1">
      <c r="B52" s="14" t="s">
        <v>263</v>
      </c>
      <c r="C52" s="14" t="s">
        <v>264</v>
      </c>
      <c r="D52" s="14" t="s">
        <v>215</v>
      </c>
      <c r="F52" s="60">
        <f>Consumption_PL!M10</f>
        <v>0</v>
      </c>
      <c r="G52" s="60">
        <f>Consumption_Issues!G9</f>
        <v>0</v>
      </c>
      <c r="H52" s="61">
        <f t="shared" si="3"/>
        <v>0</v>
      </c>
      <c r="K52" s="30" t="str">
        <f t="shared" si="4"/>
        <v>n/a</v>
      </c>
      <c r="L52" s="62" t="str">
        <f t="shared" si="5"/>
        <v/>
      </c>
    </row>
    <row r="53" spans="2:13" ht="22.05" customHeight="1">
      <c r="B53" s="14" t="s">
        <v>251</v>
      </c>
      <c r="C53" s="14" t="s">
        <v>252</v>
      </c>
      <c r="D53" s="14" t="s">
        <v>215</v>
      </c>
      <c r="F53" s="60">
        <f>Consumption_PL!M11</f>
        <v>5</v>
      </c>
      <c r="G53" s="60">
        <f>Consumption_Issues!G10</f>
        <v>7</v>
      </c>
      <c r="H53" s="61">
        <f t="shared" si="3"/>
        <v>2</v>
      </c>
      <c r="K53" s="30">
        <f t="shared" si="4"/>
        <v>1.4</v>
      </c>
      <c r="L53" s="62" t="str">
        <f t="shared" si="5"/>
        <v>Check</v>
      </c>
    </row>
    <row r="54" spans="2:13" ht="22.05" customHeight="1">
      <c r="B54" s="14" t="s">
        <v>213</v>
      </c>
      <c r="C54" s="14" t="s">
        <v>214</v>
      </c>
      <c r="D54" s="14" t="s">
        <v>215</v>
      </c>
      <c r="F54" s="60">
        <f>Consumption_PL!M12</f>
        <v>177</v>
      </c>
      <c r="G54" s="60">
        <f>Consumption_Issues!G11</f>
        <v>0</v>
      </c>
      <c r="H54" s="61">
        <f t="shared" si="3"/>
        <v>-177</v>
      </c>
      <c r="K54" s="30">
        <f t="shared" si="4"/>
        <v>0</v>
      </c>
      <c r="L54" s="62" t="str">
        <f t="shared" si="5"/>
        <v>Check</v>
      </c>
    </row>
    <row r="55" spans="2:13" ht="22.05" customHeight="1">
      <c r="B55" s="14" t="s">
        <v>216</v>
      </c>
      <c r="C55" s="14" t="s">
        <v>217</v>
      </c>
      <c r="D55" s="14" t="s">
        <v>215</v>
      </c>
      <c r="F55" s="60">
        <f>Consumption_PL!M13</f>
        <v>529</v>
      </c>
      <c r="G55" s="60">
        <f>Consumption_Issues!G12</f>
        <v>150</v>
      </c>
      <c r="H55" s="61">
        <f t="shared" si="3"/>
        <v>-379</v>
      </c>
      <c r="K55" s="30">
        <f t="shared" si="4"/>
        <v>0.28355387523629488</v>
      </c>
      <c r="L55" s="62" t="str">
        <f t="shared" si="5"/>
        <v>Check</v>
      </c>
    </row>
    <row r="56" spans="2:13" ht="22.05" customHeight="1">
      <c r="B56" s="14" t="s">
        <v>218</v>
      </c>
      <c r="C56" s="14" t="s">
        <v>219</v>
      </c>
      <c r="D56" s="14" t="s">
        <v>215</v>
      </c>
      <c r="F56" s="60">
        <f>Consumption_PL!M14</f>
        <v>949</v>
      </c>
      <c r="G56" s="60">
        <f>Consumption_Issues!G13</f>
        <v>1350</v>
      </c>
      <c r="H56" s="61">
        <f t="shared" si="3"/>
        <v>401</v>
      </c>
      <c r="K56" s="30">
        <f t="shared" si="4"/>
        <v>1.4225500526870389</v>
      </c>
      <c r="L56" s="62" t="str">
        <f t="shared" si="5"/>
        <v>Check</v>
      </c>
    </row>
    <row r="57" spans="2:13" ht="22.05" customHeight="1">
      <c r="B57" s="14" t="s">
        <v>220</v>
      </c>
      <c r="C57" s="14" t="s">
        <v>221</v>
      </c>
      <c r="D57" s="14" t="s">
        <v>215</v>
      </c>
      <c r="F57" s="60">
        <f>Consumption_PL!M15</f>
        <v>3674</v>
      </c>
      <c r="G57" s="60">
        <f>Consumption_Issues!G14</f>
        <v>885</v>
      </c>
      <c r="H57" s="61">
        <f t="shared" si="3"/>
        <v>-2789</v>
      </c>
      <c r="K57" s="30">
        <f t="shared" si="4"/>
        <v>0.24088187261839955</v>
      </c>
      <c r="L57" s="62" t="str">
        <f t="shared" si="5"/>
        <v>Check</v>
      </c>
    </row>
    <row r="58" spans="2:13" ht="22.05" customHeight="1">
      <c r="B58" s="14" t="s">
        <v>412</v>
      </c>
      <c r="C58" s="14" t="s">
        <v>413</v>
      </c>
      <c r="D58" s="14" t="s">
        <v>215</v>
      </c>
      <c r="F58" s="60">
        <f>Consumption_PL!M16</f>
        <v>15</v>
      </c>
      <c r="G58" s="60">
        <f>Consumption_Issues!G15</f>
        <v>0</v>
      </c>
      <c r="H58" s="61">
        <f t="shared" si="3"/>
        <v>-15</v>
      </c>
      <c r="K58" s="30">
        <f t="shared" si="4"/>
        <v>0</v>
      </c>
      <c r="L58" s="62" t="str">
        <f t="shared" si="5"/>
        <v>Check</v>
      </c>
    </row>
    <row r="59" spans="2:13" ht="22.05" customHeight="1">
      <c r="B59" s="14" t="s">
        <v>414</v>
      </c>
      <c r="C59" s="14" t="s">
        <v>415</v>
      </c>
      <c r="D59" s="14" t="s">
        <v>215</v>
      </c>
      <c r="F59" s="60">
        <f>Consumption_PL!M17</f>
        <v>1054</v>
      </c>
      <c r="G59" s="60">
        <f>Consumption_Issues!G16</f>
        <v>0</v>
      </c>
      <c r="H59" s="61">
        <f t="shared" si="3"/>
        <v>-1054</v>
      </c>
      <c r="K59" s="30">
        <f t="shared" si="4"/>
        <v>0</v>
      </c>
      <c r="L59" s="62" t="str">
        <f t="shared" si="5"/>
        <v>Check</v>
      </c>
    </row>
    <row r="60" spans="2:13" ht="22.05" customHeight="1">
      <c r="B60" s="14" t="s">
        <v>416</v>
      </c>
      <c r="C60" s="14" t="s">
        <v>417</v>
      </c>
      <c r="D60" s="14" t="s">
        <v>215</v>
      </c>
      <c r="F60" s="60">
        <f>Consumption_PL!M18</f>
        <v>2730</v>
      </c>
      <c r="G60" s="60">
        <f>Consumption_Issues!G17</f>
        <v>2245</v>
      </c>
      <c r="H60" s="61">
        <f t="shared" si="3"/>
        <v>-485</v>
      </c>
      <c r="K60" s="30">
        <f t="shared" si="4"/>
        <v>0.82234432234432231</v>
      </c>
      <c r="L60" s="62" t="str">
        <f t="shared" si="5"/>
        <v>Check</v>
      </c>
    </row>
    <row r="61" spans="2:13" ht="22.05" customHeight="1">
      <c r="B61" s="14" t="s">
        <v>224</v>
      </c>
      <c r="C61" s="14" t="s">
        <v>225</v>
      </c>
      <c r="D61" s="14" t="s">
        <v>226</v>
      </c>
      <c r="F61" s="60">
        <f>Consumption_PL!M19</f>
        <v>408</v>
      </c>
      <c r="G61" s="60">
        <f>Consumption_Issues!G18</f>
        <v>230</v>
      </c>
      <c r="H61" s="61">
        <f t="shared" si="3"/>
        <v>-178</v>
      </c>
      <c r="K61" s="30">
        <f t="shared" si="4"/>
        <v>0.56372549019607843</v>
      </c>
      <c r="L61" s="62" t="str">
        <f t="shared" si="5"/>
        <v>Check</v>
      </c>
    </row>
    <row r="62" spans="2:13" ht="22.05" customHeight="1">
      <c r="B62" s="14" t="s">
        <v>253</v>
      </c>
      <c r="C62" s="14" t="s">
        <v>254</v>
      </c>
      <c r="D62" s="14" t="s">
        <v>215</v>
      </c>
      <c r="F62" s="60">
        <f>Consumption_PL!M20</f>
        <v>19</v>
      </c>
      <c r="G62" s="60">
        <f>Consumption_Issues!G19</f>
        <v>23</v>
      </c>
      <c r="H62" s="61">
        <f t="shared" si="3"/>
        <v>4</v>
      </c>
      <c r="K62" s="30">
        <f t="shared" si="4"/>
        <v>1.2105263157894737</v>
      </c>
      <c r="L62" s="62" t="str">
        <f t="shared" si="5"/>
        <v>Check</v>
      </c>
    </row>
    <row r="63" spans="2:13" ht="22.05" customHeight="1">
      <c r="B63" s="14" t="s">
        <v>255</v>
      </c>
      <c r="C63" s="14" t="s">
        <v>256</v>
      </c>
      <c r="D63" s="14" t="s">
        <v>215</v>
      </c>
      <c r="F63" s="60">
        <f>Consumption_PL!M21</f>
        <v>4</v>
      </c>
      <c r="G63" s="60">
        <f>Consumption_Issues!G20</f>
        <v>4</v>
      </c>
      <c r="H63" s="61">
        <f t="shared" si="3"/>
        <v>0</v>
      </c>
      <c r="K63" s="30">
        <f t="shared" si="4"/>
        <v>1</v>
      </c>
      <c r="L63" s="62" t="str">
        <f t="shared" si="5"/>
        <v>Check</v>
      </c>
    </row>
    <row r="64" spans="2:13" ht="22.05" customHeight="1">
      <c r="B64" s="14" t="s">
        <v>257</v>
      </c>
      <c r="C64" s="14" t="s">
        <v>258</v>
      </c>
      <c r="D64" s="14" t="s">
        <v>215</v>
      </c>
      <c r="F64" s="60">
        <f>Consumption_PL!M22</f>
        <v>7</v>
      </c>
      <c r="G64" s="60">
        <f>Consumption_Issues!G21</f>
        <v>7</v>
      </c>
      <c r="H64" s="61">
        <f t="shared" si="3"/>
        <v>0</v>
      </c>
      <c r="K64" s="30">
        <f t="shared" si="4"/>
        <v>1</v>
      </c>
      <c r="L64" s="62" t="str">
        <f t="shared" si="5"/>
        <v>Check</v>
      </c>
    </row>
    <row r="65" spans="2:12" ht="22.05" customHeight="1">
      <c r="B65" s="14" t="s">
        <v>259</v>
      </c>
      <c r="C65" s="14" t="s">
        <v>260</v>
      </c>
      <c r="D65" s="14" t="s">
        <v>215</v>
      </c>
      <c r="F65" s="60">
        <f>Consumption_PL!M23</f>
        <v>1</v>
      </c>
      <c r="G65" s="60">
        <f>Consumption_Issues!G22</f>
        <v>1</v>
      </c>
      <c r="H65" s="61">
        <f t="shared" si="3"/>
        <v>0</v>
      </c>
      <c r="K65" s="30">
        <f t="shared" si="4"/>
        <v>1</v>
      </c>
      <c r="L65" s="62" t="str">
        <f t="shared" si="5"/>
        <v>Check</v>
      </c>
    </row>
    <row r="66" spans="2:12" ht="22.05" customHeight="1">
      <c r="B66" s="14" t="s">
        <v>265</v>
      </c>
      <c r="C66" s="14" t="s">
        <v>266</v>
      </c>
      <c r="D66" s="14" t="s">
        <v>215</v>
      </c>
      <c r="F66" s="60">
        <f>Consumption_PL!M24</f>
        <v>0</v>
      </c>
      <c r="G66" s="60">
        <f>Consumption_Issues!G23</f>
        <v>0</v>
      </c>
      <c r="H66" s="61">
        <f t="shared" si="3"/>
        <v>0</v>
      </c>
      <c r="K66" s="30" t="str">
        <f t="shared" si="4"/>
        <v>n/a</v>
      </c>
      <c r="L66" s="62" t="str">
        <f t="shared" si="5"/>
        <v/>
      </c>
    </row>
    <row r="67" spans="2:12" ht="22.05" customHeight="1">
      <c r="B67" s="14" t="s">
        <v>267</v>
      </c>
      <c r="C67" s="14" t="s">
        <v>268</v>
      </c>
      <c r="D67" s="14" t="s">
        <v>215</v>
      </c>
      <c r="F67" s="60">
        <f>Consumption_PL!M25</f>
        <v>15</v>
      </c>
      <c r="G67" s="60">
        <f>Consumption_Issues!G24</f>
        <v>15</v>
      </c>
      <c r="H67" s="61">
        <f t="shared" si="3"/>
        <v>0</v>
      </c>
      <c r="K67" s="30">
        <f t="shared" si="4"/>
        <v>1</v>
      </c>
      <c r="L67" s="62" t="str">
        <f t="shared" si="5"/>
        <v>Check</v>
      </c>
    </row>
    <row r="68" spans="2:12" ht="22.05" customHeight="1">
      <c r="B68" s="14" t="s">
        <v>269</v>
      </c>
      <c r="C68" s="14" t="s">
        <v>270</v>
      </c>
      <c r="D68" s="14" t="s">
        <v>215</v>
      </c>
      <c r="F68" s="60">
        <f>Consumption_PL!M26</f>
        <v>2</v>
      </c>
      <c r="G68" s="60">
        <f>Consumption_Issues!G25</f>
        <v>0</v>
      </c>
      <c r="H68" s="61">
        <f t="shared" si="3"/>
        <v>-2</v>
      </c>
      <c r="K68" s="30">
        <f t="shared" si="4"/>
        <v>0</v>
      </c>
      <c r="L68" s="62" t="str">
        <f t="shared" si="5"/>
        <v>Check</v>
      </c>
    </row>
    <row r="69" spans="2:12" ht="22.05" customHeight="1">
      <c r="B69" s="14" t="s">
        <v>271</v>
      </c>
      <c r="C69" s="14" t="s">
        <v>272</v>
      </c>
      <c r="D69" s="14" t="s">
        <v>215</v>
      </c>
      <c r="F69" s="60">
        <f>Consumption_PL!M27</f>
        <v>20</v>
      </c>
      <c r="G69" s="60">
        <f>Consumption_Issues!G26</f>
        <v>20</v>
      </c>
      <c r="H69" s="61">
        <f t="shared" si="3"/>
        <v>0</v>
      </c>
      <c r="K69" s="30">
        <f t="shared" si="4"/>
        <v>1</v>
      </c>
      <c r="L69" s="62" t="str">
        <f t="shared" si="5"/>
        <v>Check</v>
      </c>
    </row>
    <row r="70" spans="2:12" ht="22.05" customHeight="1">
      <c r="B70" s="14" t="s">
        <v>273</v>
      </c>
      <c r="C70" s="14" t="s">
        <v>274</v>
      </c>
      <c r="D70" s="14" t="s">
        <v>215</v>
      </c>
      <c r="F70" s="60">
        <f>Consumption_PL!M28</f>
        <v>42</v>
      </c>
      <c r="G70" s="60">
        <f>Consumption_Issues!G27</f>
        <v>26</v>
      </c>
      <c r="H70" s="61">
        <f t="shared" si="3"/>
        <v>-16</v>
      </c>
      <c r="K70" s="30">
        <f t="shared" si="4"/>
        <v>0.61904761904761907</v>
      </c>
      <c r="L70" s="62" t="str">
        <f t="shared" si="5"/>
        <v>Check</v>
      </c>
    </row>
    <row r="71" spans="2:12" ht="22.05" customHeight="1">
      <c r="B71" s="14" t="s">
        <v>275</v>
      </c>
      <c r="C71" s="14" t="s">
        <v>276</v>
      </c>
      <c r="D71" s="14" t="s">
        <v>215</v>
      </c>
      <c r="F71" s="60">
        <f>Consumption_PL!M29</f>
        <v>0</v>
      </c>
      <c r="G71" s="60">
        <f>Consumption_Issues!G28</f>
        <v>0</v>
      </c>
      <c r="H71" s="61">
        <f t="shared" si="3"/>
        <v>0</v>
      </c>
      <c r="K71" s="30" t="str">
        <f t="shared" si="4"/>
        <v>n/a</v>
      </c>
      <c r="L71" s="62" t="str">
        <f t="shared" si="5"/>
        <v/>
      </c>
    </row>
    <row r="72" spans="2:12" ht="22.05" customHeight="1">
      <c r="B72" s="14" t="s">
        <v>277</v>
      </c>
      <c r="C72" s="14" t="s">
        <v>278</v>
      </c>
      <c r="D72" s="14" t="s">
        <v>215</v>
      </c>
      <c r="F72" s="60">
        <f>Consumption_PL!M30</f>
        <v>18</v>
      </c>
      <c r="G72" s="60">
        <f>Consumption_Issues!G29</f>
        <v>10</v>
      </c>
      <c r="H72" s="61">
        <f t="shared" si="3"/>
        <v>-8</v>
      </c>
      <c r="K72" s="30">
        <f t="shared" si="4"/>
        <v>0.55555555555555558</v>
      </c>
      <c r="L72" s="62" t="str">
        <f t="shared" si="5"/>
        <v>Check</v>
      </c>
    </row>
    <row r="73" spans="2:12" ht="22.05" customHeight="1">
      <c r="B73" s="14" t="s">
        <v>279</v>
      </c>
      <c r="C73" s="14" t="s">
        <v>280</v>
      </c>
      <c r="D73" s="14" t="s">
        <v>215</v>
      </c>
      <c r="F73" s="60">
        <f>Consumption_PL!M31</f>
        <v>1</v>
      </c>
      <c r="G73" s="60">
        <f>Consumption_Issues!G30</f>
        <v>3</v>
      </c>
      <c r="H73" s="61">
        <f t="shared" si="3"/>
        <v>2</v>
      </c>
      <c r="K73" s="30">
        <f t="shared" si="4"/>
        <v>3</v>
      </c>
      <c r="L73" s="62" t="str">
        <f t="shared" si="5"/>
        <v>Check</v>
      </c>
    </row>
    <row r="74" spans="2:12" ht="22.05" customHeight="1">
      <c r="B74" s="14" t="s">
        <v>281</v>
      </c>
      <c r="C74" s="14" t="s">
        <v>282</v>
      </c>
      <c r="D74" s="14" t="s">
        <v>215</v>
      </c>
      <c r="F74" s="60">
        <f>Consumption_PL!M32</f>
        <v>12</v>
      </c>
      <c r="G74" s="60">
        <f>Consumption_Issues!G31</f>
        <v>6</v>
      </c>
      <c r="H74" s="61">
        <f t="shared" si="3"/>
        <v>-6</v>
      </c>
      <c r="K74" s="30">
        <f t="shared" si="4"/>
        <v>0.5</v>
      </c>
      <c r="L74" s="62" t="str">
        <f t="shared" si="5"/>
        <v>Check</v>
      </c>
    </row>
    <row r="75" spans="2:12" ht="22.05" customHeight="1">
      <c r="B75" s="14" t="s">
        <v>283</v>
      </c>
      <c r="C75" s="14" t="s">
        <v>284</v>
      </c>
      <c r="D75" s="14" t="s">
        <v>215</v>
      </c>
      <c r="F75" s="60">
        <f>Consumption_PL!M33</f>
        <v>4</v>
      </c>
      <c r="G75" s="60">
        <f>Consumption_Issues!G32</f>
        <v>4</v>
      </c>
      <c r="H75" s="61">
        <f t="shared" si="3"/>
        <v>0</v>
      </c>
      <c r="K75" s="30">
        <f t="shared" si="4"/>
        <v>1</v>
      </c>
      <c r="L75" s="62" t="str">
        <f t="shared" si="5"/>
        <v>Check</v>
      </c>
    </row>
    <row r="76" spans="2:12" ht="22.05" customHeight="1">
      <c r="B76" s="14" t="s">
        <v>285</v>
      </c>
      <c r="C76" s="14" t="s">
        <v>286</v>
      </c>
      <c r="D76" s="14" t="s">
        <v>215</v>
      </c>
      <c r="F76" s="60">
        <f>Consumption_PL!M34</f>
        <v>1</v>
      </c>
      <c r="G76" s="60">
        <f>Consumption_Issues!G33</f>
        <v>1</v>
      </c>
      <c r="H76" s="61">
        <f t="shared" si="3"/>
        <v>0</v>
      </c>
      <c r="K76" s="30">
        <f t="shared" si="4"/>
        <v>1</v>
      </c>
      <c r="L76" s="62" t="str">
        <f t="shared" si="5"/>
        <v>Check</v>
      </c>
    </row>
    <row r="77" spans="2:12" ht="22.05" customHeight="1">
      <c r="B77" s="14" t="s">
        <v>287</v>
      </c>
      <c r="C77" s="14" t="s">
        <v>288</v>
      </c>
      <c r="D77" s="14" t="s">
        <v>215</v>
      </c>
      <c r="F77" s="60">
        <f>Consumption_PL!M35</f>
        <v>9</v>
      </c>
      <c r="G77" s="60">
        <f>Consumption_Issues!G34</f>
        <v>9</v>
      </c>
      <c r="H77" s="61">
        <f t="shared" si="3"/>
        <v>0</v>
      </c>
      <c r="K77" s="30">
        <f t="shared" si="4"/>
        <v>1</v>
      </c>
      <c r="L77" s="62" t="str">
        <f t="shared" si="5"/>
        <v>Check</v>
      </c>
    </row>
    <row r="78" spans="2:12" ht="22.05" customHeight="1">
      <c r="B78" s="14" t="s">
        <v>289</v>
      </c>
      <c r="C78" s="14" t="s">
        <v>290</v>
      </c>
      <c r="D78" s="14" t="s">
        <v>215</v>
      </c>
      <c r="F78" s="60">
        <f>Consumption_PL!M36</f>
        <v>0</v>
      </c>
      <c r="G78" s="60">
        <f>Consumption_Issues!G35</f>
        <v>0</v>
      </c>
      <c r="H78" s="61">
        <f t="shared" si="3"/>
        <v>0</v>
      </c>
      <c r="K78" s="30" t="str">
        <f t="shared" si="4"/>
        <v>n/a</v>
      </c>
      <c r="L78" s="62" t="str">
        <f t="shared" si="5"/>
        <v/>
      </c>
    </row>
    <row r="79" spans="2:12" ht="22.05" customHeight="1">
      <c r="B79" s="14" t="s">
        <v>291</v>
      </c>
      <c r="C79" s="14" t="s">
        <v>292</v>
      </c>
      <c r="D79" s="14" t="s">
        <v>215</v>
      </c>
      <c r="F79" s="60">
        <f>Consumption_PL!M37</f>
        <v>0</v>
      </c>
      <c r="G79" s="60">
        <f>Consumption_Issues!G36</f>
        <v>0</v>
      </c>
      <c r="H79" s="61">
        <f t="shared" si="3"/>
        <v>0</v>
      </c>
      <c r="K79" s="30" t="str">
        <f t="shared" si="4"/>
        <v>n/a</v>
      </c>
      <c r="L79" s="62" t="str">
        <f t="shared" si="5"/>
        <v/>
      </c>
    </row>
    <row r="80" spans="2:12" ht="22.05" customHeight="1">
      <c r="B80" s="14" t="s">
        <v>293</v>
      </c>
      <c r="C80" s="14" t="s">
        <v>294</v>
      </c>
      <c r="D80" s="14" t="s">
        <v>215</v>
      </c>
      <c r="F80" s="60">
        <f>Consumption_PL!M38</f>
        <v>0</v>
      </c>
      <c r="G80" s="60">
        <f>Consumption_Issues!G37</f>
        <v>3</v>
      </c>
      <c r="H80" s="61">
        <f t="shared" si="3"/>
        <v>3</v>
      </c>
      <c r="K80" s="30" t="str">
        <f t="shared" si="4"/>
        <v>n/a</v>
      </c>
      <c r="L80" s="62" t="str">
        <f t="shared" si="5"/>
        <v/>
      </c>
    </row>
    <row r="81" spans="2:13" ht="22.05" customHeight="1">
      <c r="B81" s="14" t="s">
        <v>295</v>
      </c>
      <c r="C81" s="14" t="s">
        <v>292</v>
      </c>
      <c r="D81" s="14" t="s">
        <v>215</v>
      </c>
      <c r="F81" s="60">
        <f>Consumption_PL!M39</f>
        <v>0</v>
      </c>
      <c r="G81" s="60">
        <f>Consumption_Issues!G38</f>
        <v>5</v>
      </c>
      <c r="H81" s="61">
        <f t="shared" si="3"/>
        <v>5</v>
      </c>
      <c r="K81" s="30" t="str">
        <f t="shared" si="4"/>
        <v>n/a</v>
      </c>
      <c r="L81" s="62" t="str">
        <f t="shared" si="5"/>
        <v/>
      </c>
    </row>
    <row r="82" spans="2:13" ht="22.05" customHeight="1">
      <c r="B82" s="14" t="s">
        <v>296</v>
      </c>
      <c r="C82" s="14" t="s">
        <v>297</v>
      </c>
      <c r="D82" s="14" t="s">
        <v>215</v>
      </c>
      <c r="F82" s="60">
        <f>Consumption_PL!M40</f>
        <v>0</v>
      </c>
      <c r="G82" s="60">
        <f>Consumption_Issues!G39</f>
        <v>2</v>
      </c>
      <c r="H82" s="61">
        <f t="shared" si="3"/>
        <v>2</v>
      </c>
      <c r="K82" s="30" t="str">
        <f t="shared" si="4"/>
        <v>n/a</v>
      </c>
      <c r="L82" s="62" t="str">
        <f t="shared" si="5"/>
        <v/>
      </c>
    </row>
    <row r="83" spans="2:13" ht="22.05" customHeight="1">
      <c r="B83" s="14" t="s">
        <v>298</v>
      </c>
      <c r="C83" s="14" t="s">
        <v>299</v>
      </c>
      <c r="D83" s="14" t="s">
        <v>215</v>
      </c>
      <c r="F83" s="60">
        <f>Consumption_PL!M41</f>
        <v>3</v>
      </c>
      <c r="G83" s="60">
        <f>Consumption_Issues!G40</f>
        <v>1</v>
      </c>
      <c r="H83" s="61">
        <f t="shared" si="3"/>
        <v>-2</v>
      </c>
      <c r="K83" s="30">
        <f t="shared" si="4"/>
        <v>0.33333333333333331</v>
      </c>
      <c r="L83" s="62" t="str">
        <f t="shared" si="5"/>
        <v>Check</v>
      </c>
    </row>
    <row r="84" spans="2:13" ht="22.05" customHeight="1">
      <c r="B84" s="14" t="s">
        <v>300</v>
      </c>
      <c r="C84" s="14" t="s">
        <v>301</v>
      </c>
      <c r="D84" s="14" t="s">
        <v>215</v>
      </c>
      <c r="F84" s="60">
        <f>Consumption_PL!M42</f>
        <v>0</v>
      </c>
      <c r="G84" s="60">
        <f>Consumption_Issues!G41</f>
        <v>2</v>
      </c>
      <c r="H84" s="61">
        <f t="shared" si="3"/>
        <v>2</v>
      </c>
      <c r="K84" s="30" t="str">
        <f t="shared" si="4"/>
        <v>n/a</v>
      </c>
      <c r="L84" s="62" t="str">
        <f t="shared" si="5"/>
        <v/>
      </c>
    </row>
    <row r="85" spans="2:13" ht="22.05" customHeight="1">
      <c r="B85" s="14" t="s">
        <v>222</v>
      </c>
      <c r="C85" s="14" t="s">
        <v>223</v>
      </c>
      <c r="D85" s="14" t="s">
        <v>215</v>
      </c>
      <c r="F85" s="60">
        <f>Consumption_PL!M43</f>
        <v>0</v>
      </c>
      <c r="G85" s="60">
        <f>Consumption_Issues!G42</f>
        <v>51</v>
      </c>
      <c r="H85" s="61">
        <f t="shared" si="3"/>
        <v>51</v>
      </c>
      <c r="K85" s="30" t="str">
        <f t="shared" si="4"/>
        <v>n/a</v>
      </c>
      <c r="L85" s="62" t="str">
        <f t="shared" si="5"/>
        <v/>
      </c>
    </row>
    <row r="86" spans="2:13" ht="22.05" customHeight="1">
      <c r="B86" s="14" t="s">
        <v>418</v>
      </c>
      <c r="C86" s="14" t="s">
        <v>419</v>
      </c>
      <c r="D86" s="14" t="s">
        <v>215</v>
      </c>
      <c r="F86" s="60">
        <f>Consumption_PL!M44</f>
        <v>406</v>
      </c>
      <c r="G86" s="60">
        <f>Consumption_Issues!G43</f>
        <v>0</v>
      </c>
      <c r="H86" s="61">
        <f t="shared" si="3"/>
        <v>-406</v>
      </c>
      <c r="K86" s="30">
        <f t="shared" si="4"/>
        <v>0</v>
      </c>
      <c r="L86" s="62" t="str">
        <f t="shared" si="5"/>
        <v>Check</v>
      </c>
    </row>
    <row r="87" spans="2:13" ht="22.05" customHeight="1">
      <c r="B87" s="14" t="s">
        <v>420</v>
      </c>
      <c r="C87" s="14" t="s">
        <v>421</v>
      </c>
      <c r="D87" s="14" t="s">
        <v>215</v>
      </c>
      <c r="F87" s="60">
        <f>Consumption_PL!M45</f>
        <v>94</v>
      </c>
      <c r="G87" s="60">
        <f>Consumption_Issues!G44</f>
        <v>0</v>
      </c>
      <c r="H87" s="61">
        <f t="shared" si="3"/>
        <v>-94</v>
      </c>
      <c r="K87" s="30">
        <f t="shared" si="4"/>
        <v>0</v>
      </c>
      <c r="L87" s="62" t="str">
        <f t="shared" si="5"/>
        <v>Check</v>
      </c>
    </row>
    <row r="88" spans="2:13">
      <c r="C88" s="58" t="s">
        <v>446</v>
      </c>
      <c r="F88" s="59">
        <f>SUM(F50:F87)</f>
        <v>10200</v>
      </c>
      <c r="G88" s="59">
        <f>SUM(G50:G87)</f>
        <v>5062</v>
      </c>
      <c r="H88" s="59">
        <f>SUM(H50:H87)</f>
        <v>-5138</v>
      </c>
      <c r="K88" s="63">
        <f t="shared" si="4"/>
        <v>0.49627450980392157</v>
      </c>
    </row>
    <row r="90" spans="2:13" ht="24" customHeight="1">
      <c r="B90" s="4" t="s">
        <v>447</v>
      </c>
      <c r="C90" s="5"/>
      <c r="D90" s="5"/>
      <c r="E90" s="5"/>
      <c r="F90" s="5"/>
      <c r="G90" s="5"/>
      <c r="H90" s="5"/>
      <c r="I90" s="5"/>
      <c r="J90" s="5"/>
      <c r="K90" s="5"/>
    </row>
    <row r="91" spans="2:13" ht="46.05" customHeight="1">
      <c r="B91" s="8" t="s">
        <v>210</v>
      </c>
      <c r="C91" s="8" t="s">
        <v>206</v>
      </c>
      <c r="D91" s="8" t="s">
        <v>98</v>
      </c>
      <c r="E91" s="8"/>
      <c r="F91" s="8" t="s">
        <v>439</v>
      </c>
      <c r="G91" s="8" t="s">
        <v>440</v>
      </c>
      <c r="H91" s="8" t="s">
        <v>441</v>
      </c>
      <c r="I91" s="8"/>
      <c r="J91" s="8"/>
      <c r="K91" s="8" t="s">
        <v>442</v>
      </c>
      <c r="L91" s="8"/>
      <c r="M91" s="8" t="s">
        <v>443</v>
      </c>
    </row>
    <row r="92" spans="2:13" ht="22.05" customHeight="1">
      <c r="B92" s="14" t="s">
        <v>410</v>
      </c>
      <c r="C92" s="14" t="s">
        <v>411</v>
      </c>
      <c r="D92" s="14" t="s">
        <v>215</v>
      </c>
      <c r="F92" s="60">
        <f>Consumption_PL!Q8</f>
        <v>1</v>
      </c>
      <c r="G92" s="60">
        <f>Consumption_Issues!H7</f>
        <v>0</v>
      </c>
      <c r="H92" s="61">
        <f t="shared" ref="H92:H129" si="6">G92-F92</f>
        <v>-1</v>
      </c>
      <c r="K92" s="30">
        <f t="shared" ref="K92:K130" si="7">IF(F92&lt;=0,"n/a",G92/F92)</f>
        <v>0</v>
      </c>
      <c r="L92" s="62" t="str">
        <f t="shared" ref="L92:L129" si="8">IF(F92&lt;=0,"",IF(OR(J92&lt;0.5,J92&gt;1.5),"Check",""))</f>
        <v>Check</v>
      </c>
    </row>
    <row r="93" spans="2:13" ht="22.05" customHeight="1">
      <c r="B93" s="14" t="s">
        <v>261</v>
      </c>
      <c r="C93" s="14" t="s">
        <v>262</v>
      </c>
      <c r="D93" s="14" t="s">
        <v>215</v>
      </c>
      <c r="F93" s="60">
        <f>Consumption_PL!Q9</f>
        <v>10</v>
      </c>
      <c r="G93" s="60">
        <f>Consumption_Issues!H8</f>
        <v>10</v>
      </c>
      <c r="H93" s="61">
        <f t="shared" si="6"/>
        <v>0</v>
      </c>
      <c r="K93" s="30">
        <f t="shared" si="7"/>
        <v>1</v>
      </c>
      <c r="L93" s="62" t="str">
        <f t="shared" si="8"/>
        <v>Check</v>
      </c>
    </row>
    <row r="94" spans="2:13" ht="22.05" customHeight="1">
      <c r="B94" s="14" t="s">
        <v>263</v>
      </c>
      <c r="C94" s="14" t="s">
        <v>264</v>
      </c>
      <c r="D94" s="14" t="s">
        <v>215</v>
      </c>
      <c r="F94" s="60">
        <f>Consumption_PL!Q10</f>
        <v>10</v>
      </c>
      <c r="G94" s="60">
        <f>Consumption_Issues!H9</f>
        <v>10</v>
      </c>
      <c r="H94" s="61">
        <f t="shared" si="6"/>
        <v>0</v>
      </c>
      <c r="K94" s="30">
        <f t="shared" si="7"/>
        <v>1</v>
      </c>
      <c r="L94" s="62" t="str">
        <f t="shared" si="8"/>
        <v>Check</v>
      </c>
    </row>
    <row r="95" spans="2:13" ht="22.05" customHeight="1">
      <c r="B95" s="14" t="s">
        <v>251</v>
      </c>
      <c r="C95" s="14" t="s">
        <v>252</v>
      </c>
      <c r="D95" s="14" t="s">
        <v>215</v>
      </c>
      <c r="F95" s="60">
        <f>Consumption_PL!Q11</f>
        <v>45</v>
      </c>
      <c r="G95" s="60">
        <f>Consumption_Issues!H10</f>
        <v>2</v>
      </c>
      <c r="H95" s="61">
        <f t="shared" si="6"/>
        <v>-43</v>
      </c>
      <c r="K95" s="30">
        <f t="shared" si="7"/>
        <v>4.4444444444444446E-2</v>
      </c>
      <c r="L95" s="62" t="str">
        <f t="shared" si="8"/>
        <v>Check</v>
      </c>
    </row>
    <row r="96" spans="2:13" ht="22.05" customHeight="1">
      <c r="B96" s="14" t="s">
        <v>213</v>
      </c>
      <c r="C96" s="14" t="s">
        <v>214</v>
      </c>
      <c r="D96" s="14" t="s">
        <v>215</v>
      </c>
      <c r="F96" s="60">
        <f>Consumption_PL!Q12</f>
        <v>-257</v>
      </c>
      <c r="G96" s="60">
        <f>Consumption_Issues!H11</f>
        <v>150</v>
      </c>
      <c r="H96" s="61">
        <f t="shared" si="6"/>
        <v>407</v>
      </c>
      <c r="K96" s="30" t="str">
        <f t="shared" si="7"/>
        <v>n/a</v>
      </c>
      <c r="L96" s="62" t="str">
        <f t="shared" si="8"/>
        <v/>
      </c>
    </row>
    <row r="97" spans="2:12" ht="22.05" customHeight="1">
      <c r="B97" s="14" t="s">
        <v>216</v>
      </c>
      <c r="C97" s="14" t="s">
        <v>217</v>
      </c>
      <c r="D97" s="14" t="s">
        <v>215</v>
      </c>
      <c r="F97" s="60">
        <f>Consumption_PL!Q13</f>
        <v>401</v>
      </c>
      <c r="G97" s="60">
        <f>Consumption_Issues!H12</f>
        <v>270</v>
      </c>
      <c r="H97" s="61">
        <f t="shared" si="6"/>
        <v>-131</v>
      </c>
      <c r="K97" s="30">
        <f t="shared" si="7"/>
        <v>0.67331670822942646</v>
      </c>
      <c r="L97" s="62" t="str">
        <f t="shared" si="8"/>
        <v>Check</v>
      </c>
    </row>
    <row r="98" spans="2:12" ht="22.05" customHeight="1">
      <c r="B98" s="14" t="s">
        <v>218</v>
      </c>
      <c r="C98" s="14" t="s">
        <v>219</v>
      </c>
      <c r="D98" s="14" t="s">
        <v>215</v>
      </c>
      <c r="F98" s="60">
        <f>Consumption_PL!Q14</f>
        <v>2159</v>
      </c>
      <c r="G98" s="60">
        <f>Consumption_Issues!H13</f>
        <v>728</v>
      </c>
      <c r="H98" s="61">
        <f t="shared" si="6"/>
        <v>-1431</v>
      </c>
      <c r="K98" s="30">
        <f t="shared" si="7"/>
        <v>0.33719314497452524</v>
      </c>
      <c r="L98" s="62" t="str">
        <f t="shared" si="8"/>
        <v>Check</v>
      </c>
    </row>
    <row r="99" spans="2:12" ht="22.05" customHeight="1">
      <c r="B99" s="14" t="s">
        <v>220</v>
      </c>
      <c r="C99" s="14" t="s">
        <v>221</v>
      </c>
      <c r="D99" s="14" t="s">
        <v>215</v>
      </c>
      <c r="F99" s="60">
        <f>Consumption_PL!Q15</f>
        <v>4163</v>
      </c>
      <c r="G99" s="60">
        <f>Consumption_Issues!H14</f>
        <v>1602</v>
      </c>
      <c r="H99" s="61">
        <f t="shared" si="6"/>
        <v>-2561</v>
      </c>
      <c r="K99" s="30">
        <f t="shared" si="7"/>
        <v>0.38481864040355512</v>
      </c>
      <c r="L99" s="62" t="str">
        <f t="shared" si="8"/>
        <v>Check</v>
      </c>
    </row>
    <row r="100" spans="2:12" ht="22.05" customHeight="1">
      <c r="B100" s="14" t="s">
        <v>412</v>
      </c>
      <c r="C100" s="14" t="s">
        <v>413</v>
      </c>
      <c r="D100" s="14" t="s">
        <v>215</v>
      </c>
      <c r="F100" s="60">
        <f>Consumption_PL!Q16</f>
        <v>0</v>
      </c>
      <c r="G100" s="60">
        <f>Consumption_Issues!H15</f>
        <v>0</v>
      </c>
      <c r="H100" s="61">
        <f t="shared" si="6"/>
        <v>0</v>
      </c>
      <c r="K100" s="30" t="str">
        <f t="shared" si="7"/>
        <v>n/a</v>
      </c>
      <c r="L100" s="62" t="str">
        <f t="shared" si="8"/>
        <v/>
      </c>
    </row>
    <row r="101" spans="2:12" ht="22.05" customHeight="1">
      <c r="B101" s="14" t="s">
        <v>414</v>
      </c>
      <c r="C101" s="14" t="s">
        <v>415</v>
      </c>
      <c r="D101" s="14" t="s">
        <v>215</v>
      </c>
      <c r="F101" s="60">
        <f>Consumption_PL!Q17</f>
        <v>2602</v>
      </c>
      <c r="G101" s="60">
        <f>Consumption_Issues!H16</f>
        <v>780</v>
      </c>
      <c r="H101" s="61">
        <f t="shared" si="6"/>
        <v>-1822</v>
      </c>
      <c r="K101" s="30">
        <f t="shared" si="7"/>
        <v>0.2997694081475788</v>
      </c>
      <c r="L101" s="62" t="str">
        <f t="shared" si="8"/>
        <v>Check</v>
      </c>
    </row>
    <row r="102" spans="2:12" ht="22.05" customHeight="1">
      <c r="B102" s="14" t="s">
        <v>416</v>
      </c>
      <c r="C102" s="14" t="s">
        <v>417</v>
      </c>
      <c r="D102" s="14" t="s">
        <v>215</v>
      </c>
      <c r="F102" s="60">
        <f>Consumption_PL!Q18</f>
        <v>4490</v>
      </c>
      <c r="G102" s="60">
        <f>Consumption_Issues!H17</f>
        <v>1733</v>
      </c>
      <c r="H102" s="61">
        <f t="shared" si="6"/>
        <v>-2757</v>
      </c>
      <c r="K102" s="30">
        <f t="shared" si="7"/>
        <v>0.38596881959910911</v>
      </c>
      <c r="L102" s="62" t="str">
        <f t="shared" si="8"/>
        <v>Check</v>
      </c>
    </row>
    <row r="103" spans="2:12" ht="22.05" customHeight="1">
      <c r="B103" s="14" t="s">
        <v>224</v>
      </c>
      <c r="C103" s="14" t="s">
        <v>225</v>
      </c>
      <c r="D103" s="14" t="s">
        <v>226</v>
      </c>
      <c r="F103" s="60">
        <f>Consumption_PL!Q19</f>
        <v>821</v>
      </c>
      <c r="G103" s="60">
        <f>Consumption_Issues!H18</f>
        <v>369</v>
      </c>
      <c r="H103" s="61">
        <f t="shared" si="6"/>
        <v>-452</v>
      </c>
      <c r="K103" s="30">
        <f t="shared" si="7"/>
        <v>0.44945188794153473</v>
      </c>
      <c r="L103" s="62" t="str">
        <f t="shared" si="8"/>
        <v>Check</v>
      </c>
    </row>
    <row r="104" spans="2:12" ht="22.05" customHeight="1">
      <c r="B104" s="14" t="s">
        <v>253</v>
      </c>
      <c r="C104" s="14" t="s">
        <v>254</v>
      </c>
      <c r="D104" s="14" t="s">
        <v>215</v>
      </c>
      <c r="F104" s="60">
        <f>Consumption_PL!Q20</f>
        <v>34</v>
      </c>
      <c r="G104" s="60">
        <f>Consumption_Issues!H19</f>
        <v>32</v>
      </c>
      <c r="H104" s="61">
        <f t="shared" si="6"/>
        <v>-2</v>
      </c>
      <c r="K104" s="30">
        <f t="shared" si="7"/>
        <v>0.94117647058823528</v>
      </c>
      <c r="L104" s="62" t="str">
        <f t="shared" si="8"/>
        <v>Check</v>
      </c>
    </row>
    <row r="105" spans="2:12" ht="22.05" customHeight="1">
      <c r="B105" s="14" t="s">
        <v>255</v>
      </c>
      <c r="C105" s="14" t="s">
        <v>256</v>
      </c>
      <c r="D105" s="14" t="s">
        <v>215</v>
      </c>
      <c r="F105" s="60">
        <f>Consumption_PL!Q21</f>
        <v>16</v>
      </c>
      <c r="G105" s="60">
        <f>Consumption_Issues!H20</f>
        <v>10</v>
      </c>
      <c r="H105" s="61">
        <f t="shared" si="6"/>
        <v>-6</v>
      </c>
      <c r="K105" s="30">
        <f t="shared" si="7"/>
        <v>0.625</v>
      </c>
      <c r="L105" s="62" t="str">
        <f t="shared" si="8"/>
        <v>Check</v>
      </c>
    </row>
    <row r="106" spans="2:12" ht="22.05" customHeight="1">
      <c r="B106" s="14" t="s">
        <v>257</v>
      </c>
      <c r="C106" s="14" t="s">
        <v>258</v>
      </c>
      <c r="D106" s="14" t="s">
        <v>215</v>
      </c>
      <c r="F106" s="60">
        <f>Consumption_PL!Q22</f>
        <v>14</v>
      </c>
      <c r="G106" s="60">
        <f>Consumption_Issues!H21</f>
        <v>14</v>
      </c>
      <c r="H106" s="61">
        <f t="shared" si="6"/>
        <v>0</v>
      </c>
      <c r="K106" s="30">
        <f t="shared" si="7"/>
        <v>1</v>
      </c>
      <c r="L106" s="62" t="str">
        <f t="shared" si="8"/>
        <v>Check</v>
      </c>
    </row>
    <row r="107" spans="2:12" ht="22.05" customHeight="1">
      <c r="B107" s="14" t="s">
        <v>259</v>
      </c>
      <c r="C107" s="14" t="s">
        <v>260</v>
      </c>
      <c r="D107" s="14" t="s">
        <v>215</v>
      </c>
      <c r="F107" s="60">
        <f>Consumption_PL!Q23</f>
        <v>3</v>
      </c>
      <c r="G107" s="60">
        <f>Consumption_Issues!H22</f>
        <v>3</v>
      </c>
      <c r="H107" s="61">
        <f t="shared" si="6"/>
        <v>0</v>
      </c>
      <c r="K107" s="30">
        <f t="shared" si="7"/>
        <v>1</v>
      </c>
      <c r="L107" s="62" t="str">
        <f t="shared" si="8"/>
        <v>Check</v>
      </c>
    </row>
    <row r="108" spans="2:12" ht="22.05" customHeight="1">
      <c r="B108" s="14" t="s">
        <v>265</v>
      </c>
      <c r="C108" s="14" t="s">
        <v>266</v>
      </c>
      <c r="D108" s="14" t="s">
        <v>215</v>
      </c>
      <c r="F108" s="60">
        <f>Consumption_PL!Q24</f>
        <v>0</v>
      </c>
      <c r="G108" s="60">
        <f>Consumption_Issues!H23</f>
        <v>10</v>
      </c>
      <c r="H108" s="61">
        <f t="shared" si="6"/>
        <v>10</v>
      </c>
      <c r="K108" s="30" t="str">
        <f t="shared" si="7"/>
        <v>n/a</v>
      </c>
      <c r="L108" s="62" t="str">
        <f t="shared" si="8"/>
        <v/>
      </c>
    </row>
    <row r="109" spans="2:12" ht="22.05" customHeight="1">
      <c r="B109" s="14" t="s">
        <v>267</v>
      </c>
      <c r="C109" s="14" t="s">
        <v>268</v>
      </c>
      <c r="D109" s="14" t="s">
        <v>215</v>
      </c>
      <c r="F109" s="60">
        <f>Consumption_PL!Q25</f>
        <v>10</v>
      </c>
      <c r="G109" s="60">
        <f>Consumption_Issues!H24</f>
        <v>10</v>
      </c>
      <c r="H109" s="61">
        <f t="shared" si="6"/>
        <v>0</v>
      </c>
      <c r="K109" s="30">
        <f t="shared" si="7"/>
        <v>1</v>
      </c>
      <c r="L109" s="62" t="str">
        <f t="shared" si="8"/>
        <v>Check</v>
      </c>
    </row>
    <row r="110" spans="2:12" ht="22.05" customHeight="1">
      <c r="B110" s="14" t="s">
        <v>269</v>
      </c>
      <c r="C110" s="14" t="s">
        <v>270</v>
      </c>
      <c r="D110" s="14" t="s">
        <v>215</v>
      </c>
      <c r="F110" s="60">
        <f>Consumption_PL!Q26</f>
        <v>14</v>
      </c>
      <c r="G110" s="60">
        <f>Consumption_Issues!H25</f>
        <v>14</v>
      </c>
      <c r="H110" s="61">
        <f t="shared" si="6"/>
        <v>0</v>
      </c>
      <c r="K110" s="30">
        <f t="shared" si="7"/>
        <v>1</v>
      </c>
      <c r="L110" s="62" t="str">
        <f t="shared" si="8"/>
        <v>Check</v>
      </c>
    </row>
    <row r="111" spans="2:12" ht="22.05" customHeight="1">
      <c r="B111" s="14" t="s">
        <v>271</v>
      </c>
      <c r="C111" s="14" t="s">
        <v>272</v>
      </c>
      <c r="D111" s="14" t="s">
        <v>215</v>
      </c>
      <c r="F111" s="60">
        <f>Consumption_PL!Q27</f>
        <v>1</v>
      </c>
      <c r="G111" s="60">
        <f>Consumption_Issues!H26</f>
        <v>3</v>
      </c>
      <c r="H111" s="61">
        <f t="shared" si="6"/>
        <v>2</v>
      </c>
      <c r="K111" s="30">
        <f t="shared" si="7"/>
        <v>3</v>
      </c>
      <c r="L111" s="62" t="str">
        <f t="shared" si="8"/>
        <v>Check</v>
      </c>
    </row>
    <row r="112" spans="2:12" ht="22.05" customHeight="1">
      <c r="B112" s="14" t="s">
        <v>273</v>
      </c>
      <c r="C112" s="14" t="s">
        <v>274</v>
      </c>
      <c r="D112" s="14" t="s">
        <v>215</v>
      </c>
      <c r="F112" s="60">
        <f>Consumption_PL!Q28</f>
        <v>20</v>
      </c>
      <c r="G112" s="60">
        <f>Consumption_Issues!H27</f>
        <v>30</v>
      </c>
      <c r="H112" s="61">
        <f t="shared" si="6"/>
        <v>10</v>
      </c>
      <c r="K112" s="30">
        <f t="shared" si="7"/>
        <v>1.5</v>
      </c>
      <c r="L112" s="62" t="str">
        <f t="shared" si="8"/>
        <v>Check</v>
      </c>
    </row>
    <row r="113" spans="2:12" ht="22.05" customHeight="1">
      <c r="B113" s="14" t="s">
        <v>275</v>
      </c>
      <c r="C113" s="14" t="s">
        <v>276</v>
      </c>
      <c r="D113" s="14" t="s">
        <v>215</v>
      </c>
      <c r="F113" s="60">
        <f>Consumption_PL!Q29</f>
        <v>7</v>
      </c>
      <c r="G113" s="60">
        <f>Consumption_Issues!H28</f>
        <v>0</v>
      </c>
      <c r="H113" s="61">
        <f t="shared" si="6"/>
        <v>-7</v>
      </c>
      <c r="K113" s="30">
        <f t="shared" si="7"/>
        <v>0</v>
      </c>
      <c r="L113" s="62" t="str">
        <f t="shared" si="8"/>
        <v>Check</v>
      </c>
    </row>
    <row r="114" spans="2:12" ht="22.05" customHeight="1">
      <c r="B114" s="14" t="s">
        <v>277</v>
      </c>
      <c r="C114" s="14" t="s">
        <v>278</v>
      </c>
      <c r="D114" s="14" t="s">
        <v>215</v>
      </c>
      <c r="F114" s="60">
        <f>Consumption_PL!Q30</f>
        <v>16</v>
      </c>
      <c r="G114" s="60">
        <f>Consumption_Issues!H29</f>
        <v>2</v>
      </c>
      <c r="H114" s="61">
        <f t="shared" si="6"/>
        <v>-14</v>
      </c>
      <c r="K114" s="30">
        <f t="shared" si="7"/>
        <v>0.125</v>
      </c>
      <c r="L114" s="62" t="str">
        <f t="shared" si="8"/>
        <v>Check</v>
      </c>
    </row>
    <row r="115" spans="2:12" ht="22.05" customHeight="1">
      <c r="B115" s="14" t="s">
        <v>279</v>
      </c>
      <c r="C115" s="14" t="s">
        <v>280</v>
      </c>
      <c r="D115" s="14" t="s">
        <v>215</v>
      </c>
      <c r="F115" s="60">
        <f>Consumption_PL!Q31</f>
        <v>3</v>
      </c>
      <c r="G115" s="60">
        <f>Consumption_Issues!H30</f>
        <v>0</v>
      </c>
      <c r="H115" s="61">
        <f t="shared" si="6"/>
        <v>-3</v>
      </c>
      <c r="K115" s="30">
        <f t="shared" si="7"/>
        <v>0</v>
      </c>
      <c r="L115" s="62" t="str">
        <f t="shared" si="8"/>
        <v>Check</v>
      </c>
    </row>
    <row r="116" spans="2:12" ht="22.05" customHeight="1">
      <c r="B116" s="14" t="s">
        <v>281</v>
      </c>
      <c r="C116" s="14" t="s">
        <v>282</v>
      </c>
      <c r="D116" s="14" t="s">
        <v>215</v>
      </c>
      <c r="F116" s="60">
        <f>Consumption_PL!Q32</f>
        <v>0</v>
      </c>
      <c r="G116" s="60">
        <f>Consumption_Issues!H31</f>
        <v>0</v>
      </c>
      <c r="H116" s="61">
        <f t="shared" si="6"/>
        <v>0</v>
      </c>
      <c r="K116" s="30" t="str">
        <f t="shared" si="7"/>
        <v>n/a</v>
      </c>
      <c r="L116" s="62" t="str">
        <f t="shared" si="8"/>
        <v/>
      </c>
    </row>
    <row r="117" spans="2:12" ht="22.05" customHeight="1">
      <c r="B117" s="14" t="s">
        <v>283</v>
      </c>
      <c r="C117" s="14" t="s">
        <v>284</v>
      </c>
      <c r="D117" s="14" t="s">
        <v>215</v>
      </c>
      <c r="F117" s="60">
        <f>Consumption_PL!Q33</f>
        <v>1</v>
      </c>
      <c r="G117" s="60">
        <f>Consumption_Issues!H32</f>
        <v>1</v>
      </c>
      <c r="H117" s="61">
        <f t="shared" si="6"/>
        <v>0</v>
      </c>
      <c r="K117" s="30">
        <f t="shared" si="7"/>
        <v>1</v>
      </c>
      <c r="L117" s="62" t="str">
        <f t="shared" si="8"/>
        <v>Check</v>
      </c>
    </row>
    <row r="118" spans="2:12" ht="22.05" customHeight="1">
      <c r="B118" s="14" t="s">
        <v>285</v>
      </c>
      <c r="C118" s="14" t="s">
        <v>286</v>
      </c>
      <c r="D118" s="14" t="s">
        <v>215</v>
      </c>
      <c r="F118" s="60">
        <f>Consumption_PL!Q34</f>
        <v>1</v>
      </c>
      <c r="G118" s="60">
        <f>Consumption_Issues!H33</f>
        <v>1</v>
      </c>
      <c r="H118" s="61">
        <f t="shared" si="6"/>
        <v>0</v>
      </c>
      <c r="K118" s="30">
        <f t="shared" si="7"/>
        <v>1</v>
      </c>
      <c r="L118" s="62" t="str">
        <f t="shared" si="8"/>
        <v>Check</v>
      </c>
    </row>
    <row r="119" spans="2:12" ht="22.05" customHeight="1">
      <c r="B119" s="14" t="s">
        <v>287</v>
      </c>
      <c r="C119" s="14" t="s">
        <v>288</v>
      </c>
      <c r="D119" s="14" t="s">
        <v>215</v>
      </c>
      <c r="F119" s="60">
        <f>Consumption_PL!Q35</f>
        <v>12</v>
      </c>
      <c r="G119" s="60">
        <f>Consumption_Issues!H34</f>
        <v>9</v>
      </c>
      <c r="H119" s="61">
        <f t="shared" si="6"/>
        <v>-3</v>
      </c>
      <c r="K119" s="30">
        <f t="shared" si="7"/>
        <v>0.75</v>
      </c>
      <c r="L119" s="62" t="str">
        <f t="shared" si="8"/>
        <v>Check</v>
      </c>
    </row>
    <row r="120" spans="2:12" ht="22.05" customHeight="1">
      <c r="B120" s="14" t="s">
        <v>289</v>
      </c>
      <c r="C120" s="14" t="s">
        <v>290</v>
      </c>
      <c r="D120" s="14" t="s">
        <v>215</v>
      </c>
      <c r="F120" s="60">
        <f>Consumption_PL!Q36</f>
        <v>2</v>
      </c>
      <c r="G120" s="60">
        <f>Consumption_Issues!H35</f>
        <v>2</v>
      </c>
      <c r="H120" s="61">
        <f t="shared" si="6"/>
        <v>0</v>
      </c>
      <c r="K120" s="30">
        <f t="shared" si="7"/>
        <v>1</v>
      </c>
      <c r="L120" s="62" t="str">
        <f t="shared" si="8"/>
        <v>Check</v>
      </c>
    </row>
    <row r="121" spans="2:12" ht="22.05" customHeight="1">
      <c r="B121" s="14" t="s">
        <v>291</v>
      </c>
      <c r="C121" s="14" t="s">
        <v>292</v>
      </c>
      <c r="D121" s="14" t="s">
        <v>215</v>
      </c>
      <c r="F121" s="60">
        <f>Consumption_PL!Q37</f>
        <v>4</v>
      </c>
      <c r="G121" s="60">
        <f>Consumption_Issues!H36</f>
        <v>0</v>
      </c>
      <c r="H121" s="61">
        <f t="shared" si="6"/>
        <v>-4</v>
      </c>
      <c r="K121" s="30">
        <f t="shared" si="7"/>
        <v>0</v>
      </c>
      <c r="L121" s="62" t="str">
        <f t="shared" si="8"/>
        <v>Check</v>
      </c>
    </row>
    <row r="122" spans="2:12" ht="22.05" customHeight="1">
      <c r="B122" s="14" t="s">
        <v>293</v>
      </c>
      <c r="C122" s="14" t="s">
        <v>294</v>
      </c>
      <c r="D122" s="14" t="s">
        <v>215</v>
      </c>
      <c r="F122" s="60">
        <f>Consumption_PL!Q38</f>
        <v>9</v>
      </c>
      <c r="G122" s="60">
        <f>Consumption_Issues!H37</f>
        <v>5</v>
      </c>
      <c r="H122" s="61">
        <f t="shared" si="6"/>
        <v>-4</v>
      </c>
      <c r="K122" s="30">
        <f t="shared" si="7"/>
        <v>0.55555555555555558</v>
      </c>
      <c r="L122" s="62" t="str">
        <f t="shared" si="8"/>
        <v>Check</v>
      </c>
    </row>
    <row r="123" spans="2:12" ht="22.05" customHeight="1">
      <c r="B123" s="14" t="s">
        <v>295</v>
      </c>
      <c r="C123" s="14" t="s">
        <v>292</v>
      </c>
      <c r="D123" s="14" t="s">
        <v>215</v>
      </c>
      <c r="F123" s="60">
        <f>Consumption_PL!Q39</f>
        <v>2</v>
      </c>
      <c r="G123" s="60">
        <f>Consumption_Issues!H38</f>
        <v>6</v>
      </c>
      <c r="H123" s="61">
        <f t="shared" si="6"/>
        <v>4</v>
      </c>
      <c r="K123" s="30">
        <f t="shared" si="7"/>
        <v>3</v>
      </c>
      <c r="L123" s="62" t="str">
        <f t="shared" si="8"/>
        <v>Check</v>
      </c>
    </row>
    <row r="124" spans="2:12" ht="22.05" customHeight="1">
      <c r="B124" s="14" t="s">
        <v>296</v>
      </c>
      <c r="C124" s="14" t="s">
        <v>297</v>
      </c>
      <c r="D124" s="14" t="s">
        <v>215</v>
      </c>
      <c r="F124" s="60">
        <f>Consumption_PL!Q40</f>
        <v>2</v>
      </c>
      <c r="G124" s="60">
        <f>Consumption_Issues!H39</f>
        <v>2</v>
      </c>
      <c r="H124" s="61">
        <f t="shared" si="6"/>
        <v>0</v>
      </c>
      <c r="K124" s="30">
        <f t="shared" si="7"/>
        <v>1</v>
      </c>
      <c r="L124" s="62" t="str">
        <f t="shared" si="8"/>
        <v>Check</v>
      </c>
    </row>
    <row r="125" spans="2:12" ht="22.05" customHeight="1">
      <c r="B125" s="14" t="s">
        <v>298</v>
      </c>
      <c r="C125" s="14" t="s">
        <v>299</v>
      </c>
      <c r="D125" s="14" t="s">
        <v>215</v>
      </c>
      <c r="F125" s="60">
        <f>Consumption_PL!Q41</f>
        <v>1</v>
      </c>
      <c r="G125" s="60">
        <f>Consumption_Issues!H40</f>
        <v>2</v>
      </c>
      <c r="H125" s="61">
        <f t="shared" si="6"/>
        <v>1</v>
      </c>
      <c r="K125" s="30">
        <f t="shared" si="7"/>
        <v>2</v>
      </c>
      <c r="L125" s="62" t="str">
        <f t="shared" si="8"/>
        <v>Check</v>
      </c>
    </row>
    <row r="126" spans="2:12" ht="22.05" customHeight="1">
      <c r="B126" s="14" t="s">
        <v>300</v>
      </c>
      <c r="C126" s="14" t="s">
        <v>301</v>
      </c>
      <c r="D126" s="14" t="s">
        <v>215</v>
      </c>
      <c r="F126" s="60">
        <f>Consumption_PL!Q42</f>
        <v>5</v>
      </c>
      <c r="G126" s="60">
        <f>Consumption_Issues!H41</f>
        <v>0</v>
      </c>
      <c r="H126" s="61">
        <f t="shared" si="6"/>
        <v>-5</v>
      </c>
      <c r="K126" s="30">
        <f t="shared" si="7"/>
        <v>0</v>
      </c>
      <c r="L126" s="62" t="str">
        <f t="shared" si="8"/>
        <v>Check</v>
      </c>
    </row>
    <row r="127" spans="2:12" ht="22.05" customHeight="1">
      <c r="B127" s="14" t="s">
        <v>222</v>
      </c>
      <c r="C127" s="14" t="s">
        <v>223</v>
      </c>
      <c r="D127" s="14" t="s">
        <v>215</v>
      </c>
      <c r="F127" s="60">
        <f>Consumption_PL!Q43</f>
        <v>60</v>
      </c>
      <c r="G127" s="60">
        <f>Consumption_Issues!H42</f>
        <v>18</v>
      </c>
      <c r="H127" s="61">
        <f t="shared" si="6"/>
        <v>-42</v>
      </c>
      <c r="K127" s="30">
        <f t="shared" si="7"/>
        <v>0.3</v>
      </c>
      <c r="L127" s="62" t="str">
        <f t="shared" si="8"/>
        <v>Check</v>
      </c>
    </row>
    <row r="128" spans="2:12" ht="22.05" customHeight="1">
      <c r="B128" s="14" t="s">
        <v>418</v>
      </c>
      <c r="C128" s="14" t="s">
        <v>419</v>
      </c>
      <c r="D128" s="14" t="s">
        <v>215</v>
      </c>
      <c r="F128" s="60">
        <f>Consumption_PL!Q44</f>
        <v>0</v>
      </c>
      <c r="G128" s="60">
        <f>Consumption_Issues!H43</f>
        <v>50</v>
      </c>
      <c r="H128" s="61">
        <f t="shared" si="6"/>
        <v>50</v>
      </c>
      <c r="K128" s="30" t="str">
        <f t="shared" si="7"/>
        <v>n/a</v>
      </c>
      <c r="L128" s="62" t="str">
        <f t="shared" si="8"/>
        <v/>
      </c>
    </row>
    <row r="129" spans="2:13" ht="22.05" customHeight="1">
      <c r="B129" s="14" t="s">
        <v>420</v>
      </c>
      <c r="C129" s="14" t="s">
        <v>421</v>
      </c>
      <c r="D129" s="14" t="s">
        <v>215</v>
      </c>
      <c r="F129" s="60">
        <f>Consumption_PL!Q45</f>
        <v>26</v>
      </c>
      <c r="G129" s="60">
        <f>Consumption_Issues!H44</f>
        <v>38</v>
      </c>
      <c r="H129" s="61">
        <f t="shared" si="6"/>
        <v>12</v>
      </c>
      <c r="K129" s="30">
        <f t="shared" si="7"/>
        <v>1.4615384615384615</v>
      </c>
      <c r="L129" s="62" t="str">
        <f t="shared" si="8"/>
        <v>Check</v>
      </c>
    </row>
    <row r="130" spans="2:13">
      <c r="C130" s="58" t="s">
        <v>448</v>
      </c>
      <c r="F130" s="59">
        <f>SUM(F92:F129)</f>
        <v>14708</v>
      </c>
      <c r="G130" s="59">
        <f>SUM(G92:G129)</f>
        <v>5916</v>
      </c>
      <c r="H130" s="59">
        <f>SUM(H92:H129)</f>
        <v>-8792</v>
      </c>
      <c r="K130" s="63">
        <f t="shared" si="7"/>
        <v>0.40223007886864293</v>
      </c>
    </row>
    <row r="132" spans="2:13" ht="24" customHeight="1">
      <c r="B132" s="4" t="s">
        <v>449</v>
      </c>
      <c r="C132" s="5"/>
      <c r="D132" s="5"/>
      <c r="E132" s="5"/>
      <c r="F132" s="5"/>
      <c r="G132" s="5"/>
      <c r="H132" s="5"/>
      <c r="I132" s="5"/>
      <c r="J132" s="5"/>
      <c r="K132" s="5"/>
    </row>
    <row r="133" spans="2:13" ht="46.05" customHeight="1">
      <c r="B133" s="8" t="s">
        <v>210</v>
      </c>
      <c r="C133" s="8" t="s">
        <v>206</v>
      </c>
      <c r="D133" s="8" t="s">
        <v>98</v>
      </c>
      <c r="E133" s="8"/>
      <c r="F133" s="8" t="s">
        <v>439</v>
      </c>
      <c r="G133" s="8" t="s">
        <v>440</v>
      </c>
      <c r="H133" s="8" t="s">
        <v>441</v>
      </c>
      <c r="I133" s="8"/>
      <c r="J133" s="8"/>
      <c r="K133" s="8" t="s">
        <v>442</v>
      </c>
      <c r="L133" s="8"/>
      <c r="M133" s="8" t="s">
        <v>443</v>
      </c>
    </row>
    <row r="134" spans="2:13" ht="22.05" customHeight="1">
      <c r="B134" s="14" t="s">
        <v>410</v>
      </c>
      <c r="C134" s="14" t="s">
        <v>411</v>
      </c>
      <c r="D134" s="14" t="s">
        <v>215</v>
      </c>
      <c r="F134" s="60">
        <f>Consumption_PL!U8</f>
        <v>-1</v>
      </c>
      <c r="G134" s="60">
        <f>Consumption_Issues!I7</f>
        <v>2</v>
      </c>
      <c r="H134" s="61">
        <f t="shared" ref="H134:H171" si="9">G134-F134</f>
        <v>3</v>
      </c>
      <c r="K134" s="30" t="str">
        <f t="shared" ref="K134:K172" si="10">IF(F134&lt;=0,"n/a",G134/F134)</f>
        <v>n/a</v>
      </c>
      <c r="L134" s="62" t="str">
        <f t="shared" ref="L134:L171" si="11">IF(F134&lt;=0,"",IF(OR(J134&lt;0.5,J134&gt;1.5),"Check",""))</f>
        <v/>
      </c>
    </row>
    <row r="135" spans="2:13" ht="22.05" customHeight="1">
      <c r="B135" s="14" t="s">
        <v>261</v>
      </c>
      <c r="C135" s="14" t="s">
        <v>262</v>
      </c>
      <c r="D135" s="14" t="s">
        <v>215</v>
      </c>
      <c r="F135" s="60">
        <f>Consumption_PL!U9</f>
        <v>0</v>
      </c>
      <c r="G135" s="60">
        <f>Consumption_Issues!I8</f>
        <v>120</v>
      </c>
      <c r="H135" s="61">
        <f t="shared" si="9"/>
        <v>120</v>
      </c>
      <c r="K135" s="30" t="str">
        <f t="shared" si="10"/>
        <v>n/a</v>
      </c>
      <c r="L135" s="62" t="str">
        <f t="shared" si="11"/>
        <v/>
      </c>
    </row>
    <row r="136" spans="2:13" ht="22.05" customHeight="1">
      <c r="B136" s="14" t="s">
        <v>263</v>
      </c>
      <c r="C136" s="14" t="s">
        <v>264</v>
      </c>
      <c r="D136" s="14" t="s">
        <v>215</v>
      </c>
      <c r="F136" s="60">
        <f>Consumption_PL!U10</f>
        <v>25</v>
      </c>
      <c r="G136" s="60">
        <f>Consumption_Issues!I9</f>
        <v>72</v>
      </c>
      <c r="H136" s="61">
        <f t="shared" si="9"/>
        <v>47</v>
      </c>
      <c r="K136" s="30">
        <f t="shared" si="10"/>
        <v>2.88</v>
      </c>
      <c r="L136" s="62" t="str">
        <f t="shared" si="11"/>
        <v>Check</v>
      </c>
    </row>
    <row r="137" spans="2:13" ht="22.05" customHeight="1">
      <c r="B137" s="14" t="s">
        <v>251</v>
      </c>
      <c r="C137" s="14" t="s">
        <v>252</v>
      </c>
      <c r="D137" s="14" t="s">
        <v>215</v>
      </c>
      <c r="F137" s="60">
        <f>Consumption_PL!U11</f>
        <v>1</v>
      </c>
      <c r="G137" s="60">
        <f>Consumption_Issues!I10</f>
        <v>10</v>
      </c>
      <c r="H137" s="61">
        <f t="shared" si="9"/>
        <v>9</v>
      </c>
      <c r="K137" s="30">
        <f t="shared" si="10"/>
        <v>10</v>
      </c>
      <c r="L137" s="62" t="str">
        <f t="shared" si="11"/>
        <v>Check</v>
      </c>
    </row>
    <row r="138" spans="2:13" ht="22.05" customHeight="1">
      <c r="B138" s="14" t="s">
        <v>213</v>
      </c>
      <c r="C138" s="14" t="s">
        <v>214</v>
      </c>
      <c r="D138" s="14" t="s">
        <v>215</v>
      </c>
      <c r="F138" s="60">
        <f>Consumption_PL!U12</f>
        <v>80</v>
      </c>
      <c r="G138" s="60">
        <f>Consumption_Issues!I11</f>
        <v>150</v>
      </c>
      <c r="H138" s="61">
        <f t="shared" si="9"/>
        <v>70</v>
      </c>
      <c r="K138" s="30">
        <f t="shared" si="10"/>
        <v>1.875</v>
      </c>
      <c r="L138" s="62" t="str">
        <f t="shared" si="11"/>
        <v>Check</v>
      </c>
    </row>
    <row r="139" spans="2:13" ht="22.05" customHeight="1">
      <c r="B139" s="14" t="s">
        <v>216</v>
      </c>
      <c r="C139" s="14" t="s">
        <v>217</v>
      </c>
      <c r="D139" s="14" t="s">
        <v>215</v>
      </c>
      <c r="F139" s="60">
        <f>Consumption_PL!U13</f>
        <v>320</v>
      </c>
      <c r="G139" s="60">
        <f>Consumption_Issues!I12</f>
        <v>446</v>
      </c>
      <c r="H139" s="61">
        <f t="shared" si="9"/>
        <v>126</v>
      </c>
      <c r="K139" s="30">
        <f t="shared" si="10"/>
        <v>1.39375</v>
      </c>
      <c r="L139" s="62" t="str">
        <f t="shared" si="11"/>
        <v>Check</v>
      </c>
    </row>
    <row r="140" spans="2:13" ht="22.05" customHeight="1">
      <c r="B140" s="14" t="s">
        <v>218</v>
      </c>
      <c r="C140" s="14" t="s">
        <v>219</v>
      </c>
      <c r="D140" s="14" t="s">
        <v>215</v>
      </c>
      <c r="F140" s="60">
        <f>Consumption_PL!U14</f>
        <v>2286</v>
      </c>
      <c r="G140" s="60">
        <f>Consumption_Issues!I13</f>
        <v>2234</v>
      </c>
      <c r="H140" s="61">
        <f t="shared" si="9"/>
        <v>-52</v>
      </c>
      <c r="K140" s="30">
        <f t="shared" si="10"/>
        <v>0.97725284339457563</v>
      </c>
      <c r="L140" s="62" t="str">
        <f t="shared" si="11"/>
        <v>Check</v>
      </c>
    </row>
    <row r="141" spans="2:13" ht="22.05" customHeight="1">
      <c r="B141" s="14" t="s">
        <v>220</v>
      </c>
      <c r="C141" s="14" t="s">
        <v>221</v>
      </c>
      <c r="D141" s="14" t="s">
        <v>215</v>
      </c>
      <c r="F141" s="60">
        <f>Consumption_PL!U15</f>
        <v>3319</v>
      </c>
      <c r="G141" s="60">
        <f>Consumption_Issues!I14</f>
        <v>4339</v>
      </c>
      <c r="H141" s="61">
        <f t="shared" si="9"/>
        <v>1020</v>
      </c>
      <c r="K141" s="30">
        <f t="shared" si="10"/>
        <v>1.3073214823742092</v>
      </c>
      <c r="L141" s="62" t="str">
        <f t="shared" si="11"/>
        <v>Check</v>
      </c>
    </row>
    <row r="142" spans="2:13" ht="22.05" customHeight="1">
      <c r="B142" s="14" t="s">
        <v>412</v>
      </c>
      <c r="C142" s="14" t="s">
        <v>413</v>
      </c>
      <c r="D142" s="14" t="s">
        <v>215</v>
      </c>
      <c r="F142" s="60">
        <f>Consumption_PL!U16</f>
        <v>209</v>
      </c>
      <c r="G142" s="60">
        <f>Consumption_Issues!I15</f>
        <v>0</v>
      </c>
      <c r="H142" s="61">
        <f t="shared" si="9"/>
        <v>-209</v>
      </c>
      <c r="K142" s="30">
        <f t="shared" si="10"/>
        <v>0</v>
      </c>
      <c r="L142" s="62" t="str">
        <f t="shared" si="11"/>
        <v>Check</v>
      </c>
    </row>
    <row r="143" spans="2:13" ht="22.05" customHeight="1">
      <c r="B143" s="14" t="s">
        <v>414</v>
      </c>
      <c r="C143" s="14" t="s">
        <v>415</v>
      </c>
      <c r="D143" s="14" t="s">
        <v>215</v>
      </c>
      <c r="F143" s="60">
        <f>Consumption_PL!U17</f>
        <v>3230</v>
      </c>
      <c r="G143" s="60">
        <f>Consumption_Issues!I16</f>
        <v>800</v>
      </c>
      <c r="H143" s="61">
        <f t="shared" si="9"/>
        <v>-2430</v>
      </c>
      <c r="K143" s="30">
        <f t="shared" si="10"/>
        <v>0.24767801857585139</v>
      </c>
      <c r="L143" s="62" t="str">
        <f t="shared" si="11"/>
        <v>Check</v>
      </c>
    </row>
    <row r="144" spans="2:13" ht="22.05" customHeight="1">
      <c r="B144" s="14" t="s">
        <v>416</v>
      </c>
      <c r="C144" s="14" t="s">
        <v>417</v>
      </c>
      <c r="D144" s="14" t="s">
        <v>215</v>
      </c>
      <c r="F144" s="60">
        <f>Consumption_PL!U18</f>
        <v>4398</v>
      </c>
      <c r="G144" s="60">
        <f>Consumption_Issues!I17</f>
        <v>7474</v>
      </c>
      <c r="H144" s="61">
        <f t="shared" si="9"/>
        <v>3076</v>
      </c>
      <c r="K144" s="30">
        <f t="shared" si="10"/>
        <v>1.6994088221919055</v>
      </c>
      <c r="L144" s="62" t="str">
        <f t="shared" si="11"/>
        <v>Check</v>
      </c>
    </row>
    <row r="145" spans="2:12" ht="22.05" customHeight="1">
      <c r="B145" s="14" t="s">
        <v>224</v>
      </c>
      <c r="C145" s="14" t="s">
        <v>225</v>
      </c>
      <c r="D145" s="14" t="s">
        <v>226</v>
      </c>
      <c r="F145" s="60">
        <f>Consumption_PL!U19</f>
        <v>769</v>
      </c>
      <c r="G145" s="60">
        <f>Consumption_Issues!I18</f>
        <v>799</v>
      </c>
      <c r="H145" s="61">
        <f t="shared" si="9"/>
        <v>30</v>
      </c>
      <c r="K145" s="30">
        <f t="shared" si="10"/>
        <v>1.0390117035110533</v>
      </c>
      <c r="L145" s="62" t="str">
        <f t="shared" si="11"/>
        <v>Check</v>
      </c>
    </row>
    <row r="146" spans="2:12" ht="22.05" customHeight="1">
      <c r="B146" s="14" t="s">
        <v>253</v>
      </c>
      <c r="C146" s="14" t="s">
        <v>254</v>
      </c>
      <c r="D146" s="14" t="s">
        <v>215</v>
      </c>
      <c r="F146" s="60">
        <f>Consumption_PL!U20</f>
        <v>24</v>
      </c>
      <c r="G146" s="60">
        <f>Consumption_Issues!I19</f>
        <v>61</v>
      </c>
      <c r="H146" s="61">
        <f t="shared" si="9"/>
        <v>37</v>
      </c>
      <c r="K146" s="30">
        <f t="shared" si="10"/>
        <v>2.5416666666666665</v>
      </c>
      <c r="L146" s="62" t="str">
        <f t="shared" si="11"/>
        <v>Check</v>
      </c>
    </row>
    <row r="147" spans="2:12" ht="22.05" customHeight="1">
      <c r="B147" s="14" t="s">
        <v>255</v>
      </c>
      <c r="C147" s="14" t="s">
        <v>256</v>
      </c>
      <c r="D147" s="14" t="s">
        <v>215</v>
      </c>
      <c r="F147" s="60">
        <f>Consumption_PL!U21</f>
        <v>16</v>
      </c>
      <c r="G147" s="60">
        <f>Consumption_Issues!I20</f>
        <v>26</v>
      </c>
      <c r="H147" s="61">
        <f t="shared" si="9"/>
        <v>10</v>
      </c>
      <c r="K147" s="30">
        <f t="shared" si="10"/>
        <v>1.625</v>
      </c>
      <c r="L147" s="62" t="str">
        <f t="shared" si="11"/>
        <v>Check</v>
      </c>
    </row>
    <row r="148" spans="2:12" ht="22.05" customHeight="1">
      <c r="B148" s="14" t="s">
        <v>257</v>
      </c>
      <c r="C148" s="14" t="s">
        <v>258</v>
      </c>
      <c r="D148" s="14" t="s">
        <v>215</v>
      </c>
      <c r="F148" s="60">
        <f>Consumption_PL!U22</f>
        <v>20</v>
      </c>
      <c r="G148" s="60">
        <f>Consumption_Issues!I21</f>
        <v>31</v>
      </c>
      <c r="H148" s="61">
        <f t="shared" si="9"/>
        <v>11</v>
      </c>
      <c r="K148" s="30">
        <f t="shared" si="10"/>
        <v>1.55</v>
      </c>
      <c r="L148" s="62" t="str">
        <f t="shared" si="11"/>
        <v>Check</v>
      </c>
    </row>
    <row r="149" spans="2:12" ht="22.05" customHeight="1">
      <c r="B149" s="14" t="s">
        <v>259</v>
      </c>
      <c r="C149" s="14" t="s">
        <v>260</v>
      </c>
      <c r="D149" s="14" t="s">
        <v>215</v>
      </c>
      <c r="F149" s="60">
        <f>Consumption_PL!U23</f>
        <v>0</v>
      </c>
      <c r="G149" s="60">
        <f>Consumption_Issues!I22</f>
        <v>9</v>
      </c>
      <c r="H149" s="61">
        <f t="shared" si="9"/>
        <v>9</v>
      </c>
      <c r="K149" s="30" t="str">
        <f t="shared" si="10"/>
        <v>n/a</v>
      </c>
      <c r="L149" s="62" t="str">
        <f t="shared" si="11"/>
        <v/>
      </c>
    </row>
    <row r="150" spans="2:12" ht="22.05" customHeight="1">
      <c r="B150" s="14" t="s">
        <v>265</v>
      </c>
      <c r="C150" s="14" t="s">
        <v>266</v>
      </c>
      <c r="D150" s="14" t="s">
        <v>215</v>
      </c>
      <c r="F150" s="60">
        <f>Consumption_PL!U24</f>
        <v>35</v>
      </c>
      <c r="G150" s="60">
        <f>Consumption_Issues!I23</f>
        <v>10</v>
      </c>
      <c r="H150" s="61">
        <f t="shared" si="9"/>
        <v>-25</v>
      </c>
      <c r="K150" s="30">
        <f t="shared" si="10"/>
        <v>0.2857142857142857</v>
      </c>
      <c r="L150" s="62" t="str">
        <f t="shared" si="11"/>
        <v>Check</v>
      </c>
    </row>
    <row r="151" spans="2:12" ht="22.05" customHeight="1">
      <c r="B151" s="14" t="s">
        <v>267</v>
      </c>
      <c r="C151" s="14" t="s">
        <v>268</v>
      </c>
      <c r="D151" s="14" t="s">
        <v>215</v>
      </c>
      <c r="F151" s="60">
        <f>Consumption_PL!U25</f>
        <v>15</v>
      </c>
      <c r="G151" s="60">
        <f>Consumption_Issues!I24</f>
        <v>33</v>
      </c>
      <c r="H151" s="61">
        <f t="shared" si="9"/>
        <v>18</v>
      </c>
      <c r="K151" s="30">
        <f t="shared" si="10"/>
        <v>2.2000000000000002</v>
      </c>
      <c r="L151" s="62" t="str">
        <f t="shared" si="11"/>
        <v>Check</v>
      </c>
    </row>
    <row r="152" spans="2:12" ht="22.05" customHeight="1">
      <c r="B152" s="14" t="s">
        <v>269</v>
      </c>
      <c r="C152" s="14" t="s">
        <v>270</v>
      </c>
      <c r="D152" s="14" t="s">
        <v>215</v>
      </c>
      <c r="F152" s="60">
        <f>Consumption_PL!U26</f>
        <v>12</v>
      </c>
      <c r="G152" s="60">
        <f>Consumption_Issues!I25</f>
        <v>26</v>
      </c>
      <c r="H152" s="61">
        <f t="shared" si="9"/>
        <v>14</v>
      </c>
      <c r="K152" s="30">
        <f t="shared" si="10"/>
        <v>2.1666666666666665</v>
      </c>
      <c r="L152" s="62" t="str">
        <f t="shared" si="11"/>
        <v>Check</v>
      </c>
    </row>
    <row r="153" spans="2:12" ht="22.05" customHeight="1">
      <c r="B153" s="14" t="s">
        <v>271</v>
      </c>
      <c r="C153" s="14" t="s">
        <v>272</v>
      </c>
      <c r="D153" s="14" t="s">
        <v>215</v>
      </c>
      <c r="F153" s="60">
        <f>Consumption_PL!U27</f>
        <v>12</v>
      </c>
      <c r="G153" s="60">
        <f>Consumption_Issues!I26</f>
        <v>50</v>
      </c>
      <c r="H153" s="61">
        <f t="shared" si="9"/>
        <v>38</v>
      </c>
      <c r="K153" s="30">
        <f t="shared" si="10"/>
        <v>4.166666666666667</v>
      </c>
      <c r="L153" s="62" t="str">
        <f t="shared" si="11"/>
        <v>Check</v>
      </c>
    </row>
    <row r="154" spans="2:12" ht="22.05" customHeight="1">
      <c r="B154" s="14" t="s">
        <v>273</v>
      </c>
      <c r="C154" s="14" t="s">
        <v>274</v>
      </c>
      <c r="D154" s="14" t="s">
        <v>215</v>
      </c>
      <c r="F154" s="60">
        <f>Consumption_PL!U28</f>
        <v>70</v>
      </c>
      <c r="G154" s="60">
        <f>Consumption_Issues!I27</f>
        <v>116</v>
      </c>
      <c r="H154" s="61">
        <f t="shared" si="9"/>
        <v>46</v>
      </c>
      <c r="K154" s="30">
        <f t="shared" si="10"/>
        <v>1.6571428571428573</v>
      </c>
      <c r="L154" s="62" t="str">
        <f t="shared" si="11"/>
        <v>Check</v>
      </c>
    </row>
    <row r="155" spans="2:12" ht="22.05" customHeight="1">
      <c r="B155" s="14" t="s">
        <v>275</v>
      </c>
      <c r="C155" s="14" t="s">
        <v>276</v>
      </c>
      <c r="D155" s="14" t="s">
        <v>215</v>
      </c>
      <c r="F155" s="60">
        <f>Consumption_PL!U29</f>
        <v>19</v>
      </c>
      <c r="G155" s="60">
        <f>Consumption_Issues!I28</f>
        <v>1</v>
      </c>
      <c r="H155" s="61">
        <f t="shared" si="9"/>
        <v>-18</v>
      </c>
      <c r="K155" s="30">
        <f t="shared" si="10"/>
        <v>5.2631578947368418E-2</v>
      </c>
      <c r="L155" s="62" t="str">
        <f t="shared" si="11"/>
        <v>Check</v>
      </c>
    </row>
    <row r="156" spans="2:12" ht="22.05" customHeight="1">
      <c r="B156" s="14" t="s">
        <v>277</v>
      </c>
      <c r="C156" s="14" t="s">
        <v>278</v>
      </c>
      <c r="D156" s="14" t="s">
        <v>215</v>
      </c>
      <c r="F156" s="60">
        <f>Consumption_PL!U30</f>
        <v>24</v>
      </c>
      <c r="G156" s="60">
        <f>Consumption_Issues!I29</f>
        <v>13</v>
      </c>
      <c r="H156" s="61">
        <f t="shared" si="9"/>
        <v>-11</v>
      </c>
      <c r="K156" s="30">
        <f t="shared" si="10"/>
        <v>0.54166666666666663</v>
      </c>
      <c r="L156" s="62" t="str">
        <f t="shared" si="11"/>
        <v>Check</v>
      </c>
    </row>
    <row r="157" spans="2:12" ht="22.05" customHeight="1">
      <c r="B157" s="14" t="s">
        <v>279</v>
      </c>
      <c r="C157" s="14" t="s">
        <v>280</v>
      </c>
      <c r="D157" s="14" t="s">
        <v>215</v>
      </c>
      <c r="F157" s="60">
        <f>Consumption_PL!U31</f>
        <v>4</v>
      </c>
      <c r="G157" s="60">
        <f>Consumption_Issues!I30</f>
        <v>4</v>
      </c>
      <c r="H157" s="61">
        <f t="shared" si="9"/>
        <v>0</v>
      </c>
      <c r="K157" s="30">
        <f t="shared" si="10"/>
        <v>1</v>
      </c>
      <c r="L157" s="62" t="str">
        <f t="shared" si="11"/>
        <v>Check</v>
      </c>
    </row>
    <row r="158" spans="2:12" ht="22.05" customHeight="1">
      <c r="B158" s="14" t="s">
        <v>281</v>
      </c>
      <c r="C158" s="14" t="s">
        <v>282</v>
      </c>
      <c r="D158" s="14" t="s">
        <v>215</v>
      </c>
      <c r="F158" s="60">
        <f>Consumption_PL!U32</f>
        <v>4</v>
      </c>
      <c r="G158" s="60">
        <f>Consumption_Issues!I31</f>
        <v>10</v>
      </c>
      <c r="H158" s="61">
        <f t="shared" si="9"/>
        <v>6</v>
      </c>
      <c r="K158" s="30">
        <f t="shared" si="10"/>
        <v>2.5</v>
      </c>
      <c r="L158" s="62" t="str">
        <f t="shared" si="11"/>
        <v>Check</v>
      </c>
    </row>
    <row r="159" spans="2:12" ht="22.05" customHeight="1">
      <c r="B159" s="14" t="s">
        <v>283</v>
      </c>
      <c r="C159" s="14" t="s">
        <v>284</v>
      </c>
      <c r="D159" s="14" t="s">
        <v>215</v>
      </c>
      <c r="F159" s="60">
        <f>Consumption_PL!U33</f>
        <v>1</v>
      </c>
      <c r="G159" s="60">
        <f>Consumption_Issues!I32</f>
        <v>5</v>
      </c>
      <c r="H159" s="61">
        <f t="shared" si="9"/>
        <v>4</v>
      </c>
      <c r="K159" s="30">
        <f t="shared" si="10"/>
        <v>5</v>
      </c>
      <c r="L159" s="62" t="str">
        <f t="shared" si="11"/>
        <v>Check</v>
      </c>
    </row>
    <row r="160" spans="2:12" ht="22.05" customHeight="1">
      <c r="B160" s="14" t="s">
        <v>285</v>
      </c>
      <c r="C160" s="14" t="s">
        <v>286</v>
      </c>
      <c r="D160" s="14" t="s">
        <v>215</v>
      </c>
      <c r="F160" s="60">
        <f>Consumption_PL!U34</f>
        <v>1</v>
      </c>
      <c r="G160" s="60">
        <f>Consumption_Issues!I33</f>
        <v>2</v>
      </c>
      <c r="H160" s="61">
        <f t="shared" si="9"/>
        <v>1</v>
      </c>
      <c r="K160" s="30">
        <f t="shared" si="10"/>
        <v>2</v>
      </c>
      <c r="L160" s="62" t="str">
        <f t="shared" si="11"/>
        <v>Check</v>
      </c>
    </row>
    <row r="161" spans="2:13" ht="22.05" customHeight="1">
      <c r="B161" s="14" t="s">
        <v>287</v>
      </c>
      <c r="C161" s="14" t="s">
        <v>288</v>
      </c>
      <c r="D161" s="14" t="s">
        <v>215</v>
      </c>
      <c r="F161" s="60">
        <f>Consumption_PL!U35</f>
        <v>4</v>
      </c>
      <c r="G161" s="60">
        <f>Consumption_Issues!I34</f>
        <v>18</v>
      </c>
      <c r="H161" s="61">
        <f t="shared" si="9"/>
        <v>14</v>
      </c>
      <c r="K161" s="30">
        <f t="shared" si="10"/>
        <v>4.5</v>
      </c>
      <c r="L161" s="62" t="str">
        <f t="shared" si="11"/>
        <v>Check</v>
      </c>
    </row>
    <row r="162" spans="2:13" ht="22.05" customHeight="1">
      <c r="B162" s="14" t="s">
        <v>289</v>
      </c>
      <c r="C162" s="14" t="s">
        <v>290</v>
      </c>
      <c r="D162" s="14" t="s">
        <v>215</v>
      </c>
      <c r="F162" s="60">
        <f>Consumption_PL!U36</f>
        <v>1</v>
      </c>
      <c r="G162" s="60">
        <f>Consumption_Issues!I35</f>
        <v>2</v>
      </c>
      <c r="H162" s="61">
        <f t="shared" si="9"/>
        <v>1</v>
      </c>
      <c r="K162" s="30">
        <f t="shared" si="10"/>
        <v>2</v>
      </c>
      <c r="L162" s="62" t="str">
        <f t="shared" si="11"/>
        <v>Check</v>
      </c>
    </row>
    <row r="163" spans="2:13" ht="22.05" customHeight="1">
      <c r="B163" s="14" t="s">
        <v>291</v>
      </c>
      <c r="C163" s="14" t="s">
        <v>292</v>
      </c>
      <c r="D163" s="14" t="s">
        <v>215</v>
      </c>
      <c r="F163" s="60">
        <f>Consumption_PL!U37</f>
        <v>2</v>
      </c>
      <c r="G163" s="60">
        <f>Consumption_Issues!I36</f>
        <v>0</v>
      </c>
      <c r="H163" s="61">
        <f t="shared" si="9"/>
        <v>-2</v>
      </c>
      <c r="K163" s="30">
        <f t="shared" si="10"/>
        <v>0</v>
      </c>
      <c r="L163" s="62" t="str">
        <f t="shared" si="11"/>
        <v>Check</v>
      </c>
    </row>
    <row r="164" spans="2:13" ht="22.05" customHeight="1">
      <c r="B164" s="14" t="s">
        <v>293</v>
      </c>
      <c r="C164" s="14" t="s">
        <v>294</v>
      </c>
      <c r="D164" s="14" t="s">
        <v>215</v>
      </c>
      <c r="F164" s="60">
        <f>Consumption_PL!U38</f>
        <v>1</v>
      </c>
      <c r="G164" s="60">
        <f>Consumption_Issues!I37</f>
        <v>12</v>
      </c>
      <c r="H164" s="61">
        <f t="shared" si="9"/>
        <v>11</v>
      </c>
      <c r="K164" s="30">
        <f t="shared" si="10"/>
        <v>12</v>
      </c>
      <c r="L164" s="62" t="str">
        <f t="shared" si="11"/>
        <v>Check</v>
      </c>
    </row>
    <row r="165" spans="2:13" ht="22.05" customHeight="1">
      <c r="B165" s="14" t="s">
        <v>295</v>
      </c>
      <c r="C165" s="14" t="s">
        <v>292</v>
      </c>
      <c r="D165" s="14" t="s">
        <v>215</v>
      </c>
      <c r="F165" s="60">
        <f>Consumption_PL!U39</f>
        <v>1</v>
      </c>
      <c r="G165" s="60">
        <f>Consumption_Issues!I38</f>
        <v>11</v>
      </c>
      <c r="H165" s="61">
        <f t="shared" si="9"/>
        <v>10</v>
      </c>
      <c r="K165" s="30">
        <f t="shared" si="10"/>
        <v>11</v>
      </c>
      <c r="L165" s="62" t="str">
        <f t="shared" si="11"/>
        <v>Check</v>
      </c>
    </row>
    <row r="166" spans="2:13" ht="22.05" customHeight="1">
      <c r="B166" s="14" t="s">
        <v>296</v>
      </c>
      <c r="C166" s="14" t="s">
        <v>297</v>
      </c>
      <c r="D166" s="14" t="s">
        <v>215</v>
      </c>
      <c r="F166" s="60">
        <f>Consumption_PL!U40</f>
        <v>0</v>
      </c>
      <c r="G166" s="60">
        <f>Consumption_Issues!I39</f>
        <v>4</v>
      </c>
      <c r="H166" s="61">
        <f t="shared" si="9"/>
        <v>4</v>
      </c>
      <c r="K166" s="30" t="str">
        <f t="shared" si="10"/>
        <v>n/a</v>
      </c>
      <c r="L166" s="62" t="str">
        <f t="shared" si="11"/>
        <v/>
      </c>
    </row>
    <row r="167" spans="2:13" ht="22.05" customHeight="1">
      <c r="B167" s="14" t="s">
        <v>298</v>
      </c>
      <c r="C167" s="14" t="s">
        <v>299</v>
      </c>
      <c r="D167" s="14" t="s">
        <v>215</v>
      </c>
      <c r="F167" s="60">
        <f>Consumption_PL!U41</f>
        <v>4</v>
      </c>
      <c r="G167" s="60">
        <f>Consumption_Issues!I40</f>
        <v>3</v>
      </c>
      <c r="H167" s="61">
        <f t="shared" si="9"/>
        <v>-1</v>
      </c>
      <c r="K167" s="30">
        <f t="shared" si="10"/>
        <v>0.75</v>
      </c>
      <c r="L167" s="62" t="str">
        <f t="shared" si="11"/>
        <v>Check</v>
      </c>
    </row>
    <row r="168" spans="2:13" ht="22.05" customHeight="1">
      <c r="B168" s="14" t="s">
        <v>300</v>
      </c>
      <c r="C168" s="14" t="s">
        <v>301</v>
      </c>
      <c r="D168" s="14" t="s">
        <v>215</v>
      </c>
      <c r="F168" s="60">
        <f>Consumption_PL!U42</f>
        <v>0</v>
      </c>
      <c r="G168" s="60">
        <f>Consumption_Issues!I41</f>
        <v>2</v>
      </c>
      <c r="H168" s="61">
        <f t="shared" si="9"/>
        <v>2</v>
      </c>
      <c r="K168" s="30" t="str">
        <f t="shared" si="10"/>
        <v>n/a</v>
      </c>
      <c r="L168" s="62" t="str">
        <f t="shared" si="11"/>
        <v/>
      </c>
    </row>
    <row r="169" spans="2:13" ht="22.05" customHeight="1">
      <c r="B169" s="14" t="s">
        <v>222</v>
      </c>
      <c r="C169" s="14" t="s">
        <v>223</v>
      </c>
      <c r="D169" s="14" t="s">
        <v>215</v>
      </c>
      <c r="F169" s="60">
        <f>Consumption_PL!U43</f>
        <v>60</v>
      </c>
      <c r="G169" s="60">
        <f>Consumption_Issues!I42</f>
        <v>69</v>
      </c>
      <c r="H169" s="61">
        <f t="shared" si="9"/>
        <v>9</v>
      </c>
      <c r="K169" s="30">
        <f t="shared" si="10"/>
        <v>1.1499999999999999</v>
      </c>
      <c r="L169" s="62" t="str">
        <f t="shared" si="11"/>
        <v>Check</v>
      </c>
    </row>
    <row r="170" spans="2:13" ht="22.05" customHeight="1">
      <c r="B170" s="14" t="s">
        <v>418</v>
      </c>
      <c r="C170" s="14" t="s">
        <v>419</v>
      </c>
      <c r="D170" s="14" t="s">
        <v>215</v>
      </c>
      <c r="F170" s="60">
        <f>Consumption_PL!U44</f>
        <v>141</v>
      </c>
      <c r="G170" s="60">
        <f>Consumption_Issues!I43</f>
        <v>100</v>
      </c>
      <c r="H170" s="61">
        <f t="shared" si="9"/>
        <v>-41</v>
      </c>
      <c r="K170" s="30">
        <f t="shared" si="10"/>
        <v>0.70921985815602839</v>
      </c>
      <c r="L170" s="62" t="str">
        <f t="shared" si="11"/>
        <v>Check</v>
      </c>
    </row>
    <row r="171" spans="2:13" ht="22.05" customHeight="1">
      <c r="B171" s="14" t="s">
        <v>420</v>
      </c>
      <c r="C171" s="14" t="s">
        <v>421</v>
      </c>
      <c r="D171" s="14" t="s">
        <v>215</v>
      </c>
      <c r="F171" s="60">
        <f>Consumption_PL!U45</f>
        <v>157</v>
      </c>
      <c r="G171" s="60">
        <f>Consumption_Issues!I44</f>
        <v>38</v>
      </c>
      <c r="H171" s="61">
        <f t="shared" si="9"/>
        <v>-119</v>
      </c>
      <c r="K171" s="30">
        <f t="shared" si="10"/>
        <v>0.24203821656050956</v>
      </c>
      <c r="L171" s="62" t="str">
        <f t="shared" si="11"/>
        <v>Check</v>
      </c>
    </row>
    <row r="172" spans="2:13">
      <c r="C172" s="58" t="s">
        <v>450</v>
      </c>
      <c r="F172" s="59">
        <f>SUM(F134:F171)</f>
        <v>15264</v>
      </c>
      <c r="G172" s="59">
        <f>SUM(G134:G171)</f>
        <v>17102</v>
      </c>
      <c r="H172" s="59">
        <f>SUM(H134:H171)</f>
        <v>1838</v>
      </c>
      <c r="K172" s="63">
        <f t="shared" si="10"/>
        <v>1.1204140461215932</v>
      </c>
    </row>
    <row r="174" spans="2:13" ht="24" customHeight="1">
      <c r="B174" s="4" t="s">
        <v>451</v>
      </c>
      <c r="C174" s="5"/>
      <c r="D174" s="5"/>
      <c r="E174" s="5"/>
      <c r="F174" s="5"/>
      <c r="G174" s="5"/>
      <c r="H174" s="5"/>
      <c r="I174" s="5"/>
      <c r="J174" s="5"/>
      <c r="K174" s="5"/>
    </row>
    <row r="175" spans="2:13" ht="46.05" customHeight="1">
      <c r="B175" s="8" t="s">
        <v>97</v>
      </c>
      <c r="C175" s="8"/>
      <c r="D175" s="8"/>
      <c r="E175" s="8"/>
      <c r="F175" s="8" t="s">
        <v>439</v>
      </c>
      <c r="G175" s="8" t="s">
        <v>440</v>
      </c>
      <c r="H175" s="8" t="s">
        <v>441</v>
      </c>
      <c r="I175" s="8"/>
      <c r="J175" s="8"/>
      <c r="K175" s="8" t="s">
        <v>442</v>
      </c>
      <c r="L175" s="8"/>
      <c r="M175" s="8"/>
    </row>
    <row r="176" spans="2:13" ht="15.6">
      <c r="B176" s="13" t="s">
        <v>452</v>
      </c>
      <c r="F176" s="57">
        <f>F46+F88+F130</f>
        <v>34961</v>
      </c>
      <c r="G176" s="57">
        <f>G46+G88+G130</f>
        <v>17102</v>
      </c>
      <c r="H176" s="57">
        <f>H46+H88+H130</f>
        <v>-17859</v>
      </c>
      <c r="K176" s="64">
        <f>IF(F176&lt;=0,"n/a",G176/F176)</f>
        <v>0.48917365063928375</v>
      </c>
    </row>
    <row r="178" spans="2:12" ht="24" customHeight="1">
      <c r="B178" s="125" t="s">
        <v>453</v>
      </c>
      <c r="C178" s="122"/>
      <c r="D178" s="122"/>
      <c r="E178" s="122"/>
      <c r="F178" s="122"/>
      <c r="G178" s="122"/>
      <c r="H178" s="122"/>
      <c r="I178" s="122"/>
      <c r="J178" s="122"/>
      <c r="K178" s="122"/>
      <c r="L178" s="122"/>
    </row>
    <row r="180" spans="2:12" ht="24" customHeight="1">
      <c r="B180" s="121" t="s">
        <v>454</v>
      </c>
      <c r="C180" s="122"/>
      <c r="D180" s="122"/>
      <c r="E180" s="122"/>
      <c r="F180" s="122"/>
      <c r="G180" s="122"/>
      <c r="H180" s="122"/>
      <c r="I180" s="122"/>
      <c r="J180" s="122"/>
      <c r="K180" s="122"/>
      <c r="L180" s="122"/>
    </row>
  </sheetData>
  <mergeCells count="3">
    <mergeCell ref="B178:L178"/>
    <mergeCell ref="B4:L4"/>
    <mergeCell ref="B180:L18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18"/>
  <sheetViews>
    <sheetView showGridLines="0" workbookViewId="0">
      <pane xSplit="6" ySplit="6" topLeftCell="G7" activePane="bottomRight" state="frozen"/>
      <selection pane="topRight"/>
      <selection pane="bottomLeft"/>
      <selection pane="bottomRight"/>
    </sheetView>
  </sheetViews>
  <sheetFormatPr defaultRowHeight="14.4"/>
  <cols>
    <col min="1" max="1" width="4" customWidth="1"/>
    <col min="2" max="2" width="26" customWidth="1"/>
    <col min="3" max="3" width="62" customWidth="1"/>
    <col min="4" max="4" width="14" customWidth="1"/>
    <col min="5" max="5" width="22" customWidth="1"/>
    <col min="6" max="6" width="4" customWidth="1"/>
    <col min="7" max="11" width="19" customWidth="1"/>
    <col min="12" max="12" width="4" customWidth="1"/>
    <col min="13" max="13" width="20" customWidth="1"/>
    <col min="14" max="15" width="24" customWidth="1"/>
  </cols>
  <sheetData>
    <row r="1" spans="2:15" ht="7.95" customHeight="1"/>
    <row r="2" spans="2:15" ht="30" customHeight="1">
      <c r="B2" s="12" t="s">
        <v>455</v>
      </c>
    </row>
    <row r="3" spans="2:15" ht="19.95" customHeight="1">
      <c r="B3" s="3" t="s">
        <v>456</v>
      </c>
    </row>
    <row r="4" spans="2:15" ht="24" customHeight="1">
      <c r="B4" s="121" t="s">
        <v>457</v>
      </c>
      <c r="C4" s="122"/>
      <c r="D4" s="122"/>
      <c r="E4" s="122"/>
      <c r="F4" s="122"/>
      <c r="G4" s="122"/>
      <c r="H4" s="122"/>
      <c r="I4" s="122"/>
      <c r="J4" s="122"/>
      <c r="K4" s="122"/>
      <c r="L4" s="122"/>
      <c r="M4" s="122"/>
      <c r="N4" s="122"/>
    </row>
    <row r="5" spans="2:15" ht="7.95" customHeight="1"/>
    <row r="6" spans="2:15" ht="46.05" customHeight="1">
      <c r="B6" s="8" t="s">
        <v>210</v>
      </c>
      <c r="C6" s="8" t="s">
        <v>206</v>
      </c>
      <c r="D6" s="8" t="s">
        <v>98</v>
      </c>
      <c r="E6" s="8" t="s">
        <v>212</v>
      </c>
      <c r="F6" s="8"/>
      <c r="G6" s="8" t="s">
        <v>426</v>
      </c>
      <c r="H6" s="8" t="s">
        <v>427</v>
      </c>
      <c r="I6" s="8" t="s">
        <v>428</v>
      </c>
      <c r="J6" s="8" t="s">
        <v>429</v>
      </c>
      <c r="K6" s="8" t="s">
        <v>430</v>
      </c>
      <c r="L6" s="8"/>
      <c r="M6" s="8" t="s">
        <v>458</v>
      </c>
      <c r="N6" s="8" t="s">
        <v>459</v>
      </c>
      <c r="O6" s="8" t="s">
        <v>460</v>
      </c>
    </row>
    <row r="7" spans="2:15" ht="24" customHeight="1">
      <c r="B7" s="4" t="s">
        <v>461</v>
      </c>
      <c r="C7" s="5"/>
      <c r="D7" s="5"/>
      <c r="E7" s="5"/>
      <c r="F7" s="5"/>
      <c r="G7" s="5"/>
      <c r="H7" s="5"/>
      <c r="I7" s="5"/>
      <c r="J7" s="5"/>
      <c r="K7" s="5"/>
      <c r="L7" s="5"/>
      <c r="M7" s="5"/>
      <c r="N7" s="5"/>
    </row>
    <row r="8" spans="2:15" ht="22.05" customHeight="1">
      <c r="B8" s="14" t="s">
        <v>410</v>
      </c>
      <c r="C8" s="14" t="s">
        <v>411</v>
      </c>
      <c r="D8" s="14" t="s">
        <v>215</v>
      </c>
      <c r="E8" s="53" t="s">
        <v>86</v>
      </c>
      <c r="G8" s="60">
        <f>MAX(0,Consumption_PL!I8)</f>
        <v>7</v>
      </c>
      <c r="H8" s="60">
        <f>MAX(0,Consumption_PL!M8)</f>
        <v>1</v>
      </c>
      <c r="I8" s="60">
        <f>MAX(0,Consumption_PL!Q8)</f>
        <v>1</v>
      </c>
      <c r="J8" s="60">
        <f>MAX(0,Consumption_PL!U8)</f>
        <v>0</v>
      </c>
      <c r="K8" s="57">
        <f>SUM(G8:J8)</f>
        <v>9</v>
      </c>
      <c r="M8" s="65">
        <f>IF(Advance!$I$53=0,0,K8/Advance!$I$53)</f>
        <v>6.5415629102105067E-3</v>
      </c>
      <c r="N8" s="66" t="str">
        <f>IF(NOT(ISNUMBER($E8)),$E8,K8*$E8)</f>
        <v>x</v>
      </c>
      <c r="O8" s="24" t="str">
        <f>IF(NOT(ISNUMBER($E8)),$E8,N8/Advance!$I$53)</f>
        <v>x</v>
      </c>
    </row>
    <row r="9" spans="2:15" ht="22.05" customHeight="1">
      <c r="B9" s="14" t="s">
        <v>261</v>
      </c>
      <c r="C9" s="14" t="s">
        <v>262</v>
      </c>
      <c r="D9" s="14" t="s">
        <v>215</v>
      </c>
      <c r="E9" s="67" t="s">
        <v>88</v>
      </c>
      <c r="G9" s="60">
        <f>MAX(0,Consumption_PL!I9)</f>
        <v>115</v>
      </c>
      <c r="H9" s="60">
        <f>MAX(0,Consumption_PL!M9)</f>
        <v>0</v>
      </c>
      <c r="I9" s="60">
        <f>MAX(0,Consumption_PL!Q9)</f>
        <v>10</v>
      </c>
      <c r="J9" s="60">
        <f>MAX(0,Consumption_PL!U9)</f>
        <v>0</v>
      </c>
      <c r="K9" s="57">
        <f>SUM(G9:J9)</f>
        <v>125</v>
      </c>
      <c r="M9" s="65">
        <f>IF(Advance!$I$53=0,0,K9/Advance!$I$53)</f>
        <v>9.0855040419590374E-2</v>
      </c>
      <c r="N9" s="66" t="str">
        <f>IF(NOT(ISNUMBER($E9)),$E9,K9*$E9)</f>
        <v>-</v>
      </c>
      <c r="O9" s="24" t="str">
        <f>IF(NOT(ISNUMBER($E9)),$E9,N9/Advance!$I$53)</f>
        <v>-</v>
      </c>
    </row>
    <row r="10" spans="2:15" ht="22.05" customHeight="1">
      <c r="B10" s="14" t="s">
        <v>263</v>
      </c>
      <c r="C10" s="14" t="s">
        <v>264</v>
      </c>
      <c r="D10" s="14" t="s">
        <v>215</v>
      </c>
      <c r="E10" s="67" t="s">
        <v>88</v>
      </c>
      <c r="G10" s="60">
        <f>MAX(0,Consumption_PL!I10)</f>
        <v>72</v>
      </c>
      <c r="H10" s="60">
        <f>MAX(0,Consumption_PL!M10)</f>
        <v>0</v>
      </c>
      <c r="I10" s="60">
        <f>MAX(0,Consumption_PL!Q10)</f>
        <v>10</v>
      </c>
      <c r="J10" s="60">
        <f>MAX(0,Consumption_PL!U10)</f>
        <v>25</v>
      </c>
      <c r="K10" s="57">
        <f>SUM(G10:J10)</f>
        <v>107</v>
      </c>
      <c r="M10" s="65">
        <f>IF(Advance!$I$53=0,0,K10/Advance!$I$53)</f>
        <v>7.7771914599169351E-2</v>
      </c>
      <c r="N10" s="66" t="str">
        <f>IF(NOT(ISNUMBER($E10)),$E10,K10*$E10)</f>
        <v>-</v>
      </c>
      <c r="O10" s="24" t="str">
        <f>IF(NOT(ISNUMBER($E10)),$E10,N10/Advance!$I$53)</f>
        <v>-</v>
      </c>
    </row>
    <row r="11" spans="2:15" ht="22.05" customHeight="1">
      <c r="B11" s="14" t="s">
        <v>251</v>
      </c>
      <c r="C11" s="14" t="s">
        <v>252</v>
      </c>
      <c r="D11" s="14" t="s">
        <v>215</v>
      </c>
      <c r="E11" s="67" t="s">
        <v>88</v>
      </c>
      <c r="G11" s="60">
        <f>MAX(0,Consumption_PL!I11)</f>
        <v>1</v>
      </c>
      <c r="H11" s="60">
        <f>MAX(0,Consumption_PL!M11)</f>
        <v>5</v>
      </c>
      <c r="I11" s="60">
        <f>MAX(0,Consumption_PL!Q11)</f>
        <v>45</v>
      </c>
      <c r="J11" s="60">
        <f>MAX(0,Consumption_PL!U11)</f>
        <v>1</v>
      </c>
      <c r="K11" s="57">
        <f>SUM(G11:J11)</f>
        <v>52</v>
      </c>
      <c r="M11" s="65">
        <f>IF(Advance!$I$53=0,0,K11/Advance!$I$53)</f>
        <v>3.7795696814549591E-2</v>
      </c>
      <c r="N11" s="66" t="str">
        <f>IF(NOT(ISNUMBER($E11)),$E11,K11*$E11)</f>
        <v>-</v>
      </c>
      <c r="O11" s="24" t="str">
        <f>IF(NOT(ISNUMBER($E11)),$E11,N11/Advance!$I$53)</f>
        <v>-</v>
      </c>
    </row>
    <row r="12" spans="2:15" ht="22.05" customHeight="1">
      <c r="C12" s="68" t="s">
        <v>462</v>
      </c>
      <c r="K12" s="69">
        <f>SUM(K8:K11)</f>
        <v>293</v>
      </c>
      <c r="M12" s="70">
        <f>SUM(M8:M11)</f>
        <v>0.21296421474351981</v>
      </c>
      <c r="N12" s="71" t="str">
        <f>IF(COUNT(N8:N11)=0,"x",SUM(N8:N11))</f>
        <v>x</v>
      </c>
      <c r="O12" s="72" t="str">
        <f>IF(COUNT(O8:O11)=0,"x",SUM(O8:O11))</f>
        <v>x</v>
      </c>
    </row>
    <row r="14" spans="2:15" ht="25.95" customHeight="1">
      <c r="B14" s="54"/>
      <c r="C14" s="21" t="s">
        <v>463</v>
      </c>
      <c r="M14" s="54"/>
      <c r="N14" s="73" t="str">
        <f>IF(COUNT(N12)=0,"x",SUM(N12))</f>
        <v>x</v>
      </c>
      <c r="O14" s="74" t="str">
        <f>IF(COUNT(O12)=0,"x",SUM(O12))</f>
        <v>x</v>
      </c>
    </row>
    <row r="16" spans="2:15" ht="22.05" customHeight="1">
      <c r="C16" s="6" t="s">
        <v>464</v>
      </c>
    </row>
    <row r="17" spans="3:10" ht="22.05" customHeight="1">
      <c r="C17" s="75" t="s">
        <v>86</v>
      </c>
      <c r="D17" s="127" t="s">
        <v>465</v>
      </c>
      <c r="E17" s="122"/>
      <c r="F17" s="122"/>
      <c r="G17" s="122"/>
      <c r="H17" s="122"/>
      <c r="I17" s="122"/>
      <c r="J17" s="122"/>
    </row>
    <row r="18" spans="3:10" ht="22.05" customHeight="1">
      <c r="C18" s="75" t="s">
        <v>88</v>
      </c>
      <c r="D18" s="127" t="s">
        <v>466</v>
      </c>
      <c r="E18" s="122"/>
      <c r="F18" s="122"/>
      <c r="G18" s="122"/>
      <c r="H18" s="122"/>
      <c r="I18" s="122"/>
      <c r="J18" s="122"/>
    </row>
  </sheetData>
  <mergeCells count="3">
    <mergeCell ref="D17:J17"/>
    <mergeCell ref="B4:N4"/>
    <mergeCell ref="D18:J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O27"/>
  <sheetViews>
    <sheetView showGridLines="0" workbookViewId="0">
      <pane xSplit="6" ySplit="6" topLeftCell="G7" activePane="bottomRight" state="frozen"/>
      <selection pane="topRight"/>
      <selection pane="bottomLeft"/>
      <selection pane="bottomRight"/>
    </sheetView>
  </sheetViews>
  <sheetFormatPr defaultRowHeight="14.4"/>
  <cols>
    <col min="1" max="1" width="4" customWidth="1"/>
    <col min="2" max="2" width="26" customWidth="1"/>
    <col min="3" max="3" width="62" customWidth="1"/>
    <col min="4" max="4" width="14" customWidth="1"/>
    <col min="5" max="5" width="22" customWidth="1"/>
    <col min="6" max="6" width="4" customWidth="1"/>
    <col min="7" max="11" width="19" customWidth="1"/>
    <col min="12" max="12" width="4" customWidth="1"/>
    <col min="13" max="13" width="20" customWidth="1"/>
    <col min="14" max="15" width="24" customWidth="1"/>
  </cols>
  <sheetData>
    <row r="1" spans="2:15" ht="7.95" customHeight="1"/>
    <row r="2" spans="2:15" ht="30" customHeight="1">
      <c r="B2" s="12" t="s">
        <v>467</v>
      </c>
    </row>
    <row r="3" spans="2:15" ht="19.95" customHeight="1">
      <c r="B3" s="3" t="s">
        <v>468</v>
      </c>
    </row>
    <row r="4" spans="2:15" ht="24" customHeight="1">
      <c r="B4" s="121" t="s">
        <v>457</v>
      </c>
      <c r="C4" s="122"/>
      <c r="D4" s="122"/>
      <c r="E4" s="122"/>
      <c r="F4" s="122"/>
      <c r="G4" s="122"/>
      <c r="H4" s="122"/>
      <c r="I4" s="122"/>
      <c r="J4" s="122"/>
      <c r="K4" s="122"/>
      <c r="L4" s="122"/>
      <c r="M4" s="122"/>
      <c r="N4" s="122"/>
    </row>
    <row r="5" spans="2:15" ht="7.95" customHeight="1"/>
    <row r="6" spans="2:15" ht="46.05" customHeight="1">
      <c r="B6" s="8" t="s">
        <v>210</v>
      </c>
      <c r="C6" s="8" t="s">
        <v>206</v>
      </c>
      <c r="D6" s="8" t="s">
        <v>98</v>
      </c>
      <c r="E6" s="8" t="s">
        <v>212</v>
      </c>
      <c r="F6" s="8"/>
      <c r="G6" s="8" t="s">
        <v>426</v>
      </c>
      <c r="H6" s="8" t="s">
        <v>427</v>
      </c>
      <c r="I6" s="8" t="s">
        <v>428</v>
      </c>
      <c r="J6" s="8" t="s">
        <v>429</v>
      </c>
      <c r="K6" s="8" t="s">
        <v>430</v>
      </c>
      <c r="L6" s="8"/>
      <c r="M6" s="8" t="s">
        <v>458</v>
      </c>
      <c r="N6" s="8" t="s">
        <v>459</v>
      </c>
      <c r="O6" s="8" t="s">
        <v>460</v>
      </c>
    </row>
    <row r="7" spans="2:15" ht="24" customHeight="1">
      <c r="B7" s="4" t="s">
        <v>469</v>
      </c>
      <c r="C7" s="5"/>
      <c r="D7" s="5"/>
      <c r="E7" s="5"/>
      <c r="F7" s="5"/>
      <c r="G7" s="5"/>
      <c r="H7" s="5"/>
      <c r="I7" s="5"/>
      <c r="J7" s="5"/>
      <c r="K7" s="5"/>
      <c r="L7" s="5"/>
      <c r="M7" s="5"/>
      <c r="N7" s="5"/>
    </row>
    <row r="8" spans="2:15" ht="22.05" customHeight="1">
      <c r="B8" s="14" t="s">
        <v>213</v>
      </c>
      <c r="C8" s="14" t="s">
        <v>214</v>
      </c>
      <c r="D8" s="14" t="s">
        <v>215</v>
      </c>
      <c r="E8" s="76">
        <f>Inputs!$E$12</f>
        <v>7.3844946000000009</v>
      </c>
      <c r="G8" s="60">
        <f>MAX(0,Consumption_PL!I12)</f>
        <v>183</v>
      </c>
      <c r="H8" s="60">
        <f>MAX(0,Consumption_PL!M12)</f>
        <v>177</v>
      </c>
      <c r="I8" s="60">
        <f>MAX(0,Consumption_PL!Q12)</f>
        <v>0</v>
      </c>
      <c r="J8" s="60">
        <f>MAX(0,Consumption_PL!U12)</f>
        <v>80</v>
      </c>
      <c r="K8" s="57">
        <f>SUM(G8:J8)</f>
        <v>440</v>
      </c>
      <c r="M8" s="65">
        <f>IF(Advance!$I$53=0,0,K8/Advance!$I$53)</f>
        <v>0.31980974227695808</v>
      </c>
      <c r="N8" s="66">
        <f>IF(NOT(ISNUMBER($E8)),$E8,K8*$E8)</f>
        <v>3249.1776240000004</v>
      </c>
      <c r="O8" s="24">
        <f>IF(NOT(ISNUMBER($E8)),$E8,N8/Advance!$I$53)</f>
        <v>2.3616333148715891</v>
      </c>
    </row>
    <row r="9" spans="2:15" ht="22.05" customHeight="1">
      <c r="B9" s="14" t="s">
        <v>216</v>
      </c>
      <c r="C9" s="14" t="s">
        <v>217</v>
      </c>
      <c r="D9" s="14" t="s">
        <v>215</v>
      </c>
      <c r="E9" s="76">
        <f>Inputs!$E$13</f>
        <v>12.89722494375</v>
      </c>
      <c r="G9" s="60">
        <f>MAX(0,Consumption_PL!I13)</f>
        <v>300</v>
      </c>
      <c r="H9" s="60">
        <f>MAX(0,Consumption_PL!M13)</f>
        <v>529</v>
      </c>
      <c r="I9" s="60">
        <f>MAX(0,Consumption_PL!Q13)</f>
        <v>401</v>
      </c>
      <c r="J9" s="60">
        <f>MAX(0,Consumption_PL!U13)</f>
        <v>320</v>
      </c>
      <c r="K9" s="57">
        <f>SUM(G9:J9)</f>
        <v>1550</v>
      </c>
      <c r="M9" s="65">
        <f>IF(Advance!$I$53=0,0,K9/Advance!$I$53)</f>
        <v>1.1266025012029206</v>
      </c>
      <c r="N9" s="66">
        <f>IF(NOT(ISNUMBER($E9)),$E9,K9*$E9)</f>
        <v>19990.698662812501</v>
      </c>
      <c r="O9" s="24">
        <f>IF(NOT(ISNUMBER($E9)),$E9,N9/Advance!$I$53)</f>
        <v>14.530045880205448</v>
      </c>
    </row>
    <row r="10" spans="2:15" ht="22.05" customHeight="1">
      <c r="B10" s="14" t="s">
        <v>218</v>
      </c>
      <c r="C10" s="14" t="s">
        <v>219</v>
      </c>
      <c r="D10" s="14" t="s">
        <v>215</v>
      </c>
      <c r="E10" s="76">
        <f>Inputs!$E$14</f>
        <v>15.931125</v>
      </c>
      <c r="G10" s="60">
        <f>MAX(0,Consumption_PL!I14)</f>
        <v>743</v>
      </c>
      <c r="H10" s="60">
        <f>MAX(0,Consumption_PL!M14)</f>
        <v>949</v>
      </c>
      <c r="I10" s="60">
        <f>MAX(0,Consumption_PL!Q14)</f>
        <v>2159</v>
      </c>
      <c r="J10" s="60">
        <f>MAX(0,Consumption_PL!U14)</f>
        <v>2286</v>
      </c>
      <c r="K10" s="57">
        <f>SUM(G10:J10)</f>
        <v>6137</v>
      </c>
      <c r="M10" s="65">
        <f>IF(Advance!$I$53=0,0,K10/Advance!$I$53)</f>
        <v>4.4606190644402091</v>
      </c>
      <c r="N10" s="66">
        <f>IF(NOT(ISNUMBER($E10)),$E10,K10*$E10)</f>
        <v>97769.314125000004</v>
      </c>
      <c r="O10" s="24">
        <f>IF(NOT(ISNUMBER($E10)),$E10,N10/Advance!$I$53)</f>
        <v>71.062679892980029</v>
      </c>
    </row>
    <row r="11" spans="2:15" ht="22.05" customHeight="1">
      <c r="B11" s="14" t="s">
        <v>220</v>
      </c>
      <c r="C11" s="14" t="s">
        <v>221</v>
      </c>
      <c r="D11" s="14" t="s">
        <v>215</v>
      </c>
      <c r="E11" s="76">
        <f>Inputs!$E$15</f>
        <v>65.878327588185016</v>
      </c>
      <c r="G11" s="60">
        <f>MAX(0,Consumption_PL!I15)</f>
        <v>2575</v>
      </c>
      <c r="H11" s="60">
        <f>MAX(0,Consumption_PL!M15)</f>
        <v>3674</v>
      </c>
      <c r="I11" s="60">
        <f>MAX(0,Consumption_PL!Q15)</f>
        <v>4163</v>
      </c>
      <c r="J11" s="60">
        <f>MAX(0,Consumption_PL!U15)</f>
        <v>3319</v>
      </c>
      <c r="K11" s="57">
        <f>SUM(G11:J11)</f>
        <v>13731</v>
      </c>
      <c r="M11" s="65">
        <f>IF(Advance!$I$53=0,0,K11/Advance!$I$53)</f>
        <v>9.9802444800111623</v>
      </c>
      <c r="N11" s="66">
        <f>IF(NOT(ISNUMBER($E11)),$E11,K11*$E11)</f>
        <v>904575.31611336849</v>
      </c>
      <c r="O11" s="24">
        <f>IF(NOT(ISNUMBER($E11)),$E11,N11/Advance!$I$53)</f>
        <v>657.48181526435064</v>
      </c>
    </row>
    <row r="12" spans="2:15" ht="22.05" customHeight="1">
      <c r="C12" s="68" t="s">
        <v>470</v>
      </c>
      <c r="K12" s="69">
        <f>SUM(K8:K11)</f>
        <v>21858</v>
      </c>
      <c r="M12" s="70">
        <f>SUM(M8:M11)</f>
        <v>15.88727578793125</v>
      </c>
      <c r="N12" s="71">
        <f>IF(COUNT(N8:N11)=0,"x",SUM(N8:N11))</f>
        <v>1025584.506525181</v>
      </c>
      <c r="O12" s="72">
        <f>IF(COUNT(O8:O11)=0,"x",SUM(O8:O11))</f>
        <v>745.43617435240776</v>
      </c>
    </row>
    <row r="14" spans="2:15" ht="24" customHeight="1">
      <c r="B14" s="4" t="s">
        <v>471</v>
      </c>
      <c r="C14" s="5"/>
      <c r="D14" s="5"/>
      <c r="E14" s="5"/>
      <c r="F14" s="5"/>
      <c r="G14" s="5"/>
      <c r="H14" s="5"/>
      <c r="I14" s="5"/>
      <c r="J14" s="5"/>
      <c r="K14" s="5"/>
      <c r="L14" s="5"/>
      <c r="M14" s="5"/>
      <c r="N14" s="5"/>
    </row>
    <row r="15" spans="2:15" ht="22.05" customHeight="1">
      <c r="B15" s="14" t="s">
        <v>412</v>
      </c>
      <c r="C15" s="14" t="s">
        <v>413</v>
      </c>
      <c r="D15" s="14" t="s">
        <v>215</v>
      </c>
      <c r="E15" s="67" t="s">
        <v>88</v>
      </c>
      <c r="G15" s="60">
        <f>MAX(0,Consumption_PL!I16)</f>
        <v>0</v>
      </c>
      <c r="H15" s="60">
        <f>MAX(0,Consumption_PL!M16)</f>
        <v>15</v>
      </c>
      <c r="I15" s="60">
        <f>MAX(0,Consumption_PL!Q16)</f>
        <v>0</v>
      </c>
      <c r="J15" s="60">
        <f>MAX(0,Consumption_PL!U16)</f>
        <v>209</v>
      </c>
      <c r="K15" s="57">
        <f>SUM(G15:J15)</f>
        <v>224</v>
      </c>
      <c r="M15" s="65">
        <f>IF(Advance!$I$53=0,0,K15/Advance!$I$53)</f>
        <v>0.16281223243190593</v>
      </c>
      <c r="N15" s="66" t="str">
        <f>IF(NOT(ISNUMBER($E15)),$E15,K15*$E15)</f>
        <v>-</v>
      </c>
      <c r="O15" s="24" t="str">
        <f>IF(NOT(ISNUMBER($E15)),$E15,N15/Advance!$I$53)</f>
        <v>-</v>
      </c>
    </row>
    <row r="16" spans="2:15" ht="22.05" customHeight="1">
      <c r="B16" s="14" t="s">
        <v>414</v>
      </c>
      <c r="C16" s="14" t="s">
        <v>415</v>
      </c>
      <c r="D16" s="14" t="s">
        <v>215</v>
      </c>
      <c r="E16" s="67" t="s">
        <v>88</v>
      </c>
      <c r="G16" s="60">
        <f>MAX(0,Consumption_PL!I17)</f>
        <v>640</v>
      </c>
      <c r="H16" s="60">
        <f>MAX(0,Consumption_PL!M17)</f>
        <v>1054</v>
      </c>
      <c r="I16" s="60">
        <f>MAX(0,Consumption_PL!Q17)</f>
        <v>2602</v>
      </c>
      <c r="J16" s="60">
        <f>MAX(0,Consumption_PL!U17)</f>
        <v>3230</v>
      </c>
      <c r="K16" s="57">
        <f>SUM(G16:J16)</f>
        <v>7526</v>
      </c>
      <c r="M16" s="65">
        <f>IF(Advance!$I$53=0,0,K16/Advance!$I$53)</f>
        <v>5.4702002735826971</v>
      </c>
      <c r="N16" s="66" t="str">
        <f>IF(NOT(ISNUMBER($E16)),$E16,K16*$E16)</f>
        <v>-</v>
      </c>
      <c r="O16" s="24" t="str">
        <f>IF(NOT(ISNUMBER($E16)),$E16,N16/Advance!$I$53)</f>
        <v>-</v>
      </c>
    </row>
    <row r="17" spans="2:15" ht="22.05" customHeight="1">
      <c r="B17" s="14" t="s">
        <v>416</v>
      </c>
      <c r="C17" s="14" t="s">
        <v>417</v>
      </c>
      <c r="D17" s="14" t="s">
        <v>215</v>
      </c>
      <c r="E17" s="67" t="s">
        <v>88</v>
      </c>
      <c r="G17" s="60">
        <f>MAX(0,Consumption_PL!I18)</f>
        <v>2740</v>
      </c>
      <c r="H17" s="60">
        <f>MAX(0,Consumption_PL!M18)</f>
        <v>2730</v>
      </c>
      <c r="I17" s="60">
        <f>MAX(0,Consumption_PL!Q18)</f>
        <v>4490</v>
      </c>
      <c r="J17" s="60">
        <f>MAX(0,Consumption_PL!U18)</f>
        <v>4398</v>
      </c>
      <c r="K17" s="57">
        <f>SUM(G17:J17)</f>
        <v>14358</v>
      </c>
      <c r="M17" s="65">
        <f>IF(Advance!$I$53=0,0,K17/Advance!$I$53)</f>
        <v>10.435973362755828</v>
      </c>
      <c r="N17" s="66" t="str">
        <f>IF(NOT(ISNUMBER($E17)),$E17,K17*$E17)</f>
        <v>-</v>
      </c>
      <c r="O17" s="24" t="str">
        <f>IF(NOT(ISNUMBER($E17)),$E17,N17/Advance!$I$53)</f>
        <v>-</v>
      </c>
    </row>
    <row r="18" spans="2:15" ht="22.05" customHeight="1">
      <c r="C18" s="68" t="s">
        <v>472</v>
      </c>
      <c r="K18" s="69">
        <f>SUM(K15:K17)</f>
        <v>22108</v>
      </c>
      <c r="M18" s="70">
        <f>SUM(M15:M17)</f>
        <v>16.068985868770433</v>
      </c>
      <c r="N18" s="71" t="str">
        <f>IF(COUNT(N15:N17)=0,"x",SUM(N15:N17))</f>
        <v>x</v>
      </c>
      <c r="O18" s="72" t="str">
        <f>IF(COUNT(O15:O17)=0,"x",SUM(O15:O17))</f>
        <v>x</v>
      </c>
    </row>
    <row r="20" spans="2:15" ht="24" customHeight="1">
      <c r="B20" s="4" t="s">
        <v>473</v>
      </c>
      <c r="C20" s="5"/>
      <c r="D20" s="5"/>
      <c r="E20" s="5"/>
      <c r="F20" s="5"/>
      <c r="G20" s="5"/>
      <c r="H20" s="5"/>
      <c r="I20" s="5"/>
      <c r="J20" s="5"/>
      <c r="K20" s="5"/>
      <c r="L20" s="5"/>
      <c r="M20" s="5"/>
      <c r="N20" s="5"/>
    </row>
    <row r="21" spans="2:15" ht="22.05" customHeight="1">
      <c r="B21" s="14" t="s">
        <v>224</v>
      </c>
      <c r="C21" s="14" t="s">
        <v>225</v>
      </c>
      <c r="D21" s="14" t="s">
        <v>226</v>
      </c>
      <c r="E21" s="76">
        <f>Inputs!$E$17</f>
        <v>82.485410743678017</v>
      </c>
      <c r="G21" s="60">
        <f>MAX(0,Consumption_PL!I19)</f>
        <v>2291</v>
      </c>
      <c r="H21" s="60">
        <f>MAX(0,Consumption_PL!M19)</f>
        <v>408</v>
      </c>
      <c r="I21" s="60">
        <f>MAX(0,Consumption_PL!Q19)</f>
        <v>821</v>
      </c>
      <c r="J21" s="60">
        <f>MAX(0,Consumption_PL!U19)</f>
        <v>769</v>
      </c>
      <c r="K21" s="57">
        <f>SUM(G21:J21)</f>
        <v>4289</v>
      </c>
      <c r="M21" s="65">
        <f>IF(Advance!$I$53=0,0,K21/Advance!$I$53)</f>
        <v>3.1174181468769846</v>
      </c>
      <c r="N21" s="66">
        <f>IF(NOT(ISNUMBER($E21)),$E21,K21*$E21)</f>
        <v>353779.92667963501</v>
      </c>
      <c r="O21" s="24">
        <f>IF(NOT(ISNUMBER($E21)),$E21,N21/Advance!$I$53)</f>
        <v>257.14151630494365</v>
      </c>
    </row>
    <row r="22" spans="2:15" ht="22.05" customHeight="1">
      <c r="C22" s="68" t="s">
        <v>474</v>
      </c>
      <c r="K22" s="69">
        <f>SUM(K21:K21)</f>
        <v>4289</v>
      </c>
      <c r="M22" s="70">
        <f>SUM(M21:M21)</f>
        <v>3.1174181468769846</v>
      </c>
      <c r="N22" s="71">
        <f>IF(COUNT(N21:N21)=0,"x",SUM(N21:N21))</f>
        <v>353779.92667963501</v>
      </c>
      <c r="O22" s="72">
        <f>IF(COUNT(O21:O21)=0,"x",SUM(O21:O21))</f>
        <v>257.14151630494365</v>
      </c>
    </row>
    <row r="24" spans="2:15" ht="25.95" customHeight="1">
      <c r="B24" s="54"/>
      <c r="C24" s="21" t="s">
        <v>463</v>
      </c>
      <c r="M24" s="54"/>
      <c r="N24" s="73">
        <f>IF(COUNT(N12,N18,N22)=0,"x",SUM(N12,N18,N22))</f>
        <v>1379364.433204816</v>
      </c>
      <c r="O24" s="74">
        <f>IF(COUNT(O12,O18,O22)=0,"x",SUM(O12,O18,O22))</f>
        <v>1002.5776906573515</v>
      </c>
    </row>
    <row r="26" spans="2:15" ht="22.05" customHeight="1">
      <c r="C26" s="6" t="s">
        <v>464</v>
      </c>
    </row>
    <row r="27" spans="2:15" ht="22.05" customHeight="1">
      <c r="C27" s="75" t="s">
        <v>88</v>
      </c>
      <c r="D27" s="127" t="s">
        <v>475</v>
      </c>
      <c r="E27" s="122"/>
      <c r="F27" s="122"/>
      <c r="G27" s="122"/>
      <c r="H27" s="122"/>
      <c r="I27" s="122"/>
      <c r="J27" s="122"/>
    </row>
  </sheetData>
  <mergeCells count="2">
    <mergeCell ref="D27:J27"/>
    <mergeCell ref="B4:N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O52"/>
  <sheetViews>
    <sheetView showGridLines="0" workbookViewId="0">
      <pane xSplit="6" ySplit="6" topLeftCell="G7" activePane="bottomRight" state="frozen"/>
      <selection pane="topRight"/>
      <selection pane="bottomLeft"/>
      <selection pane="bottomRight"/>
    </sheetView>
  </sheetViews>
  <sheetFormatPr defaultRowHeight="14.4"/>
  <cols>
    <col min="1" max="1" width="4" customWidth="1"/>
    <col min="2" max="2" width="26" customWidth="1"/>
    <col min="3" max="3" width="62" customWidth="1"/>
    <col min="4" max="4" width="14" customWidth="1"/>
    <col min="5" max="5" width="22" customWidth="1"/>
    <col min="6" max="6" width="4" customWidth="1"/>
    <col min="7" max="11" width="19" customWidth="1"/>
    <col min="12" max="12" width="4" customWidth="1"/>
    <col min="13" max="13" width="20" customWidth="1"/>
    <col min="14" max="15" width="24" customWidth="1"/>
  </cols>
  <sheetData>
    <row r="1" spans="2:15" ht="7.95" customHeight="1"/>
    <row r="2" spans="2:15" ht="30" customHeight="1">
      <c r="B2" s="12" t="s">
        <v>476</v>
      </c>
    </row>
    <row r="3" spans="2:15" ht="19.95" customHeight="1">
      <c r="B3" s="3" t="s">
        <v>477</v>
      </c>
    </row>
    <row r="4" spans="2:15" ht="24" customHeight="1">
      <c r="B4" s="121" t="s">
        <v>457</v>
      </c>
      <c r="C4" s="122"/>
      <c r="D4" s="122"/>
      <c r="E4" s="122"/>
      <c r="F4" s="122"/>
      <c r="G4" s="122"/>
      <c r="H4" s="122"/>
      <c r="I4" s="122"/>
      <c r="J4" s="122"/>
      <c r="K4" s="122"/>
      <c r="L4" s="122"/>
      <c r="M4" s="122"/>
      <c r="N4" s="122"/>
    </row>
    <row r="5" spans="2:15" ht="7.95" customHeight="1"/>
    <row r="6" spans="2:15" ht="46.05" customHeight="1">
      <c r="B6" s="8" t="s">
        <v>210</v>
      </c>
      <c r="C6" s="8" t="s">
        <v>206</v>
      </c>
      <c r="D6" s="8" t="s">
        <v>98</v>
      </c>
      <c r="E6" s="8" t="s">
        <v>212</v>
      </c>
      <c r="F6" s="8"/>
      <c r="G6" s="8" t="s">
        <v>426</v>
      </c>
      <c r="H6" s="8" t="s">
        <v>427</v>
      </c>
      <c r="I6" s="8" t="s">
        <v>428</v>
      </c>
      <c r="J6" s="8" t="s">
        <v>429</v>
      </c>
      <c r="K6" s="8" t="s">
        <v>430</v>
      </c>
      <c r="L6" s="8"/>
      <c r="M6" s="8" t="s">
        <v>458</v>
      </c>
      <c r="N6" s="8" t="s">
        <v>459</v>
      </c>
      <c r="O6" s="8" t="s">
        <v>460</v>
      </c>
    </row>
    <row r="7" spans="2:15" ht="24" customHeight="1">
      <c r="B7" s="4" t="s">
        <v>478</v>
      </c>
      <c r="C7" s="5"/>
      <c r="D7" s="5"/>
      <c r="E7" s="5"/>
      <c r="F7" s="5"/>
      <c r="G7" s="5"/>
      <c r="H7" s="5"/>
      <c r="I7" s="5"/>
      <c r="J7" s="5"/>
      <c r="K7" s="5"/>
      <c r="L7" s="5"/>
      <c r="M7" s="5"/>
      <c r="N7" s="5"/>
    </row>
    <row r="8" spans="2:15" ht="22.05" customHeight="1">
      <c r="B8" s="14" t="s">
        <v>251</v>
      </c>
      <c r="C8" s="14" t="s">
        <v>252</v>
      </c>
      <c r="D8" s="14" t="s">
        <v>215</v>
      </c>
      <c r="E8" s="77">
        <f>Inputs!$E$43</f>
        <v>308.10000000000002</v>
      </c>
      <c r="G8" s="60">
        <f>MAX(0,Consumption_PL!I11)</f>
        <v>1</v>
      </c>
      <c r="H8" s="60">
        <f>MAX(0,Consumption_PL!M11)</f>
        <v>5</v>
      </c>
      <c r="I8" s="60">
        <f>MAX(0,Consumption_PL!Q11)</f>
        <v>45</v>
      </c>
      <c r="J8" s="60">
        <f>MAX(0,Consumption_PL!U11)</f>
        <v>1</v>
      </c>
      <c r="K8" s="57">
        <f>SUM(G8:J8)</f>
        <v>52</v>
      </c>
      <c r="M8" s="65">
        <f>IF(Advance!$I$53=0,0,K8/Advance!$I$53)</f>
        <v>3.7795696814549591E-2</v>
      </c>
      <c r="N8" s="66">
        <f>IF(NOT(ISNUMBER($E8)),$E8,K8*$E8)</f>
        <v>16021.2</v>
      </c>
      <c r="O8" s="24">
        <f>IF(NOT(ISNUMBER($E8)),$E8,N8/Advance!$I$53)</f>
        <v>11.64485418856273</v>
      </c>
    </row>
    <row r="9" spans="2:15" ht="22.05" customHeight="1">
      <c r="B9" s="14" t="s">
        <v>253</v>
      </c>
      <c r="C9" s="14" t="s">
        <v>254</v>
      </c>
      <c r="D9" s="14" t="s">
        <v>215</v>
      </c>
      <c r="E9" s="77">
        <f>Inputs!$E$44</f>
        <v>5568.55</v>
      </c>
      <c r="G9" s="60">
        <f>MAX(0,Consumption_PL!I20)</f>
        <v>8</v>
      </c>
      <c r="H9" s="60">
        <f>MAX(0,Consumption_PL!M20)</f>
        <v>19</v>
      </c>
      <c r="I9" s="60">
        <f>MAX(0,Consumption_PL!Q20)</f>
        <v>34</v>
      </c>
      <c r="J9" s="60">
        <f>MAX(0,Consumption_PL!U20)</f>
        <v>24</v>
      </c>
      <c r="K9" s="57">
        <f>SUM(G9:J9)</f>
        <v>85</v>
      </c>
      <c r="M9" s="65">
        <f>IF(Advance!$I$53=0,0,K9/Advance!$I$53)</f>
        <v>6.178142748532145E-2</v>
      </c>
      <c r="N9" s="66">
        <f>IF(NOT(ISNUMBER($E9)),$E9,K9*$E9)</f>
        <v>473326.75</v>
      </c>
      <c r="O9" s="24">
        <f>IF(NOT(ISNUMBER($E9)),$E9,N9/Advance!$I$53)</f>
        <v>344.03296802338679</v>
      </c>
    </row>
    <row r="10" spans="2:15" ht="22.05" customHeight="1">
      <c r="C10" s="68" t="s">
        <v>479</v>
      </c>
      <c r="K10" s="69">
        <f>SUM(K8:K9)</f>
        <v>137</v>
      </c>
      <c r="M10" s="70">
        <f>SUM(M8:M9)</f>
        <v>9.9577124299871034E-2</v>
      </c>
      <c r="N10" s="71">
        <f>IF(COUNT(N8:N9)=0,"x",SUM(N8:N9))</f>
        <v>489347.95</v>
      </c>
      <c r="O10" s="72">
        <f>IF(COUNT(O8:O9)=0,"x",SUM(O8:O9))</f>
        <v>355.67782221194949</v>
      </c>
    </row>
    <row r="12" spans="2:15" ht="24" customHeight="1">
      <c r="B12" s="4" t="s">
        <v>480</v>
      </c>
      <c r="C12" s="5"/>
      <c r="D12" s="5"/>
      <c r="E12" s="5"/>
      <c r="F12" s="5"/>
      <c r="G12" s="5"/>
      <c r="H12" s="5"/>
      <c r="I12" s="5"/>
      <c r="J12" s="5"/>
      <c r="K12" s="5"/>
      <c r="L12" s="5"/>
      <c r="M12" s="5"/>
      <c r="N12" s="5"/>
    </row>
    <row r="13" spans="2:15" ht="22.05" customHeight="1">
      <c r="B13" s="14" t="s">
        <v>255</v>
      </c>
      <c r="C13" s="14" t="s">
        <v>256</v>
      </c>
      <c r="D13" s="14" t="s">
        <v>215</v>
      </c>
      <c r="E13" s="77">
        <f>Inputs!$E$45</f>
        <v>4453.45</v>
      </c>
      <c r="G13" s="60">
        <f>MAX(0,Consumption_PL!I21)</f>
        <v>15</v>
      </c>
      <c r="H13" s="60">
        <f>MAX(0,Consumption_PL!M21)</f>
        <v>4</v>
      </c>
      <c r="I13" s="60">
        <f>MAX(0,Consumption_PL!Q21)</f>
        <v>16</v>
      </c>
      <c r="J13" s="60">
        <f>MAX(0,Consumption_PL!U21)</f>
        <v>16</v>
      </c>
      <c r="K13" s="57">
        <f>SUM(G13:J13)</f>
        <v>51</v>
      </c>
      <c r="M13" s="65">
        <f>IF(Advance!$I$53=0,0,K13/Advance!$I$53)</f>
        <v>3.7068856491192868E-2</v>
      </c>
      <c r="N13" s="66">
        <f>IF(NOT(ISNUMBER($E13)),$E13,K13*$E13)</f>
        <v>227125.94999999998</v>
      </c>
      <c r="O13" s="24">
        <f>IF(NOT(ISNUMBER($E13)),$E13,N13/Advance!$I$53)</f>
        <v>165.08429894070287</v>
      </c>
    </row>
    <row r="14" spans="2:15" ht="22.05" customHeight="1">
      <c r="B14" s="14" t="s">
        <v>257</v>
      </c>
      <c r="C14" s="14" t="s">
        <v>258</v>
      </c>
      <c r="D14" s="14" t="s">
        <v>215</v>
      </c>
      <c r="E14" s="77">
        <f>Inputs!$E$46</f>
        <v>1925.47</v>
      </c>
      <c r="G14" s="60">
        <f>MAX(0,Consumption_PL!I22)</f>
        <v>11</v>
      </c>
      <c r="H14" s="60">
        <f>MAX(0,Consumption_PL!M22)</f>
        <v>7</v>
      </c>
      <c r="I14" s="60">
        <f>MAX(0,Consumption_PL!Q22)</f>
        <v>14</v>
      </c>
      <c r="J14" s="60">
        <f>MAX(0,Consumption_PL!U22)</f>
        <v>20</v>
      </c>
      <c r="K14" s="57">
        <f>SUM(G14:J14)</f>
        <v>52</v>
      </c>
      <c r="M14" s="65">
        <f>IF(Advance!$I$53=0,0,K14/Advance!$I$53)</f>
        <v>3.7795696814549591E-2</v>
      </c>
      <c r="N14" s="66">
        <f>IF(NOT(ISNUMBER($E14)),$E14,K14*$E14)</f>
        <v>100124.44</v>
      </c>
      <c r="O14" s="24">
        <f>IF(NOT(ISNUMBER($E14)),$E14,N14/Advance!$I$53)</f>
        <v>72.77448034551081</v>
      </c>
    </row>
    <row r="15" spans="2:15" ht="22.05" customHeight="1">
      <c r="B15" s="14" t="s">
        <v>259</v>
      </c>
      <c r="C15" s="14" t="s">
        <v>260</v>
      </c>
      <c r="D15" s="14" t="s">
        <v>215</v>
      </c>
      <c r="E15" s="77">
        <f>Inputs!$E$47</f>
        <v>69.959999999999994</v>
      </c>
      <c r="G15" s="60">
        <f>MAX(0,Consumption_PL!I23)</f>
        <v>5</v>
      </c>
      <c r="H15" s="60">
        <f>MAX(0,Consumption_PL!M23)</f>
        <v>1</v>
      </c>
      <c r="I15" s="60">
        <f>MAX(0,Consumption_PL!Q23)</f>
        <v>3</v>
      </c>
      <c r="J15" s="60">
        <f>MAX(0,Consumption_PL!U23)</f>
        <v>0</v>
      </c>
      <c r="K15" s="57">
        <f>SUM(G15:J15)</f>
        <v>9</v>
      </c>
      <c r="M15" s="65">
        <f>IF(Advance!$I$53=0,0,K15/Advance!$I$53)</f>
        <v>6.5415629102105067E-3</v>
      </c>
      <c r="N15" s="66">
        <f>IF(NOT(ISNUMBER($E15)),$E15,K15*$E15)</f>
        <v>629.64</v>
      </c>
      <c r="O15" s="24">
        <f>IF(NOT(ISNUMBER($E15)),$E15,N15/Advance!$I$53)</f>
        <v>0.45764774119832702</v>
      </c>
    </row>
    <row r="16" spans="2:15" ht="22.05" customHeight="1">
      <c r="C16" s="68" t="s">
        <v>481</v>
      </c>
      <c r="K16" s="69">
        <f>SUM(K13:K15)</f>
        <v>112</v>
      </c>
      <c r="M16" s="70">
        <f>SUM(M13:M15)</f>
        <v>8.1406116215952964E-2</v>
      </c>
      <c r="N16" s="71">
        <f>IF(COUNT(N13:N15)=0,"x",SUM(N13:N15))</f>
        <v>327880.03000000003</v>
      </c>
      <c r="O16" s="72">
        <f>IF(COUNT(O13:O15)=0,"x",SUM(O13:O15))</f>
        <v>238.316427027412</v>
      </c>
    </row>
    <row r="18" spans="2:15" ht="24" customHeight="1">
      <c r="B18" s="4" t="s">
        <v>482</v>
      </c>
      <c r="C18" s="5"/>
      <c r="D18" s="5"/>
      <c r="E18" s="5"/>
      <c r="F18" s="5"/>
      <c r="G18" s="5"/>
      <c r="H18" s="5"/>
      <c r="I18" s="5"/>
      <c r="J18" s="5"/>
      <c r="K18" s="5"/>
      <c r="L18" s="5"/>
      <c r="M18" s="5"/>
      <c r="N18" s="5"/>
    </row>
    <row r="19" spans="2:15" ht="22.05" customHeight="1">
      <c r="B19" s="14" t="s">
        <v>261</v>
      </c>
      <c r="C19" s="14" t="s">
        <v>262</v>
      </c>
      <c r="D19" s="14" t="s">
        <v>215</v>
      </c>
      <c r="E19" s="77">
        <f>Inputs!$E$48</f>
        <v>66.52</v>
      </c>
      <c r="G19" s="60">
        <f>MAX(0,Consumption_PL!I9)</f>
        <v>115</v>
      </c>
      <c r="H19" s="60">
        <f>MAX(0,Consumption_PL!M9)</f>
        <v>0</v>
      </c>
      <c r="I19" s="60">
        <f>MAX(0,Consumption_PL!Q9)</f>
        <v>10</v>
      </c>
      <c r="J19" s="60">
        <f>MAX(0,Consumption_PL!U9)</f>
        <v>0</v>
      </c>
      <c r="K19" s="57">
        <f t="shared" ref="K19:K25" si="0">SUM(G19:J19)</f>
        <v>125</v>
      </c>
      <c r="M19" s="65">
        <f>IF(Advance!$I$53=0,0,K19/Advance!$I$53)</f>
        <v>9.0855040419590374E-2</v>
      </c>
      <c r="N19" s="66">
        <f t="shared" ref="N19:N25" si="1">IF(NOT(ISNUMBER($E19)),$E19,K19*$E19)</f>
        <v>8315</v>
      </c>
      <c r="O19" s="24">
        <f>IF(NOT(ISNUMBER($E19)),$E19,N19/Advance!$I$53)</f>
        <v>6.0436772887111516</v>
      </c>
    </row>
    <row r="20" spans="2:15" ht="22.05" customHeight="1">
      <c r="B20" s="14" t="s">
        <v>263</v>
      </c>
      <c r="C20" s="14" t="s">
        <v>264</v>
      </c>
      <c r="D20" s="14" t="s">
        <v>215</v>
      </c>
      <c r="E20" s="77">
        <f>Inputs!$E$49</f>
        <v>78.930000000000007</v>
      </c>
      <c r="G20" s="60">
        <f>MAX(0,Consumption_PL!I10)</f>
        <v>72</v>
      </c>
      <c r="H20" s="60">
        <f>MAX(0,Consumption_PL!M10)</f>
        <v>0</v>
      </c>
      <c r="I20" s="60">
        <f>MAX(0,Consumption_PL!Q10)</f>
        <v>10</v>
      </c>
      <c r="J20" s="60">
        <f>MAX(0,Consumption_PL!U10)</f>
        <v>25</v>
      </c>
      <c r="K20" s="57">
        <f t="shared" si="0"/>
        <v>107</v>
      </c>
      <c r="M20" s="65">
        <f>IF(Advance!$I$53=0,0,K20/Advance!$I$53)</f>
        <v>7.7771914599169351E-2</v>
      </c>
      <c r="N20" s="66">
        <f t="shared" si="1"/>
        <v>8445.51</v>
      </c>
      <c r="O20" s="24">
        <f>IF(NOT(ISNUMBER($E20)),$E20,N20/Advance!$I$53)</f>
        <v>6.138537219312437</v>
      </c>
    </row>
    <row r="21" spans="2:15" ht="22.05" customHeight="1">
      <c r="B21" s="14" t="s">
        <v>265</v>
      </c>
      <c r="C21" s="14" t="s">
        <v>266</v>
      </c>
      <c r="D21" s="14" t="s">
        <v>215</v>
      </c>
      <c r="E21" s="77">
        <f>Inputs!$E$50</f>
        <v>108.19</v>
      </c>
      <c r="G21" s="60">
        <f>MAX(0,Consumption_PL!I24)</f>
        <v>0</v>
      </c>
      <c r="H21" s="60">
        <f>MAX(0,Consumption_PL!M24)</f>
        <v>0</v>
      </c>
      <c r="I21" s="60">
        <f>MAX(0,Consumption_PL!Q24)</f>
        <v>0</v>
      </c>
      <c r="J21" s="60">
        <f>MAX(0,Consumption_PL!U24)</f>
        <v>35</v>
      </c>
      <c r="K21" s="57">
        <f t="shared" si="0"/>
        <v>35</v>
      </c>
      <c r="M21" s="65">
        <f>IF(Advance!$I$53=0,0,K21/Advance!$I$53)</f>
        <v>2.5439411317485304E-2</v>
      </c>
      <c r="N21" s="66">
        <f t="shared" si="1"/>
        <v>3786.65</v>
      </c>
      <c r="O21" s="24">
        <f>IF(NOT(ISNUMBER($E21)),$E21,N21/Advance!$I$53)</f>
        <v>2.7522899104387348</v>
      </c>
    </row>
    <row r="22" spans="2:15" ht="22.05" customHeight="1">
      <c r="B22" s="14" t="s">
        <v>267</v>
      </c>
      <c r="C22" s="14" t="s">
        <v>268</v>
      </c>
      <c r="D22" s="14" t="s">
        <v>215</v>
      </c>
      <c r="E22" s="77">
        <f>Inputs!$E$51</f>
        <v>94.13</v>
      </c>
      <c r="G22" s="60">
        <f>MAX(0,Consumption_PL!I25)</f>
        <v>10</v>
      </c>
      <c r="H22" s="60">
        <f>MAX(0,Consumption_PL!M25)</f>
        <v>15</v>
      </c>
      <c r="I22" s="60">
        <f>MAX(0,Consumption_PL!Q25)</f>
        <v>10</v>
      </c>
      <c r="J22" s="60">
        <f>MAX(0,Consumption_PL!U25)</f>
        <v>15</v>
      </c>
      <c r="K22" s="57">
        <f t="shared" si="0"/>
        <v>50</v>
      </c>
      <c r="M22" s="65">
        <f>IF(Advance!$I$53=0,0,K22/Advance!$I$53)</f>
        <v>3.6342016167836146E-2</v>
      </c>
      <c r="N22" s="66">
        <f t="shared" si="1"/>
        <v>4706.5</v>
      </c>
      <c r="O22" s="24">
        <f>IF(NOT(ISNUMBER($E22)),$E22,N22/Advance!$I$53)</f>
        <v>3.4208739818784166</v>
      </c>
    </row>
    <row r="23" spans="2:15" ht="22.05" customHeight="1">
      <c r="B23" s="14" t="s">
        <v>269</v>
      </c>
      <c r="C23" s="14" t="s">
        <v>270</v>
      </c>
      <c r="D23" s="14" t="s">
        <v>215</v>
      </c>
      <c r="E23" s="77">
        <f>Inputs!$E$52</f>
        <v>343.33</v>
      </c>
      <c r="G23" s="60">
        <f>MAX(0,Consumption_PL!I26)</f>
        <v>14</v>
      </c>
      <c r="H23" s="60">
        <f>MAX(0,Consumption_PL!M26)</f>
        <v>2</v>
      </c>
      <c r="I23" s="60">
        <f>MAX(0,Consumption_PL!Q26)</f>
        <v>14</v>
      </c>
      <c r="J23" s="60">
        <f>MAX(0,Consumption_PL!U26)</f>
        <v>12</v>
      </c>
      <c r="K23" s="57">
        <f t="shared" si="0"/>
        <v>42</v>
      </c>
      <c r="M23" s="65">
        <f>IF(Advance!$I$53=0,0,K23/Advance!$I$53)</f>
        <v>3.0527293580982363E-2</v>
      </c>
      <c r="N23" s="66">
        <f t="shared" si="1"/>
        <v>14419.859999999999</v>
      </c>
      <c r="O23" s="24">
        <f>IF(NOT(ISNUMBER($E23)),$E23,N23/Advance!$I$53)</f>
        <v>10.480935705158673</v>
      </c>
    </row>
    <row r="24" spans="2:15" ht="22.05" customHeight="1">
      <c r="B24" s="14" t="s">
        <v>271</v>
      </c>
      <c r="C24" s="14" t="s">
        <v>272</v>
      </c>
      <c r="D24" s="14" t="s">
        <v>215</v>
      </c>
      <c r="E24" s="77">
        <f>Inputs!$E$53</f>
        <v>136.44</v>
      </c>
      <c r="G24" s="60">
        <f>MAX(0,Consumption_PL!I27)</f>
        <v>22</v>
      </c>
      <c r="H24" s="60">
        <f>MAX(0,Consumption_PL!M27)</f>
        <v>20</v>
      </c>
      <c r="I24" s="60">
        <f>MAX(0,Consumption_PL!Q27)</f>
        <v>1</v>
      </c>
      <c r="J24" s="60">
        <f>MAX(0,Consumption_PL!U27)</f>
        <v>12</v>
      </c>
      <c r="K24" s="57">
        <f t="shared" si="0"/>
        <v>55</v>
      </c>
      <c r="M24" s="65">
        <f>IF(Advance!$I$53=0,0,K24/Advance!$I$53)</f>
        <v>3.9976217784619759E-2</v>
      </c>
      <c r="N24" s="66">
        <f t="shared" si="1"/>
        <v>7504.2</v>
      </c>
      <c r="O24" s="24">
        <f>IF(NOT(ISNUMBER($E24)),$E24,N24/Advance!$I$53)</f>
        <v>5.4543551545335198</v>
      </c>
    </row>
    <row r="25" spans="2:15" ht="22.05" customHeight="1">
      <c r="B25" s="14" t="s">
        <v>273</v>
      </c>
      <c r="C25" s="14" t="s">
        <v>274</v>
      </c>
      <c r="D25" s="14" t="s">
        <v>215</v>
      </c>
      <c r="E25" s="77">
        <f>Inputs!$E$54</f>
        <v>79.73</v>
      </c>
      <c r="G25" s="60">
        <f>MAX(0,Consumption_PL!I28)</f>
        <v>62</v>
      </c>
      <c r="H25" s="60">
        <f>MAX(0,Consumption_PL!M28)</f>
        <v>42</v>
      </c>
      <c r="I25" s="60">
        <f>MAX(0,Consumption_PL!Q28)</f>
        <v>20</v>
      </c>
      <c r="J25" s="60">
        <f>MAX(0,Consumption_PL!U28)</f>
        <v>70</v>
      </c>
      <c r="K25" s="57">
        <f t="shared" si="0"/>
        <v>194</v>
      </c>
      <c r="M25" s="65">
        <f>IF(Advance!$I$53=0,0,K25/Advance!$I$53)</f>
        <v>0.14100702273120425</v>
      </c>
      <c r="N25" s="66">
        <f t="shared" si="1"/>
        <v>15467.62</v>
      </c>
      <c r="O25" s="24">
        <f>IF(NOT(ISNUMBER($E25)),$E25,N25/Advance!$I$53)</f>
        <v>11.242489922358915</v>
      </c>
    </row>
    <row r="26" spans="2:15" ht="22.05" customHeight="1">
      <c r="C26" s="68" t="s">
        <v>483</v>
      </c>
      <c r="K26" s="69">
        <f>SUM(K19:K25)</f>
        <v>608</v>
      </c>
      <c r="M26" s="70">
        <f>SUM(M19:M25)</f>
        <v>0.44191891660088756</v>
      </c>
      <c r="N26" s="71">
        <f>IF(COUNT(N19:N25)=0,"x",SUM(N19:N25))</f>
        <v>62645.340000000004</v>
      </c>
      <c r="O26" s="72">
        <f>IF(COUNT(O19:O25)=0,"x",SUM(O19:O25))</f>
        <v>45.533159182391842</v>
      </c>
    </row>
    <row r="28" spans="2:15" ht="24" customHeight="1">
      <c r="B28" s="4" t="s">
        <v>484</v>
      </c>
      <c r="C28" s="5"/>
      <c r="D28" s="5"/>
      <c r="E28" s="5"/>
      <c r="F28" s="5"/>
      <c r="G28" s="5"/>
      <c r="H28" s="5"/>
      <c r="I28" s="5"/>
      <c r="J28" s="5"/>
      <c r="K28" s="5"/>
      <c r="L28" s="5"/>
      <c r="M28" s="5"/>
      <c r="N28" s="5"/>
    </row>
    <row r="29" spans="2:15" ht="22.05" customHeight="1">
      <c r="B29" s="14" t="s">
        <v>275</v>
      </c>
      <c r="C29" s="14" t="s">
        <v>276</v>
      </c>
      <c r="D29" s="14" t="s">
        <v>215</v>
      </c>
      <c r="E29" s="77">
        <f>Inputs!$E$55</f>
        <v>498.85</v>
      </c>
      <c r="G29" s="60">
        <f>MAX(0,Consumption_PL!I29)</f>
        <v>1</v>
      </c>
      <c r="H29" s="60">
        <f>MAX(0,Consumption_PL!M29)</f>
        <v>0</v>
      </c>
      <c r="I29" s="60">
        <f>MAX(0,Consumption_PL!Q29)</f>
        <v>7</v>
      </c>
      <c r="J29" s="60">
        <f>MAX(0,Consumption_PL!U29)</f>
        <v>19</v>
      </c>
      <c r="K29" s="57">
        <f t="shared" ref="K29:K34" si="2">SUM(G29:J29)</f>
        <v>27</v>
      </c>
      <c r="M29" s="65">
        <f>IF(Advance!$I$53=0,0,K29/Advance!$I$53)</f>
        <v>1.9624688730631518E-2</v>
      </c>
      <c r="N29" s="66">
        <f t="shared" ref="N29:N34" si="3">IF(NOT(ISNUMBER($E29)),$E29,K29*$E29)</f>
        <v>13468.95</v>
      </c>
      <c r="O29" s="24">
        <f>IF(NOT(ISNUMBER($E29)),$E29,N29/Advance!$I$53)</f>
        <v>9.7897759732755336</v>
      </c>
    </row>
    <row r="30" spans="2:15" ht="22.05" customHeight="1">
      <c r="B30" s="14" t="s">
        <v>277</v>
      </c>
      <c r="C30" s="14" t="s">
        <v>278</v>
      </c>
      <c r="D30" s="14" t="s">
        <v>215</v>
      </c>
      <c r="E30" s="77">
        <f>Inputs!$E$56</f>
        <v>639</v>
      </c>
      <c r="G30" s="60">
        <f>MAX(0,Consumption_PL!I30)</f>
        <v>15</v>
      </c>
      <c r="H30" s="60">
        <f>MAX(0,Consumption_PL!M30)</f>
        <v>18</v>
      </c>
      <c r="I30" s="60">
        <f>MAX(0,Consumption_PL!Q30)</f>
        <v>16</v>
      </c>
      <c r="J30" s="60">
        <f>MAX(0,Consumption_PL!U30)</f>
        <v>24</v>
      </c>
      <c r="K30" s="57">
        <f t="shared" si="2"/>
        <v>73</v>
      </c>
      <c r="M30" s="65">
        <f>IF(Advance!$I$53=0,0,K30/Advance!$I$53)</f>
        <v>5.3059343605040776E-2</v>
      </c>
      <c r="N30" s="66">
        <f t="shared" si="3"/>
        <v>46647</v>
      </c>
      <c r="O30" s="24">
        <f>IF(NOT(ISNUMBER($E30)),$E30,N30/Advance!$I$53)</f>
        <v>33.904920563621054</v>
      </c>
    </row>
    <row r="31" spans="2:15" ht="22.05" customHeight="1">
      <c r="B31" s="14" t="s">
        <v>279</v>
      </c>
      <c r="C31" s="14" t="s">
        <v>280</v>
      </c>
      <c r="D31" s="14" t="s">
        <v>215</v>
      </c>
      <c r="E31" s="77">
        <f>Inputs!$E$57</f>
        <v>439.59</v>
      </c>
      <c r="G31" s="60">
        <f>MAX(0,Consumption_PL!I31)</f>
        <v>2</v>
      </c>
      <c r="H31" s="60">
        <f>MAX(0,Consumption_PL!M31)</f>
        <v>1</v>
      </c>
      <c r="I31" s="60">
        <f>MAX(0,Consumption_PL!Q31)</f>
        <v>3</v>
      </c>
      <c r="J31" s="60">
        <f>MAX(0,Consumption_PL!U31)</f>
        <v>4</v>
      </c>
      <c r="K31" s="57">
        <f t="shared" si="2"/>
        <v>10</v>
      </c>
      <c r="M31" s="65">
        <f>IF(Advance!$I$53=0,0,K31/Advance!$I$53)</f>
        <v>7.2684032335672295E-3</v>
      </c>
      <c r="N31" s="66">
        <f t="shared" si="3"/>
        <v>4395.8999999999996</v>
      </c>
      <c r="O31" s="24">
        <f>IF(NOT(ISNUMBER($E31)),$E31,N31/Advance!$I$53)</f>
        <v>3.1951173774438182</v>
      </c>
    </row>
    <row r="32" spans="2:15" ht="22.05" customHeight="1">
      <c r="B32" s="14" t="s">
        <v>281</v>
      </c>
      <c r="C32" s="14" t="s">
        <v>282</v>
      </c>
      <c r="D32" s="14" t="s">
        <v>215</v>
      </c>
      <c r="E32" s="77">
        <f>Inputs!$E$58</f>
        <v>317.43</v>
      </c>
      <c r="G32" s="60">
        <f>MAX(0,Consumption_PL!I32)</f>
        <v>15</v>
      </c>
      <c r="H32" s="60">
        <f>MAX(0,Consumption_PL!M32)</f>
        <v>12</v>
      </c>
      <c r="I32" s="60">
        <f>MAX(0,Consumption_PL!Q32)</f>
        <v>0</v>
      </c>
      <c r="J32" s="60">
        <f>MAX(0,Consumption_PL!U32)</f>
        <v>4</v>
      </c>
      <c r="K32" s="57">
        <f t="shared" si="2"/>
        <v>31</v>
      </c>
      <c r="M32" s="65">
        <f>IF(Advance!$I$53=0,0,K32/Advance!$I$53)</f>
        <v>2.2532050024058413E-2</v>
      </c>
      <c r="N32" s="66">
        <f t="shared" si="3"/>
        <v>9840.33</v>
      </c>
      <c r="O32" s="24">
        <f>IF(NOT(ISNUMBER($E32)),$E32,N32/Advance!$I$53)</f>
        <v>7.1523486391368616</v>
      </c>
    </row>
    <row r="33" spans="2:15" ht="22.05" customHeight="1">
      <c r="B33" s="14" t="s">
        <v>283</v>
      </c>
      <c r="C33" s="14" t="s">
        <v>284</v>
      </c>
      <c r="D33" s="14" t="s">
        <v>215</v>
      </c>
      <c r="E33" s="77">
        <f>Inputs!$E$59</f>
        <v>184.75</v>
      </c>
      <c r="G33" s="60">
        <f>MAX(0,Consumption_PL!I33)</f>
        <v>0</v>
      </c>
      <c r="H33" s="60">
        <f>MAX(0,Consumption_PL!M33)</f>
        <v>4</v>
      </c>
      <c r="I33" s="60">
        <f>MAX(0,Consumption_PL!Q33)</f>
        <v>1</v>
      </c>
      <c r="J33" s="60">
        <f>MAX(0,Consumption_PL!U33)</f>
        <v>1</v>
      </c>
      <c r="K33" s="57">
        <f t="shared" si="2"/>
        <v>6</v>
      </c>
      <c r="M33" s="65">
        <f>IF(Advance!$I$53=0,0,K33/Advance!$I$53)</f>
        <v>4.3610419401403375E-3</v>
      </c>
      <c r="N33" s="66">
        <f t="shared" si="3"/>
        <v>1108.5</v>
      </c>
      <c r="O33" s="24">
        <f>IF(NOT(ISNUMBER($E33)),$E33,N33/Advance!$I$53)</f>
        <v>0.80570249844092734</v>
      </c>
    </row>
    <row r="34" spans="2:15" ht="22.05" customHeight="1">
      <c r="B34" s="14" t="s">
        <v>285</v>
      </c>
      <c r="C34" s="14" t="s">
        <v>286</v>
      </c>
      <c r="D34" s="14" t="s">
        <v>215</v>
      </c>
      <c r="E34" s="77">
        <f>Inputs!$E$60</f>
        <v>276.63</v>
      </c>
      <c r="G34" s="60">
        <f>MAX(0,Consumption_PL!I34)</f>
        <v>0</v>
      </c>
      <c r="H34" s="60">
        <f>MAX(0,Consumption_PL!M34)</f>
        <v>1</v>
      </c>
      <c r="I34" s="60">
        <f>MAX(0,Consumption_PL!Q34)</f>
        <v>1</v>
      </c>
      <c r="J34" s="60">
        <f>MAX(0,Consumption_PL!U34)</f>
        <v>1</v>
      </c>
      <c r="K34" s="57">
        <f t="shared" si="2"/>
        <v>3</v>
      </c>
      <c r="M34" s="65">
        <f>IF(Advance!$I$53=0,0,K34/Advance!$I$53)</f>
        <v>2.1805209700701688E-3</v>
      </c>
      <c r="N34" s="66">
        <f t="shared" si="3"/>
        <v>829.89</v>
      </c>
      <c r="O34" s="24">
        <f>IF(NOT(ISNUMBER($E34)),$E34,N34/Advance!$I$53)</f>
        <v>0.60319751595051074</v>
      </c>
    </row>
    <row r="35" spans="2:15" ht="22.05" customHeight="1">
      <c r="C35" s="68" t="s">
        <v>485</v>
      </c>
      <c r="K35" s="69">
        <f>SUM(K29:K34)</f>
        <v>150</v>
      </c>
      <c r="M35" s="70">
        <f>SUM(M29:M34)</f>
        <v>0.10902604850350843</v>
      </c>
      <c r="N35" s="71">
        <f>IF(COUNT(N29:N34)=0,"x",SUM(N29:N34))</f>
        <v>76290.569999999992</v>
      </c>
      <c r="O35" s="72">
        <f>IF(COUNT(O29:O34)=0,"x",SUM(O29:O34))</f>
        <v>55.451062567868711</v>
      </c>
    </row>
    <row r="37" spans="2:15" ht="24" customHeight="1">
      <c r="B37" s="4" t="s">
        <v>486</v>
      </c>
      <c r="C37" s="5"/>
      <c r="D37" s="5"/>
      <c r="E37" s="5"/>
      <c r="F37" s="5"/>
      <c r="G37" s="5"/>
      <c r="H37" s="5"/>
      <c r="I37" s="5"/>
      <c r="J37" s="5"/>
      <c r="K37" s="5"/>
      <c r="L37" s="5"/>
      <c r="M37" s="5"/>
      <c r="N37" s="5"/>
    </row>
    <row r="38" spans="2:15" ht="22.05" customHeight="1">
      <c r="B38" s="14" t="s">
        <v>287</v>
      </c>
      <c r="C38" s="14" t="s">
        <v>288</v>
      </c>
      <c r="D38" s="14" t="s">
        <v>215</v>
      </c>
      <c r="E38" s="77">
        <f>Inputs!$E$61</f>
        <v>45.12</v>
      </c>
      <c r="G38" s="60">
        <f>MAX(0,Consumption_PL!I35)</f>
        <v>0</v>
      </c>
      <c r="H38" s="60">
        <f>MAX(0,Consumption_PL!M35)</f>
        <v>9</v>
      </c>
      <c r="I38" s="60">
        <f>MAX(0,Consumption_PL!Q35)</f>
        <v>12</v>
      </c>
      <c r="J38" s="60">
        <f>MAX(0,Consumption_PL!U35)</f>
        <v>4</v>
      </c>
      <c r="K38" s="57">
        <f t="shared" ref="K38:K45" si="4">SUM(G38:J38)</f>
        <v>25</v>
      </c>
      <c r="M38" s="65">
        <f>IF(Advance!$I$53=0,0,K38/Advance!$I$53)</f>
        <v>1.8171008083918073E-2</v>
      </c>
      <c r="N38" s="66">
        <f t="shared" ref="N38:N45" si="5">IF(NOT(ISNUMBER($E38)),$E38,K38*$E38)</f>
        <v>1128</v>
      </c>
      <c r="O38" s="24">
        <f>IF(NOT(ISNUMBER($E38)),$E38,N38/Advance!$I$53)</f>
        <v>0.81987588474638351</v>
      </c>
    </row>
    <row r="39" spans="2:15" ht="22.05" customHeight="1">
      <c r="B39" s="14" t="s">
        <v>289</v>
      </c>
      <c r="C39" s="14" t="s">
        <v>290</v>
      </c>
      <c r="D39" s="14" t="s">
        <v>215</v>
      </c>
      <c r="E39" s="77">
        <f>Inputs!$E$62</f>
        <v>68</v>
      </c>
      <c r="G39" s="60">
        <f>MAX(0,Consumption_PL!I36)</f>
        <v>0</v>
      </c>
      <c r="H39" s="60">
        <f>MAX(0,Consumption_PL!M36)</f>
        <v>0</v>
      </c>
      <c r="I39" s="60">
        <f>MAX(0,Consumption_PL!Q36)</f>
        <v>2</v>
      </c>
      <c r="J39" s="60">
        <f>MAX(0,Consumption_PL!U36)</f>
        <v>1</v>
      </c>
      <c r="K39" s="57">
        <f t="shared" si="4"/>
        <v>3</v>
      </c>
      <c r="M39" s="65">
        <f>IF(Advance!$I$53=0,0,K39/Advance!$I$53)</f>
        <v>2.1805209700701688E-3</v>
      </c>
      <c r="N39" s="66">
        <f t="shared" si="5"/>
        <v>204</v>
      </c>
      <c r="O39" s="24">
        <f>IF(NOT(ISNUMBER($E39)),$E39,N39/Advance!$I$53)</f>
        <v>0.14827542596477147</v>
      </c>
    </row>
    <row r="40" spans="2:15" ht="22.05" customHeight="1">
      <c r="B40" s="14" t="s">
        <v>291</v>
      </c>
      <c r="C40" s="14" t="s">
        <v>292</v>
      </c>
      <c r="D40" s="14" t="s">
        <v>215</v>
      </c>
      <c r="E40" s="77">
        <f>Inputs!$E$63</f>
        <v>61.09</v>
      </c>
      <c r="G40" s="60">
        <f>MAX(0,Consumption_PL!I37)</f>
        <v>0</v>
      </c>
      <c r="H40" s="60">
        <f>MAX(0,Consumption_PL!M37)</f>
        <v>0</v>
      </c>
      <c r="I40" s="60">
        <f>MAX(0,Consumption_PL!Q37)</f>
        <v>4</v>
      </c>
      <c r="J40" s="60">
        <f>MAX(0,Consumption_PL!U37)</f>
        <v>2</v>
      </c>
      <c r="K40" s="57">
        <f t="shared" si="4"/>
        <v>6</v>
      </c>
      <c r="M40" s="65">
        <f>IF(Advance!$I$53=0,0,K40/Advance!$I$53)</f>
        <v>4.3610419401403375E-3</v>
      </c>
      <c r="N40" s="66">
        <f t="shared" si="5"/>
        <v>366.54</v>
      </c>
      <c r="O40" s="24">
        <f>IF(NOT(ISNUMBER($E40)),$E40,N40/Advance!$I$53)</f>
        <v>0.26641605212317326</v>
      </c>
    </row>
    <row r="41" spans="2:15" ht="22.05" customHeight="1">
      <c r="B41" s="14" t="s">
        <v>293</v>
      </c>
      <c r="C41" s="14" t="s">
        <v>294</v>
      </c>
      <c r="D41" s="14" t="s">
        <v>215</v>
      </c>
      <c r="E41" s="77">
        <f>Inputs!$E$64</f>
        <v>1884.83</v>
      </c>
      <c r="G41" s="60">
        <f>MAX(0,Consumption_PL!I38)</f>
        <v>0</v>
      </c>
      <c r="H41" s="60">
        <f>MAX(0,Consumption_PL!M38)</f>
        <v>0</v>
      </c>
      <c r="I41" s="60">
        <f>MAX(0,Consumption_PL!Q38)</f>
        <v>9</v>
      </c>
      <c r="J41" s="60">
        <f>MAX(0,Consumption_PL!U38)</f>
        <v>1</v>
      </c>
      <c r="K41" s="57">
        <f t="shared" si="4"/>
        <v>10</v>
      </c>
      <c r="M41" s="65">
        <f>IF(Advance!$I$53=0,0,K41/Advance!$I$53)</f>
        <v>7.2684032335672295E-3</v>
      </c>
      <c r="N41" s="66">
        <f t="shared" si="5"/>
        <v>18848.3</v>
      </c>
      <c r="O41" s="24">
        <f>IF(NOT(ISNUMBER($E41)),$E41,N41/Advance!$I$53)</f>
        <v>13.699704466724521</v>
      </c>
    </row>
    <row r="42" spans="2:15" ht="22.05" customHeight="1">
      <c r="B42" s="14" t="s">
        <v>295</v>
      </c>
      <c r="C42" s="14" t="s">
        <v>292</v>
      </c>
      <c r="D42" s="14" t="s">
        <v>215</v>
      </c>
      <c r="E42" s="77">
        <f>Inputs!$E$65</f>
        <v>1733.67</v>
      </c>
      <c r="G42" s="60">
        <f>MAX(0,Consumption_PL!I39)</f>
        <v>0</v>
      </c>
      <c r="H42" s="60">
        <f>MAX(0,Consumption_PL!M39)</f>
        <v>0</v>
      </c>
      <c r="I42" s="60">
        <f>MAX(0,Consumption_PL!Q39)</f>
        <v>2</v>
      </c>
      <c r="J42" s="60">
        <f>MAX(0,Consumption_PL!U39)</f>
        <v>1</v>
      </c>
      <c r="K42" s="57">
        <f t="shared" si="4"/>
        <v>3</v>
      </c>
      <c r="M42" s="65">
        <f>IF(Advance!$I$53=0,0,K42/Advance!$I$53)</f>
        <v>2.1805209700701688E-3</v>
      </c>
      <c r="N42" s="66">
        <f t="shared" si="5"/>
        <v>5201.01</v>
      </c>
      <c r="O42" s="24">
        <f>IF(NOT(ISNUMBER($E42)),$E42,N42/Advance!$I$53)</f>
        <v>3.7803037901815499</v>
      </c>
    </row>
    <row r="43" spans="2:15" ht="22.05" customHeight="1">
      <c r="B43" s="14" t="s">
        <v>296</v>
      </c>
      <c r="C43" s="14" t="s">
        <v>297</v>
      </c>
      <c r="D43" s="14" t="s">
        <v>215</v>
      </c>
      <c r="E43" s="77">
        <f>Inputs!$E$66</f>
        <v>1376.29</v>
      </c>
      <c r="G43" s="60">
        <f>MAX(0,Consumption_PL!I40)</f>
        <v>0</v>
      </c>
      <c r="H43" s="60">
        <f>MAX(0,Consumption_PL!M40)</f>
        <v>0</v>
      </c>
      <c r="I43" s="60">
        <f>MAX(0,Consumption_PL!Q40)</f>
        <v>2</v>
      </c>
      <c r="J43" s="60">
        <f>MAX(0,Consumption_PL!U40)</f>
        <v>0</v>
      </c>
      <c r="K43" s="57">
        <f t="shared" si="4"/>
        <v>2</v>
      </c>
      <c r="M43" s="65">
        <f>IF(Advance!$I$53=0,0,K43/Advance!$I$53)</f>
        <v>1.453680646713446E-3</v>
      </c>
      <c r="N43" s="66">
        <f t="shared" si="5"/>
        <v>2752.58</v>
      </c>
      <c r="O43" s="24">
        <f>IF(NOT(ISNUMBER($E43)),$E43,N43/Advance!$I$53)</f>
        <v>2.0006861372652485</v>
      </c>
    </row>
    <row r="44" spans="2:15" ht="22.05" customHeight="1">
      <c r="B44" s="14" t="s">
        <v>298</v>
      </c>
      <c r="C44" s="14" t="s">
        <v>299</v>
      </c>
      <c r="D44" s="14" t="s">
        <v>215</v>
      </c>
      <c r="E44" s="77">
        <f>Inputs!$E$67</f>
        <v>96.3</v>
      </c>
      <c r="G44" s="60">
        <f>MAX(0,Consumption_PL!I41)</f>
        <v>0</v>
      </c>
      <c r="H44" s="60">
        <f>MAX(0,Consumption_PL!M41)</f>
        <v>3</v>
      </c>
      <c r="I44" s="60">
        <f>MAX(0,Consumption_PL!Q41)</f>
        <v>1</v>
      </c>
      <c r="J44" s="60">
        <f>MAX(0,Consumption_PL!U41)</f>
        <v>4</v>
      </c>
      <c r="K44" s="57">
        <f t="shared" si="4"/>
        <v>8</v>
      </c>
      <c r="M44" s="65">
        <f>IF(Advance!$I$53=0,0,K44/Advance!$I$53)</f>
        <v>5.8147225868537839E-3</v>
      </c>
      <c r="N44" s="66">
        <f t="shared" si="5"/>
        <v>770.4</v>
      </c>
      <c r="O44" s="24">
        <f>IF(NOT(ISNUMBER($E44)),$E44,N44/Advance!$I$53)</f>
        <v>0.55995778511401939</v>
      </c>
    </row>
    <row r="45" spans="2:15" ht="22.05" customHeight="1">
      <c r="B45" s="14" t="s">
        <v>300</v>
      </c>
      <c r="C45" s="14" t="s">
        <v>301</v>
      </c>
      <c r="D45" s="14" t="s">
        <v>215</v>
      </c>
      <c r="E45" s="77">
        <f>Inputs!$E$68</f>
        <v>96.3</v>
      </c>
      <c r="G45" s="60">
        <f>MAX(0,Consumption_PL!I42)</f>
        <v>0</v>
      </c>
      <c r="H45" s="60">
        <f>MAX(0,Consumption_PL!M42)</f>
        <v>0</v>
      </c>
      <c r="I45" s="60">
        <f>MAX(0,Consumption_PL!Q42)</f>
        <v>5</v>
      </c>
      <c r="J45" s="60">
        <f>MAX(0,Consumption_PL!U42)</f>
        <v>0</v>
      </c>
      <c r="K45" s="57">
        <f t="shared" si="4"/>
        <v>5</v>
      </c>
      <c r="M45" s="65">
        <f>IF(Advance!$I$53=0,0,K45/Advance!$I$53)</f>
        <v>3.6342016167836147E-3</v>
      </c>
      <c r="N45" s="66">
        <f t="shared" si="5"/>
        <v>481.5</v>
      </c>
      <c r="O45" s="24">
        <f>IF(NOT(ISNUMBER($E45)),$E45,N45/Advance!$I$53)</f>
        <v>0.34997361569626212</v>
      </c>
    </row>
    <row r="46" spans="2:15" ht="22.05" customHeight="1">
      <c r="C46" s="68" t="s">
        <v>487</v>
      </c>
      <c r="K46" s="69">
        <f>SUM(K38:K45)</f>
        <v>62</v>
      </c>
      <c r="M46" s="70">
        <f>SUM(M38:M45)</f>
        <v>4.5064100048116819E-2</v>
      </c>
      <c r="N46" s="71">
        <f>IF(COUNT(N38:N45)=0,"x",SUM(N38:N45))</f>
        <v>29752.33</v>
      </c>
      <c r="O46" s="72">
        <f>IF(COUNT(O38:O45)=0,"x",SUM(O38:O45))</f>
        <v>21.625193157815925</v>
      </c>
    </row>
    <row r="48" spans="2:15" ht="25.95" customHeight="1">
      <c r="B48" s="54"/>
      <c r="C48" s="21" t="s">
        <v>463</v>
      </c>
      <c r="M48" s="54"/>
      <c r="N48" s="73">
        <f>IF(COUNT(N10,N16,N26,N35,N46)=0,"x",SUM(N10,N16,N26,N35,N46))</f>
        <v>985916.21999999986</v>
      </c>
      <c r="O48" s="74">
        <f>IF(COUNT(O10,O16,O26,O35,O46)=0,"x",SUM(O10,O16,O26,O35,O46))</f>
        <v>716.60366414743794</v>
      </c>
    </row>
    <row r="50" spans="3:10" ht="22.05" customHeight="1">
      <c r="C50" s="6" t="s">
        <v>464</v>
      </c>
    </row>
    <row r="51" spans="3:10" ht="22.05" customHeight="1">
      <c r="C51" s="75" t="s">
        <v>86</v>
      </c>
      <c r="D51" s="127" t="s">
        <v>488</v>
      </c>
      <c r="E51" s="122"/>
      <c r="F51" s="122"/>
      <c r="G51" s="122"/>
      <c r="H51" s="122"/>
      <c r="I51" s="122"/>
      <c r="J51" s="122"/>
    </row>
    <row r="52" spans="3:10" ht="22.05" customHeight="1">
      <c r="C52" s="78" t="s">
        <v>458</v>
      </c>
      <c r="D52" s="127" t="s">
        <v>489</v>
      </c>
      <c r="E52" s="122"/>
      <c r="F52" s="122"/>
      <c r="G52" s="122"/>
      <c r="H52" s="122"/>
      <c r="I52" s="122"/>
      <c r="J52" s="122"/>
    </row>
  </sheetData>
  <mergeCells count="3">
    <mergeCell ref="D52:J52"/>
    <mergeCell ref="B4:N4"/>
    <mergeCell ref="D51:J5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O17"/>
  <sheetViews>
    <sheetView showGridLines="0" workbookViewId="0">
      <pane xSplit="6" ySplit="6" topLeftCell="G7" activePane="bottomRight" state="frozen"/>
      <selection pane="topRight"/>
      <selection pane="bottomLeft"/>
      <selection pane="bottomRight"/>
    </sheetView>
  </sheetViews>
  <sheetFormatPr defaultRowHeight="14.4"/>
  <cols>
    <col min="1" max="1" width="4" customWidth="1"/>
    <col min="2" max="2" width="26" customWidth="1"/>
    <col min="3" max="3" width="62" customWidth="1"/>
    <col min="4" max="4" width="14" customWidth="1"/>
    <col min="5" max="5" width="22" customWidth="1"/>
    <col min="6" max="6" width="4" customWidth="1"/>
    <col min="7" max="11" width="19" customWidth="1"/>
    <col min="12" max="12" width="4" customWidth="1"/>
    <col min="13" max="13" width="20" customWidth="1"/>
    <col min="14" max="15" width="24" customWidth="1"/>
  </cols>
  <sheetData>
    <row r="1" spans="2:15" ht="7.95" customHeight="1"/>
    <row r="2" spans="2:15" ht="30" customHeight="1">
      <c r="B2" s="12" t="s">
        <v>490</v>
      </c>
    </row>
    <row r="3" spans="2:15" ht="19.95" customHeight="1">
      <c r="B3" s="3" t="s">
        <v>491</v>
      </c>
    </row>
    <row r="4" spans="2:15" ht="24" customHeight="1">
      <c r="B4" s="121" t="s">
        <v>457</v>
      </c>
      <c r="C4" s="122"/>
      <c r="D4" s="122"/>
      <c r="E4" s="122"/>
      <c r="F4" s="122"/>
      <c r="G4" s="122"/>
      <c r="H4" s="122"/>
      <c r="I4" s="122"/>
      <c r="J4" s="122"/>
      <c r="K4" s="122"/>
      <c r="L4" s="122"/>
      <c r="M4" s="122"/>
      <c r="N4" s="122"/>
    </row>
    <row r="5" spans="2:15" ht="7.95" customHeight="1"/>
    <row r="6" spans="2:15" ht="46.05" customHeight="1">
      <c r="B6" s="8" t="s">
        <v>210</v>
      </c>
      <c r="C6" s="8" t="s">
        <v>206</v>
      </c>
      <c r="D6" s="8" t="s">
        <v>98</v>
      </c>
      <c r="E6" s="8" t="s">
        <v>212</v>
      </c>
      <c r="F6" s="8"/>
      <c r="G6" s="8" t="s">
        <v>426</v>
      </c>
      <c r="H6" s="8" t="s">
        <v>427</v>
      </c>
      <c r="I6" s="8" t="s">
        <v>428</v>
      </c>
      <c r="J6" s="8" t="s">
        <v>429</v>
      </c>
      <c r="K6" s="8" t="s">
        <v>430</v>
      </c>
      <c r="L6" s="8"/>
      <c r="M6" s="8" t="s">
        <v>458</v>
      </c>
      <c r="N6" s="8" t="s">
        <v>459</v>
      </c>
      <c r="O6" s="8" t="s">
        <v>460</v>
      </c>
    </row>
    <row r="7" spans="2:15" ht="24" customHeight="1">
      <c r="B7" s="4" t="s">
        <v>56</v>
      </c>
      <c r="C7" s="5"/>
      <c r="D7" s="5"/>
      <c r="E7" s="5"/>
      <c r="F7" s="5"/>
      <c r="G7" s="5"/>
      <c r="H7" s="5"/>
      <c r="I7" s="5"/>
      <c r="J7" s="5"/>
      <c r="K7" s="5"/>
      <c r="L7" s="5"/>
      <c r="M7" s="5"/>
      <c r="N7" s="5"/>
    </row>
    <row r="8" spans="2:15" ht="22.05" customHeight="1">
      <c r="B8" s="14" t="s">
        <v>222</v>
      </c>
      <c r="C8" s="14" t="s">
        <v>223</v>
      </c>
      <c r="D8" s="14" t="s">
        <v>215</v>
      </c>
      <c r="E8" s="76">
        <f>Inputs!$E$16</f>
        <v>68.071960587985402</v>
      </c>
      <c r="G8" s="60">
        <f>MAX(0,Consumption_PL!I43)</f>
        <v>27</v>
      </c>
      <c r="H8" s="60">
        <f>MAX(0,Consumption_PL!M43)</f>
        <v>0</v>
      </c>
      <c r="I8" s="60">
        <f>MAX(0,Consumption_PL!Q43)</f>
        <v>60</v>
      </c>
      <c r="J8" s="60">
        <f>MAX(0,Consumption_PL!U43)</f>
        <v>60</v>
      </c>
      <c r="K8" s="57">
        <f>SUM(G8:J8)</f>
        <v>147</v>
      </c>
      <c r="M8" s="65">
        <f>IF(Advance!$I$53=0,0,K8/Advance!$I$53)</f>
        <v>0.10684552753343828</v>
      </c>
      <c r="N8" s="66">
        <f>IF(NOT(ISNUMBER($E8)),$E8,K8*$E8)</f>
        <v>10006.578206433855</v>
      </c>
      <c r="O8" s="24">
        <f>IF(NOT(ISNUMBER($E8)),$E8,N8/Advance!$I$53)</f>
        <v>7.27318453925872</v>
      </c>
    </row>
    <row r="9" spans="2:15" ht="22.05" customHeight="1">
      <c r="B9" s="14" t="s">
        <v>418</v>
      </c>
      <c r="C9" s="14" t="s">
        <v>419</v>
      </c>
      <c r="D9" s="14" t="s">
        <v>215</v>
      </c>
      <c r="E9" s="53" t="s">
        <v>86</v>
      </c>
      <c r="G9" s="60">
        <f>MAX(0,Consumption_PL!I44)</f>
        <v>3</v>
      </c>
      <c r="H9" s="60">
        <f>MAX(0,Consumption_PL!M44)</f>
        <v>406</v>
      </c>
      <c r="I9" s="60">
        <f>MAX(0,Consumption_PL!Q44)</f>
        <v>0</v>
      </c>
      <c r="J9" s="60">
        <f>MAX(0,Consumption_PL!U44)</f>
        <v>141</v>
      </c>
      <c r="K9" s="57">
        <f>SUM(G9:J9)</f>
        <v>550</v>
      </c>
      <c r="M9" s="65">
        <f>IF(Advance!$I$53=0,0,K9/Advance!$I$53)</f>
        <v>0.39976217784619761</v>
      </c>
      <c r="N9" s="66" t="str">
        <f>IF(NOT(ISNUMBER($E9)),$E9,K9*$E9)</f>
        <v>x</v>
      </c>
      <c r="O9" s="24" t="str">
        <f>IF(NOT(ISNUMBER($E9)),$E9,N9/Advance!$I$53)</f>
        <v>x</v>
      </c>
    </row>
    <row r="10" spans="2:15" ht="22.05" customHeight="1">
      <c r="B10" s="14" t="s">
        <v>420</v>
      </c>
      <c r="C10" s="14" t="s">
        <v>421</v>
      </c>
      <c r="D10" s="14" t="s">
        <v>215</v>
      </c>
      <c r="E10" s="67" t="s">
        <v>88</v>
      </c>
      <c r="G10" s="60">
        <f>MAX(0,Consumption_PL!I45)</f>
        <v>306</v>
      </c>
      <c r="H10" s="60">
        <f>MAX(0,Consumption_PL!M45)</f>
        <v>94</v>
      </c>
      <c r="I10" s="60">
        <f>MAX(0,Consumption_PL!Q45)</f>
        <v>26</v>
      </c>
      <c r="J10" s="60">
        <f>MAX(0,Consumption_PL!U45)</f>
        <v>157</v>
      </c>
      <c r="K10" s="57">
        <f>SUM(G10:J10)</f>
        <v>583</v>
      </c>
      <c r="M10" s="65">
        <f>IF(Advance!$I$53=0,0,K10/Advance!$I$53)</f>
        <v>0.42374790851696947</v>
      </c>
      <c r="N10" s="66" t="str">
        <f>IF(NOT(ISNUMBER($E10)),$E10,K10*$E10)</f>
        <v>-</v>
      </c>
      <c r="O10" s="24" t="str">
        <f>IF(NOT(ISNUMBER($E10)),$E10,N10/Advance!$I$53)</f>
        <v>-</v>
      </c>
    </row>
    <row r="11" spans="2:15" ht="22.05" customHeight="1">
      <c r="C11" s="68" t="s">
        <v>492</v>
      </c>
      <c r="K11" s="69">
        <f>SUM(K8:K10)</f>
        <v>1280</v>
      </c>
      <c r="M11" s="70">
        <f>SUM(M8:M10)</f>
        <v>0.93035561389660537</v>
      </c>
      <c r="N11" s="71">
        <f>IF(COUNT(N8:N10)=0,"x",SUM(N8:N10))</f>
        <v>10006.578206433855</v>
      </c>
      <c r="O11" s="72">
        <f>IF(COUNT(O8:O10)=0,"x",SUM(O8:O10))</f>
        <v>7.27318453925872</v>
      </c>
    </row>
    <row r="13" spans="2:15" ht="25.95" customHeight="1">
      <c r="B13" s="54"/>
      <c r="C13" s="21" t="s">
        <v>463</v>
      </c>
      <c r="M13" s="54"/>
      <c r="N13" s="73">
        <f>IF(COUNT(N11)=0,"x",SUM(N11))</f>
        <v>10006.578206433855</v>
      </c>
      <c r="O13" s="74">
        <f>IF(COUNT(O11)=0,"x",SUM(O11))</f>
        <v>7.27318453925872</v>
      </c>
    </row>
    <row r="15" spans="2:15" ht="22.05" customHeight="1">
      <c r="C15" s="6" t="s">
        <v>464</v>
      </c>
    </row>
    <row r="16" spans="2:15" ht="22.05" customHeight="1">
      <c r="C16" s="75" t="s">
        <v>86</v>
      </c>
      <c r="D16" s="127" t="s">
        <v>465</v>
      </c>
      <c r="E16" s="122"/>
      <c r="F16" s="122"/>
      <c r="G16" s="122"/>
      <c r="H16" s="122"/>
      <c r="I16" s="122"/>
      <c r="J16" s="122"/>
    </row>
    <row r="17" spans="3:10" ht="22.05" customHeight="1">
      <c r="C17" s="75" t="s">
        <v>88</v>
      </c>
      <c r="D17" s="127" t="s">
        <v>493</v>
      </c>
      <c r="E17" s="122"/>
      <c r="F17" s="122"/>
      <c r="G17" s="122"/>
      <c r="H17" s="122"/>
      <c r="I17" s="122"/>
      <c r="J17" s="122"/>
    </row>
  </sheetData>
  <mergeCells count="3">
    <mergeCell ref="D17:J17"/>
    <mergeCell ref="D16:J16"/>
    <mergeCell ref="B4:N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M39"/>
  <sheetViews>
    <sheetView showGridLines="0" workbookViewId="0"/>
  </sheetViews>
  <sheetFormatPr defaultRowHeight="14.4"/>
  <cols>
    <col min="1" max="1" width="4" customWidth="1"/>
    <col min="2" max="2" width="46" customWidth="1"/>
    <col min="3" max="3" width="16" customWidth="1"/>
    <col min="4" max="4" width="4" customWidth="1"/>
    <col min="5" max="9" width="22" customWidth="1"/>
    <col min="10" max="10" width="4" customWidth="1"/>
    <col min="11" max="11" width="26" customWidth="1"/>
    <col min="12" max="12" width="4" customWidth="1"/>
    <col min="13" max="13" width="46" customWidth="1"/>
  </cols>
  <sheetData>
    <row r="1" spans="2:13" ht="7.95" customHeight="1"/>
    <row r="2" spans="2:13" ht="30" customHeight="1">
      <c r="B2" s="12" t="s">
        <v>494</v>
      </c>
    </row>
    <row r="3" spans="2:13" ht="19.95" customHeight="1">
      <c r="B3" s="3" t="s">
        <v>495</v>
      </c>
    </row>
    <row r="4" spans="2:13" ht="24" customHeight="1">
      <c r="B4" s="121" t="s">
        <v>496</v>
      </c>
      <c r="C4" s="122"/>
      <c r="D4" s="122"/>
      <c r="E4" s="122"/>
      <c r="F4" s="122"/>
      <c r="G4" s="122"/>
      <c r="H4" s="122"/>
      <c r="I4" s="122"/>
      <c r="J4" s="122"/>
    </row>
    <row r="5" spans="2:13" ht="7.95" customHeight="1"/>
    <row r="6" spans="2:13" ht="24" customHeight="1">
      <c r="B6" s="4" t="s">
        <v>497</v>
      </c>
      <c r="C6" s="5"/>
      <c r="D6" s="5"/>
      <c r="E6" s="5"/>
      <c r="F6" s="5"/>
      <c r="G6" s="5"/>
      <c r="H6" s="5"/>
      <c r="I6" s="5"/>
    </row>
    <row r="7" spans="2:13" ht="46.05" customHeight="1">
      <c r="B7" s="8" t="s">
        <v>498</v>
      </c>
      <c r="C7" s="8" t="s">
        <v>499</v>
      </c>
      <c r="D7" s="8"/>
      <c r="E7" s="8" t="s">
        <v>500</v>
      </c>
      <c r="F7" s="8" t="s">
        <v>501</v>
      </c>
      <c r="G7" s="8" t="s">
        <v>502</v>
      </c>
      <c r="H7" s="8" t="s">
        <v>503</v>
      </c>
      <c r="I7" s="8" t="s">
        <v>504</v>
      </c>
      <c r="J7" s="8"/>
      <c r="K7" s="8" t="s">
        <v>505</v>
      </c>
      <c r="L7" s="8"/>
      <c r="M7" s="8" t="s">
        <v>506</v>
      </c>
    </row>
    <row r="8" spans="2:13" ht="22.05" customHeight="1">
      <c r="B8" s="14" t="s">
        <v>221</v>
      </c>
      <c r="C8" s="45">
        <v>2.4</v>
      </c>
      <c r="E8" s="79">
        <f>MAX(0,B_Ground_Support!G11)*$C8</f>
        <v>6180</v>
      </c>
      <c r="F8" s="79">
        <f>MAX(0,B_Ground_Support!H11)*$C8</f>
        <v>8817.6</v>
      </c>
      <c r="G8" s="79">
        <f>MAX(0,B_Ground_Support!I11)*$C8</f>
        <v>9991.1999999999989</v>
      </c>
      <c r="H8" s="79">
        <f>MAX(0,B_Ground_Support!J11)*$C8</f>
        <v>7965.5999999999995</v>
      </c>
      <c r="I8" s="20">
        <f>SUM(E8:H8)</f>
        <v>32954.400000000001</v>
      </c>
      <c r="K8" s="60">
        <f>B_Ground_Support!K11</f>
        <v>13731</v>
      </c>
      <c r="M8" s="42" t="str">
        <f>TEXT(K8,"#,##0")&amp;" bolts x "&amp;TEXT(C8,"0.0")&amp;" m = "&amp;TEXT(I8,"#,##0")&amp;" drilled m"</f>
        <v>13,731 bolts x 2.4 m = 32,954 drilled m</v>
      </c>
    </row>
    <row r="9" spans="2:13" ht="22.05" customHeight="1">
      <c r="B9" s="14" t="s">
        <v>219</v>
      </c>
      <c r="C9" s="45">
        <v>2.4</v>
      </c>
      <c r="E9" s="79">
        <f>MAX(0,B_Ground_Support!G10)*$C9</f>
        <v>1783.2</v>
      </c>
      <c r="F9" s="79">
        <f>MAX(0,B_Ground_Support!H10)*$C9</f>
        <v>2277.6</v>
      </c>
      <c r="G9" s="79">
        <f>MAX(0,B_Ground_Support!I10)*$C9</f>
        <v>5181.5999999999995</v>
      </c>
      <c r="H9" s="79">
        <f>MAX(0,B_Ground_Support!J10)*$C9</f>
        <v>5486.4</v>
      </c>
      <c r="I9" s="20">
        <f>SUM(E9:H9)</f>
        <v>14728.8</v>
      </c>
      <c r="K9" s="60">
        <f>B_Ground_Support!K10</f>
        <v>6137</v>
      </c>
      <c r="M9" s="42" t="str">
        <f>TEXT(K9,"#,##0")&amp;" bolts x "&amp;TEXT(C9,"0.0")&amp;" m = "&amp;TEXT(I9,"#,##0")&amp;" drilled m"</f>
        <v>6,137 bolts x 2.4 m = 14,729 drilled m</v>
      </c>
    </row>
    <row r="10" spans="2:13" ht="22.05" customHeight="1">
      <c r="B10" s="14" t="s">
        <v>217</v>
      </c>
      <c r="C10" s="45">
        <v>0.9</v>
      </c>
      <c r="E10" s="79">
        <f>MAX(0,B_Ground_Support!G9)*$C10</f>
        <v>270</v>
      </c>
      <c r="F10" s="79">
        <f>MAX(0,B_Ground_Support!H9)*$C10</f>
        <v>476.1</v>
      </c>
      <c r="G10" s="79">
        <f>MAX(0,B_Ground_Support!I9)*$C10</f>
        <v>360.90000000000003</v>
      </c>
      <c r="H10" s="79">
        <f>MAX(0,B_Ground_Support!J9)*$C10</f>
        <v>288</v>
      </c>
      <c r="I10" s="20">
        <f>SUM(E10:H10)</f>
        <v>1395</v>
      </c>
      <c r="K10" s="60">
        <f>B_Ground_Support!K9</f>
        <v>1550</v>
      </c>
      <c r="M10" s="42" t="str">
        <f>TEXT(K10,"#,##0")&amp;" bolts x "&amp;TEXT(C10,"0.0")&amp;" m = "&amp;TEXT(I10,"#,##0")&amp;" drilled m"</f>
        <v>1,550 bolts x 0.9 m = 1,395 drilled m</v>
      </c>
    </row>
    <row r="11" spans="2:13" ht="22.05" customHeight="1">
      <c r="B11" s="14" t="s">
        <v>214</v>
      </c>
      <c r="C11" s="45">
        <v>0.9</v>
      </c>
      <c r="E11" s="79">
        <f>MAX(0,B_Ground_Support!G8)*$C11</f>
        <v>164.70000000000002</v>
      </c>
      <c r="F11" s="79">
        <f>MAX(0,B_Ground_Support!H8)*$C11</f>
        <v>159.30000000000001</v>
      </c>
      <c r="G11" s="79">
        <f>MAX(0,B_Ground_Support!I8)*$C11</f>
        <v>0</v>
      </c>
      <c r="H11" s="79">
        <f>MAX(0,B_Ground_Support!J8)*$C11</f>
        <v>72</v>
      </c>
      <c r="I11" s="20">
        <f>SUM(E11:H11)</f>
        <v>396</v>
      </c>
      <c r="K11" s="60">
        <f>B_Ground_Support!K8</f>
        <v>440</v>
      </c>
      <c r="M11" s="42" t="str">
        <f>TEXT(K11,"#,##0")&amp;" bolts x "&amp;TEXT(C11,"0.0")&amp;" m = "&amp;TEXT(I11,"#,##0")&amp;" drilled m"</f>
        <v>440 bolts x 0.9 m = 396 drilled m</v>
      </c>
    </row>
    <row r="12" spans="2:13" ht="22.05" customHeight="1">
      <c r="B12" s="14" t="s">
        <v>223</v>
      </c>
      <c r="C12" s="45">
        <v>6.5</v>
      </c>
      <c r="E12" s="79">
        <f>MAX(0,D_Cable_Bolting!G8)*$C12</f>
        <v>175.5</v>
      </c>
      <c r="F12" s="79">
        <f>MAX(0,D_Cable_Bolting!H8)*$C12</f>
        <v>0</v>
      </c>
      <c r="G12" s="79">
        <f>MAX(0,D_Cable_Bolting!I8)*$C12</f>
        <v>390</v>
      </c>
      <c r="H12" s="79">
        <f>MAX(0,D_Cable_Bolting!J8)*$C12</f>
        <v>390</v>
      </c>
      <c r="I12" s="20">
        <f>SUM(E12:H12)</f>
        <v>955.5</v>
      </c>
      <c r="K12" s="60">
        <f>D_Cable_Bolting!K8</f>
        <v>147</v>
      </c>
      <c r="M12" s="42" t="str">
        <f>TEXT(K12,"#,##0")&amp;" bolts x "&amp;TEXT(C12,"0.0")&amp;" m = "&amp;TEXT(I12,"#,##0")&amp;" drilled m"</f>
        <v>147 bolts x 6.5 m = 956 drilled m</v>
      </c>
    </row>
    <row r="13" spans="2:13">
      <c r="B13" s="58" t="s">
        <v>507</v>
      </c>
      <c r="E13" s="80">
        <f>SUM(E8:E12)</f>
        <v>8573.4000000000015</v>
      </c>
      <c r="F13" s="80">
        <f>SUM(F8:F12)</f>
        <v>11730.6</v>
      </c>
      <c r="G13" s="80">
        <f>SUM(G8:G12)</f>
        <v>15923.699999999999</v>
      </c>
      <c r="H13" s="80">
        <f>SUM(H8:H12)</f>
        <v>14202</v>
      </c>
      <c r="I13" s="80">
        <f>SUM(I8:I12)</f>
        <v>50429.7</v>
      </c>
    </row>
    <row r="15" spans="2:13" ht="24" customHeight="1">
      <c r="B15" s="4" t="s">
        <v>508</v>
      </c>
      <c r="C15" s="5"/>
      <c r="D15" s="5"/>
      <c r="E15" s="5"/>
      <c r="F15" s="5"/>
      <c r="G15" s="5"/>
      <c r="H15" s="5"/>
      <c r="I15" s="5"/>
    </row>
    <row r="16" spans="2:13" ht="46.05" customHeight="1">
      <c r="B16" s="8" t="s">
        <v>509</v>
      </c>
      <c r="C16" s="8" t="s">
        <v>98</v>
      </c>
      <c r="D16" s="8"/>
      <c r="E16" s="8" t="s">
        <v>99</v>
      </c>
      <c r="F16" s="8" t="s">
        <v>100</v>
      </c>
      <c r="G16" s="8" t="s">
        <v>101</v>
      </c>
      <c r="H16" s="8" t="s">
        <v>102</v>
      </c>
      <c r="I16" s="8" t="s">
        <v>393</v>
      </c>
      <c r="J16" s="8"/>
      <c r="K16" s="8" t="s">
        <v>309</v>
      </c>
    </row>
    <row r="17" spans="2:12" ht="31.95" customHeight="1">
      <c r="B17" s="13" t="s">
        <v>510</v>
      </c>
      <c r="C17" s="14" t="s">
        <v>325</v>
      </c>
      <c r="E17" s="81">
        <v>4459</v>
      </c>
      <c r="F17" s="81">
        <v>4777</v>
      </c>
      <c r="G17" s="81">
        <v>7198</v>
      </c>
      <c r="H17" s="81">
        <v>5983</v>
      </c>
      <c r="I17" s="20">
        <f>SUM(E17:H17)</f>
        <v>22417</v>
      </c>
      <c r="K17" s="28" t="s">
        <v>511</v>
      </c>
    </row>
    <row r="18" spans="2:12" ht="31.95" customHeight="1">
      <c r="B18" s="13" t="s">
        <v>512</v>
      </c>
      <c r="C18" s="14" t="s">
        <v>325</v>
      </c>
      <c r="E18" s="81">
        <v>380</v>
      </c>
      <c r="F18" s="81">
        <v>371</v>
      </c>
      <c r="G18" s="81">
        <v>575</v>
      </c>
      <c r="H18" s="81">
        <v>549</v>
      </c>
      <c r="I18" s="20">
        <f>SUM(E18:H18)</f>
        <v>1875</v>
      </c>
      <c r="K18" s="28" t="s">
        <v>513</v>
      </c>
    </row>
    <row r="19" spans="2:12" ht="31.95" customHeight="1">
      <c r="B19" s="14" t="s">
        <v>514</v>
      </c>
      <c r="C19" s="14" t="s">
        <v>105</v>
      </c>
      <c r="E19" s="45">
        <v>4.3</v>
      </c>
      <c r="F19" s="45">
        <v>4.3</v>
      </c>
      <c r="G19" s="45">
        <v>4.3</v>
      </c>
      <c r="H19" s="45">
        <v>4.3</v>
      </c>
      <c r="I19" s="82">
        <f>AVERAGE(E19:H19)</f>
        <v>4.3</v>
      </c>
      <c r="K19" s="28" t="s">
        <v>515</v>
      </c>
    </row>
    <row r="20" spans="2:12" ht="22.05" customHeight="1">
      <c r="B20" s="13" t="s">
        <v>516</v>
      </c>
      <c r="C20" s="14" t="s">
        <v>111</v>
      </c>
      <c r="E20" s="20">
        <f>(E17+E18)*E19</f>
        <v>20807.7</v>
      </c>
      <c r="F20" s="20">
        <f>(F17+F18)*F19</f>
        <v>22136.399999999998</v>
      </c>
      <c r="G20" s="20">
        <f>(G17+G18)*G19</f>
        <v>33423.9</v>
      </c>
      <c r="H20" s="20">
        <f>(H17+H18)*H19</f>
        <v>28087.599999999999</v>
      </c>
      <c r="I20" s="20">
        <f>(I17+I18)*I19</f>
        <v>104455.59999999999</v>
      </c>
      <c r="K20" s="33" t="s">
        <v>517</v>
      </c>
    </row>
    <row r="21" spans="2:12" ht="22.05" customHeight="1">
      <c r="B21" s="14" t="s">
        <v>518</v>
      </c>
      <c r="C21" s="14" t="s">
        <v>105</v>
      </c>
      <c r="E21" s="15">
        <f>Advance!E53</f>
        <v>270.43599999999998</v>
      </c>
      <c r="F21" s="15">
        <f>Advance!F53</f>
        <v>316.61700000000008</v>
      </c>
      <c r="G21" s="15">
        <f>Advance!G53</f>
        <v>397.79799999999994</v>
      </c>
      <c r="H21" s="15">
        <f>Advance!H53</f>
        <v>390.96699999999998</v>
      </c>
      <c r="I21" s="15">
        <f>Advance!I53</f>
        <v>1375.8180000000002</v>
      </c>
    </row>
    <row r="22" spans="2:12" ht="22.05" customHeight="1">
      <c r="B22" s="13" t="s">
        <v>519</v>
      </c>
      <c r="C22" s="14" t="s">
        <v>520</v>
      </c>
      <c r="E22" s="25">
        <f>IF(E21=0,0,E20/E21)</f>
        <v>76.941309588960053</v>
      </c>
      <c r="F22" s="25">
        <f>IF(F21=0,0,F20/F21)</f>
        <v>69.915386729076431</v>
      </c>
      <c r="G22" s="25">
        <f>IF(G21=0,0,G20/G21)</f>
        <v>84.022292721431498</v>
      </c>
      <c r="H22" s="25">
        <f>IF(H21=0,0,H20/H21)</f>
        <v>71.841357454721248</v>
      </c>
      <c r="I22" s="25">
        <f>IF(I21=0,0,I20/I21)</f>
        <v>75.922542080420499</v>
      </c>
    </row>
    <row r="24" spans="2:12" ht="24" customHeight="1">
      <c r="B24" s="4" t="s">
        <v>521</v>
      </c>
      <c r="C24" s="5"/>
      <c r="D24" s="5"/>
      <c r="E24" s="5"/>
      <c r="F24" s="5"/>
      <c r="G24" s="5"/>
      <c r="H24" s="5"/>
      <c r="I24" s="5"/>
    </row>
    <row r="25" spans="2:12" ht="46.05" customHeight="1">
      <c r="B25" s="8" t="s">
        <v>509</v>
      </c>
      <c r="C25" s="8" t="s">
        <v>98</v>
      </c>
      <c r="D25" s="8"/>
      <c r="E25" s="8" t="s">
        <v>99</v>
      </c>
      <c r="F25" s="8" t="s">
        <v>100</v>
      </c>
      <c r="G25" s="8" t="s">
        <v>101</v>
      </c>
      <c r="H25" s="8" t="s">
        <v>102</v>
      </c>
      <c r="I25" s="8" t="s">
        <v>393</v>
      </c>
      <c r="J25" s="8"/>
      <c r="K25" s="8" t="s">
        <v>431</v>
      </c>
    </row>
    <row r="26" spans="2:12" ht="25.95" customHeight="1">
      <c r="B26" s="83" t="s">
        <v>522</v>
      </c>
      <c r="C26" s="22" t="s">
        <v>111</v>
      </c>
      <c r="E26" s="84">
        <f>E13+E20</f>
        <v>29381.100000000002</v>
      </c>
      <c r="F26" s="84">
        <f>F13+F20</f>
        <v>33867</v>
      </c>
      <c r="G26" s="84">
        <f>G13+G20</f>
        <v>49347.6</v>
      </c>
      <c r="H26" s="84">
        <f>H13+H20</f>
        <v>42289.599999999999</v>
      </c>
      <c r="I26" s="84">
        <f>I13+I20</f>
        <v>154885.29999999999</v>
      </c>
    </row>
    <row r="27" spans="2:12" ht="22.05" customHeight="1">
      <c r="B27" s="13" t="s">
        <v>523</v>
      </c>
      <c r="C27" s="14" t="s">
        <v>520</v>
      </c>
      <c r="E27" s="25">
        <f>IF(E21=0,0,E26/E21)</f>
        <v>108.64344983656024</v>
      </c>
      <c r="F27" s="25">
        <f>IF(F21=0,0,F26/F21)</f>
        <v>106.96519769942863</v>
      </c>
      <c r="G27" s="25">
        <f>IF(G21=0,0,G26/G21)</f>
        <v>124.05190574110479</v>
      </c>
      <c r="H27" s="25">
        <f>IF(H21=0,0,H26/H21)</f>
        <v>108.16667391365512</v>
      </c>
      <c r="I27" s="25">
        <f>IF(I21=0,0,I26/I21)</f>
        <v>112.57688153520303</v>
      </c>
    </row>
    <row r="30" spans="2:12" ht="24" customHeight="1">
      <c r="B30" s="4" t="s">
        <v>524</v>
      </c>
      <c r="C30" s="5"/>
      <c r="D30" s="5"/>
      <c r="E30" s="5"/>
      <c r="F30" s="5"/>
      <c r="G30" s="5"/>
      <c r="H30" s="5"/>
      <c r="I30" s="5"/>
      <c r="J30" s="5"/>
      <c r="K30" s="5"/>
    </row>
    <row r="31" spans="2:12" ht="24" customHeight="1">
      <c r="B31" s="125" t="s">
        <v>525</v>
      </c>
      <c r="C31" s="122"/>
      <c r="D31" s="122"/>
      <c r="E31" s="122"/>
      <c r="F31" s="122"/>
      <c r="G31" s="122"/>
      <c r="H31" s="122"/>
      <c r="I31" s="122"/>
      <c r="J31" s="122"/>
      <c r="K31" s="122"/>
      <c r="L31" s="122"/>
    </row>
    <row r="33" spans="2:13" ht="46.05" customHeight="1">
      <c r="B33" s="8" t="s">
        <v>526</v>
      </c>
      <c r="C33" s="8"/>
      <c r="D33" s="8"/>
      <c r="E33" s="8" t="s">
        <v>527</v>
      </c>
      <c r="F33" s="8" t="s">
        <v>528</v>
      </c>
      <c r="G33" s="8" t="s">
        <v>529</v>
      </c>
      <c r="H33" s="8" t="s">
        <v>530</v>
      </c>
      <c r="I33" s="8"/>
      <c r="J33" s="8" t="s">
        <v>431</v>
      </c>
    </row>
    <row r="34" spans="2:13" ht="22.05" customHeight="1">
      <c r="B34" s="14" t="s">
        <v>262</v>
      </c>
      <c r="E34" s="60">
        <f>C_Face_Drilling!K19</f>
        <v>125</v>
      </c>
      <c r="F34" s="20">
        <f>IF(E34&lt;=0,"no bits used",$H$20/E34)</f>
        <v>224.70079999999999</v>
      </c>
      <c r="G34" s="85"/>
      <c r="H34" s="86"/>
      <c r="M34" s="33" t="s">
        <v>531</v>
      </c>
    </row>
    <row r="35" spans="2:13" ht="22.05" customHeight="1">
      <c r="B35" s="14" t="s">
        <v>266</v>
      </c>
      <c r="E35" s="60">
        <f>C_Face_Drilling!K21</f>
        <v>35</v>
      </c>
      <c r="F35" s="20">
        <f>IF(E35&lt;=0,"no bits used",$H$20/E35)</f>
        <v>802.50285714285712</v>
      </c>
      <c r="G35" s="85"/>
      <c r="H35" s="86"/>
      <c r="M35" s="33" t="s">
        <v>531</v>
      </c>
    </row>
    <row r="37" spans="2:13" ht="22.05" customHeight="1">
      <c r="B37" s="13" t="s">
        <v>532</v>
      </c>
      <c r="F37" s="87">
        <f>IF(OR(F34="no bits used",F35="no bits used"),"",F35-F34)</f>
        <v>577.80205714285717</v>
      </c>
      <c r="H37" s="87" t="str">
        <f>IF(COUNT(H34,H35)&lt;2,"",H35-H34)</f>
        <v/>
      </c>
    </row>
    <row r="39" spans="2:13" ht="24" customHeight="1">
      <c r="B39" s="125" t="s">
        <v>533</v>
      </c>
      <c r="C39" s="122"/>
      <c r="D39" s="122"/>
      <c r="E39" s="122"/>
      <c r="F39" s="122"/>
      <c r="G39" s="122"/>
      <c r="H39" s="122"/>
      <c r="I39" s="122"/>
      <c r="J39" s="122"/>
      <c r="K39" s="122"/>
      <c r="L39" s="122"/>
    </row>
  </sheetData>
  <mergeCells count="3">
    <mergeCell ref="B31:L31"/>
    <mergeCell ref="B39:L39"/>
    <mergeCell ref="B4:J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K76"/>
  <sheetViews>
    <sheetView showGridLines="0" workbookViewId="0"/>
  </sheetViews>
  <sheetFormatPr defaultRowHeight="14.4"/>
  <cols>
    <col min="1" max="1" width="4" customWidth="1"/>
    <col min="2" max="2" width="44" customWidth="1"/>
    <col min="3" max="3" width="18" customWidth="1"/>
    <col min="4" max="4" width="4" customWidth="1"/>
    <col min="5" max="9" width="22" customWidth="1"/>
    <col min="10" max="10" width="4" customWidth="1"/>
    <col min="11" max="11" width="50" customWidth="1"/>
  </cols>
  <sheetData>
    <row r="1" spans="2:11" ht="7.95" customHeight="1"/>
    <row r="2" spans="2:11" ht="30" customHeight="1">
      <c r="B2" s="12" t="s">
        <v>534</v>
      </c>
    </row>
    <row r="3" spans="2:11" ht="19.95" customHeight="1">
      <c r="B3" s="88" t="s">
        <v>535</v>
      </c>
    </row>
    <row r="4" spans="2:11" ht="24" customHeight="1">
      <c r="B4" s="121" t="s">
        <v>536</v>
      </c>
      <c r="C4" s="122"/>
      <c r="D4" s="122"/>
      <c r="E4" s="122"/>
      <c r="F4" s="122"/>
      <c r="G4" s="122"/>
      <c r="H4" s="122"/>
      <c r="I4" s="122"/>
      <c r="J4" s="122"/>
    </row>
    <row r="5" spans="2:11" ht="7.95" customHeight="1"/>
    <row r="6" spans="2:11" ht="24" customHeight="1">
      <c r="B6" s="4" t="s">
        <v>537</v>
      </c>
      <c r="C6" s="5"/>
      <c r="D6" s="5"/>
      <c r="E6" s="5"/>
      <c r="F6" s="5"/>
      <c r="G6" s="5"/>
      <c r="H6" s="5"/>
      <c r="I6" s="5"/>
    </row>
    <row r="7" spans="2:11" ht="46.05" customHeight="1">
      <c r="B7" s="8" t="s">
        <v>538</v>
      </c>
      <c r="C7" s="8" t="s">
        <v>304</v>
      </c>
      <c r="D7" s="8"/>
      <c r="E7" s="8" t="s">
        <v>539</v>
      </c>
      <c r="F7" s="8" t="s">
        <v>540</v>
      </c>
      <c r="G7" s="8" t="s">
        <v>541</v>
      </c>
      <c r="H7" s="8" t="s">
        <v>542</v>
      </c>
      <c r="I7" s="8" t="s">
        <v>543</v>
      </c>
      <c r="J7" s="8"/>
      <c r="K7" s="8" t="s">
        <v>544</v>
      </c>
    </row>
    <row r="8" spans="2:11" ht="22.05" customHeight="1">
      <c r="B8" s="13" t="s">
        <v>310</v>
      </c>
      <c r="C8" s="14" t="s">
        <v>311</v>
      </c>
      <c r="E8" s="51">
        <f>SUMIFS(Advance!$J$8:$J$48,Advance!$H$8:$H$48,$B8,Advance!$B$8:$B$48,"May 2026")</f>
        <v>191.654</v>
      </c>
      <c r="F8" s="51">
        <f>SUMIFS(Advance!$J$8:$J$48,Advance!$H$8:$H$48,$B8,Advance!$B$8:$B$48,"June 2026")</f>
        <v>140.78200000000001</v>
      </c>
      <c r="G8" s="51">
        <f>SUMIFS(Advance!$J$8:$J$48,Advance!$H$8:$H$48,$B8,Advance!$B$8:$B$48,"July 2026")</f>
        <v>138.59199999999998</v>
      </c>
      <c r="H8" s="51">
        <f>SUMIFS(Advance!$J$8:$J$48,Advance!$H$8:$H$48,$B8,Advance!$B$8:$B$48,"August 2026")</f>
        <v>152.678</v>
      </c>
      <c r="I8" s="16">
        <f>SUM(E8:H8)</f>
        <v>623.70600000000002</v>
      </c>
      <c r="K8" s="27">
        <f>IF($I$11=0,0,I8/$I$11)</f>
        <v>0.45333467071952827</v>
      </c>
    </row>
    <row r="9" spans="2:11" ht="22.05" customHeight="1">
      <c r="B9" s="13" t="s">
        <v>313</v>
      </c>
      <c r="C9" s="14" t="s">
        <v>314</v>
      </c>
      <c r="E9" s="51">
        <f>SUMIFS(Advance!$J$8:$J$48,Advance!$H$8:$H$48,$B9,Advance!$B$8:$B$48,"May 2026")</f>
        <v>78.781999999999996</v>
      </c>
      <c r="F9" s="51">
        <f>SUMIFS(Advance!$J$8:$J$48,Advance!$H$8:$H$48,$B9,Advance!$B$8:$B$48,"June 2026")</f>
        <v>175.83500000000001</v>
      </c>
      <c r="G9" s="51">
        <f>SUMIFS(Advance!$J$8:$J$48,Advance!$H$8:$H$48,$B9,Advance!$B$8:$B$48,"July 2026")</f>
        <v>41.814999999999998</v>
      </c>
      <c r="H9" s="51">
        <f>SUMIFS(Advance!$J$8:$J$48,Advance!$H$8:$H$48,$B9,Advance!$B$8:$B$48,"August 2026")</f>
        <v>238.28899999999999</v>
      </c>
      <c r="I9" s="16">
        <f>SUM(E9:H9)</f>
        <v>534.721</v>
      </c>
      <c r="K9" s="27">
        <f>IF($I$11=0,0,I9/$I$11)</f>
        <v>0.38865678454563024</v>
      </c>
    </row>
    <row r="10" spans="2:11" ht="22.05" customHeight="1">
      <c r="B10" s="13" t="s">
        <v>316</v>
      </c>
      <c r="C10" s="14" t="s">
        <v>317</v>
      </c>
      <c r="E10" s="51">
        <f>SUMIFS(Advance!$J$8:$J$48,Advance!$H$8:$H$48,$B10,Advance!$B$8:$B$48,"May 2026")</f>
        <v>0</v>
      </c>
      <c r="F10" s="51">
        <f>SUMIFS(Advance!$J$8:$J$48,Advance!$H$8:$H$48,$B10,Advance!$B$8:$B$48,"June 2026")</f>
        <v>0</v>
      </c>
      <c r="G10" s="51">
        <f>SUMIFS(Advance!$J$8:$J$48,Advance!$H$8:$H$48,$B10,Advance!$B$8:$B$48,"July 2026")</f>
        <v>217.39099999999999</v>
      </c>
      <c r="H10" s="51">
        <f>SUMIFS(Advance!$J$8:$J$48,Advance!$H$8:$H$48,$B10,Advance!$B$8:$B$48,"August 2026")</f>
        <v>0</v>
      </c>
      <c r="I10" s="16">
        <f>SUM(E10:H10)</f>
        <v>217.39099999999999</v>
      </c>
      <c r="K10" s="27">
        <f>IF($I$11=0,0,I10/$I$11)</f>
        <v>0.15800854473484136</v>
      </c>
    </row>
    <row r="11" spans="2:11">
      <c r="B11" s="58" t="s">
        <v>545</v>
      </c>
      <c r="E11" s="89">
        <f>SUM(E8:E10)</f>
        <v>270.43599999999998</v>
      </c>
      <c r="F11" s="89">
        <f>SUM(F8:F10)</f>
        <v>316.61700000000002</v>
      </c>
      <c r="G11" s="89">
        <f>SUM(G8:G10)</f>
        <v>397.798</v>
      </c>
      <c r="H11" s="89">
        <f>SUM(H8:H10)</f>
        <v>390.96699999999998</v>
      </c>
      <c r="I11" s="89">
        <f>SUM(I8:I10)</f>
        <v>1375.8180000000002</v>
      </c>
    </row>
    <row r="13" spans="2:11" ht="24" customHeight="1">
      <c r="B13" s="4" t="s">
        <v>546</v>
      </c>
      <c r="C13" s="5"/>
      <c r="D13" s="5"/>
      <c r="E13" s="5"/>
      <c r="F13" s="5"/>
      <c r="G13" s="5"/>
      <c r="H13" s="5"/>
      <c r="I13" s="5"/>
    </row>
    <row r="14" spans="2:11" ht="46.05" customHeight="1">
      <c r="B14" s="8" t="s">
        <v>130</v>
      </c>
      <c r="C14" s="8" t="s">
        <v>547</v>
      </c>
      <c r="D14" s="8"/>
      <c r="E14" s="8" t="s">
        <v>548</v>
      </c>
      <c r="F14" s="8" t="s">
        <v>549</v>
      </c>
      <c r="G14" s="8" t="s">
        <v>550</v>
      </c>
      <c r="H14" s="8" t="s">
        <v>551</v>
      </c>
      <c r="I14" s="8" t="s">
        <v>552</v>
      </c>
      <c r="J14" s="8"/>
      <c r="K14" s="8" t="s">
        <v>431</v>
      </c>
    </row>
    <row r="15" spans="2:11" ht="22.05" customHeight="1">
      <c r="B15" s="13" t="s">
        <v>305</v>
      </c>
      <c r="C15" s="42" t="s">
        <v>553</v>
      </c>
      <c r="E15" s="25">
        <f>IF(NOT(ISNUMBER(Inputs!$E$79)),"y",IF(IF(ISNUMBER(Inputs!$D$73),0,E8)+IF(ISNUMBER(Inputs!$D$74),0,E9)+IF(ISNUMBER(Inputs!$D$75),0,E10)&gt;0,"y",IF(E11=0,0,(IF(ISNUMBER(Inputs!$D$73),E8*Inputs!$D$73,0)+IF(ISNUMBER(Inputs!$D$74),E9*Inputs!$D$74,0)+IF(ISNUMBER(Inputs!$D$75),E10*Inputs!$D$75,0))/E11/Inputs!$E$79)))</f>
        <v>6.9390835539647089</v>
      </c>
      <c r="F15" s="25">
        <f>IF(NOT(ISNUMBER(Inputs!$E$79)),"y",IF(IF(ISNUMBER(Inputs!$D$73),0,F8)+IF(ISNUMBER(Inputs!$D$74),0,F9)+IF(ISNUMBER(Inputs!$D$75),0,F10)&gt;0,"y",IF(F11=0,0,(IF(ISNUMBER(Inputs!$D$73),F8*Inputs!$D$73,0)+IF(ISNUMBER(Inputs!$D$74),F9*Inputs!$D$74,0)+IF(ISNUMBER(Inputs!$D$75),F10*Inputs!$D$75,0))/F11/Inputs!$E$79)))</f>
        <v>5.7509001411800371</v>
      </c>
      <c r="G15" s="25">
        <f>IF(NOT(ISNUMBER(Inputs!$E$79)),"y",IF(IF(ISNUMBER(Inputs!$D$73),0,G8)+IF(ISNUMBER(Inputs!$D$74),0,G9)+IF(ISNUMBER(Inputs!$D$75),0,G10)&gt;0,"y",IF(G11=0,0,(IF(ISNUMBER(Inputs!$D$73),G8*Inputs!$D$73,0)+IF(ISNUMBER(Inputs!$D$74),G9*Inputs!$D$74,0)+IF(ISNUMBER(Inputs!$D$75),G10*Inputs!$D$75,0))/G11/Inputs!$E$79)))</f>
        <v>5.317790687735986</v>
      </c>
      <c r="H15" s="25">
        <f>IF(NOT(ISNUMBER(Inputs!$E$79)),"y",IF(IF(ISNUMBER(Inputs!$D$73),0,H8)+IF(ISNUMBER(Inputs!$D$74),0,H9)+IF(ISNUMBER(Inputs!$D$75),0,H10)&gt;0,"y",IF(H11=0,0,(IF(ISNUMBER(Inputs!$D$73),H8*Inputs!$D$73,0)+IF(ISNUMBER(Inputs!$D$74),H9*Inputs!$D$74,0)+IF(ISNUMBER(Inputs!$D$75),H10*Inputs!$D$75,0))/H11/Inputs!$E$79)))</f>
        <v>5.5073119981993361</v>
      </c>
      <c r="I15" s="25">
        <f>IF(NOT(ISNUMBER(Inputs!$E$79)),"y",IF(IF(ISNUMBER(Inputs!$D$73),0,I8)+IF(ISNUMBER(Inputs!$D$74),0,I9)+IF(ISNUMBER(Inputs!$D$75),0,I10)&gt;0,"y",IF(I11=0,0,(IF(ISNUMBER(Inputs!$D$73),I8*Inputs!$D$73,0)+IF(ISNUMBER(Inputs!$D$74),I9*Inputs!$D$74,0)+IF(ISNUMBER(Inputs!$D$75),I10*Inputs!$D$75,0))/I11/Inputs!$E$79)))</f>
        <v>5.7900060182378761</v>
      </c>
      <c r="K15" s="33" t="s">
        <v>554</v>
      </c>
    </row>
    <row r="16" spans="2:11" ht="22.05" customHeight="1">
      <c r="B16" s="13" t="s">
        <v>306</v>
      </c>
      <c r="C16" s="42" t="s">
        <v>553</v>
      </c>
      <c r="E16" s="25">
        <f>IF(NOT(ISNUMBER(Inputs!$E$79)),"y",IF(IF(ISNUMBER(Inputs!$E$73),0,E8)+IF(ISNUMBER(Inputs!$E$74),0,E9)+IF(ISNUMBER(Inputs!$E$75),0,E10)&gt;0,"y",IF(E11=0,0,(IF(ISNUMBER(Inputs!$E$73),E8*Inputs!$E$73,0)+IF(ISNUMBER(Inputs!$E$74),E9*Inputs!$E$74,0)+IF(ISNUMBER(Inputs!$E$75),E10*Inputs!$E$75,0))/E11/Inputs!$E$79)))</f>
        <v>1.3109164460352913</v>
      </c>
      <c r="F16" s="25">
        <f>IF(NOT(ISNUMBER(Inputs!$E$79)),"y",IF(IF(ISNUMBER(Inputs!$E$73),0,F8)+IF(ISNUMBER(Inputs!$E$74),0,F9)+IF(ISNUMBER(Inputs!$E$75),0,F10)&gt;0,"y",IF(F11=0,0,(IF(ISNUMBER(Inputs!$E$73),F8*Inputs!$E$73,0)+IF(ISNUMBER(Inputs!$E$74),F9*Inputs!$E$74,0)+IF(ISNUMBER(Inputs!$E$75),F10*Inputs!$E$75,0))/F11/Inputs!$E$79)))</f>
        <v>2.4990998588199624</v>
      </c>
      <c r="G16" s="25">
        <f>IF(NOT(ISNUMBER(Inputs!$E$79)),"y",IF(IF(ISNUMBER(Inputs!$E$73),0,G8)+IF(ISNUMBER(Inputs!$E$74),0,G9)+IF(ISNUMBER(Inputs!$E$75),0,G10)&gt;0,"y",IF(G11=0,0,(IF(ISNUMBER(Inputs!$E$73),G8*Inputs!$E$73,0)+IF(ISNUMBER(Inputs!$E$74),G9*Inputs!$E$74,0)+IF(ISNUMBER(Inputs!$E$75),G10*Inputs!$E$75,0))/G11/Inputs!$E$79)))</f>
        <v>2.9322093122640132</v>
      </c>
      <c r="H16" s="25">
        <f>IF(NOT(ISNUMBER(Inputs!$E$79)),"y",IF(IF(ISNUMBER(Inputs!$E$73),0,H8)+IF(ISNUMBER(Inputs!$E$74),0,H9)+IF(ISNUMBER(Inputs!$E$75),0,H10)&gt;0,"y",IF(H11=0,0,(IF(ISNUMBER(Inputs!$E$73),H8*Inputs!$E$73,0)+IF(ISNUMBER(Inputs!$E$74),H9*Inputs!$E$74,0)+IF(ISNUMBER(Inputs!$E$75),H10*Inputs!$E$75,0))/H11/Inputs!$E$79)))</f>
        <v>2.742688001800663</v>
      </c>
      <c r="I16" s="25">
        <f>IF(NOT(ISNUMBER(Inputs!$E$79)),"y",IF(IF(ISNUMBER(Inputs!$E$73),0,I8)+IF(ISNUMBER(Inputs!$E$74),0,I9)+IF(ISNUMBER(Inputs!$E$75),0,I10)&gt;0,"y",IF(I11=0,0,(IF(ISNUMBER(Inputs!$E$73),I8*Inputs!$E$73,0)+IF(ISNUMBER(Inputs!$E$74),I9*Inputs!$E$74,0)+IF(ISNUMBER(Inputs!$E$75),I10*Inputs!$E$75,0))/I11/Inputs!$E$79)))</f>
        <v>2.4599939817621221</v>
      </c>
      <c r="K16" s="33" t="s">
        <v>554</v>
      </c>
    </row>
    <row r="17" spans="2:11" ht="22.05" customHeight="1">
      <c r="B17" s="13" t="s">
        <v>307</v>
      </c>
      <c r="C17" s="42" t="s">
        <v>553</v>
      </c>
      <c r="E17" s="25">
        <f>IF(NOT(ISNUMBER(Inputs!$E$79)),"y",IF(IF(ISNUMBER(Inputs!$F$73),0,E8)+IF(ISNUMBER(Inputs!$F$74),0,E9)+IF(ISNUMBER(Inputs!$F$75),0,E10)&gt;0,"y",IF(E11=0,0,(IF(ISNUMBER(Inputs!$F$73),E8*Inputs!$F$73,0)+IF(ISNUMBER(Inputs!$F$74),E9*Inputs!$F$74,0)+IF(ISNUMBER(Inputs!$F$75),E10*Inputs!$F$75,0))/E11/Inputs!$E$79)))</f>
        <v>2.75</v>
      </c>
      <c r="F17" s="25">
        <f>IF(NOT(ISNUMBER(Inputs!$E$79)),"y",IF(IF(ISNUMBER(Inputs!$F$73),0,F8)+IF(ISNUMBER(Inputs!$F$74),0,F9)+IF(ISNUMBER(Inputs!$F$75),0,F10)&gt;0,"y",IF(F11=0,0,(IF(ISNUMBER(Inputs!$F$73),F8*Inputs!$F$73,0)+IF(ISNUMBER(Inputs!$F$74),F9*Inputs!$F$74,0)+IF(ISNUMBER(Inputs!$F$75),F10*Inputs!$F$75,0))/F11/Inputs!$E$79)))</f>
        <v>2.75</v>
      </c>
      <c r="G17" s="25">
        <f>IF(NOT(ISNUMBER(Inputs!$E$79)),"y",IF(IF(ISNUMBER(Inputs!$F$73),0,G8)+IF(ISNUMBER(Inputs!$F$74),0,G9)+IF(ISNUMBER(Inputs!$F$75),0,G10)&gt;0,"y",IF(G11=0,0,(IF(ISNUMBER(Inputs!$F$73),G8*Inputs!$F$73,0)+IF(ISNUMBER(Inputs!$F$74),G9*Inputs!$F$74,0)+IF(ISNUMBER(Inputs!$F$75),G10*Inputs!$F$75,0))/G11/Inputs!$E$79)))</f>
        <v>2.7499999999999996</v>
      </c>
      <c r="H17" s="25">
        <f>IF(NOT(ISNUMBER(Inputs!$E$79)),"y",IF(IF(ISNUMBER(Inputs!$F$73),0,H8)+IF(ISNUMBER(Inputs!$F$74),0,H9)+IF(ISNUMBER(Inputs!$F$75),0,H10)&gt;0,"y",IF(H11=0,0,(IF(ISNUMBER(Inputs!$F$73),H8*Inputs!$F$73,0)+IF(ISNUMBER(Inputs!$F$74),H9*Inputs!$F$74,0)+IF(ISNUMBER(Inputs!$F$75),H10*Inputs!$F$75,0))/H11/Inputs!$E$79)))</f>
        <v>2.7500000000000004</v>
      </c>
      <c r="I17" s="25">
        <f>IF(NOT(ISNUMBER(Inputs!$E$79)),"y",IF(IF(ISNUMBER(Inputs!$F$73),0,I8)+IF(ISNUMBER(Inputs!$F$74),0,I9)+IF(ISNUMBER(Inputs!$F$75),0,I10)&gt;0,"y",IF(I11=0,0,(IF(ISNUMBER(Inputs!$F$73),I8*Inputs!$F$73,0)+IF(ISNUMBER(Inputs!$F$74),I9*Inputs!$F$74,0)+IF(ISNUMBER(Inputs!$F$75),I10*Inputs!$F$75,0))/I11/Inputs!$E$79)))</f>
        <v>2.7499999999999996</v>
      </c>
      <c r="K17" s="33" t="s">
        <v>554</v>
      </c>
    </row>
    <row r="18" spans="2:11" ht="22.05" customHeight="1">
      <c r="B18" s="13" t="s">
        <v>308</v>
      </c>
      <c r="C18" s="42" t="s">
        <v>553</v>
      </c>
      <c r="E18" s="25">
        <f>IF(NOT(ISNUMBER(Inputs!$E$79)),"y",IF(IF(ISNUMBER(Inputs!$G$73),0,E8)+IF(ISNUMBER(Inputs!$G$74),0,E9)+IF(ISNUMBER(Inputs!$G$75),0,E10)&gt;0,"y",IF(E11=0,0,(IF(ISNUMBER(Inputs!$G$73),E8*Inputs!$G$73,0)+IF(ISNUMBER(Inputs!$G$74),E9*Inputs!$G$74,0)+IF(ISNUMBER(Inputs!$G$75),E10*Inputs!$G$75,0))/E11/Inputs!$E$79)))</f>
        <v>1.5</v>
      </c>
      <c r="F18" s="25">
        <f>IF(NOT(ISNUMBER(Inputs!$E$79)),"y",IF(IF(ISNUMBER(Inputs!$G$73),0,F8)+IF(ISNUMBER(Inputs!$G$74),0,F9)+IF(ISNUMBER(Inputs!$G$75),0,F10)&gt;0,"y",IF(F11=0,0,(IF(ISNUMBER(Inputs!$G$73),F8*Inputs!$G$73,0)+IF(ISNUMBER(Inputs!$G$74),F9*Inputs!$G$74,0)+IF(ISNUMBER(Inputs!$G$75),F10*Inputs!$G$75,0))/F11/Inputs!$E$79)))</f>
        <v>1.5</v>
      </c>
      <c r="G18" s="25">
        <f>IF(NOT(ISNUMBER(Inputs!$E$79)),"y",IF(IF(ISNUMBER(Inputs!$G$73),0,G8)+IF(ISNUMBER(Inputs!$G$74),0,G9)+IF(ISNUMBER(Inputs!$G$75),0,G10)&gt;0,"y",IF(G11=0,0,(IF(ISNUMBER(Inputs!$G$73),G8*Inputs!$G$73,0)+IF(ISNUMBER(Inputs!$G$74),G9*Inputs!$G$74,0)+IF(ISNUMBER(Inputs!$G$75),G10*Inputs!$G$75,0))/G11/Inputs!$E$79)))</f>
        <v>1.5</v>
      </c>
      <c r="H18" s="25">
        <f>IF(NOT(ISNUMBER(Inputs!$E$79)),"y",IF(IF(ISNUMBER(Inputs!$G$73),0,H8)+IF(ISNUMBER(Inputs!$G$74),0,H9)+IF(ISNUMBER(Inputs!$G$75),0,H10)&gt;0,"y",IF(H11=0,0,(IF(ISNUMBER(Inputs!$G$73),H8*Inputs!$G$73,0)+IF(ISNUMBER(Inputs!$G$74),H9*Inputs!$G$74,0)+IF(ISNUMBER(Inputs!$G$75),H10*Inputs!$G$75,0))/H11/Inputs!$E$79)))</f>
        <v>1.4999999999999998</v>
      </c>
      <c r="I18" s="25">
        <f>IF(NOT(ISNUMBER(Inputs!$E$79)),"y",IF(IF(ISNUMBER(Inputs!$G$73),0,I8)+IF(ISNUMBER(Inputs!$G$74),0,I9)+IF(ISNUMBER(Inputs!$G$75),0,I10)&gt;0,"y",IF(I11=0,0,(IF(ISNUMBER(Inputs!$G$73),I8*Inputs!$G$73,0)+IF(ISNUMBER(Inputs!$G$74),I9*Inputs!$G$74,0)+IF(ISNUMBER(Inputs!$G$75),I10*Inputs!$G$75,0))/I11/Inputs!$E$79)))</f>
        <v>1.4999999999999998</v>
      </c>
      <c r="K18" s="33" t="s">
        <v>554</v>
      </c>
    </row>
    <row r="21" spans="2:11" ht="24" customHeight="1">
      <c r="B21" s="4" t="s">
        <v>555</v>
      </c>
      <c r="C21" s="5"/>
      <c r="D21" s="5"/>
      <c r="E21" s="5"/>
      <c r="F21" s="5"/>
      <c r="G21" s="5"/>
      <c r="H21" s="5"/>
      <c r="I21" s="5"/>
    </row>
    <row r="22" spans="2:11" ht="46.05" customHeight="1">
      <c r="B22" s="8" t="s">
        <v>130</v>
      </c>
      <c r="C22" s="8"/>
      <c r="D22" s="8"/>
      <c r="E22" s="8" t="s">
        <v>548</v>
      </c>
      <c r="F22" s="8" t="s">
        <v>549</v>
      </c>
      <c r="G22" s="8" t="s">
        <v>550</v>
      </c>
      <c r="H22" s="8" t="s">
        <v>551</v>
      </c>
      <c r="I22" s="8" t="s">
        <v>552</v>
      </c>
      <c r="J22" s="8"/>
      <c r="K22" s="8" t="s">
        <v>556</v>
      </c>
    </row>
    <row r="23" spans="2:11" ht="22.05" customHeight="1">
      <c r="B23" s="13" t="s">
        <v>305</v>
      </c>
      <c r="E23" s="25">
        <f>IF(Advance!E53=0,0,(MAX(0,B_Ground_Support!G11))/Advance!E53)</f>
        <v>9.5216613172802447</v>
      </c>
      <c r="F23" s="25">
        <f>IF(Advance!F53=0,0,(MAX(0,B_Ground_Support!H11))/Advance!F53)</f>
        <v>11.603925247222982</v>
      </c>
      <c r="G23" s="25">
        <f>IF(Advance!G53=0,0,(MAX(0,B_Ground_Support!I11))/Advance!G53)</f>
        <v>10.465110432933299</v>
      </c>
      <c r="H23" s="25">
        <f>IF(Advance!H53=0,0,(MAX(0,B_Ground_Support!J11))/Advance!H53)</f>
        <v>8.4892075290241884</v>
      </c>
      <c r="I23" s="25">
        <f>IF(Advance!I53=0,0,(MAX(0,B_Ground_Support!K11))/Advance!I53)</f>
        <v>9.9802444800111623</v>
      </c>
      <c r="K23" s="60">
        <f>MAX(0,B_Ground_Support!K11)</f>
        <v>13731</v>
      </c>
    </row>
    <row r="24" spans="2:11" ht="22.05" customHeight="1">
      <c r="B24" s="13" t="s">
        <v>306</v>
      </c>
      <c r="E24" s="25">
        <f>IF(Advance!E53=0,0,(MAX(0,B_Ground_Support!G10))/Advance!E53)</f>
        <v>2.7474152849472704</v>
      </c>
      <c r="F24" s="25">
        <f>IF(Advance!F53=0,0,(MAX(0,B_Ground_Support!H10))/Advance!F53)</f>
        <v>2.9973122100203078</v>
      </c>
      <c r="G24" s="25">
        <f>IF(Advance!G53=0,0,(MAX(0,B_Ground_Support!I10))/Advance!G53)</f>
        <v>5.4273777143173172</v>
      </c>
      <c r="H24" s="25">
        <f>IF(Advance!H53=0,0,(MAX(0,B_Ground_Support!J10))/Advance!H53)</f>
        <v>5.8470407988398003</v>
      </c>
      <c r="I24" s="25">
        <f>IF(Advance!I53=0,0,(MAX(0,B_Ground_Support!K10))/Advance!I53)</f>
        <v>4.4606190644402091</v>
      </c>
      <c r="K24" s="60">
        <f>MAX(0,B_Ground_Support!K10)</f>
        <v>6137</v>
      </c>
    </row>
    <row r="25" spans="2:11" ht="22.05" customHeight="1">
      <c r="B25" s="13" t="s">
        <v>307</v>
      </c>
      <c r="E25" s="25">
        <f>IF(Advance!E53=0,0,(MAX(0,B_Ground_Support!G8))/Advance!E53)</f>
        <v>0.67668505672321733</v>
      </c>
      <c r="F25" s="25">
        <f>IF(Advance!F53=0,0,(MAX(0,B_Ground_Support!H8))/Advance!F53)</f>
        <v>0.55903504865499942</v>
      </c>
      <c r="G25" s="25">
        <f>IF(Advance!G53=0,0,(MAX(0,B_Ground_Support!I8))/Advance!G53)</f>
        <v>0</v>
      </c>
      <c r="H25" s="25">
        <f>IF(Advance!H53=0,0,(MAX(0,B_Ground_Support!J8))/Advance!H53)</f>
        <v>0.20462085035309888</v>
      </c>
      <c r="I25" s="25">
        <f>IF(Advance!I53=0,0,(MAX(0,B_Ground_Support!K8))/Advance!I53)</f>
        <v>0.31980974227695808</v>
      </c>
      <c r="K25" s="60">
        <f>MAX(0,B_Ground_Support!K8)</f>
        <v>440</v>
      </c>
    </row>
    <row r="26" spans="2:11" ht="22.05" customHeight="1">
      <c r="B26" s="13" t="s">
        <v>308</v>
      </c>
      <c r="E26" s="25">
        <f>IF(Advance!E53=0,0,(MAX(0,B_Ground_Support!G21))/Advance!E53)</f>
        <v>8.4715052729666169</v>
      </c>
      <c r="F26" s="25">
        <f>IF(Advance!F53=0,0,(MAX(0,B_Ground_Support!H21))/Advance!F53)</f>
        <v>1.2886231630013547</v>
      </c>
      <c r="G26" s="25">
        <f>IF(Advance!G53=0,0,(MAX(0,B_Ground_Support!I21))/Advance!G53)</f>
        <v>2.0638615578761081</v>
      </c>
      <c r="H26" s="25">
        <f>IF(Advance!H53=0,0,(MAX(0,B_Ground_Support!J21))/Advance!H53)</f>
        <v>1.9669179240191628</v>
      </c>
      <c r="I26" s="25">
        <f>IF(Advance!I53=0,0,(MAX(0,B_Ground_Support!K21))/Advance!I53)</f>
        <v>3.1174181468769846</v>
      </c>
      <c r="K26" s="60">
        <f>MAX(0,B_Ground_Support!K21)</f>
        <v>4289</v>
      </c>
    </row>
    <row r="29" spans="2:11" ht="24" customHeight="1">
      <c r="B29" s="4" t="s">
        <v>557</v>
      </c>
      <c r="C29" s="5"/>
      <c r="D29" s="5"/>
      <c r="E29" s="5"/>
      <c r="F29" s="5"/>
      <c r="G29" s="5"/>
      <c r="H29" s="5"/>
      <c r="I29" s="5"/>
    </row>
    <row r="30" spans="2:11" ht="46.05" customHeight="1">
      <c r="B30" s="8" t="s">
        <v>130</v>
      </c>
      <c r="C30" s="8" t="s">
        <v>98</v>
      </c>
      <c r="D30" s="8"/>
      <c r="E30" s="8" t="s">
        <v>99</v>
      </c>
      <c r="F30" s="8" t="s">
        <v>100</v>
      </c>
      <c r="G30" s="8" t="s">
        <v>101</v>
      </c>
      <c r="H30" s="8" t="s">
        <v>102</v>
      </c>
      <c r="I30" s="8" t="s">
        <v>393</v>
      </c>
      <c r="J30" s="8"/>
      <c r="K30" s="8" t="s">
        <v>136</v>
      </c>
    </row>
    <row r="31" spans="2:11" ht="22.05" customHeight="1">
      <c r="B31" s="13" t="s">
        <v>558</v>
      </c>
      <c r="C31" s="14" t="s">
        <v>559</v>
      </c>
      <c r="E31" s="25">
        <f>IF(NOT(ISNUMBER(E15)),"y",E23-E15)</f>
        <v>2.5825777633155358</v>
      </c>
      <c r="F31" s="25">
        <f>IF(NOT(ISNUMBER(F15)),"y",F23-F15)</f>
        <v>5.8530251060429448</v>
      </c>
      <c r="G31" s="25">
        <f>IF(NOT(ISNUMBER(G15)),"y",G23-G15)</f>
        <v>5.1473197451973132</v>
      </c>
      <c r="H31" s="25">
        <f>IF(NOT(ISNUMBER(H15)),"y",H23-H15)</f>
        <v>2.9818955308248523</v>
      </c>
      <c r="I31" s="25">
        <f>IF(NOT(ISNUMBER(I15)),"y",I23-I15)</f>
        <v>4.1902384617732862</v>
      </c>
      <c r="K31" s="33" t="s">
        <v>560</v>
      </c>
    </row>
    <row r="32" spans="2:11" ht="22.05" customHeight="1">
      <c r="B32" s="14" t="s">
        <v>561</v>
      </c>
      <c r="C32" s="14" t="s">
        <v>562</v>
      </c>
      <c r="E32" s="90">
        <f>IF(NOT(ISNUMBER(E15)),"y",IF(E15=0,"y",(E23-E15)/E15))</f>
        <v>0.37217850790108392</v>
      </c>
      <c r="F32" s="90">
        <f>IF(NOT(ISNUMBER(F15)),"y",IF(F15=0,"y",(F23-F15)/F15))</f>
        <v>1.0177580834922917</v>
      </c>
      <c r="G32" s="90">
        <f>IF(NOT(ISNUMBER(G15)),"y",IF(G15=0,"y",(G23-G15)/G15))</f>
        <v>0.96794327709591566</v>
      </c>
      <c r="H32" s="90">
        <f>IF(NOT(ISNUMBER(H15)),"y",IF(H15=0,"y",(H23-H15)/H15))</f>
        <v>0.54144300010600621</v>
      </c>
      <c r="I32" s="90">
        <f>IF(NOT(ISNUMBER(I15)),"y",IF(I15=0,"y",(I23-I15)/I15))</f>
        <v>0.72370191819740781</v>
      </c>
    </row>
    <row r="34" spans="2:11" ht="22.05" customHeight="1">
      <c r="B34" s="13" t="s">
        <v>563</v>
      </c>
      <c r="C34" s="14" t="s">
        <v>559</v>
      </c>
      <c r="E34" s="25">
        <f>IF(NOT(ISNUMBER(E16)),"y",E24-E16)</f>
        <v>1.436498838911979</v>
      </c>
      <c r="F34" s="25">
        <f>IF(NOT(ISNUMBER(F16)),"y",F24-F16)</f>
        <v>0.49821235120034535</v>
      </c>
      <c r="G34" s="25">
        <f>IF(NOT(ISNUMBER(G16)),"y",G24-G16)</f>
        <v>2.495168402053304</v>
      </c>
      <c r="H34" s="25">
        <f>IF(NOT(ISNUMBER(H16)),"y",H24-H16)</f>
        <v>3.1043527970391374</v>
      </c>
      <c r="I34" s="25">
        <f>IF(NOT(ISNUMBER(I16)),"y",I24-I16)</f>
        <v>2.0006250826780869</v>
      </c>
      <c r="K34" s="33" t="s">
        <v>560</v>
      </c>
    </row>
    <row r="35" spans="2:11" ht="22.05" customHeight="1">
      <c r="B35" s="14" t="s">
        <v>564</v>
      </c>
      <c r="C35" s="14" t="s">
        <v>562</v>
      </c>
      <c r="E35" s="90">
        <f>IF(NOT(ISNUMBER(E16)),"y",IF(E16=0,"y",(E24-E16)/E16))</f>
        <v>1.0957974043704284</v>
      </c>
      <c r="F35" s="90">
        <f>IF(NOT(ISNUMBER(F16)),"y",IF(F16=0,"y",(F24-F16)/F16))</f>
        <v>0.19935672015747052</v>
      </c>
      <c r="G35" s="90">
        <f>IF(NOT(ISNUMBER(G16)),"y",IF(G16=0,"y",(G24-G16)/G16))</f>
        <v>0.85095166692814928</v>
      </c>
      <c r="H35" s="90">
        <f>IF(NOT(ISNUMBER(H16)),"y",IF(H16=0,"y",(H24-H16)/H16))</f>
        <v>1.1318650881912307</v>
      </c>
      <c r="I35" s="90">
        <f>IF(NOT(ISNUMBER(I16)),"y",IF(I16=0,"y",(I24-I16)/I16))</f>
        <v>0.81326421833154894</v>
      </c>
    </row>
    <row r="37" spans="2:11" ht="22.05" customHeight="1">
      <c r="B37" s="13" t="s">
        <v>565</v>
      </c>
      <c r="C37" s="14" t="s">
        <v>559</v>
      </c>
      <c r="E37" s="25">
        <f>IF(NOT(ISNUMBER(E17)),"y",E25-E17)</f>
        <v>-2.0733149432767828</v>
      </c>
      <c r="F37" s="25">
        <f>IF(NOT(ISNUMBER(F17)),"y",F25-F17)</f>
        <v>-2.1909649513450007</v>
      </c>
      <c r="G37" s="25">
        <f>IF(NOT(ISNUMBER(G17)),"y",G25-G17)</f>
        <v>-2.7499999999999996</v>
      </c>
      <c r="H37" s="25">
        <f>IF(NOT(ISNUMBER(H17)),"y",H25-H17)</f>
        <v>-2.5453791496469016</v>
      </c>
      <c r="I37" s="25">
        <f>IF(NOT(ISNUMBER(I17)),"y",I25-I17)</f>
        <v>-2.4301902577230416</v>
      </c>
      <c r="K37" s="33" t="s">
        <v>560</v>
      </c>
    </row>
    <row r="38" spans="2:11" ht="22.05" customHeight="1">
      <c r="B38" s="14" t="s">
        <v>566</v>
      </c>
      <c r="C38" s="14" t="s">
        <v>562</v>
      </c>
      <c r="E38" s="90">
        <f>IF(NOT(ISNUMBER(E17)),"y",IF(E17=0,"y",(E25-E17)/E17))</f>
        <v>-0.75393270664610279</v>
      </c>
      <c r="F38" s="90">
        <f>IF(NOT(ISNUMBER(F17)),"y",IF(F17=0,"y",(F25-F17)/F17))</f>
        <v>-0.79671452776181839</v>
      </c>
      <c r="G38" s="90">
        <f>IF(NOT(ISNUMBER(G17)),"y",IF(G17=0,"y",(G25-G17)/G17))</f>
        <v>-1</v>
      </c>
      <c r="H38" s="90">
        <f>IF(NOT(ISNUMBER(H17)),"y",IF(H17=0,"y",(H25-H17)/H17))</f>
        <v>-0.92559241805341863</v>
      </c>
      <c r="I38" s="90">
        <f>IF(NOT(ISNUMBER(I17)),"y",IF(I17=0,"y",(I25-I17)/I17))</f>
        <v>-0.88370554826292436</v>
      </c>
    </row>
    <row r="40" spans="2:11" ht="22.05" customHeight="1">
      <c r="B40" s="13" t="s">
        <v>567</v>
      </c>
      <c r="C40" s="14" t="s">
        <v>559</v>
      </c>
      <c r="E40" s="25">
        <f>IF(NOT(ISNUMBER(E18)),"y",E26-E18)</f>
        <v>6.9715052729666169</v>
      </c>
      <c r="F40" s="25">
        <f>IF(NOT(ISNUMBER(F18)),"y",F26-F18)</f>
        <v>-0.21137683699864529</v>
      </c>
      <c r="G40" s="25">
        <f>IF(NOT(ISNUMBER(G18)),"y",G26-G18)</f>
        <v>0.56386155787610814</v>
      </c>
      <c r="H40" s="25">
        <f>IF(NOT(ISNUMBER(H18)),"y",H26-H18)</f>
        <v>0.46691792401916299</v>
      </c>
      <c r="I40" s="25">
        <f>IF(NOT(ISNUMBER(I18)),"y",I26-I18)</f>
        <v>1.6174181468769848</v>
      </c>
      <c r="K40" s="33" t="s">
        <v>560</v>
      </c>
    </row>
    <row r="41" spans="2:11" ht="22.05" customHeight="1">
      <c r="B41" s="14" t="s">
        <v>568</v>
      </c>
      <c r="C41" s="14" t="s">
        <v>562</v>
      </c>
      <c r="E41" s="90">
        <f>IF(NOT(ISNUMBER(E18)),"y",IF(E18=0,"y",(E26-E18)/E18))</f>
        <v>4.6476701819777446</v>
      </c>
      <c r="F41" s="90">
        <f>IF(NOT(ISNUMBER(F18)),"y",IF(F18=0,"y",(F26-F18)/F18))</f>
        <v>-0.14091789133243018</v>
      </c>
      <c r="G41" s="90">
        <f>IF(NOT(ISNUMBER(G18)),"y",IF(G18=0,"y",(G26-G18)/G18))</f>
        <v>0.37590770525073874</v>
      </c>
      <c r="H41" s="90">
        <f>IF(NOT(ISNUMBER(H18)),"y",IF(H18=0,"y",(H26-H18)/H18))</f>
        <v>0.31127861601277534</v>
      </c>
      <c r="I41" s="90">
        <f>IF(NOT(ISNUMBER(I18)),"y",IF(I18=0,"y",(I26-I18)/I18))</f>
        <v>1.0782787645846568</v>
      </c>
    </row>
    <row r="43" spans="2:11" ht="24" customHeight="1">
      <c r="B43" s="4" t="s">
        <v>569</v>
      </c>
      <c r="C43" s="5"/>
      <c r="D43" s="5"/>
      <c r="E43" s="5"/>
      <c r="F43" s="5"/>
      <c r="G43" s="5"/>
      <c r="H43" s="5"/>
      <c r="I43" s="5"/>
    </row>
    <row r="44" spans="2:11" ht="46.05" customHeight="1">
      <c r="B44" s="8" t="s">
        <v>235</v>
      </c>
      <c r="C44" s="8" t="s">
        <v>130</v>
      </c>
      <c r="D44" s="8"/>
      <c r="E44" s="8" t="s">
        <v>570</v>
      </c>
      <c r="F44" s="8" t="s">
        <v>571</v>
      </c>
      <c r="G44" s="8" t="s">
        <v>572</v>
      </c>
      <c r="H44" s="8"/>
      <c r="I44" s="8"/>
      <c r="J44" s="8" t="s">
        <v>573</v>
      </c>
    </row>
    <row r="45" spans="2:11" ht="22.05" customHeight="1">
      <c r="B45" s="14" t="s">
        <v>237</v>
      </c>
      <c r="C45" s="14" t="s">
        <v>305</v>
      </c>
      <c r="E45" s="91">
        <f>IF(OR(NOT(ISNUMBER(E23)),NOT(ISNUMBER(E15))),"y",E23-E15)</f>
        <v>2.5825777633155358</v>
      </c>
      <c r="F45" s="92"/>
      <c r="G45" s="92"/>
    </row>
    <row r="46" spans="2:11" ht="22.05" customHeight="1">
      <c r="B46" s="14" t="s">
        <v>237</v>
      </c>
      <c r="C46" s="14" t="s">
        <v>306</v>
      </c>
      <c r="E46" s="91">
        <f>IF(OR(NOT(ISNUMBER(E24)),NOT(ISNUMBER(E16))),"y",E24-E16)</f>
        <v>1.436498838911979</v>
      </c>
      <c r="F46" s="92"/>
      <c r="G46" s="92"/>
    </row>
    <row r="47" spans="2:11" ht="22.05" customHeight="1">
      <c r="B47" s="14" t="s">
        <v>237</v>
      </c>
      <c r="C47" s="14" t="s">
        <v>307</v>
      </c>
      <c r="E47" s="91">
        <f>IF(OR(NOT(ISNUMBER(E25)),NOT(ISNUMBER(E17))),"y",E25-E17)</f>
        <v>-2.0733149432767828</v>
      </c>
      <c r="F47" s="92"/>
      <c r="G47" s="92"/>
    </row>
    <row r="48" spans="2:11" ht="22.05" customHeight="1">
      <c r="B48" s="14" t="s">
        <v>237</v>
      </c>
      <c r="C48" s="14" t="s">
        <v>308</v>
      </c>
      <c r="E48" s="91">
        <f>IF(OR(NOT(ISNUMBER(E26)),NOT(ISNUMBER(E18))),"y",E26-E18)</f>
        <v>6.9715052729666169</v>
      </c>
      <c r="F48" s="92"/>
      <c r="G48" s="92"/>
    </row>
    <row r="49" spans="2:10" ht="22.05" customHeight="1">
      <c r="B49" s="14" t="s">
        <v>239</v>
      </c>
      <c r="C49" s="14" t="s">
        <v>305</v>
      </c>
      <c r="E49" s="91">
        <f>IF(OR(NOT(ISNUMBER(F23)),NOT(ISNUMBER(F15))),"y",F23-F15)</f>
        <v>5.8530251060429448</v>
      </c>
      <c r="F49" s="92"/>
      <c r="G49" s="92"/>
    </row>
    <row r="50" spans="2:10" ht="22.05" customHeight="1">
      <c r="B50" s="14" t="s">
        <v>239</v>
      </c>
      <c r="C50" s="14" t="s">
        <v>306</v>
      </c>
      <c r="E50" s="91">
        <f>IF(OR(NOT(ISNUMBER(F24)),NOT(ISNUMBER(F16))),"y",F24-F16)</f>
        <v>0.49821235120034535</v>
      </c>
      <c r="F50" s="92"/>
      <c r="G50" s="92"/>
    </row>
    <row r="51" spans="2:10" ht="22.05" customHeight="1">
      <c r="B51" s="14" t="s">
        <v>239</v>
      </c>
      <c r="C51" s="14" t="s">
        <v>307</v>
      </c>
      <c r="E51" s="91">
        <f>IF(OR(NOT(ISNUMBER(F25)),NOT(ISNUMBER(F17))),"y",F25-F17)</f>
        <v>-2.1909649513450007</v>
      </c>
      <c r="F51" s="92"/>
      <c r="G51" s="92"/>
    </row>
    <row r="52" spans="2:10" ht="22.05" customHeight="1">
      <c r="B52" s="14" t="s">
        <v>239</v>
      </c>
      <c r="C52" s="14" t="s">
        <v>308</v>
      </c>
      <c r="E52" s="91">
        <f>IF(OR(NOT(ISNUMBER(F26)),NOT(ISNUMBER(F18))),"y",F26-F18)</f>
        <v>-0.21137683699864529</v>
      </c>
      <c r="F52" s="92"/>
      <c r="G52" s="92"/>
    </row>
    <row r="53" spans="2:10" ht="22.05" customHeight="1">
      <c r="B53" s="14" t="s">
        <v>240</v>
      </c>
      <c r="C53" s="14" t="s">
        <v>305</v>
      </c>
      <c r="E53" s="91">
        <f>IF(OR(NOT(ISNUMBER(G23)),NOT(ISNUMBER(G15))),"y",G23-G15)</f>
        <v>5.1473197451973132</v>
      </c>
      <c r="F53" s="92"/>
      <c r="G53" s="92"/>
    </row>
    <row r="54" spans="2:10" ht="22.05" customHeight="1">
      <c r="B54" s="14" t="s">
        <v>240</v>
      </c>
      <c r="C54" s="14" t="s">
        <v>306</v>
      </c>
      <c r="E54" s="91">
        <f>IF(OR(NOT(ISNUMBER(G24)),NOT(ISNUMBER(G16))),"y",G24-G16)</f>
        <v>2.495168402053304</v>
      </c>
      <c r="F54" s="92"/>
      <c r="G54" s="92"/>
    </row>
    <row r="55" spans="2:10" ht="22.05" customHeight="1">
      <c r="B55" s="14" t="s">
        <v>240</v>
      </c>
      <c r="C55" s="14" t="s">
        <v>307</v>
      </c>
      <c r="E55" s="91">
        <f>IF(OR(NOT(ISNUMBER(G25)),NOT(ISNUMBER(G17))),"y",G25-G17)</f>
        <v>-2.7499999999999996</v>
      </c>
      <c r="F55" s="92"/>
      <c r="G55" s="92"/>
    </row>
    <row r="56" spans="2:10" ht="22.05" customHeight="1">
      <c r="B56" s="14" t="s">
        <v>240</v>
      </c>
      <c r="C56" s="14" t="s">
        <v>308</v>
      </c>
      <c r="E56" s="91">
        <f>IF(OR(NOT(ISNUMBER(G26)),NOT(ISNUMBER(G18))),"y",G26-G18)</f>
        <v>0.56386155787610814</v>
      </c>
      <c r="F56" s="92"/>
      <c r="G56" s="92"/>
    </row>
    <row r="57" spans="2:10" ht="22.05" customHeight="1">
      <c r="B57" s="14" t="s">
        <v>241</v>
      </c>
      <c r="C57" s="14" t="s">
        <v>305</v>
      </c>
      <c r="E57" s="91">
        <f>IF(OR(NOT(ISNUMBER(H23)),NOT(ISNUMBER(H15))),"y",H23-H15)</f>
        <v>2.9818955308248523</v>
      </c>
      <c r="F57" s="92"/>
      <c r="G57" s="92"/>
    </row>
    <row r="58" spans="2:10" ht="22.05" customHeight="1">
      <c r="B58" s="14" t="s">
        <v>241</v>
      </c>
      <c r="C58" s="14" t="s">
        <v>306</v>
      </c>
      <c r="E58" s="91">
        <f>IF(OR(NOT(ISNUMBER(H24)),NOT(ISNUMBER(H16))),"y",H24-H16)</f>
        <v>3.1043527970391374</v>
      </c>
      <c r="F58" s="92"/>
      <c r="G58" s="92"/>
    </row>
    <row r="59" spans="2:10" ht="22.05" customHeight="1">
      <c r="B59" s="14" t="s">
        <v>241</v>
      </c>
      <c r="C59" s="14" t="s">
        <v>307</v>
      </c>
      <c r="E59" s="91">
        <f>IF(OR(NOT(ISNUMBER(H25)),NOT(ISNUMBER(H17))),"y",H25-H17)</f>
        <v>-2.5453791496469016</v>
      </c>
      <c r="F59" s="92"/>
      <c r="G59" s="92"/>
    </row>
    <row r="60" spans="2:10" ht="22.05" customHeight="1">
      <c r="B60" s="14" t="s">
        <v>241</v>
      </c>
      <c r="C60" s="14" t="s">
        <v>308</v>
      </c>
      <c r="E60" s="91">
        <f>IF(OR(NOT(ISNUMBER(H26)),NOT(ISNUMBER(H18))),"y",H26-H18)</f>
        <v>0.46691792401916299</v>
      </c>
      <c r="F60" s="92"/>
      <c r="G60" s="92"/>
    </row>
    <row r="62" spans="2:10" ht="24" customHeight="1">
      <c r="B62" s="121" t="s">
        <v>574</v>
      </c>
      <c r="C62" s="122"/>
      <c r="D62" s="122"/>
      <c r="E62" s="122"/>
      <c r="F62" s="122"/>
      <c r="G62" s="122"/>
      <c r="H62" s="122"/>
      <c r="I62" s="122"/>
      <c r="J62" s="122"/>
    </row>
    <row r="65" spans="2:11" ht="24" customHeight="1">
      <c r="B65" s="4" t="s">
        <v>575</v>
      </c>
      <c r="C65" s="5"/>
      <c r="D65" s="5"/>
      <c r="E65" s="5"/>
      <c r="F65" s="5"/>
      <c r="G65" s="5"/>
      <c r="H65" s="5"/>
      <c r="I65" s="5"/>
    </row>
    <row r="66" spans="2:11" ht="46.05" customHeight="1">
      <c r="B66" s="8" t="s">
        <v>576</v>
      </c>
      <c r="C66" s="8"/>
      <c r="D66" s="8"/>
      <c r="E66" s="8" t="s">
        <v>577</v>
      </c>
      <c r="F66" s="8" t="s">
        <v>578</v>
      </c>
      <c r="G66" s="8" t="s">
        <v>579</v>
      </c>
      <c r="H66" s="8" t="s">
        <v>580</v>
      </c>
      <c r="I66" s="8"/>
      <c r="J66" s="8"/>
      <c r="K66" s="8" t="s">
        <v>581</v>
      </c>
    </row>
    <row r="67" spans="2:11" ht="22.05" customHeight="1">
      <c r="B67" s="45">
        <v>3</v>
      </c>
      <c r="E67" s="25">
        <f>IF($B67=0,0,(IF(ISNUMBER(Inputs!$D$73),$H$8*Inputs!$D$73,0)+IF(ISNUMBER(Inputs!$D$74),$H$9*Inputs!$D$74,0)+IF(ISNUMBER(Inputs!$D$75),$H$10*Inputs!$D$75,0))/(IF(ISNUMBER(Inputs!$D$73),$H$8,0)+IF(ISNUMBER(Inputs!$D$74),$H$9,0)+IF(ISNUMBER(Inputs!$D$75),$H$10,0))/$B67)</f>
        <v>7.3430826642657818</v>
      </c>
      <c r="F67" s="91">
        <f t="shared" ref="F67:F72" si="0">$H$23</f>
        <v>8.4892075290241884</v>
      </c>
      <c r="G67" s="25">
        <f t="shared" ref="G67:G72" si="1">F67-E67</f>
        <v>1.1461248647584066</v>
      </c>
      <c r="I67" s="90">
        <f t="shared" ref="I67:I72" si="2">IF(E67=0,"",(F67-E67)/E67)</f>
        <v>0.15608225007950458</v>
      </c>
      <c r="K67" s="52">
        <f>IF($B67=0,0,(IF(ISNUMBER(Inputs!$F$73),$H$8*Inputs!$F$73,0)+IF(ISNUMBER(Inputs!$F$74),$H$9*Inputs!$F$74,0)+IF(ISNUMBER(Inputs!$F$75),$H$10*Inputs!$F$75,0))/(IF(ISNUMBER(Inputs!$D$73),$H$8,0)+IF(ISNUMBER(Inputs!$D$74),$H$9,0)+IF(ISNUMBER(Inputs!$D$75),$H$10,0))/$B67)</f>
        <v>3.6666666666666674</v>
      </c>
    </row>
    <row r="68" spans="2:11" ht="22.05" customHeight="1">
      <c r="B68" s="45">
        <v>3.2</v>
      </c>
      <c r="E68" s="25">
        <f>IF($B68=0,0,(IF(ISNUMBER(Inputs!$D$73),$H$8*Inputs!$D$73,0)+IF(ISNUMBER(Inputs!$D$74),$H$9*Inputs!$D$74,0)+IF(ISNUMBER(Inputs!$D$75),$H$10*Inputs!$D$75,0))/(IF(ISNUMBER(Inputs!$D$73),$H$8,0)+IF(ISNUMBER(Inputs!$D$74),$H$9,0)+IF(ISNUMBER(Inputs!$D$75),$H$10,0))/$B68)</f>
        <v>6.8841399977491697</v>
      </c>
      <c r="F68" s="91">
        <f t="shared" si="0"/>
        <v>8.4892075290241884</v>
      </c>
      <c r="G68" s="25">
        <f t="shared" si="1"/>
        <v>1.6050675312750187</v>
      </c>
      <c r="I68" s="90">
        <f t="shared" si="2"/>
        <v>0.23315440008480504</v>
      </c>
      <c r="K68" s="52">
        <f>IF($B68=0,0,(IF(ISNUMBER(Inputs!$F$73),$H$8*Inputs!$F$73,0)+IF(ISNUMBER(Inputs!$F$74),$H$9*Inputs!$F$74,0)+IF(ISNUMBER(Inputs!$F$75),$H$10*Inputs!$F$75,0))/(IF(ISNUMBER(Inputs!$D$73),$H$8,0)+IF(ISNUMBER(Inputs!$D$74),$H$9,0)+IF(ISNUMBER(Inputs!$D$75),$H$10,0))/$B68)</f>
        <v>3.4375000000000004</v>
      </c>
    </row>
    <row r="69" spans="2:11" ht="22.05" customHeight="1">
      <c r="B69" s="45">
        <v>3.4</v>
      </c>
      <c r="E69" s="25">
        <f>IF($B69=0,0,(IF(ISNUMBER(Inputs!$D$73),$H$8*Inputs!$D$73,0)+IF(ISNUMBER(Inputs!$D$74),$H$9*Inputs!$D$74,0)+IF(ISNUMBER(Inputs!$D$75),$H$10*Inputs!$D$75,0))/(IF(ISNUMBER(Inputs!$D$73),$H$8,0)+IF(ISNUMBER(Inputs!$D$74),$H$9,0)+IF(ISNUMBER(Inputs!$D$75),$H$10,0))/$B69)</f>
        <v>6.4791905861168662</v>
      </c>
      <c r="F69" s="91">
        <f t="shared" si="0"/>
        <v>8.4892075290241884</v>
      </c>
      <c r="G69" s="25">
        <f t="shared" si="1"/>
        <v>2.0100169429073222</v>
      </c>
      <c r="I69" s="90">
        <f t="shared" si="2"/>
        <v>0.31022655009010525</v>
      </c>
      <c r="K69" s="52">
        <f>IF($B69=0,0,(IF(ISNUMBER(Inputs!$F$73),$H$8*Inputs!$F$73,0)+IF(ISNUMBER(Inputs!$F$74),$H$9*Inputs!$F$74,0)+IF(ISNUMBER(Inputs!$F$75),$H$10*Inputs!$F$75,0))/(IF(ISNUMBER(Inputs!$D$73),$H$8,0)+IF(ISNUMBER(Inputs!$D$74),$H$9,0)+IF(ISNUMBER(Inputs!$D$75),$H$10,0))/$B69)</f>
        <v>3.2352941176470593</v>
      </c>
    </row>
    <row r="70" spans="2:11" ht="22.05" customHeight="1">
      <c r="B70" s="45">
        <v>3.6</v>
      </c>
      <c r="E70" s="25">
        <f>IF($B70=0,0,(IF(ISNUMBER(Inputs!$D$73),$H$8*Inputs!$D$73,0)+IF(ISNUMBER(Inputs!$D$74),$H$9*Inputs!$D$74,0)+IF(ISNUMBER(Inputs!$D$75),$H$10*Inputs!$D$75,0))/(IF(ISNUMBER(Inputs!$D$73),$H$8,0)+IF(ISNUMBER(Inputs!$D$74),$H$9,0)+IF(ISNUMBER(Inputs!$D$75),$H$10,0))/$B70)</f>
        <v>6.1192355535548177</v>
      </c>
      <c r="F70" s="91">
        <f t="shared" si="0"/>
        <v>8.4892075290241884</v>
      </c>
      <c r="G70" s="25">
        <f t="shared" si="1"/>
        <v>2.3699719754693707</v>
      </c>
      <c r="I70" s="90">
        <f t="shared" si="2"/>
        <v>0.38729870009540562</v>
      </c>
      <c r="K70" s="52">
        <f>IF($B70=0,0,(IF(ISNUMBER(Inputs!$F$73),$H$8*Inputs!$F$73,0)+IF(ISNUMBER(Inputs!$F$74),$H$9*Inputs!$F$74,0)+IF(ISNUMBER(Inputs!$F$75),$H$10*Inputs!$F$75,0))/(IF(ISNUMBER(Inputs!$D$73),$H$8,0)+IF(ISNUMBER(Inputs!$D$74),$H$9,0)+IF(ISNUMBER(Inputs!$D$75),$H$10,0))/$B70)</f>
        <v>3.0555555555555558</v>
      </c>
    </row>
    <row r="71" spans="2:11" ht="22.05" customHeight="1">
      <c r="B71" s="45">
        <v>3.8</v>
      </c>
      <c r="E71" s="25">
        <f>IF($B71=0,0,(IF(ISNUMBER(Inputs!$D$73),$H$8*Inputs!$D$73,0)+IF(ISNUMBER(Inputs!$D$74),$H$9*Inputs!$D$74,0)+IF(ISNUMBER(Inputs!$D$75),$H$10*Inputs!$D$75,0))/(IF(ISNUMBER(Inputs!$D$73),$H$8,0)+IF(ISNUMBER(Inputs!$D$74),$H$9,0)+IF(ISNUMBER(Inputs!$D$75),$H$10,0))/$B71)</f>
        <v>5.7971705244203537</v>
      </c>
      <c r="F71" s="91">
        <f t="shared" si="0"/>
        <v>8.4892075290241884</v>
      </c>
      <c r="G71" s="25">
        <f t="shared" si="1"/>
        <v>2.6920370046038347</v>
      </c>
      <c r="I71" s="90">
        <f t="shared" si="2"/>
        <v>0.46437085010070589</v>
      </c>
      <c r="K71" s="52">
        <f>IF($B71=0,0,(IF(ISNUMBER(Inputs!$F$73),$H$8*Inputs!$F$73,0)+IF(ISNUMBER(Inputs!$F$74),$H$9*Inputs!$F$74,0)+IF(ISNUMBER(Inputs!$F$75),$H$10*Inputs!$F$75,0))/(IF(ISNUMBER(Inputs!$D$73),$H$8,0)+IF(ISNUMBER(Inputs!$D$74),$H$9,0)+IF(ISNUMBER(Inputs!$D$75),$H$10,0))/$B71)</f>
        <v>2.8947368421052637</v>
      </c>
    </row>
    <row r="72" spans="2:11" ht="22.05" customHeight="1">
      <c r="B72" s="45">
        <v>4</v>
      </c>
      <c r="E72" s="25">
        <f>IF($B72=0,0,(IF(ISNUMBER(Inputs!$D$73),$H$8*Inputs!$D$73,0)+IF(ISNUMBER(Inputs!$D$74),$H$9*Inputs!$D$74,0)+IF(ISNUMBER(Inputs!$D$75),$H$10*Inputs!$D$75,0))/(IF(ISNUMBER(Inputs!$D$73),$H$8,0)+IF(ISNUMBER(Inputs!$D$74),$H$9,0)+IF(ISNUMBER(Inputs!$D$75),$H$10,0))/$B72)</f>
        <v>5.5073119981993361</v>
      </c>
      <c r="F72" s="91">
        <f t="shared" si="0"/>
        <v>8.4892075290241884</v>
      </c>
      <c r="G72" s="25">
        <f t="shared" si="1"/>
        <v>2.9818955308248523</v>
      </c>
      <c r="I72" s="90">
        <f t="shared" si="2"/>
        <v>0.54144300010600621</v>
      </c>
      <c r="K72" s="52">
        <f>IF($B72=0,0,(IF(ISNUMBER(Inputs!$F$73),$H$8*Inputs!$F$73,0)+IF(ISNUMBER(Inputs!$F$74),$H$9*Inputs!$F$74,0)+IF(ISNUMBER(Inputs!$F$75),$H$10*Inputs!$F$75,0))/(IF(ISNUMBER(Inputs!$D$73),$H$8,0)+IF(ISNUMBER(Inputs!$D$74),$H$9,0)+IF(ISNUMBER(Inputs!$D$75),$H$10,0))/$B72)</f>
        <v>2.7500000000000004</v>
      </c>
    </row>
    <row r="74" spans="2:11" ht="24" customHeight="1">
      <c r="B74" s="121" t="s">
        <v>582</v>
      </c>
      <c r="C74" s="122"/>
      <c r="D74" s="122"/>
      <c r="E74" s="122"/>
      <c r="F74" s="122"/>
      <c r="G74" s="122"/>
      <c r="H74" s="122"/>
      <c r="I74" s="122"/>
      <c r="J74" s="122"/>
    </row>
    <row r="76" spans="2:11" ht="24" customHeight="1">
      <c r="B76" s="125" t="s">
        <v>583</v>
      </c>
      <c r="C76" s="122"/>
      <c r="D76" s="122"/>
      <c r="E76" s="122"/>
      <c r="F76" s="122"/>
      <c r="G76" s="122"/>
      <c r="H76" s="122"/>
      <c r="I76" s="122"/>
      <c r="J76" s="122"/>
    </row>
  </sheetData>
  <mergeCells count="4">
    <mergeCell ref="B62:J62"/>
    <mergeCell ref="B74:J74"/>
    <mergeCell ref="B76:J76"/>
    <mergeCell ref="B4:J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K60"/>
  <sheetViews>
    <sheetView showGridLines="0" workbookViewId="0"/>
  </sheetViews>
  <sheetFormatPr defaultRowHeight="14.4"/>
  <cols>
    <col min="1" max="1" width="4" customWidth="1"/>
    <col min="2" max="2" width="56" customWidth="1"/>
    <col min="3" max="3" width="16" customWidth="1"/>
    <col min="4" max="4" width="4" customWidth="1"/>
    <col min="5" max="9" width="23" customWidth="1"/>
    <col min="10" max="10" width="4" customWidth="1"/>
    <col min="11" max="11" width="44" customWidth="1"/>
  </cols>
  <sheetData>
    <row r="1" spans="2:11" ht="7.95" customHeight="1"/>
    <row r="2" spans="2:11" ht="30" customHeight="1">
      <c r="B2" s="12" t="s">
        <v>584</v>
      </c>
    </row>
    <row r="3" spans="2:11" ht="19.95" customHeight="1">
      <c r="B3" s="3" t="s">
        <v>585</v>
      </c>
    </row>
    <row r="4" spans="2:11" ht="24" customHeight="1">
      <c r="B4" s="121" t="s">
        <v>586</v>
      </c>
      <c r="C4" s="122"/>
      <c r="D4" s="122"/>
      <c r="E4" s="122"/>
      <c r="F4" s="122"/>
      <c r="G4" s="122"/>
      <c r="H4" s="122"/>
      <c r="I4" s="122"/>
      <c r="J4" s="122"/>
    </row>
    <row r="5" spans="2:11" ht="7.95" customHeight="1"/>
    <row r="6" spans="2:11" ht="24" customHeight="1">
      <c r="B6" s="4" t="s">
        <v>587</v>
      </c>
      <c r="C6" s="5"/>
      <c r="D6" s="5"/>
      <c r="E6" s="5"/>
      <c r="F6" s="5"/>
      <c r="G6" s="5"/>
      <c r="H6" s="5"/>
      <c r="I6" s="5"/>
    </row>
    <row r="7" spans="2:11" ht="46.05" customHeight="1">
      <c r="B7" s="8" t="s">
        <v>509</v>
      </c>
      <c r="C7" s="8" t="s">
        <v>98</v>
      </c>
      <c r="D7" s="8"/>
      <c r="E7" s="8" t="s">
        <v>237</v>
      </c>
      <c r="F7" s="8" t="s">
        <v>239</v>
      </c>
      <c r="G7" s="8" t="s">
        <v>240</v>
      </c>
      <c r="H7" s="8" t="s">
        <v>241</v>
      </c>
      <c r="I7" s="8" t="s">
        <v>393</v>
      </c>
      <c r="J7" s="8"/>
      <c r="K7" s="8" t="s">
        <v>431</v>
      </c>
    </row>
    <row r="8" spans="2:11" ht="22.05" customHeight="1">
      <c r="B8" s="14" t="s">
        <v>588</v>
      </c>
      <c r="C8" s="14" t="s">
        <v>107</v>
      </c>
      <c r="E8" s="17">
        <f>MAX(0,B_Ground_Support!G8)*B_Ground_Support!$E$8+MAX(0,B_Ground_Support!G9)*B_Ground_Support!$E$9+MAX(0,B_Ground_Support!G10)*B_Ground_Support!$E$10+MAX(0,B_Ground_Support!G11)*B_Ground_Support!$E$11</f>
        <v>186694.04940950143</v>
      </c>
      <c r="F8" s="17">
        <f>MAX(0,B_Ground_Support!H8)*B_Ground_Support!$E$8+MAX(0,B_Ground_Support!H9)*B_Ground_Support!$E$9+MAX(0,B_Ground_Support!H10)*B_Ground_Support!$E$10+MAX(0,B_Ground_Support!H11)*B_Ground_Support!$E$11</f>
        <v>265285.30072343547</v>
      </c>
      <c r="G8" s="17">
        <f>MAX(0,B_Ground_Support!I8)*B_Ground_Support!$E$8+MAX(0,B_Ground_Support!I9)*B_Ground_Support!$E$9+MAX(0,B_Ground_Support!I10)*B_Ground_Support!$E$10+MAX(0,B_Ground_Support!I11)*B_Ground_Support!$E$11</f>
        <v>313818.56382705795</v>
      </c>
      <c r="H8" s="17">
        <f>MAX(0,B_Ground_Support!J8)*B_Ground_Support!$E$8+MAX(0,B_Ground_Support!J9)*B_Ground_Support!$E$9+MAX(0,B_Ground_Support!J10)*B_Ground_Support!$E$10+MAX(0,B_Ground_Support!J11)*B_Ground_Support!$E$11</f>
        <v>259786.59256518606</v>
      </c>
      <c r="I8" s="18">
        <f>SUM(E8:H8)</f>
        <v>1025584.506525181</v>
      </c>
      <c r="K8" s="28" t="s">
        <v>589</v>
      </c>
    </row>
    <row r="9" spans="2:11" ht="22.05" customHeight="1">
      <c r="B9" s="14" t="s">
        <v>590</v>
      </c>
      <c r="C9" s="14" t="s">
        <v>107</v>
      </c>
      <c r="E9" s="17">
        <f>MAX(0,B_Ground_Support!G21)*B_Ground_Support!$E$21</f>
        <v>188974.07601376635</v>
      </c>
      <c r="F9" s="17">
        <f>MAX(0,B_Ground_Support!H21)*B_Ground_Support!$E$21</f>
        <v>33654.04758342063</v>
      </c>
      <c r="G9" s="17">
        <f>MAX(0,B_Ground_Support!I21)*B_Ground_Support!$E$21</f>
        <v>67720.522220559651</v>
      </c>
      <c r="H9" s="17">
        <f>MAX(0,B_Ground_Support!J21)*B_Ground_Support!$E$21</f>
        <v>63431.280861888394</v>
      </c>
      <c r="I9" s="18">
        <f>SUM(E9:H9)</f>
        <v>353779.92667963501</v>
      </c>
      <c r="K9" s="28" t="s">
        <v>591</v>
      </c>
    </row>
    <row r="10" spans="2:11" ht="22.05" customHeight="1">
      <c r="B10" s="14" t="s">
        <v>592</v>
      </c>
      <c r="C10" s="14" t="s">
        <v>107</v>
      </c>
      <c r="E10" s="66">
        <v>0</v>
      </c>
      <c r="F10" s="66">
        <v>0</v>
      </c>
      <c r="G10" s="66">
        <v>0</v>
      </c>
      <c r="H10" s="66">
        <v>0</v>
      </c>
      <c r="I10" s="18">
        <f>SUM(E10:H10)</f>
        <v>0</v>
      </c>
      <c r="K10" s="28" t="s">
        <v>593</v>
      </c>
    </row>
    <row r="11" spans="2:11" ht="22.05" customHeight="1">
      <c r="B11" s="14" t="s">
        <v>594</v>
      </c>
      <c r="C11" s="14" t="s">
        <v>107</v>
      </c>
      <c r="E11" s="66">
        <v>0</v>
      </c>
      <c r="F11" s="66">
        <v>0</v>
      </c>
      <c r="G11" s="66">
        <v>0</v>
      </c>
      <c r="H11" s="66">
        <v>0</v>
      </c>
      <c r="I11" s="18">
        <f>SUM(E11:H11)</f>
        <v>0</v>
      </c>
      <c r="K11" s="28" t="s">
        <v>595</v>
      </c>
    </row>
    <row r="12" spans="2:11" ht="22.05" customHeight="1">
      <c r="B12" s="14" t="s">
        <v>596</v>
      </c>
      <c r="C12" s="14" t="s">
        <v>107</v>
      </c>
      <c r="E12" s="17">
        <f>MAX(0,D_Cable_Bolting!G8)*D_Cable_Bolting!$E$8</f>
        <v>1837.9429358756058</v>
      </c>
      <c r="F12" s="17">
        <f>MAX(0,D_Cable_Bolting!H8)*D_Cable_Bolting!$E$8</f>
        <v>0</v>
      </c>
      <c r="G12" s="17">
        <f>MAX(0,D_Cable_Bolting!I8)*D_Cable_Bolting!$E$8</f>
        <v>4084.3176352791243</v>
      </c>
      <c r="H12" s="17">
        <f>MAX(0,D_Cable_Bolting!J8)*D_Cable_Bolting!$E$8</f>
        <v>4084.3176352791243</v>
      </c>
      <c r="I12" s="18">
        <f>SUM(E12:H12)</f>
        <v>10006.578206433855</v>
      </c>
      <c r="K12" s="28" t="s">
        <v>597</v>
      </c>
    </row>
    <row r="13" spans="2:11" ht="22.05" customHeight="1">
      <c r="B13" s="58" t="s">
        <v>598</v>
      </c>
      <c r="C13" s="6" t="s">
        <v>107</v>
      </c>
      <c r="E13" s="93">
        <f>SUM(E8:E12)</f>
        <v>377506.06835914339</v>
      </c>
      <c r="F13" s="93">
        <f>SUM(F8:F12)</f>
        <v>298939.34830685612</v>
      </c>
      <c r="G13" s="93">
        <f>SUM(G8:G12)</f>
        <v>385623.40368289675</v>
      </c>
      <c r="H13" s="93">
        <f>SUM(H8:H12)</f>
        <v>327302.19106235361</v>
      </c>
      <c r="I13" s="93">
        <f>SUM(I8:I12)</f>
        <v>1389371.0114112499</v>
      </c>
    </row>
    <row r="14" spans="2:11" ht="22.05" customHeight="1">
      <c r="B14" s="13" t="s">
        <v>599</v>
      </c>
      <c r="C14" s="14" t="s">
        <v>105</v>
      </c>
      <c r="E14" s="15">
        <f>Advance!E53</f>
        <v>270.43599999999998</v>
      </c>
      <c r="F14" s="15">
        <f>Advance!F53</f>
        <v>316.61700000000008</v>
      </c>
      <c r="G14" s="15">
        <f>Advance!G53</f>
        <v>397.79799999999994</v>
      </c>
      <c r="H14" s="15">
        <f>Advance!H53</f>
        <v>390.96699999999998</v>
      </c>
      <c r="I14" s="15">
        <f>Advance!I53</f>
        <v>1375.8180000000002</v>
      </c>
    </row>
    <row r="15" spans="2:11" ht="25.95" customHeight="1">
      <c r="B15" s="21" t="s">
        <v>156</v>
      </c>
      <c r="C15" s="55" t="s">
        <v>600</v>
      </c>
      <c r="E15" s="74">
        <f>IF(E14=0,0,E13/E14)</f>
        <v>1395.9164769451679</v>
      </c>
      <c r="F15" s="74">
        <f>IF(F14=0,0,F13/F14)</f>
        <v>944.16707980574654</v>
      </c>
      <c r="G15" s="74">
        <f>IF(G14=0,0,G13/G14)</f>
        <v>969.39502884101182</v>
      </c>
      <c r="H15" s="74">
        <f>IF(H14=0,0,H13/H14)</f>
        <v>837.16065822014036</v>
      </c>
      <c r="I15" s="74">
        <f>IF(I14=0,0,I13/I14)</f>
        <v>1009.8508751966101</v>
      </c>
    </row>
    <row r="17" spans="2:11" ht="24" customHeight="1">
      <c r="B17" s="4" t="s">
        <v>601</v>
      </c>
      <c r="C17" s="5"/>
      <c r="D17" s="5"/>
      <c r="E17" s="5"/>
      <c r="F17" s="5"/>
      <c r="G17" s="5"/>
      <c r="H17" s="5"/>
      <c r="I17" s="5"/>
    </row>
    <row r="18" spans="2:11" ht="46.05" customHeight="1">
      <c r="B18" s="8" t="s">
        <v>509</v>
      </c>
      <c r="C18" s="8" t="s">
        <v>98</v>
      </c>
      <c r="D18" s="8"/>
      <c r="E18" s="8" t="s">
        <v>237</v>
      </c>
      <c r="F18" s="8" t="s">
        <v>239</v>
      </c>
      <c r="G18" s="8" t="s">
        <v>240</v>
      </c>
      <c r="H18" s="8" t="s">
        <v>241</v>
      </c>
      <c r="I18" s="8" t="s">
        <v>393</v>
      </c>
      <c r="J18" s="8"/>
      <c r="K18" s="8" t="s">
        <v>431</v>
      </c>
    </row>
    <row r="19" spans="2:11" ht="22.05" customHeight="1">
      <c r="B19" s="14" t="s">
        <v>602</v>
      </c>
      <c r="C19" s="14" t="s">
        <v>107</v>
      </c>
      <c r="E19" s="17">
        <f>MAX(0,C_Face_Drilling!G19)*IF(ISNUMBER(C_Face_Drilling!$E$19),C_Face_Drilling!$E$19,0)+MAX(0,C_Face_Drilling!G20)*IF(ISNUMBER(C_Face_Drilling!$E$20),C_Face_Drilling!$E$20,0)+MAX(0,C_Face_Drilling!G21)*IF(ISNUMBER(C_Face_Drilling!$E$21),C_Face_Drilling!$E$21,0)+MAX(0,C_Face_Drilling!G22)*IF(ISNUMBER(C_Face_Drilling!$E$22),C_Face_Drilling!$E$22,0)+MAX(0,C_Face_Drilling!G23)*IF(ISNUMBER(C_Face_Drilling!$E$23),C_Face_Drilling!$E$23,0)+MAX(0,C_Face_Drilling!G24)*IF(ISNUMBER(C_Face_Drilling!$E$24),C_Face_Drilling!$E$24,0)+MAX(0,C_Face_Drilling!G25)*IF(ISNUMBER(C_Face_Drilling!$E$25),C_Face_Drilling!$E$25,0)</f>
        <v>27025.620000000003</v>
      </c>
      <c r="F19" s="17">
        <f>MAX(0,C_Face_Drilling!H19)*IF(ISNUMBER(C_Face_Drilling!$E$19),C_Face_Drilling!$E$19,0)+MAX(0,C_Face_Drilling!H20)*IF(ISNUMBER(C_Face_Drilling!$E$20),C_Face_Drilling!$E$20,0)+MAX(0,C_Face_Drilling!H21)*IF(ISNUMBER(C_Face_Drilling!$E$21),C_Face_Drilling!$E$21,0)+MAX(0,C_Face_Drilling!H22)*IF(ISNUMBER(C_Face_Drilling!$E$22),C_Face_Drilling!$E$22,0)+MAX(0,C_Face_Drilling!H23)*IF(ISNUMBER(C_Face_Drilling!$E$23),C_Face_Drilling!$E$23,0)+MAX(0,C_Face_Drilling!H24)*IF(ISNUMBER(C_Face_Drilling!$E$24),C_Face_Drilling!$E$24,0)+MAX(0,C_Face_Drilling!H25)*IF(ISNUMBER(C_Face_Drilling!$E$25),C_Face_Drilling!$E$25,0)</f>
        <v>8176.07</v>
      </c>
      <c r="G19" s="17">
        <f>MAX(0,C_Face_Drilling!I19)*IF(ISNUMBER(C_Face_Drilling!$E$19),C_Face_Drilling!$E$19,0)+MAX(0,C_Face_Drilling!I20)*IF(ISNUMBER(C_Face_Drilling!$E$20),C_Face_Drilling!$E$20,0)+MAX(0,C_Face_Drilling!I21)*IF(ISNUMBER(C_Face_Drilling!$E$21),C_Face_Drilling!$E$21,0)+MAX(0,C_Face_Drilling!I22)*IF(ISNUMBER(C_Face_Drilling!$E$22),C_Face_Drilling!$E$22,0)+MAX(0,C_Face_Drilling!I23)*IF(ISNUMBER(C_Face_Drilling!$E$23),C_Face_Drilling!$E$23,0)+MAX(0,C_Face_Drilling!I24)*IF(ISNUMBER(C_Face_Drilling!$E$24),C_Face_Drilling!$E$24,0)+MAX(0,C_Face_Drilling!I25)*IF(ISNUMBER(C_Face_Drilling!$E$25),C_Face_Drilling!$E$25,0)</f>
        <v>8933.4599999999991</v>
      </c>
      <c r="H19" s="17">
        <f>MAX(0,C_Face_Drilling!J19)*IF(ISNUMBER(C_Face_Drilling!$E$19),C_Face_Drilling!$E$19,0)+MAX(0,C_Face_Drilling!J20)*IF(ISNUMBER(C_Face_Drilling!$E$20),C_Face_Drilling!$E$20,0)+MAX(0,C_Face_Drilling!J21)*IF(ISNUMBER(C_Face_Drilling!$E$21),C_Face_Drilling!$E$21,0)+MAX(0,C_Face_Drilling!J22)*IF(ISNUMBER(C_Face_Drilling!$E$22),C_Face_Drilling!$E$22,0)+MAX(0,C_Face_Drilling!J23)*IF(ISNUMBER(C_Face_Drilling!$E$23),C_Face_Drilling!$E$23,0)+MAX(0,C_Face_Drilling!J24)*IF(ISNUMBER(C_Face_Drilling!$E$24),C_Face_Drilling!$E$24,0)+MAX(0,C_Face_Drilling!J25)*IF(ISNUMBER(C_Face_Drilling!$E$25),C_Face_Drilling!$E$25,0)</f>
        <v>18510.190000000002</v>
      </c>
      <c r="I19" s="18">
        <f>SUM(E19:H19)</f>
        <v>62645.340000000004</v>
      </c>
      <c r="K19" s="33" t="s">
        <v>603</v>
      </c>
    </row>
    <row r="20" spans="2:11" ht="22.05" customHeight="1">
      <c r="B20" s="14" t="s">
        <v>604</v>
      </c>
      <c r="C20" s="14" t="s">
        <v>107</v>
      </c>
      <c r="E20" s="17">
        <f>MAX(0,C_Face_Drilling!G29)*IF(ISNUMBER(C_Face_Drilling!$E$29),C_Face_Drilling!$E$29,0)+MAX(0,C_Face_Drilling!G30)*IF(ISNUMBER(C_Face_Drilling!$E$30),C_Face_Drilling!$E$30,0)+MAX(0,C_Face_Drilling!G31)*IF(ISNUMBER(C_Face_Drilling!$E$31),C_Face_Drilling!$E$31,0)+MAX(0,C_Face_Drilling!G32)*IF(ISNUMBER(C_Face_Drilling!$E$32),C_Face_Drilling!$E$32,0)+MAX(0,C_Face_Drilling!G33)*IF(ISNUMBER(C_Face_Drilling!$E$33),C_Face_Drilling!$E$33,0)+MAX(0,C_Face_Drilling!G34)*IF(ISNUMBER(C_Face_Drilling!$E$34),C_Face_Drilling!$E$34,0)</f>
        <v>15724.48</v>
      </c>
      <c r="F20" s="17">
        <f>MAX(0,C_Face_Drilling!H29)*IF(ISNUMBER(C_Face_Drilling!$E$29),C_Face_Drilling!$E$29,0)+MAX(0,C_Face_Drilling!H30)*IF(ISNUMBER(C_Face_Drilling!$E$30),C_Face_Drilling!$E$30,0)+MAX(0,C_Face_Drilling!H31)*IF(ISNUMBER(C_Face_Drilling!$E$31),C_Face_Drilling!$E$31,0)+MAX(0,C_Face_Drilling!H32)*IF(ISNUMBER(C_Face_Drilling!$E$32),C_Face_Drilling!$E$32,0)+MAX(0,C_Face_Drilling!H33)*IF(ISNUMBER(C_Face_Drilling!$E$33),C_Face_Drilling!$E$33,0)+MAX(0,C_Face_Drilling!H34)*IF(ISNUMBER(C_Face_Drilling!$E$34),C_Face_Drilling!$E$34,0)</f>
        <v>16766.38</v>
      </c>
      <c r="G20" s="17">
        <f>MAX(0,C_Face_Drilling!I29)*IF(ISNUMBER(C_Face_Drilling!$E$29),C_Face_Drilling!$E$29,0)+MAX(0,C_Face_Drilling!I30)*IF(ISNUMBER(C_Face_Drilling!$E$30),C_Face_Drilling!$E$30,0)+MAX(0,C_Face_Drilling!I31)*IF(ISNUMBER(C_Face_Drilling!$E$31),C_Face_Drilling!$E$31,0)+MAX(0,C_Face_Drilling!I32)*IF(ISNUMBER(C_Face_Drilling!$E$32),C_Face_Drilling!$E$32,0)+MAX(0,C_Face_Drilling!I33)*IF(ISNUMBER(C_Face_Drilling!$E$33),C_Face_Drilling!$E$33,0)+MAX(0,C_Face_Drilling!I34)*IF(ISNUMBER(C_Face_Drilling!$E$34),C_Face_Drilling!$E$34,0)</f>
        <v>15496.1</v>
      </c>
      <c r="H20" s="17">
        <f>MAX(0,C_Face_Drilling!J29)*IF(ISNUMBER(C_Face_Drilling!$E$29),C_Face_Drilling!$E$29,0)+MAX(0,C_Face_Drilling!J30)*IF(ISNUMBER(C_Face_Drilling!$E$30),C_Face_Drilling!$E$30,0)+MAX(0,C_Face_Drilling!J31)*IF(ISNUMBER(C_Face_Drilling!$E$31),C_Face_Drilling!$E$31,0)+MAX(0,C_Face_Drilling!J32)*IF(ISNUMBER(C_Face_Drilling!$E$32),C_Face_Drilling!$E$32,0)+MAX(0,C_Face_Drilling!J33)*IF(ISNUMBER(C_Face_Drilling!$E$33),C_Face_Drilling!$E$33,0)+MAX(0,C_Face_Drilling!J34)*IF(ISNUMBER(C_Face_Drilling!$E$34),C_Face_Drilling!$E$34,0)</f>
        <v>28303.610000000004</v>
      </c>
      <c r="I20" s="18">
        <f>SUM(E20:H20)</f>
        <v>76290.570000000007</v>
      </c>
      <c r="K20" s="33" t="s">
        <v>603</v>
      </c>
    </row>
    <row r="21" spans="2:11" ht="22.05" customHeight="1">
      <c r="B21" s="14" t="s">
        <v>605</v>
      </c>
      <c r="C21" s="14" t="s">
        <v>107</v>
      </c>
      <c r="E21" s="17">
        <f>MAX(0,C_Face_Drilling!G8)*IF(ISNUMBER(C_Face_Drilling!$E$8),C_Face_Drilling!$E$8,0)+MAX(0,C_Face_Drilling!G9)*IF(ISNUMBER(C_Face_Drilling!$E$9),C_Face_Drilling!$E$9,0)</f>
        <v>44856.5</v>
      </c>
      <c r="F21" s="17">
        <f>MAX(0,C_Face_Drilling!H8)*IF(ISNUMBER(C_Face_Drilling!$E$8),C_Face_Drilling!$E$8,0)+MAX(0,C_Face_Drilling!H9)*IF(ISNUMBER(C_Face_Drilling!$E$9),C_Face_Drilling!$E$9,0)</f>
        <v>107342.95</v>
      </c>
      <c r="G21" s="17">
        <f>MAX(0,C_Face_Drilling!I8)*IF(ISNUMBER(C_Face_Drilling!$E$8),C_Face_Drilling!$E$8,0)+MAX(0,C_Face_Drilling!I9)*IF(ISNUMBER(C_Face_Drilling!$E$9),C_Face_Drilling!$E$9,0)</f>
        <v>203195.2</v>
      </c>
      <c r="H21" s="17">
        <f>MAX(0,C_Face_Drilling!J8)*IF(ISNUMBER(C_Face_Drilling!$E$8),C_Face_Drilling!$E$8,0)+MAX(0,C_Face_Drilling!J9)*IF(ISNUMBER(C_Face_Drilling!$E$9),C_Face_Drilling!$E$9,0)</f>
        <v>133953.30000000002</v>
      </c>
      <c r="I21" s="18">
        <f>SUM(E21:H21)</f>
        <v>489347.95000000007</v>
      </c>
      <c r="K21" s="33" t="s">
        <v>603</v>
      </c>
    </row>
    <row r="22" spans="2:11" ht="22.05" customHeight="1">
      <c r="B22" s="14" t="s">
        <v>606</v>
      </c>
      <c r="C22" s="14" t="s">
        <v>107</v>
      </c>
      <c r="E22" s="17">
        <f>MAX(0,C_Face_Drilling!G13)*IF(ISNUMBER(C_Face_Drilling!$E$13),C_Face_Drilling!$E$13,0)+MAX(0,C_Face_Drilling!G14)*IF(ISNUMBER(C_Face_Drilling!$E$14),C_Face_Drilling!$E$14,0)+MAX(0,C_Face_Drilling!G15)*IF(ISNUMBER(C_Face_Drilling!$E$15),C_Face_Drilling!$E$15,0)</f>
        <v>88331.72</v>
      </c>
      <c r="F22" s="17">
        <f>MAX(0,C_Face_Drilling!H13)*IF(ISNUMBER(C_Face_Drilling!$E$13),C_Face_Drilling!$E$13,0)+MAX(0,C_Face_Drilling!H14)*IF(ISNUMBER(C_Face_Drilling!$E$14),C_Face_Drilling!$E$14,0)+MAX(0,C_Face_Drilling!H15)*IF(ISNUMBER(C_Face_Drilling!$E$15),C_Face_Drilling!$E$15,0)</f>
        <v>31362.05</v>
      </c>
      <c r="G22" s="17">
        <f>MAX(0,C_Face_Drilling!I13)*IF(ISNUMBER(C_Face_Drilling!$E$13),C_Face_Drilling!$E$13,0)+MAX(0,C_Face_Drilling!I14)*IF(ISNUMBER(C_Face_Drilling!$E$14),C_Face_Drilling!$E$14,0)+MAX(0,C_Face_Drilling!I15)*IF(ISNUMBER(C_Face_Drilling!$E$15),C_Face_Drilling!$E$15,0)</f>
        <v>98421.66</v>
      </c>
      <c r="H22" s="17">
        <f>MAX(0,C_Face_Drilling!J13)*IF(ISNUMBER(C_Face_Drilling!$E$13),C_Face_Drilling!$E$13,0)+MAX(0,C_Face_Drilling!J14)*IF(ISNUMBER(C_Face_Drilling!$E$14),C_Face_Drilling!$E$14,0)+MAX(0,C_Face_Drilling!J15)*IF(ISNUMBER(C_Face_Drilling!$E$15),C_Face_Drilling!$E$15,0)</f>
        <v>109764.6</v>
      </c>
      <c r="I22" s="18">
        <f>SUM(E22:H22)</f>
        <v>327880.03000000003</v>
      </c>
      <c r="K22" s="33" t="s">
        <v>603</v>
      </c>
    </row>
    <row r="23" spans="2:11" ht="22.05" customHeight="1">
      <c r="B23" s="14" t="s">
        <v>607</v>
      </c>
      <c r="C23" s="14" t="s">
        <v>107</v>
      </c>
      <c r="E23" s="17">
        <f>MAX(0,C_Face_Drilling!G38)*IF(ISNUMBER(C_Face_Drilling!$E$38),C_Face_Drilling!$E$38,0)+MAX(0,C_Face_Drilling!G39)*IF(ISNUMBER(C_Face_Drilling!$E$39),C_Face_Drilling!$E$39,0)+MAX(0,C_Face_Drilling!G40)*IF(ISNUMBER(C_Face_Drilling!$E$40),C_Face_Drilling!$E$40,0)+MAX(0,C_Face_Drilling!G41)*IF(ISNUMBER(C_Face_Drilling!$E$41),C_Face_Drilling!$E$41,0)+MAX(0,C_Face_Drilling!G42)*IF(ISNUMBER(C_Face_Drilling!$E$42),C_Face_Drilling!$E$42,0)+MAX(0,C_Face_Drilling!G43)*IF(ISNUMBER(C_Face_Drilling!$E$43),C_Face_Drilling!$E$43,0)+MAX(0,C_Face_Drilling!G44)*IF(ISNUMBER(C_Face_Drilling!$E$44),C_Face_Drilling!$E$44,0)+MAX(0,C_Face_Drilling!G45)*IF(ISNUMBER(C_Face_Drilling!$E$45),C_Face_Drilling!$E$45,0)</f>
        <v>0</v>
      </c>
      <c r="F23" s="17">
        <f>MAX(0,C_Face_Drilling!H38)*IF(ISNUMBER(C_Face_Drilling!$E$38),C_Face_Drilling!$E$38,0)+MAX(0,C_Face_Drilling!H39)*IF(ISNUMBER(C_Face_Drilling!$E$39),C_Face_Drilling!$E$39,0)+MAX(0,C_Face_Drilling!H40)*IF(ISNUMBER(C_Face_Drilling!$E$40),C_Face_Drilling!$E$40,0)+MAX(0,C_Face_Drilling!H41)*IF(ISNUMBER(C_Face_Drilling!$E$41),C_Face_Drilling!$E$41,0)+MAX(0,C_Face_Drilling!H42)*IF(ISNUMBER(C_Face_Drilling!$E$42),C_Face_Drilling!$E$42,0)+MAX(0,C_Face_Drilling!H43)*IF(ISNUMBER(C_Face_Drilling!$E$43),C_Face_Drilling!$E$43,0)+MAX(0,C_Face_Drilling!H44)*IF(ISNUMBER(C_Face_Drilling!$E$44),C_Face_Drilling!$E$44,0)+MAX(0,C_Face_Drilling!H45)*IF(ISNUMBER(C_Face_Drilling!$E$45),C_Face_Drilling!$E$45,0)</f>
        <v>694.98</v>
      </c>
      <c r="G23" s="17">
        <f>MAX(0,C_Face_Drilling!I38)*IF(ISNUMBER(C_Face_Drilling!$E$38),C_Face_Drilling!$E$38,0)+MAX(0,C_Face_Drilling!I39)*IF(ISNUMBER(C_Face_Drilling!$E$39),C_Face_Drilling!$E$39,0)+MAX(0,C_Face_Drilling!I40)*IF(ISNUMBER(C_Face_Drilling!$E$40),C_Face_Drilling!$E$40,0)+MAX(0,C_Face_Drilling!I41)*IF(ISNUMBER(C_Face_Drilling!$E$41),C_Face_Drilling!$E$41,0)+MAX(0,C_Face_Drilling!I42)*IF(ISNUMBER(C_Face_Drilling!$E$42),C_Face_Drilling!$E$42,0)+MAX(0,C_Face_Drilling!I43)*IF(ISNUMBER(C_Face_Drilling!$E$43),C_Face_Drilling!$E$43,0)+MAX(0,C_Face_Drilling!I44)*IF(ISNUMBER(C_Face_Drilling!$E$44),C_Face_Drilling!$E$44,0)+MAX(0,C_Face_Drilling!I45)*IF(ISNUMBER(C_Face_Drilling!$E$45),C_Face_Drilling!$E$45,0)</f>
        <v>24682.99</v>
      </c>
      <c r="H23" s="17">
        <f>MAX(0,C_Face_Drilling!J38)*IF(ISNUMBER(C_Face_Drilling!$E$38),C_Face_Drilling!$E$38,0)+MAX(0,C_Face_Drilling!J39)*IF(ISNUMBER(C_Face_Drilling!$E$39),C_Face_Drilling!$E$39,0)+MAX(0,C_Face_Drilling!J40)*IF(ISNUMBER(C_Face_Drilling!$E$40),C_Face_Drilling!$E$40,0)+MAX(0,C_Face_Drilling!J41)*IF(ISNUMBER(C_Face_Drilling!$E$41),C_Face_Drilling!$E$41,0)+MAX(0,C_Face_Drilling!J42)*IF(ISNUMBER(C_Face_Drilling!$E$42),C_Face_Drilling!$E$42,0)+MAX(0,C_Face_Drilling!J43)*IF(ISNUMBER(C_Face_Drilling!$E$43),C_Face_Drilling!$E$43,0)+MAX(0,C_Face_Drilling!J44)*IF(ISNUMBER(C_Face_Drilling!$E$44),C_Face_Drilling!$E$44,0)+MAX(0,C_Face_Drilling!J45)*IF(ISNUMBER(C_Face_Drilling!$E$45),C_Face_Drilling!$E$45,0)</f>
        <v>4374.3599999999997</v>
      </c>
      <c r="I23" s="18">
        <f>SUM(E23:H23)</f>
        <v>29752.33</v>
      </c>
      <c r="K23" s="33" t="s">
        <v>603</v>
      </c>
    </row>
    <row r="24" spans="2:11" ht="22.05" customHeight="1">
      <c r="B24" s="58" t="s">
        <v>608</v>
      </c>
      <c r="C24" s="6" t="s">
        <v>107</v>
      </c>
      <c r="E24" s="93">
        <f>SUM(E19:E23)</f>
        <v>175938.32</v>
      </c>
      <c r="F24" s="93">
        <f>SUM(F19:F23)</f>
        <v>164342.43</v>
      </c>
      <c r="G24" s="93">
        <f>SUM(G19:G23)</f>
        <v>350729.41000000003</v>
      </c>
      <c r="H24" s="93">
        <f>SUM(H19:H23)</f>
        <v>294906.06000000006</v>
      </c>
      <c r="I24" s="93">
        <f>SUM(I19:I23)</f>
        <v>985916.22000000009</v>
      </c>
    </row>
    <row r="25" spans="2:11" ht="22.05" customHeight="1">
      <c r="B25" s="13" t="s">
        <v>599</v>
      </c>
      <c r="C25" s="14" t="s">
        <v>105</v>
      </c>
      <c r="E25" s="15">
        <f>Advance!E53</f>
        <v>270.43599999999998</v>
      </c>
      <c r="F25" s="15">
        <f>Advance!F53</f>
        <v>316.61700000000008</v>
      </c>
      <c r="G25" s="15">
        <f>Advance!G53</f>
        <v>397.79799999999994</v>
      </c>
      <c r="H25" s="15">
        <f>Advance!H53</f>
        <v>390.96699999999998</v>
      </c>
      <c r="I25" s="15">
        <f>Advance!I53</f>
        <v>1375.8180000000002</v>
      </c>
    </row>
    <row r="26" spans="2:11" ht="25.95" customHeight="1">
      <c r="B26" s="21" t="s">
        <v>609</v>
      </c>
      <c r="C26" s="55" t="s">
        <v>600</v>
      </c>
      <c r="E26" s="74">
        <f>IF(E25=0,0,E24/E25)</f>
        <v>650.57285272670811</v>
      </c>
      <c r="F26" s="74">
        <f>IF(F25=0,0,F24/F25)</f>
        <v>519.05750480864879</v>
      </c>
      <c r="G26" s="74">
        <f>IF(G25=0,0,G24/G25)</f>
        <v>881.67715775343288</v>
      </c>
      <c r="H26" s="74">
        <f>IF(H25=0,0,H24/H25)</f>
        <v>754.29910964352507</v>
      </c>
      <c r="I26" s="74">
        <f>IF(I25=0,0,I24/I25)</f>
        <v>716.60366414743805</v>
      </c>
    </row>
    <row r="27" spans="2:11" ht="22.05" customHeight="1">
      <c r="B27" s="14" t="s">
        <v>522</v>
      </c>
      <c r="C27" s="14" t="s">
        <v>111</v>
      </c>
      <c r="E27" s="19">
        <f>DRM!E26</f>
        <v>29381.100000000002</v>
      </c>
      <c r="F27" s="19">
        <f>DRM!F26</f>
        <v>33867</v>
      </c>
      <c r="G27" s="19">
        <f>DRM!G26</f>
        <v>49347.6</v>
      </c>
      <c r="H27" s="19">
        <f>DRM!H26</f>
        <v>42289.599999999999</v>
      </c>
      <c r="I27" s="19">
        <f>DRM!I26</f>
        <v>154885.29999999999</v>
      </c>
    </row>
    <row r="28" spans="2:11" ht="25.95" customHeight="1">
      <c r="B28" s="21" t="s">
        <v>610</v>
      </c>
      <c r="C28" s="55" t="s">
        <v>611</v>
      </c>
      <c r="E28" s="74">
        <f>IF(E27=0,0,E24/E27)</f>
        <v>5.9881461211459062</v>
      </c>
      <c r="F28" s="74">
        <f>IF(F27=0,0,F24/F27)</f>
        <v>4.8525830454424659</v>
      </c>
      <c r="G28" s="74">
        <f>IF(G27=0,0,G24/G27)</f>
        <v>7.1073245710024411</v>
      </c>
      <c r="H28" s="74">
        <f>IF(H27=0,0,H24/H27)</f>
        <v>6.9734889902009023</v>
      </c>
      <c r="I28" s="74">
        <f>IF(I27=0,0,I24/I27)</f>
        <v>6.3654602470344193</v>
      </c>
    </row>
    <row r="30" spans="2:11" ht="24" customHeight="1">
      <c r="B30" s="125" t="s">
        <v>612</v>
      </c>
      <c r="C30" s="122"/>
      <c r="D30" s="122"/>
      <c r="E30" s="122"/>
      <c r="F30" s="122"/>
      <c r="G30" s="122"/>
      <c r="H30" s="122"/>
      <c r="I30" s="122"/>
      <c r="J30" s="122"/>
    </row>
    <row r="32" spans="2:11" ht="24" customHeight="1">
      <c r="B32" s="121" t="s">
        <v>613</v>
      </c>
      <c r="C32" s="122"/>
      <c r="D32" s="122"/>
      <c r="E32" s="122"/>
      <c r="F32" s="122"/>
      <c r="G32" s="122"/>
      <c r="H32" s="122"/>
      <c r="I32" s="122"/>
      <c r="J32" s="122"/>
    </row>
    <row r="34" spans="2:11" ht="24" customHeight="1">
      <c r="B34" s="4" t="s">
        <v>614</v>
      </c>
      <c r="C34" s="5"/>
      <c r="D34" s="5"/>
      <c r="E34" s="5"/>
      <c r="F34" s="5"/>
      <c r="G34" s="5"/>
      <c r="H34" s="5"/>
      <c r="I34" s="5"/>
    </row>
    <row r="35" spans="2:11" ht="46.05" customHeight="1">
      <c r="B35" s="8" t="s">
        <v>509</v>
      </c>
      <c r="C35" s="8" t="s">
        <v>98</v>
      </c>
      <c r="D35" s="8"/>
      <c r="E35" s="8" t="s">
        <v>237</v>
      </c>
      <c r="F35" s="8" t="s">
        <v>239</v>
      </c>
      <c r="G35" s="8" t="s">
        <v>240</v>
      </c>
      <c r="H35" s="8" t="s">
        <v>241</v>
      </c>
      <c r="I35" s="8" t="s">
        <v>393</v>
      </c>
      <c r="J35" s="8"/>
      <c r="K35" s="8" t="s">
        <v>431</v>
      </c>
    </row>
    <row r="36" spans="2:11" ht="22.05" customHeight="1">
      <c r="B36" s="14" t="s">
        <v>615</v>
      </c>
      <c r="C36" s="14" t="s">
        <v>600</v>
      </c>
      <c r="E36" s="94">
        <f>E15</f>
        <v>1395.9164769451679</v>
      </c>
      <c r="F36" s="94">
        <f>F15</f>
        <v>944.16707980574654</v>
      </c>
      <c r="G36" s="94">
        <f>G15</f>
        <v>969.39502884101182</v>
      </c>
      <c r="H36" s="94">
        <f>H15</f>
        <v>837.16065822014036</v>
      </c>
      <c r="I36" s="94">
        <f>I15</f>
        <v>1009.8508751966101</v>
      </c>
    </row>
    <row r="37" spans="2:11" ht="22.05" customHeight="1">
      <c r="B37" s="14" t="s">
        <v>616</v>
      </c>
      <c r="C37" s="14" t="s">
        <v>600</v>
      </c>
      <c r="E37" s="94">
        <f>E26</f>
        <v>650.57285272670811</v>
      </c>
      <c r="F37" s="94">
        <f>F26</f>
        <v>519.05750480864879</v>
      </c>
      <c r="G37" s="94">
        <f>G26</f>
        <v>881.67715775343288</v>
      </c>
      <c r="H37" s="94">
        <f>H26</f>
        <v>754.29910964352507</v>
      </c>
      <c r="I37" s="94">
        <f>I26</f>
        <v>716.60366414743805</v>
      </c>
    </row>
    <row r="38" spans="2:11" ht="22.05" customHeight="1">
      <c r="B38" s="13" t="s">
        <v>617</v>
      </c>
      <c r="C38" s="13" t="s">
        <v>600</v>
      </c>
      <c r="E38" s="24">
        <f>IF(NOT(ISNUMBER(E37)),E36,E37+E36)</f>
        <v>2046.489329671876</v>
      </c>
      <c r="F38" s="24">
        <f>IF(NOT(ISNUMBER(F37)),F36,F37+F36)</f>
        <v>1463.2245846143953</v>
      </c>
      <c r="G38" s="24">
        <f>IF(NOT(ISNUMBER(G37)),G36,G37+G36)</f>
        <v>1851.0721865944447</v>
      </c>
      <c r="H38" s="24">
        <f>IF(NOT(ISNUMBER(H37)),H36,H37+H36)</f>
        <v>1591.4597678636655</v>
      </c>
      <c r="I38" s="24">
        <f>IF(NOT(ISNUMBER(I37)),I36,I37+I36)</f>
        <v>1726.454539344048</v>
      </c>
    </row>
    <row r="39" spans="2:11" ht="25.95" customHeight="1">
      <c r="B39" s="21" t="s">
        <v>164</v>
      </c>
      <c r="C39" s="55" t="s">
        <v>600</v>
      </c>
      <c r="E39" s="74">
        <f>E38</f>
        <v>2046.489329671876</v>
      </c>
      <c r="F39" s="74">
        <f>F38</f>
        <v>1463.2245846143953</v>
      </c>
      <c r="G39" s="74">
        <f>G38</f>
        <v>1851.0721865944447</v>
      </c>
      <c r="H39" s="74">
        <f>H38</f>
        <v>1591.4597678636655</v>
      </c>
      <c r="I39" s="74">
        <f>I38</f>
        <v>1726.454539344048</v>
      </c>
    </row>
    <row r="41" spans="2:11" ht="24" customHeight="1">
      <c r="B41" s="4" t="s">
        <v>618</v>
      </c>
      <c r="C41" s="5"/>
      <c r="D41" s="5"/>
      <c r="E41" s="5"/>
      <c r="F41" s="5"/>
      <c r="G41" s="5"/>
      <c r="H41" s="5"/>
      <c r="I41" s="5"/>
    </row>
    <row r="42" spans="2:11" ht="46.05" customHeight="1">
      <c r="B42" s="8" t="s">
        <v>619</v>
      </c>
      <c r="C42" s="8" t="s">
        <v>518</v>
      </c>
      <c r="D42" s="8"/>
      <c r="E42" s="8" t="s">
        <v>620</v>
      </c>
      <c r="F42" s="8"/>
      <c r="G42" s="8" t="s">
        <v>621</v>
      </c>
      <c r="H42" s="8"/>
      <c r="I42" s="8"/>
      <c r="J42" s="8"/>
      <c r="K42" s="8" t="s">
        <v>622</v>
      </c>
    </row>
    <row r="43" spans="2:11" ht="22.05" customHeight="1">
      <c r="B43" s="13" t="s">
        <v>623</v>
      </c>
      <c r="C43" s="51">
        <f>Advance!$H$53*1</f>
        <v>390.96699999999998</v>
      </c>
      <c r="E43" s="24">
        <f>IF(C43=0,0,($H$13+$H$24)/C43)</f>
        <v>1591.4597678636653</v>
      </c>
      <c r="G43" s="94">
        <f>$H$38</f>
        <v>1591.4597678636655</v>
      </c>
      <c r="K43" s="90">
        <f>IF($E$43=0,0,E43/$E$43-1)</f>
        <v>0</v>
      </c>
    </row>
    <row r="44" spans="2:11" ht="22.05" customHeight="1">
      <c r="B44" s="13" t="s">
        <v>624</v>
      </c>
      <c r="C44" s="51">
        <f>Advance!$H$53*1.15</f>
        <v>449.61204999999995</v>
      </c>
      <c r="E44" s="24">
        <f>IF(C44=0,0,($H$13+$H$24)/C44)</f>
        <v>1383.8780590118829</v>
      </c>
      <c r="G44" s="94">
        <f>$H$38</f>
        <v>1591.4597678636655</v>
      </c>
      <c r="K44" s="90">
        <f>IF($E$43=0,0,E44/$E$43-1)</f>
        <v>-0.13043478260869568</v>
      </c>
    </row>
    <row r="45" spans="2:11" ht="22.05" customHeight="1">
      <c r="B45" s="13" t="s">
        <v>625</v>
      </c>
      <c r="C45" s="51">
        <f>Advance!$H$53*1.3</f>
        <v>508.25709999999998</v>
      </c>
      <c r="E45" s="24">
        <f>IF(C45=0,0,($H$13+$H$24)/C45)</f>
        <v>1224.1998214335888</v>
      </c>
      <c r="G45" s="94">
        <f>$H$38</f>
        <v>1591.4597678636655</v>
      </c>
      <c r="K45" s="90">
        <f>IF($E$43=0,0,E45/$E$43-1)</f>
        <v>-0.23076923076923073</v>
      </c>
    </row>
    <row r="47" spans="2:11" ht="24" customHeight="1">
      <c r="B47" s="125" t="s">
        <v>626</v>
      </c>
      <c r="C47" s="122"/>
      <c r="D47" s="122"/>
      <c r="E47" s="122"/>
      <c r="F47" s="122"/>
      <c r="G47" s="122"/>
      <c r="H47" s="122"/>
      <c r="I47" s="122"/>
      <c r="J47" s="122"/>
    </row>
    <row r="49" spans="2:11" ht="24" customHeight="1">
      <c r="B49" s="4" t="s">
        <v>627</v>
      </c>
      <c r="C49" s="5"/>
      <c r="D49" s="5"/>
      <c r="E49" s="5"/>
      <c r="F49" s="5"/>
      <c r="G49" s="5"/>
      <c r="H49" s="5"/>
      <c r="I49" s="5"/>
    </row>
    <row r="50" spans="2:11" ht="46.05" customHeight="1">
      <c r="B50" s="8" t="s">
        <v>509</v>
      </c>
      <c r="C50" s="8" t="s">
        <v>98</v>
      </c>
      <c r="D50" s="8"/>
      <c r="E50" s="8" t="s">
        <v>628</v>
      </c>
      <c r="F50" s="8" t="s">
        <v>629</v>
      </c>
      <c r="G50" s="8" t="s">
        <v>630</v>
      </c>
      <c r="H50" s="8"/>
      <c r="I50" s="8"/>
      <c r="J50" s="8" t="s">
        <v>136</v>
      </c>
    </row>
    <row r="51" spans="2:11" ht="22.05" customHeight="1">
      <c r="B51" s="14" t="s">
        <v>631</v>
      </c>
      <c r="C51" s="14" t="s">
        <v>600</v>
      </c>
      <c r="E51" s="94">
        <f>E38</f>
        <v>2046.489329671876</v>
      </c>
      <c r="F51" s="94">
        <f>F38</f>
        <v>1463.2245846143953</v>
      </c>
      <c r="G51" s="94">
        <f>G38</f>
        <v>1851.0721865944447</v>
      </c>
    </row>
    <row r="52" spans="2:11" ht="22.05" customHeight="1">
      <c r="B52" s="14" t="s">
        <v>632</v>
      </c>
      <c r="C52" s="14" t="s">
        <v>600</v>
      </c>
      <c r="E52" s="94">
        <f>F38</f>
        <v>1463.2245846143953</v>
      </c>
      <c r="F52" s="94">
        <f>G38</f>
        <v>1851.0721865944447</v>
      </c>
      <c r="G52" s="94">
        <f>H38</f>
        <v>1591.4597678636655</v>
      </c>
    </row>
    <row r="53" spans="2:11" ht="22.05" customHeight="1">
      <c r="B53" s="14" t="s">
        <v>633</v>
      </c>
      <c r="C53" s="14" t="s">
        <v>107</v>
      </c>
      <c r="E53" s="17">
        <f>E13+E24</f>
        <v>553444.3883591434</v>
      </c>
      <c r="F53" s="17">
        <f>F13+F24</f>
        <v>463281.77830685611</v>
      </c>
      <c r="G53" s="17">
        <f>G13+G24</f>
        <v>736352.81368289678</v>
      </c>
    </row>
    <row r="54" spans="2:11" ht="22.05" customHeight="1">
      <c r="B54" s="14" t="s">
        <v>634</v>
      </c>
      <c r="C54" s="14" t="s">
        <v>107</v>
      </c>
      <c r="E54" s="17">
        <f>F13+F24</f>
        <v>463281.77830685611</v>
      </c>
      <c r="F54" s="17">
        <f>G13+G24</f>
        <v>736352.81368289678</v>
      </c>
      <c r="G54" s="17">
        <f>H13+H24</f>
        <v>622208.25106235361</v>
      </c>
    </row>
    <row r="55" spans="2:11" ht="22.05" customHeight="1">
      <c r="B55" s="14" t="s">
        <v>635</v>
      </c>
      <c r="C55" s="14" t="s">
        <v>105</v>
      </c>
      <c r="E55" s="15">
        <f>E14</f>
        <v>270.43599999999998</v>
      </c>
      <c r="F55" s="15">
        <f>F14</f>
        <v>316.61700000000008</v>
      </c>
      <c r="G55" s="15">
        <f>G14</f>
        <v>397.79799999999994</v>
      </c>
    </row>
    <row r="56" spans="2:11" ht="22.05" customHeight="1">
      <c r="B56" s="14" t="s">
        <v>636</v>
      </c>
      <c r="C56" s="14" t="s">
        <v>105</v>
      </c>
      <c r="E56" s="15">
        <f>F14</f>
        <v>316.61700000000008</v>
      </c>
      <c r="F56" s="15">
        <f>G14</f>
        <v>397.79799999999994</v>
      </c>
      <c r="G56" s="15">
        <f>H14</f>
        <v>390.96699999999998</v>
      </c>
    </row>
    <row r="57" spans="2:11" ht="22.05" customHeight="1">
      <c r="B57" s="13" t="s">
        <v>637</v>
      </c>
      <c r="C57" s="14" t="s">
        <v>600</v>
      </c>
      <c r="E57" s="24">
        <f>E52-E51</f>
        <v>-583.2647450574807</v>
      </c>
      <c r="F57" s="24">
        <f>F52-F51</f>
        <v>387.84760198004938</v>
      </c>
      <c r="G57" s="24">
        <f>G52-G51</f>
        <v>-259.61241873077915</v>
      </c>
      <c r="K57" s="28"/>
    </row>
    <row r="58" spans="2:11" ht="22.05" customHeight="1">
      <c r="B58" s="14" t="s">
        <v>638</v>
      </c>
      <c r="C58" s="14" t="s">
        <v>600</v>
      </c>
      <c r="E58" s="95">
        <f>IF(E55=0,0,(E54-E53)/E55)</f>
        <v>-333.3972180193735</v>
      </c>
      <c r="F58" s="95">
        <f>IF(F55=0,0,(F54-F53)/F55)</f>
        <v>862.4648562017851</v>
      </c>
      <c r="G58" s="95">
        <f>IF(G55=0,0,(G54-G53)/G55)</f>
        <v>-286.94101684911232</v>
      </c>
      <c r="K58" s="28" t="s">
        <v>639</v>
      </c>
    </row>
    <row r="59" spans="2:11" ht="22.05" customHeight="1">
      <c r="B59" s="14" t="s">
        <v>640</v>
      </c>
      <c r="C59" s="14" t="s">
        <v>600</v>
      </c>
      <c r="E59" s="95">
        <f>IF(OR(E55=0,E56=0),0,E54*(1/E56-1/E55))</f>
        <v>-249.86752703810706</v>
      </c>
      <c r="F59" s="95">
        <f>IF(OR(F55=0,F56=0),0,F54*(1/F56-1/F55))</f>
        <v>-474.61725422173578</v>
      </c>
      <c r="G59" s="95">
        <f>IF(OR(G55=0,G56=0),0,G54*(1/G56-1/G55))</f>
        <v>27.328598118332824</v>
      </c>
      <c r="K59" s="28" t="s">
        <v>641</v>
      </c>
    </row>
    <row r="60" spans="2:11" ht="22.05" customHeight="1">
      <c r="B60" s="14" t="s">
        <v>642</v>
      </c>
      <c r="C60" s="14" t="s">
        <v>600</v>
      </c>
      <c r="E60" s="96">
        <f>E58+E59-E57</f>
        <v>0</v>
      </c>
      <c r="F60" s="96">
        <f>F58+F59-F57</f>
        <v>0</v>
      </c>
      <c r="G60" s="96">
        <f>G58+G59-G57</f>
        <v>0</v>
      </c>
      <c r="K60" s="28" t="s">
        <v>643</v>
      </c>
    </row>
  </sheetData>
  <mergeCells count="4">
    <mergeCell ref="B32:J32"/>
    <mergeCell ref="B47:J47"/>
    <mergeCell ref="B30:J30"/>
    <mergeCell ref="B4:J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N69"/>
  <sheetViews>
    <sheetView showGridLines="0" workbookViewId="0"/>
  </sheetViews>
  <sheetFormatPr defaultRowHeight="14.4"/>
  <cols>
    <col min="1" max="1" width="4" customWidth="1"/>
    <col min="2" max="2" width="52" customWidth="1"/>
    <col min="3" max="3" width="16" customWidth="1"/>
    <col min="4" max="4" width="4" customWidth="1"/>
    <col min="5" max="9" width="24" customWidth="1"/>
    <col min="10" max="10" width="4" customWidth="1"/>
    <col min="11" max="12" width="22" customWidth="1"/>
    <col min="13" max="13" width="4" customWidth="1"/>
    <col min="14" max="14" width="42" customWidth="1"/>
  </cols>
  <sheetData>
    <row r="1" spans="2:14" ht="7.95" customHeight="1"/>
    <row r="2" spans="2:14" ht="30" customHeight="1">
      <c r="B2" s="12" t="s">
        <v>644</v>
      </c>
    </row>
    <row r="3" spans="2:14" ht="19.95" customHeight="1">
      <c r="B3" s="3" t="s">
        <v>645</v>
      </c>
    </row>
    <row r="4" spans="2:14" ht="24" customHeight="1">
      <c r="B4" s="121" t="s">
        <v>646</v>
      </c>
      <c r="C4" s="122"/>
      <c r="D4" s="122"/>
      <c r="E4" s="122"/>
      <c r="F4" s="122"/>
      <c r="G4" s="122"/>
      <c r="H4" s="122"/>
      <c r="I4" s="122"/>
      <c r="J4" s="122"/>
      <c r="K4" s="122"/>
      <c r="L4" s="122"/>
    </row>
    <row r="5" spans="2:14" ht="7.95" customHeight="1"/>
    <row r="6" spans="2:14" ht="24" customHeight="1">
      <c r="B6" s="4" t="s">
        <v>647</v>
      </c>
      <c r="C6" s="5"/>
      <c r="D6" s="5"/>
      <c r="E6" s="5"/>
      <c r="F6" s="5"/>
      <c r="G6" s="5"/>
      <c r="H6" s="5"/>
      <c r="I6" s="5"/>
      <c r="J6" s="5"/>
      <c r="K6" s="5"/>
    </row>
    <row r="7" spans="2:14" ht="46.05" customHeight="1">
      <c r="B7" s="8" t="s">
        <v>648</v>
      </c>
      <c r="C7" s="8" t="s">
        <v>119</v>
      </c>
      <c r="D7" s="8"/>
      <c r="E7" s="8" t="s">
        <v>649</v>
      </c>
      <c r="F7" s="8" t="s">
        <v>650</v>
      </c>
      <c r="G7" s="8" t="s">
        <v>651</v>
      </c>
      <c r="H7" s="8" t="s">
        <v>652</v>
      </c>
      <c r="I7" s="8" t="s">
        <v>653</v>
      </c>
      <c r="J7" s="8"/>
      <c r="K7" s="8" t="s">
        <v>654</v>
      </c>
      <c r="L7" s="8" t="s">
        <v>655</v>
      </c>
      <c r="M7" s="8"/>
      <c r="N7" s="8" t="s">
        <v>656</v>
      </c>
    </row>
    <row r="8" spans="2:14" ht="22.05" customHeight="1">
      <c r="B8" s="13" t="s">
        <v>352</v>
      </c>
      <c r="C8" s="14" t="s">
        <v>657</v>
      </c>
      <c r="E8" s="51">
        <f>SUMIFS(Advance!$J$8:$J$48,Advance!$E$8:$E$48,$B8,Advance!$B$8:$B$48,"May 2026")</f>
        <v>55.881999999999998</v>
      </c>
      <c r="F8" s="51">
        <f>SUMIFS(Advance!$J$8:$J$48,Advance!$E$8:$E$48,$B8,Advance!$B$8:$B$48,"June 2026")</f>
        <v>81.290000000000006</v>
      </c>
      <c r="G8" s="51">
        <f>SUMIFS(Advance!$J$8:$J$48,Advance!$E$8:$E$48,$B8,Advance!$B$8:$B$48,"July 2026")</f>
        <v>108.092</v>
      </c>
      <c r="H8" s="51">
        <f>SUMIFS(Advance!$J$8:$J$48,Advance!$E$8:$E$48,$B8,Advance!$B$8:$B$48,"August 2026")</f>
        <v>95.451999999999998</v>
      </c>
      <c r="I8" s="16">
        <f t="shared" ref="I8:I32" si="0">SUM(E8:H8)</f>
        <v>340.71600000000001</v>
      </c>
      <c r="K8" s="27">
        <f t="shared" ref="K8:K32" si="1">IFERROR(I8/SUMIFS($I$8:$I$32,$C$8:$C$32,$C8),0)</f>
        <v>0.45045016459762832</v>
      </c>
      <c r="L8" s="27">
        <f t="shared" ref="L8:L32" si="2">IFERROR(I8/SUM($I$8:$I$32),0)</f>
        <v>0.24764612761280927</v>
      </c>
      <c r="N8" s="33" t="s">
        <v>658</v>
      </c>
    </row>
    <row r="9" spans="2:14" ht="22.05" customHeight="1">
      <c r="B9" s="13" t="s">
        <v>367</v>
      </c>
      <c r="C9" s="14" t="s">
        <v>657</v>
      </c>
      <c r="E9" s="51">
        <f>SUMIFS(Advance!$J$8:$J$48,Advance!$E$8:$E$48,$B9,Advance!$B$8:$B$48,"May 2026")</f>
        <v>0</v>
      </c>
      <c r="F9" s="51">
        <f>SUMIFS(Advance!$J$8:$J$48,Advance!$E$8:$E$48,$B9,Advance!$B$8:$B$48,"June 2026")</f>
        <v>71.537999999999997</v>
      </c>
      <c r="G9" s="51">
        <f>SUMIFS(Advance!$J$8:$J$48,Advance!$E$8:$E$48,$B9,Advance!$B$8:$B$48,"July 2026")</f>
        <v>100.97399999999999</v>
      </c>
      <c r="H9" s="51">
        <f>SUMIFS(Advance!$J$8:$J$48,Advance!$E$8:$E$48,$B9,Advance!$B$8:$B$48,"August 2026")</f>
        <v>31.786999999999999</v>
      </c>
      <c r="I9" s="16">
        <f t="shared" si="0"/>
        <v>204.29900000000001</v>
      </c>
      <c r="K9" s="27">
        <f t="shared" si="1"/>
        <v>0.2700974365076218</v>
      </c>
      <c r="L9" s="27">
        <f t="shared" si="2"/>
        <v>0.14849275122145517</v>
      </c>
      <c r="N9" s="33" t="s">
        <v>658</v>
      </c>
    </row>
    <row r="10" spans="2:14" ht="22.05" customHeight="1">
      <c r="B10" s="13" t="s">
        <v>388</v>
      </c>
      <c r="C10" s="14" t="s">
        <v>657</v>
      </c>
      <c r="E10" s="51">
        <f>SUMIFS(Advance!$J$8:$J$48,Advance!$E$8:$E$48,$B10,Advance!$B$8:$B$48,"May 2026")</f>
        <v>0</v>
      </c>
      <c r="F10" s="51">
        <f>SUMIFS(Advance!$J$8:$J$48,Advance!$E$8:$E$48,$B10,Advance!$B$8:$B$48,"June 2026")</f>
        <v>0</v>
      </c>
      <c r="G10" s="51">
        <f>SUMIFS(Advance!$J$8:$J$48,Advance!$E$8:$E$48,$B10,Advance!$B$8:$B$48,"July 2026")</f>
        <v>0</v>
      </c>
      <c r="H10" s="51">
        <f>SUMIFS(Advance!$J$8:$J$48,Advance!$E$8:$E$48,$B10,Advance!$B$8:$B$48,"August 2026")</f>
        <v>57.558</v>
      </c>
      <c r="I10" s="16">
        <f t="shared" si="0"/>
        <v>57.558</v>
      </c>
      <c r="K10" s="27">
        <f t="shared" si="1"/>
        <v>7.6095664934755891E-2</v>
      </c>
      <c r="L10" s="27">
        <f t="shared" si="2"/>
        <v>4.1835475331766264E-2</v>
      </c>
      <c r="N10" s="33" t="s">
        <v>313</v>
      </c>
    </row>
    <row r="11" spans="2:14" ht="22.05" customHeight="1">
      <c r="B11" s="13" t="s">
        <v>391</v>
      </c>
      <c r="C11" s="14" t="s">
        <v>657</v>
      </c>
      <c r="E11" s="51">
        <f>SUMIFS(Advance!$J$8:$J$48,Advance!$E$8:$E$48,$B11,Advance!$B$8:$B$48,"May 2026")</f>
        <v>0</v>
      </c>
      <c r="F11" s="51">
        <f>SUMIFS(Advance!$J$8:$J$48,Advance!$E$8:$E$48,$B11,Advance!$B$8:$B$48,"June 2026")</f>
        <v>0</v>
      </c>
      <c r="G11" s="51">
        <f>SUMIFS(Advance!$J$8:$J$48,Advance!$E$8:$E$48,$B11,Advance!$B$8:$B$48,"July 2026")</f>
        <v>0</v>
      </c>
      <c r="H11" s="51">
        <f>SUMIFS(Advance!$J$8:$J$48,Advance!$E$8:$E$48,$B11,Advance!$B$8:$B$48,"August 2026")</f>
        <v>32.709000000000003</v>
      </c>
      <c r="I11" s="16">
        <f t="shared" si="0"/>
        <v>32.709000000000003</v>
      </c>
      <c r="K11" s="27">
        <f t="shared" si="1"/>
        <v>4.3243564827668279E-2</v>
      </c>
      <c r="L11" s="27">
        <f t="shared" si="2"/>
        <v>2.3774220136675055E-2</v>
      </c>
      <c r="N11" s="33" t="s">
        <v>313</v>
      </c>
    </row>
    <row r="12" spans="2:14" ht="22.05" customHeight="1">
      <c r="B12" s="13" t="s">
        <v>354</v>
      </c>
      <c r="C12" s="14" t="s">
        <v>657</v>
      </c>
      <c r="E12" s="51">
        <f>SUMIFS(Advance!$J$8:$J$48,Advance!$E$8:$E$48,$B12,Advance!$B$8:$B$48,"May 2026")</f>
        <v>27.177999999999997</v>
      </c>
      <c r="F12" s="51">
        <f>SUMIFS(Advance!$J$8:$J$48,Advance!$E$8:$E$48,$B12,Advance!$B$8:$B$48,"June 2026")</f>
        <v>0</v>
      </c>
      <c r="G12" s="51">
        <f>SUMIFS(Advance!$J$8:$J$48,Advance!$E$8:$E$48,$B12,Advance!$B$8:$B$48,"July 2026")</f>
        <v>0</v>
      </c>
      <c r="H12" s="51">
        <f>SUMIFS(Advance!$J$8:$J$48,Advance!$E$8:$E$48,$B12,Advance!$B$8:$B$48,"August 2026")</f>
        <v>0</v>
      </c>
      <c r="I12" s="16">
        <f t="shared" si="0"/>
        <v>27.177999999999997</v>
      </c>
      <c r="K12" s="27">
        <f t="shared" si="1"/>
        <v>3.59311995134785E-2</v>
      </c>
      <c r="L12" s="27">
        <f t="shared" si="2"/>
        <v>1.9754066308189017E-2</v>
      </c>
      <c r="N12" s="33" t="s">
        <v>659</v>
      </c>
    </row>
    <row r="13" spans="2:14" ht="22.05" customHeight="1">
      <c r="B13" s="13" t="s">
        <v>376</v>
      </c>
      <c r="C13" s="14" t="s">
        <v>657</v>
      </c>
      <c r="E13" s="51">
        <f>SUMIFS(Advance!$J$8:$J$48,Advance!$E$8:$E$48,$B13,Advance!$B$8:$B$48,"May 2026")</f>
        <v>0</v>
      </c>
      <c r="F13" s="51">
        <f>SUMIFS(Advance!$J$8:$J$48,Advance!$E$8:$E$48,$B13,Advance!$B$8:$B$48,"June 2026")</f>
        <v>0</v>
      </c>
      <c r="G13" s="51">
        <f>SUMIFS(Advance!$J$8:$J$48,Advance!$E$8:$E$48,$B13,Advance!$B$8:$B$48,"July 2026")</f>
        <v>25.788</v>
      </c>
      <c r="H13" s="51">
        <f>SUMIFS(Advance!$J$8:$J$48,Advance!$E$8:$E$48,$B13,Advance!$B$8:$B$48,"August 2026")</f>
        <v>0</v>
      </c>
      <c r="I13" s="16">
        <f t="shared" si="0"/>
        <v>25.788</v>
      </c>
      <c r="K13" s="27">
        <f t="shared" si="1"/>
        <v>3.4093523182485229E-2</v>
      </c>
      <c r="L13" s="27">
        <f t="shared" si="2"/>
        <v>1.8743758258723174E-2</v>
      </c>
      <c r="N13" s="33" t="s">
        <v>313</v>
      </c>
    </row>
    <row r="14" spans="2:14" ht="22.05" customHeight="1">
      <c r="B14" s="13" t="s">
        <v>374</v>
      </c>
      <c r="C14" s="14" t="s">
        <v>657</v>
      </c>
      <c r="E14" s="51">
        <f>SUMIFS(Advance!$J$8:$J$48,Advance!$E$8:$E$48,$B14,Advance!$B$8:$B$48,"May 2026")</f>
        <v>0</v>
      </c>
      <c r="F14" s="51">
        <f>SUMIFS(Advance!$J$8:$J$48,Advance!$E$8:$E$48,$B14,Advance!$B$8:$B$48,"June 2026")</f>
        <v>0</v>
      </c>
      <c r="G14" s="51">
        <f>SUMIFS(Advance!$J$8:$J$48,Advance!$E$8:$E$48,$B14,Advance!$B$8:$B$48,"July 2026")</f>
        <v>24.352</v>
      </c>
      <c r="H14" s="51">
        <f>SUMIFS(Advance!$J$8:$J$48,Advance!$E$8:$E$48,$B14,Advance!$B$8:$B$48,"August 2026")</f>
        <v>0</v>
      </c>
      <c r="I14" s="16">
        <f t="shared" si="0"/>
        <v>24.352</v>
      </c>
      <c r="K14" s="27">
        <f t="shared" si="1"/>
        <v>3.219503166355981E-2</v>
      </c>
      <c r="L14" s="27">
        <f t="shared" si="2"/>
        <v>1.7700015554382921E-2</v>
      </c>
      <c r="N14" s="33" t="s">
        <v>316</v>
      </c>
    </row>
    <row r="15" spans="2:14" ht="22.05" customHeight="1">
      <c r="B15" s="13" t="s">
        <v>368</v>
      </c>
      <c r="C15" s="14" t="s">
        <v>657</v>
      </c>
      <c r="E15" s="51">
        <f>SUMIFS(Advance!$J$8:$J$48,Advance!$E$8:$E$48,$B15,Advance!$B$8:$B$48,"May 2026")</f>
        <v>0</v>
      </c>
      <c r="F15" s="51">
        <f>SUMIFS(Advance!$J$8:$J$48,Advance!$E$8:$E$48,$B15,Advance!$B$8:$B$48,"June 2026")</f>
        <v>23.007000000000001</v>
      </c>
      <c r="G15" s="51">
        <f>SUMIFS(Advance!$J$8:$J$48,Advance!$E$8:$E$48,$B15,Advance!$B$8:$B$48,"July 2026")</f>
        <v>0</v>
      </c>
      <c r="H15" s="51">
        <f>SUMIFS(Advance!$J$8:$J$48,Advance!$E$8:$E$48,$B15,Advance!$B$8:$B$48,"August 2026")</f>
        <v>0</v>
      </c>
      <c r="I15" s="16">
        <f t="shared" si="0"/>
        <v>23.007000000000001</v>
      </c>
      <c r="K15" s="27">
        <f t="shared" si="1"/>
        <v>3.041684845119582E-2</v>
      </c>
      <c r="L15" s="27">
        <f t="shared" si="2"/>
        <v>1.672241531946813E-2</v>
      </c>
      <c r="N15" s="33" t="s">
        <v>313</v>
      </c>
    </row>
    <row r="16" spans="2:14" ht="22.05" customHeight="1">
      <c r="B16" s="13" t="s">
        <v>389</v>
      </c>
      <c r="C16" s="14" t="s">
        <v>657</v>
      </c>
      <c r="E16" s="51">
        <f>SUMIFS(Advance!$J$8:$J$48,Advance!$E$8:$E$48,$B16,Advance!$B$8:$B$48,"May 2026")</f>
        <v>0</v>
      </c>
      <c r="F16" s="51">
        <f>SUMIFS(Advance!$J$8:$J$48,Advance!$E$8:$E$48,$B16,Advance!$B$8:$B$48,"June 2026")</f>
        <v>0</v>
      </c>
      <c r="G16" s="51">
        <f>SUMIFS(Advance!$J$8:$J$48,Advance!$E$8:$E$48,$B16,Advance!$B$8:$B$48,"July 2026")</f>
        <v>0</v>
      </c>
      <c r="H16" s="51">
        <f>SUMIFS(Advance!$J$8:$J$48,Advance!$E$8:$E$48,$B16,Advance!$B$8:$B$48,"August 2026")</f>
        <v>10.505000000000001</v>
      </c>
      <c r="I16" s="16">
        <f t="shared" si="0"/>
        <v>10.505000000000001</v>
      </c>
      <c r="K16" s="27">
        <f t="shared" si="1"/>
        <v>1.3888338026679362E-2</v>
      </c>
      <c r="L16" s="27">
        <f t="shared" si="2"/>
        <v>7.6354575968623764E-3</v>
      </c>
      <c r="N16" s="33" t="s">
        <v>313</v>
      </c>
    </row>
    <row r="17" spans="2:14" ht="22.05" customHeight="1">
      <c r="B17" s="13" t="s">
        <v>390</v>
      </c>
      <c r="C17" s="14" t="s">
        <v>657</v>
      </c>
      <c r="E17" s="51">
        <f>SUMIFS(Advance!$J$8:$J$48,Advance!$E$8:$E$48,$B17,Advance!$B$8:$B$48,"May 2026")</f>
        <v>0</v>
      </c>
      <c r="F17" s="51">
        <f>SUMIFS(Advance!$J$8:$J$48,Advance!$E$8:$E$48,$B17,Advance!$B$8:$B$48,"June 2026")</f>
        <v>0</v>
      </c>
      <c r="G17" s="51">
        <f>SUMIFS(Advance!$J$8:$J$48,Advance!$E$8:$E$48,$B17,Advance!$B$8:$B$48,"July 2026")</f>
        <v>0</v>
      </c>
      <c r="H17" s="51">
        <f>SUMIFS(Advance!$J$8:$J$48,Advance!$E$8:$E$48,$B17,Advance!$B$8:$B$48,"August 2026")</f>
        <v>10.278</v>
      </c>
      <c r="I17" s="16">
        <f t="shared" si="0"/>
        <v>10.278</v>
      </c>
      <c r="K17" s="27">
        <f t="shared" si="1"/>
        <v>1.3588228294927222E-2</v>
      </c>
      <c r="L17" s="27">
        <f t="shared" si="2"/>
        <v>7.4704648434604001E-3</v>
      </c>
      <c r="N17" s="33" t="s">
        <v>313</v>
      </c>
    </row>
    <row r="18" spans="2:14" ht="22.05" customHeight="1">
      <c r="B18" s="13" t="s">
        <v>349</v>
      </c>
      <c r="C18" s="14" t="s">
        <v>660</v>
      </c>
      <c r="E18" s="51">
        <f>SUMIFS(Advance!$J$8:$J$48,Advance!$E$8:$E$48,$B18,Advance!$B$8:$B$48,"May 2026")</f>
        <v>75.153999999999996</v>
      </c>
      <c r="F18" s="51">
        <f>SUMIFS(Advance!$J$8:$J$48,Advance!$E$8:$E$48,$B18,Advance!$B$8:$B$48,"June 2026")</f>
        <v>70.355999999999995</v>
      </c>
      <c r="G18" s="51">
        <f>SUMIFS(Advance!$J$8:$J$48,Advance!$E$8:$E$48,$B18,Advance!$B$8:$B$48,"July 2026")</f>
        <v>95.816999999999993</v>
      </c>
      <c r="H18" s="51">
        <f>SUMIFS(Advance!$J$8:$J$48,Advance!$E$8:$E$48,$B18,Advance!$B$8:$B$48,"August 2026")</f>
        <v>66.894000000000005</v>
      </c>
      <c r="I18" s="16">
        <f t="shared" si="0"/>
        <v>308.221</v>
      </c>
      <c r="K18" s="27">
        <f t="shared" si="1"/>
        <v>0.49758971179862704</v>
      </c>
      <c r="L18" s="27">
        <f t="shared" si="2"/>
        <v>0.22402745130533255</v>
      </c>
      <c r="N18" s="33" t="s">
        <v>310</v>
      </c>
    </row>
    <row r="19" spans="2:14" ht="22.05" customHeight="1">
      <c r="B19" s="13" t="s">
        <v>357</v>
      </c>
      <c r="C19" s="14" t="s">
        <v>660</v>
      </c>
      <c r="E19" s="51">
        <f>SUMIFS(Advance!$J$8:$J$48,Advance!$E$8:$E$48,$B19,Advance!$B$8:$B$48,"May 2026")</f>
        <v>65.685000000000002</v>
      </c>
      <c r="F19" s="51">
        <f>SUMIFS(Advance!$J$8:$J$48,Advance!$E$8:$E$48,$B19,Advance!$B$8:$B$48,"June 2026")</f>
        <v>0</v>
      </c>
      <c r="G19" s="51">
        <f>SUMIFS(Advance!$J$8:$J$48,Advance!$E$8:$E$48,$B19,Advance!$B$8:$B$48,"July 2026")</f>
        <v>0</v>
      </c>
      <c r="H19" s="51">
        <f>SUMIFS(Advance!$J$8:$J$48,Advance!$E$8:$E$48,$B19,Advance!$B$8:$B$48,"August 2026")</f>
        <v>0</v>
      </c>
      <c r="I19" s="16">
        <f t="shared" si="0"/>
        <v>65.685000000000002</v>
      </c>
      <c r="K19" s="27">
        <f t="shared" si="1"/>
        <v>0.10604138011197425</v>
      </c>
      <c r="L19" s="27">
        <f t="shared" si="2"/>
        <v>4.7742506639686356E-2</v>
      </c>
      <c r="N19" s="33" t="s">
        <v>310</v>
      </c>
    </row>
    <row r="20" spans="2:14" ht="22.05" customHeight="1">
      <c r="B20" s="13" t="s">
        <v>370</v>
      </c>
      <c r="C20" s="14" t="s">
        <v>660</v>
      </c>
      <c r="E20" s="51">
        <f>SUMIFS(Advance!$J$8:$J$48,Advance!$E$8:$E$48,$B20,Advance!$B$8:$B$48,"May 2026")</f>
        <v>0</v>
      </c>
      <c r="F20" s="51">
        <f>SUMIFS(Advance!$J$8:$J$48,Advance!$E$8:$E$48,$B20,Advance!$B$8:$B$48,"June 2026")</f>
        <v>39.551000000000002</v>
      </c>
      <c r="G20" s="51">
        <f>SUMIFS(Advance!$J$8:$J$48,Advance!$E$8:$E$48,$B20,Advance!$B$8:$B$48,"July 2026")</f>
        <v>17.111999999999998</v>
      </c>
      <c r="H20" s="51">
        <f>SUMIFS(Advance!$J$8:$J$48,Advance!$E$8:$E$48,$B20,Advance!$B$8:$B$48,"August 2026")</f>
        <v>0</v>
      </c>
      <c r="I20" s="16">
        <f t="shared" si="0"/>
        <v>56.662999999999997</v>
      </c>
      <c r="K20" s="27">
        <f t="shared" si="1"/>
        <v>9.1476329775211945E-2</v>
      </c>
      <c r="L20" s="27">
        <f t="shared" si="2"/>
        <v>4.1184953242361995E-2</v>
      </c>
      <c r="N20" s="33" t="s">
        <v>310</v>
      </c>
    </row>
    <row r="21" spans="2:14" ht="22.05" customHeight="1">
      <c r="B21" s="13" t="s">
        <v>384</v>
      </c>
      <c r="C21" s="14" t="s">
        <v>660</v>
      </c>
      <c r="E21" s="51">
        <f>SUMIFS(Advance!$J$8:$J$48,Advance!$E$8:$E$48,$B21,Advance!$B$8:$B$48,"May 2026")</f>
        <v>0</v>
      </c>
      <c r="F21" s="51">
        <f>SUMIFS(Advance!$J$8:$J$48,Advance!$E$8:$E$48,$B21,Advance!$B$8:$B$48,"June 2026")</f>
        <v>0</v>
      </c>
      <c r="G21" s="51">
        <f>SUMIFS(Advance!$J$8:$J$48,Advance!$E$8:$E$48,$B21,Advance!$B$8:$B$48,"July 2026")</f>
        <v>0</v>
      </c>
      <c r="H21" s="51">
        <f>SUMIFS(Advance!$J$8:$J$48,Advance!$E$8:$E$48,$B21,Advance!$B$8:$B$48,"August 2026")</f>
        <v>32.860999999999997</v>
      </c>
      <c r="I21" s="16">
        <f t="shared" si="0"/>
        <v>32.860999999999997</v>
      </c>
      <c r="K21" s="27">
        <f t="shared" si="1"/>
        <v>5.3050556319701389E-2</v>
      </c>
      <c r="L21" s="27">
        <f t="shared" si="2"/>
        <v>2.3884699865825275E-2</v>
      </c>
      <c r="N21" s="33" t="s">
        <v>310</v>
      </c>
    </row>
    <row r="22" spans="2:14" ht="22.05" customHeight="1">
      <c r="B22" s="13" t="s">
        <v>381</v>
      </c>
      <c r="C22" s="14" t="s">
        <v>660</v>
      </c>
      <c r="E22" s="51">
        <f>SUMIFS(Advance!$J$8:$J$48,Advance!$E$8:$E$48,$B22,Advance!$B$8:$B$48,"May 2026")</f>
        <v>0</v>
      </c>
      <c r="F22" s="51">
        <f>SUMIFS(Advance!$J$8:$J$48,Advance!$E$8:$E$48,$B22,Advance!$B$8:$B$48,"June 2026")</f>
        <v>0</v>
      </c>
      <c r="G22" s="51">
        <f>SUMIFS(Advance!$J$8:$J$48,Advance!$E$8:$E$48,$B22,Advance!$B$8:$B$48,"July 2026")</f>
        <v>0</v>
      </c>
      <c r="H22" s="51">
        <f>SUMIFS(Advance!$J$8:$J$48,Advance!$E$8:$E$48,$B22,Advance!$B$8:$B$48,"August 2026")</f>
        <v>24.425000000000001</v>
      </c>
      <c r="I22" s="16">
        <f t="shared" si="0"/>
        <v>24.425000000000001</v>
      </c>
      <c r="K22" s="27">
        <f t="shared" si="1"/>
        <v>3.9431540065996362E-2</v>
      </c>
      <c r="L22" s="27">
        <f t="shared" si="2"/>
        <v>1.7753074897987962E-2</v>
      </c>
      <c r="N22" s="33" t="s">
        <v>310</v>
      </c>
    </row>
    <row r="23" spans="2:14" ht="22.05" customHeight="1">
      <c r="B23" s="13" t="s">
        <v>359</v>
      </c>
      <c r="C23" s="14" t="s">
        <v>660</v>
      </c>
      <c r="E23" s="51">
        <f>SUMIFS(Advance!$J$8:$J$48,Advance!$E$8:$E$48,$B23,Advance!$B$8:$B$48,"May 2026")</f>
        <v>24.029</v>
      </c>
      <c r="F23" s="51">
        <f>SUMIFS(Advance!$J$8:$J$48,Advance!$E$8:$E$48,$B23,Advance!$B$8:$B$48,"June 2026")</f>
        <v>0</v>
      </c>
      <c r="G23" s="51">
        <f>SUMIFS(Advance!$J$8:$J$48,Advance!$E$8:$E$48,$B23,Advance!$B$8:$B$48,"July 2026")</f>
        <v>0</v>
      </c>
      <c r="H23" s="51">
        <f>SUMIFS(Advance!$J$8:$J$48,Advance!$E$8:$E$48,$B23,Advance!$B$8:$B$48,"August 2026")</f>
        <v>0</v>
      </c>
      <c r="I23" s="16">
        <f t="shared" si="0"/>
        <v>24.029</v>
      </c>
      <c r="K23" s="27">
        <f t="shared" si="1"/>
        <v>3.8792240583247761E-2</v>
      </c>
      <c r="L23" s="27">
        <f t="shared" si="2"/>
        <v>1.7465246129938699E-2</v>
      </c>
      <c r="N23" s="33" t="s">
        <v>310</v>
      </c>
    </row>
    <row r="24" spans="2:14" ht="22.05" customHeight="1">
      <c r="B24" s="13" t="s">
        <v>375</v>
      </c>
      <c r="C24" s="14" t="s">
        <v>660</v>
      </c>
      <c r="E24" s="51">
        <f>SUMIFS(Advance!$J$8:$J$48,Advance!$E$8:$E$48,$B24,Advance!$B$8:$B$48,"May 2026")</f>
        <v>0</v>
      </c>
      <c r="F24" s="51">
        <f>SUMIFS(Advance!$J$8:$J$48,Advance!$E$8:$E$48,$B24,Advance!$B$8:$B$48,"June 2026")</f>
        <v>0</v>
      </c>
      <c r="G24" s="51">
        <f>SUMIFS(Advance!$J$8:$J$48,Advance!$E$8:$E$48,$B24,Advance!$B$8:$B$48,"July 2026")</f>
        <v>23.463000000000001</v>
      </c>
      <c r="H24" s="51">
        <f>SUMIFS(Advance!$J$8:$J$48,Advance!$E$8:$E$48,$B24,Advance!$B$8:$B$48,"August 2026")</f>
        <v>0</v>
      </c>
      <c r="I24" s="16">
        <f t="shared" si="0"/>
        <v>23.463000000000001</v>
      </c>
      <c r="K24" s="27">
        <f t="shared" si="1"/>
        <v>3.7878494352854564E-2</v>
      </c>
      <c r="L24" s="27">
        <f t="shared" si="2"/>
        <v>1.7053854506918795E-2</v>
      </c>
      <c r="N24" s="33" t="s">
        <v>310</v>
      </c>
    </row>
    <row r="25" spans="2:14" ht="22.05" customHeight="1">
      <c r="B25" s="13" t="s">
        <v>369</v>
      </c>
      <c r="C25" s="14" t="s">
        <v>660</v>
      </c>
      <c r="E25" s="51">
        <f>SUMIFS(Advance!$J$8:$J$48,Advance!$E$8:$E$48,$B25,Advance!$B$8:$B$48,"May 2026")</f>
        <v>0</v>
      </c>
      <c r="F25" s="51">
        <f>SUMIFS(Advance!$J$8:$J$48,Advance!$E$8:$E$48,$B25,Advance!$B$8:$B$48,"June 2026")</f>
        <v>19.667000000000002</v>
      </c>
      <c r="G25" s="51">
        <f>SUMIFS(Advance!$J$8:$J$48,Advance!$E$8:$E$48,$B25,Advance!$B$8:$B$48,"July 2026")</f>
        <v>0</v>
      </c>
      <c r="H25" s="51">
        <f>SUMIFS(Advance!$J$8:$J$48,Advance!$E$8:$E$48,$B25,Advance!$B$8:$B$48,"August 2026")</f>
        <v>0</v>
      </c>
      <c r="I25" s="16">
        <f t="shared" si="0"/>
        <v>19.667000000000002</v>
      </c>
      <c r="K25" s="27">
        <f t="shared" si="1"/>
        <v>3.175025991721394E-2</v>
      </c>
      <c r="L25" s="27">
        <f t="shared" si="2"/>
        <v>1.4294768639456674E-2</v>
      </c>
      <c r="N25" s="33" t="s">
        <v>310</v>
      </c>
    </row>
    <row r="26" spans="2:14" ht="22.05" customHeight="1">
      <c r="B26" s="13" t="s">
        <v>355</v>
      </c>
      <c r="C26" s="14" t="s">
        <v>660</v>
      </c>
      <c r="E26" s="51">
        <f>SUMIFS(Advance!$J$8:$J$48,Advance!$E$8:$E$48,$B26,Advance!$B$8:$B$48,"May 2026")</f>
        <v>17.507999999999999</v>
      </c>
      <c r="F26" s="51">
        <f>SUMIFS(Advance!$J$8:$J$48,Advance!$E$8:$E$48,$B26,Advance!$B$8:$B$48,"June 2026")</f>
        <v>0</v>
      </c>
      <c r="G26" s="51">
        <f>SUMIFS(Advance!$J$8:$J$48,Advance!$E$8:$E$48,$B26,Advance!$B$8:$B$48,"July 2026")</f>
        <v>0</v>
      </c>
      <c r="H26" s="51">
        <f>SUMIFS(Advance!$J$8:$J$48,Advance!$E$8:$E$48,$B26,Advance!$B$8:$B$48,"August 2026")</f>
        <v>0</v>
      </c>
      <c r="I26" s="16">
        <f t="shared" si="0"/>
        <v>17.507999999999999</v>
      </c>
      <c r="K26" s="27">
        <f t="shared" si="1"/>
        <v>2.8264786222127504E-2</v>
      </c>
      <c r="L26" s="27">
        <f t="shared" si="2"/>
        <v>1.2725520381329507E-2</v>
      </c>
      <c r="N26" s="33" t="s">
        <v>310</v>
      </c>
    </row>
    <row r="27" spans="2:14" ht="22.05" customHeight="1">
      <c r="B27" s="13" t="s">
        <v>382</v>
      </c>
      <c r="C27" s="14" t="s">
        <v>660</v>
      </c>
      <c r="E27" s="51">
        <f>SUMIFS(Advance!$J$8:$J$48,Advance!$E$8:$E$48,$B27,Advance!$B$8:$B$48,"May 2026")</f>
        <v>0</v>
      </c>
      <c r="F27" s="51">
        <f>SUMIFS(Advance!$J$8:$J$48,Advance!$E$8:$E$48,$B27,Advance!$B$8:$B$48,"June 2026")</f>
        <v>0</v>
      </c>
      <c r="G27" s="51">
        <f>SUMIFS(Advance!$J$8:$J$48,Advance!$E$8:$E$48,$B27,Advance!$B$8:$B$48,"July 2026")</f>
        <v>0</v>
      </c>
      <c r="H27" s="51">
        <f>SUMIFS(Advance!$J$8:$J$48,Advance!$E$8:$E$48,$B27,Advance!$B$8:$B$48,"August 2026")</f>
        <v>16.689</v>
      </c>
      <c r="I27" s="16">
        <f t="shared" si="0"/>
        <v>16.689</v>
      </c>
      <c r="K27" s="27">
        <f t="shared" si="1"/>
        <v>2.6942598655533809E-2</v>
      </c>
      <c r="L27" s="27">
        <f t="shared" si="2"/>
        <v>1.2130238156500351E-2</v>
      </c>
      <c r="N27" s="33" t="s">
        <v>310</v>
      </c>
    </row>
    <row r="28" spans="2:14" ht="22.05" customHeight="1">
      <c r="B28" s="13" t="s">
        <v>371</v>
      </c>
      <c r="C28" s="14" t="s">
        <v>660</v>
      </c>
      <c r="E28" s="51">
        <f>SUMIFS(Advance!$J$8:$J$48,Advance!$E$8:$E$48,$B28,Advance!$B$8:$B$48,"May 2026")</f>
        <v>0</v>
      </c>
      <c r="F28" s="51">
        <f>SUMIFS(Advance!$J$8:$J$48,Advance!$E$8:$E$48,$B28,Advance!$B$8:$B$48,"June 2026")</f>
        <v>11.208</v>
      </c>
      <c r="G28" s="51">
        <f>SUMIFS(Advance!$J$8:$J$48,Advance!$E$8:$E$48,$B28,Advance!$B$8:$B$48,"July 2026")</f>
        <v>0</v>
      </c>
      <c r="H28" s="51">
        <f>SUMIFS(Advance!$J$8:$J$48,Advance!$E$8:$E$48,$B28,Advance!$B$8:$B$48,"August 2026")</f>
        <v>0</v>
      </c>
      <c r="I28" s="16">
        <f t="shared" si="0"/>
        <v>11.208</v>
      </c>
      <c r="K28" s="27">
        <f t="shared" si="1"/>
        <v>1.809411263294523E-2</v>
      </c>
      <c r="L28" s="27">
        <f t="shared" si="2"/>
        <v>8.1464263441821515E-3</v>
      </c>
      <c r="N28" s="33" t="s">
        <v>310</v>
      </c>
    </row>
    <row r="29" spans="2:14" ht="22.05" customHeight="1">
      <c r="B29" s="13" t="s">
        <v>385</v>
      </c>
      <c r="C29" s="14" t="s">
        <v>660</v>
      </c>
      <c r="E29" s="51">
        <f>SUMIFS(Advance!$J$8:$J$48,Advance!$E$8:$E$48,$B29,Advance!$B$8:$B$48,"May 2026")</f>
        <v>0</v>
      </c>
      <c r="F29" s="51">
        <f>SUMIFS(Advance!$J$8:$J$48,Advance!$E$8:$E$48,$B29,Advance!$B$8:$B$48,"June 2026")</f>
        <v>0</v>
      </c>
      <c r="G29" s="51">
        <f>SUMIFS(Advance!$J$8:$J$48,Advance!$E$8:$E$48,$B29,Advance!$B$8:$B$48,"July 2026")</f>
        <v>0</v>
      </c>
      <c r="H29" s="51">
        <f>SUMIFS(Advance!$J$8:$J$48,Advance!$E$8:$E$48,$B29,Advance!$B$8:$B$48,"August 2026")</f>
        <v>6.07</v>
      </c>
      <c r="I29" s="16">
        <f t="shared" si="0"/>
        <v>6.07</v>
      </c>
      <c r="K29" s="27">
        <f t="shared" si="1"/>
        <v>9.7993632835454633E-3</v>
      </c>
      <c r="L29" s="27">
        <f t="shared" si="2"/>
        <v>4.4119207627753088E-3</v>
      </c>
      <c r="N29" s="33" t="s">
        <v>310</v>
      </c>
    </row>
    <row r="30" spans="2:14" ht="22.05" customHeight="1">
      <c r="B30" s="13" t="s">
        <v>383</v>
      </c>
      <c r="C30" s="14" t="s">
        <v>660</v>
      </c>
      <c r="E30" s="51">
        <f>SUMIFS(Advance!$J$8:$J$48,Advance!$E$8:$E$48,$B30,Advance!$B$8:$B$48,"May 2026")</f>
        <v>0</v>
      </c>
      <c r="F30" s="51">
        <f>SUMIFS(Advance!$J$8:$J$48,Advance!$E$8:$E$48,$B30,Advance!$B$8:$B$48,"June 2026")</f>
        <v>0</v>
      </c>
      <c r="G30" s="51">
        <f>SUMIFS(Advance!$J$8:$J$48,Advance!$E$8:$E$48,$B30,Advance!$B$8:$B$48,"July 2026")</f>
        <v>0</v>
      </c>
      <c r="H30" s="51">
        <f>SUMIFS(Advance!$J$8:$J$48,Advance!$E$8:$E$48,$B30,Advance!$B$8:$B$48,"August 2026")</f>
        <v>5.7389999999999999</v>
      </c>
      <c r="I30" s="16">
        <f t="shared" si="0"/>
        <v>5.7389999999999999</v>
      </c>
      <c r="K30" s="27">
        <f t="shared" si="1"/>
        <v>9.2649993219550923E-3</v>
      </c>
      <c r="L30" s="27">
        <f t="shared" si="2"/>
        <v>4.1713366157442337E-3</v>
      </c>
      <c r="N30" s="33" t="s">
        <v>310</v>
      </c>
    </row>
    <row r="31" spans="2:14" ht="22.05" customHeight="1">
      <c r="B31" s="13" t="s">
        <v>361</v>
      </c>
      <c r="C31" s="14" t="s">
        <v>660</v>
      </c>
      <c r="E31" s="51">
        <f>SUMIFS(Advance!$J$8:$J$48,Advance!$E$8:$E$48,$B31,Advance!$B$8:$B$48,"May 2026")</f>
        <v>5</v>
      </c>
      <c r="F31" s="51">
        <f>SUMIFS(Advance!$J$8:$J$48,Advance!$E$8:$E$48,$B31,Advance!$B$8:$B$48,"June 2026")</f>
        <v>0</v>
      </c>
      <c r="G31" s="51">
        <f>SUMIFS(Advance!$J$8:$J$48,Advance!$E$8:$E$48,$B31,Advance!$B$8:$B$48,"July 2026")</f>
        <v>0</v>
      </c>
      <c r="H31" s="51">
        <f>SUMIFS(Advance!$J$8:$J$48,Advance!$E$8:$E$48,$B31,Advance!$B$8:$B$48,"August 2026")</f>
        <v>0</v>
      </c>
      <c r="I31" s="16">
        <f t="shared" si="0"/>
        <v>5</v>
      </c>
      <c r="K31" s="27">
        <f t="shared" si="1"/>
        <v>8.0719631660176802E-3</v>
      </c>
      <c r="L31" s="27">
        <f t="shared" si="2"/>
        <v>3.6342016167836152E-3</v>
      </c>
      <c r="N31" s="33" t="s">
        <v>310</v>
      </c>
    </row>
    <row r="32" spans="2:14" ht="22.05" customHeight="1">
      <c r="B32" s="13" t="s">
        <v>377</v>
      </c>
      <c r="C32" s="14" t="s">
        <v>660</v>
      </c>
      <c r="E32" s="51">
        <f>SUMIFS(Advance!$J$8:$J$48,Advance!$E$8:$E$48,$B32,Advance!$B$8:$B$48,"May 2026")</f>
        <v>0</v>
      </c>
      <c r="F32" s="51">
        <f>SUMIFS(Advance!$J$8:$J$48,Advance!$E$8:$E$48,$B32,Advance!$B$8:$B$48,"June 2026")</f>
        <v>0</v>
      </c>
      <c r="G32" s="51">
        <f>SUMIFS(Advance!$J$8:$J$48,Advance!$E$8:$E$48,$B32,Advance!$B$8:$B$48,"July 2026")</f>
        <v>2.2000000000000002</v>
      </c>
      <c r="H32" s="51">
        <f>SUMIFS(Advance!$J$8:$J$48,Advance!$E$8:$E$48,$B32,Advance!$B$8:$B$48,"August 2026")</f>
        <v>0</v>
      </c>
      <c r="I32" s="16">
        <f t="shared" si="0"/>
        <v>2.2000000000000002</v>
      </c>
      <c r="K32" s="27">
        <f t="shared" si="1"/>
        <v>3.5516637930477794E-3</v>
      </c>
      <c r="L32" s="27">
        <f t="shared" si="2"/>
        <v>1.599048711384791E-3</v>
      </c>
      <c r="N32" s="33" t="s">
        <v>310</v>
      </c>
    </row>
    <row r="33" spans="2:14" ht="22.05" customHeight="1">
      <c r="B33" s="58" t="s">
        <v>661</v>
      </c>
      <c r="E33" s="89">
        <f>SUM(E8:E32)</f>
        <v>270.43599999999998</v>
      </c>
      <c r="F33" s="89">
        <f>SUM(F8:F32)</f>
        <v>316.61700000000002</v>
      </c>
      <c r="G33" s="89">
        <f>SUM(G8:G32)</f>
        <v>397.798</v>
      </c>
      <c r="H33" s="89">
        <f>SUM(H8:H32)</f>
        <v>390.96699999999998</v>
      </c>
      <c r="I33" s="89">
        <f>SUM(I8:I32)</f>
        <v>1375.818</v>
      </c>
    </row>
    <row r="35" spans="2:14" ht="24" customHeight="1">
      <c r="B35" s="4" t="s">
        <v>662</v>
      </c>
      <c r="C35" s="5"/>
      <c r="D35" s="5"/>
      <c r="E35" s="5"/>
      <c r="F35" s="5"/>
      <c r="G35" s="5"/>
      <c r="H35" s="5"/>
      <c r="I35" s="5"/>
      <c r="J35" s="5"/>
      <c r="K35" s="5"/>
    </row>
    <row r="36" spans="2:14" ht="46.05" customHeight="1">
      <c r="B36" s="8" t="s">
        <v>97</v>
      </c>
      <c r="C36" s="8" t="s">
        <v>98</v>
      </c>
      <c r="D36" s="8"/>
      <c r="E36" s="8" t="s">
        <v>124</v>
      </c>
      <c r="F36" s="8" t="s">
        <v>126</v>
      </c>
      <c r="G36" s="8" t="s">
        <v>663</v>
      </c>
      <c r="H36" s="8"/>
      <c r="I36" s="8"/>
      <c r="J36" s="8"/>
      <c r="K36" s="8"/>
      <c r="L36" s="8" t="s">
        <v>431</v>
      </c>
    </row>
    <row r="37" spans="2:14" ht="22.05" customHeight="1">
      <c r="B37" s="13" t="s">
        <v>664</v>
      </c>
      <c r="C37" s="14" t="s">
        <v>105</v>
      </c>
      <c r="E37" s="16">
        <f>SUMIFS($E$8:$E$32,$C$8:$C$32,"Northern")</f>
        <v>83.06</v>
      </c>
      <c r="F37" s="16">
        <f>SUMIFS($E$8:$E$32,$C$8:$C$32,"Southern")</f>
        <v>187.376</v>
      </c>
      <c r="G37" s="16">
        <f>E37+F37</f>
        <v>270.43600000000004</v>
      </c>
      <c r="M37" s="97"/>
      <c r="N37" s="33"/>
    </row>
    <row r="38" spans="2:14" ht="22.05" customHeight="1">
      <c r="B38" s="13" t="s">
        <v>665</v>
      </c>
      <c r="C38" s="14" t="s">
        <v>105</v>
      </c>
      <c r="E38" s="16">
        <f>SUMIFS($F$8:$F$32,$C$8:$C$32,"Northern")</f>
        <v>175.83500000000001</v>
      </c>
      <c r="F38" s="16">
        <f>SUMIFS($F$8:$F$32,$C$8:$C$32,"Southern")</f>
        <v>140.78200000000001</v>
      </c>
      <c r="G38" s="16">
        <f>E38+F38</f>
        <v>316.61700000000002</v>
      </c>
      <c r="M38" s="97"/>
      <c r="N38" s="33"/>
    </row>
    <row r="39" spans="2:14" ht="22.05" customHeight="1">
      <c r="B39" s="13" t="s">
        <v>666</v>
      </c>
      <c r="C39" s="14" t="s">
        <v>105</v>
      </c>
      <c r="E39" s="16">
        <f>SUMIFS($G$8:$G$32,$C$8:$C$32,"Northern")</f>
        <v>259.20599999999996</v>
      </c>
      <c r="F39" s="16">
        <f>SUMIFS($G$8:$G$32,$C$8:$C$32,"Southern")</f>
        <v>138.59199999999998</v>
      </c>
      <c r="G39" s="16">
        <f>E39+F39</f>
        <v>397.79799999999994</v>
      </c>
      <c r="M39" s="97"/>
      <c r="N39" s="33"/>
    </row>
    <row r="40" spans="2:14" ht="22.05" customHeight="1">
      <c r="B40" s="13" t="s">
        <v>667</v>
      </c>
      <c r="C40" s="14" t="s">
        <v>105</v>
      </c>
      <c r="E40" s="16">
        <f>SUMIFS($H$8:$H$32,$C$8:$C$32,"Northern")</f>
        <v>238.28899999999999</v>
      </c>
      <c r="F40" s="16">
        <f>SUMIFS($H$8:$H$32,$C$8:$C$32,"Southern")</f>
        <v>152.678</v>
      </c>
      <c r="G40" s="16">
        <f>E40+F40</f>
        <v>390.96699999999998</v>
      </c>
      <c r="M40" s="97"/>
      <c r="N40" s="33"/>
    </row>
    <row r="41" spans="2:14" ht="22.05" customHeight="1">
      <c r="B41" s="13" t="s">
        <v>668</v>
      </c>
      <c r="C41" s="14" t="s">
        <v>105</v>
      </c>
      <c r="E41" s="16">
        <f>E37+E38+E39+E40</f>
        <v>756.38999999999987</v>
      </c>
      <c r="F41" s="16">
        <f>F37+F38+F39+F40</f>
        <v>619.428</v>
      </c>
      <c r="G41" s="16">
        <f>G37+G38+G39+G40</f>
        <v>1375.8180000000002</v>
      </c>
      <c r="M41" s="97"/>
      <c r="N41" s="33" t="s">
        <v>669</v>
      </c>
    </row>
    <row r="43" spans="2:14" ht="22.05" customHeight="1">
      <c r="B43" s="13" t="s">
        <v>670</v>
      </c>
      <c r="C43" s="14" t="s">
        <v>107</v>
      </c>
      <c r="E43" s="18">
        <f>Unit_Cost!E13*Inputs!$C$25</f>
        <v>149771.42929466013</v>
      </c>
      <c r="F43" s="18">
        <f>Unit_Cost!E13*Inputs!$D$25</f>
        <v>227734.63906448326</v>
      </c>
      <c r="G43" s="18">
        <f>Unit_Cost!E13</f>
        <v>377506.06835914339</v>
      </c>
      <c r="M43" s="97"/>
      <c r="N43" s="33" t="s">
        <v>671</v>
      </c>
    </row>
    <row r="44" spans="2:14" ht="22.05" customHeight="1">
      <c r="B44" s="13" t="s">
        <v>672</v>
      </c>
      <c r="C44" s="14" t="s">
        <v>107</v>
      </c>
      <c r="E44" s="18">
        <f>Unit_Cost!F13*Inputs!$C$26</f>
        <v>179716.59111362908</v>
      </c>
      <c r="F44" s="18">
        <f>Unit_Cost!F13*Inputs!$D$26</f>
        <v>119222.75719322704</v>
      </c>
      <c r="G44" s="18">
        <f>Unit_Cost!F13</f>
        <v>298939.34830685612</v>
      </c>
      <c r="M44" s="97"/>
      <c r="N44" s="33" t="s">
        <v>671</v>
      </c>
    </row>
    <row r="45" spans="2:14" ht="22.05" customHeight="1">
      <c r="B45" s="13" t="s">
        <v>673</v>
      </c>
      <c r="C45" s="14" t="s">
        <v>107</v>
      </c>
      <c r="E45" s="18">
        <f>Unit_Cost!G13*Inputs!$C$27</f>
        <v>255241.01900270587</v>
      </c>
      <c r="F45" s="18">
        <f>Unit_Cost!G13*Inputs!$D$27</f>
        <v>130382.38468019087</v>
      </c>
      <c r="G45" s="18">
        <f>Unit_Cost!G13</f>
        <v>385623.40368289675</v>
      </c>
      <c r="M45" s="97"/>
      <c r="N45" s="33" t="s">
        <v>671</v>
      </c>
    </row>
    <row r="46" spans="2:14" ht="22.05" customHeight="1">
      <c r="B46" s="13" t="s">
        <v>674</v>
      </c>
      <c r="C46" s="14" t="s">
        <v>107</v>
      </c>
      <c r="E46" s="18">
        <f>Unit_Cost!H13*Inputs!$C$28</f>
        <v>199486.176086619</v>
      </c>
      <c r="F46" s="18">
        <f>Unit_Cost!H13*Inputs!$D$28</f>
        <v>127816.01497573459</v>
      </c>
      <c r="G46" s="18">
        <f>Unit_Cost!H13</f>
        <v>327302.19106235361</v>
      </c>
      <c r="M46" s="97"/>
      <c r="N46" s="33" t="s">
        <v>671</v>
      </c>
    </row>
    <row r="47" spans="2:14" ht="22.05" customHeight="1">
      <c r="B47" s="13" t="s">
        <v>675</v>
      </c>
      <c r="C47" s="14" t="s">
        <v>107</v>
      </c>
      <c r="E47" s="18">
        <f>E43+E44+E45+E46</f>
        <v>784215.21549761412</v>
      </c>
      <c r="F47" s="18">
        <f>F43+F44+F45+F46</f>
        <v>605155.79591363575</v>
      </c>
      <c r="G47" s="18">
        <f>G43+G44+G45+G46</f>
        <v>1389371.0114112496</v>
      </c>
      <c r="M47" s="97"/>
      <c r="N47" s="33"/>
    </row>
    <row r="49" spans="2:14" ht="22.05" customHeight="1">
      <c r="B49" s="13" t="s">
        <v>676</v>
      </c>
      <c r="C49" s="14" t="s">
        <v>600</v>
      </c>
      <c r="E49" s="24">
        <f t="shared" ref="E49:G53" si="3">IF(E37=0,0,E43/E37)</f>
        <v>1803.1715542338084</v>
      </c>
      <c r="F49" s="24">
        <f t="shared" si="3"/>
        <v>1215.3885186175564</v>
      </c>
      <c r="G49" s="24">
        <f t="shared" si="3"/>
        <v>1395.9164769451677</v>
      </c>
      <c r="M49" s="97"/>
      <c r="N49" s="33"/>
    </row>
    <row r="50" spans="2:14" ht="22.05" customHeight="1">
      <c r="B50" s="13" t="s">
        <v>677</v>
      </c>
      <c r="C50" s="14" t="s">
        <v>600</v>
      </c>
      <c r="E50" s="24">
        <f t="shared" si="3"/>
        <v>1022.075190454853</v>
      </c>
      <c r="F50" s="24">
        <f t="shared" si="3"/>
        <v>846.86080033830342</v>
      </c>
      <c r="G50" s="24">
        <f t="shared" si="3"/>
        <v>944.16707980574665</v>
      </c>
      <c r="M50" s="97"/>
      <c r="N50" s="33"/>
    </row>
    <row r="51" spans="2:14" ht="22.05" customHeight="1">
      <c r="B51" s="13" t="s">
        <v>678</v>
      </c>
      <c r="C51" s="14" t="s">
        <v>600</v>
      </c>
      <c r="E51" s="24">
        <f t="shared" si="3"/>
        <v>984.70335950057449</v>
      </c>
      <c r="F51" s="24">
        <f t="shared" si="3"/>
        <v>940.76414713829718</v>
      </c>
      <c r="G51" s="24">
        <f t="shared" si="3"/>
        <v>969.39502884101182</v>
      </c>
      <c r="M51" s="97"/>
      <c r="N51" s="33"/>
    </row>
    <row r="52" spans="2:14" ht="22.05" customHeight="1">
      <c r="B52" s="13" t="s">
        <v>679</v>
      </c>
      <c r="C52" s="14" t="s">
        <v>600</v>
      </c>
      <c r="E52" s="24">
        <f t="shared" si="3"/>
        <v>837.16065822014025</v>
      </c>
      <c r="F52" s="24">
        <f t="shared" si="3"/>
        <v>837.16065822014036</v>
      </c>
      <c r="G52" s="24">
        <f t="shared" si="3"/>
        <v>837.16065822014036</v>
      </c>
      <c r="M52" s="97"/>
      <c r="N52" s="33"/>
    </row>
    <row r="53" spans="2:14" ht="25.95" customHeight="1">
      <c r="B53" s="98" t="s">
        <v>680</v>
      </c>
      <c r="C53" s="99" t="s">
        <v>600</v>
      </c>
      <c r="E53" s="100">
        <f t="shared" si="3"/>
        <v>1036.7868632552179</v>
      </c>
      <c r="F53" s="100">
        <f t="shared" si="3"/>
        <v>976.95905886339619</v>
      </c>
      <c r="G53" s="100">
        <f t="shared" si="3"/>
        <v>1009.8508751966099</v>
      </c>
      <c r="M53" s="97"/>
      <c r="N53" s="33"/>
    </row>
    <row r="55" spans="2:14" ht="22.05" customHeight="1">
      <c r="B55" s="13" t="s">
        <v>681</v>
      </c>
      <c r="C55" s="14" t="s">
        <v>107</v>
      </c>
      <c r="E55" s="18">
        <f>Unit_Cost!E24*Inputs!$C$34</f>
        <v>71007.964240545538</v>
      </c>
      <c r="F55" s="18">
        <f>Unit_Cost!E24*Inputs!$D$34</f>
        <v>104930.35575945445</v>
      </c>
      <c r="G55" s="18">
        <f>Unit_Cost!E24</f>
        <v>175938.32</v>
      </c>
      <c r="M55" s="97"/>
      <c r="N55" s="33" t="s">
        <v>682</v>
      </c>
    </row>
    <row r="56" spans="2:14" ht="22.05" customHeight="1">
      <c r="B56" s="13" t="s">
        <v>683</v>
      </c>
      <c r="C56" s="14" t="s">
        <v>107</v>
      </c>
      <c r="E56" s="18">
        <f>Unit_Cost!F24*Inputs!$C$35</f>
        <v>92546.368409090865</v>
      </c>
      <c r="F56" s="18">
        <f>Unit_Cost!F24*Inputs!$D$35</f>
        <v>71796.061590909128</v>
      </c>
      <c r="G56" s="18">
        <f>Unit_Cost!F24</f>
        <v>164342.43</v>
      </c>
      <c r="M56" s="97"/>
      <c r="N56" s="33" t="s">
        <v>682</v>
      </c>
    </row>
    <row r="57" spans="2:14" ht="22.05" customHeight="1">
      <c r="B57" s="13" t="s">
        <v>684</v>
      </c>
      <c r="C57" s="14" t="s">
        <v>107</v>
      </c>
      <c r="E57" s="18">
        <f>Unit_Cost!G24*Inputs!$C$36</f>
        <v>227175.94336837914</v>
      </c>
      <c r="F57" s="18">
        <f>Unit_Cost!G24*Inputs!$D$36</f>
        <v>123553.4666316209</v>
      </c>
      <c r="G57" s="18">
        <f>Unit_Cost!G24</f>
        <v>350729.41000000003</v>
      </c>
      <c r="M57" s="97"/>
      <c r="N57" s="33" t="s">
        <v>682</v>
      </c>
    </row>
    <row r="58" spans="2:14" ht="22.05" customHeight="1">
      <c r="B58" s="13" t="s">
        <v>685</v>
      </c>
      <c r="C58" s="14" t="s">
        <v>107</v>
      </c>
      <c r="E58" s="18">
        <f>Unit_Cost!H24*Inputs!$C$37</f>
        <v>189614.94657872198</v>
      </c>
      <c r="F58" s="18">
        <f>Unit_Cost!H24*Inputs!$D$37</f>
        <v>105291.11342127806</v>
      </c>
      <c r="G58" s="18">
        <f>Unit_Cost!H24</f>
        <v>294906.06000000006</v>
      </c>
      <c r="M58" s="97"/>
      <c r="N58" s="33" t="s">
        <v>682</v>
      </c>
    </row>
    <row r="59" spans="2:14" ht="22.05" customHeight="1">
      <c r="B59" s="13" t="s">
        <v>686</v>
      </c>
      <c r="C59" s="14" t="s">
        <v>107</v>
      </c>
      <c r="E59" s="18">
        <f>E55+E56+E57+E58</f>
        <v>580345.22259673756</v>
      </c>
      <c r="F59" s="18">
        <f>F55+F56+F57+F58</f>
        <v>405570.99740326253</v>
      </c>
      <c r="G59" s="18">
        <f>G55+G56+G57+G58</f>
        <v>985916.22000000009</v>
      </c>
      <c r="M59" s="97"/>
      <c r="N59" s="33"/>
    </row>
    <row r="61" spans="2:14" ht="25.95" customHeight="1">
      <c r="B61" s="98" t="s">
        <v>687</v>
      </c>
      <c r="C61" s="99" t="s">
        <v>600</v>
      </c>
      <c r="E61" s="100">
        <f>IF(E41=0,0,E59/E41)</f>
        <v>767.25660386406173</v>
      </c>
      <c r="F61" s="100">
        <f>IF(F41=0,0,F59/F41)</f>
        <v>654.75083044883752</v>
      </c>
      <c r="G61" s="100">
        <f>IF(G41=0,0,G59/G41)</f>
        <v>716.60366414743805</v>
      </c>
      <c r="M61" s="97"/>
      <c r="N61" s="33"/>
    </row>
    <row r="62" spans="2:14" ht="25.95" customHeight="1">
      <c r="B62" s="98" t="s">
        <v>688</v>
      </c>
      <c r="C62" s="99" t="s">
        <v>600</v>
      </c>
      <c r="E62" s="100">
        <f>IF(E41=0,0,(E47+E59)/E41)</f>
        <v>1804.0434671192795</v>
      </c>
      <c r="F62" s="100">
        <f>IF(F41=0,0,(F47+F59)/F41)</f>
        <v>1631.7098893122336</v>
      </c>
      <c r="G62" s="100">
        <f>IF(G41=0,0,(G47+G59)/G41)</f>
        <v>1726.454539344048</v>
      </c>
      <c r="M62" s="97"/>
      <c r="N62" s="33" t="s">
        <v>689</v>
      </c>
    </row>
    <row r="64" spans="2:14" ht="24" customHeight="1">
      <c r="B64" s="4" t="s">
        <v>690</v>
      </c>
      <c r="C64" s="5"/>
      <c r="D64" s="5"/>
      <c r="E64" s="5"/>
      <c r="F64" s="5"/>
      <c r="G64" s="5"/>
      <c r="H64" s="5"/>
      <c r="I64" s="5"/>
      <c r="J64" s="5"/>
      <c r="K64" s="5"/>
    </row>
    <row r="65" spans="2:6" ht="46.05" customHeight="1">
      <c r="B65" s="8" t="s">
        <v>691</v>
      </c>
      <c r="C65" s="8" t="s">
        <v>98</v>
      </c>
      <c r="D65" s="8"/>
      <c r="E65" s="8" t="s">
        <v>135</v>
      </c>
      <c r="F65" s="8" t="s">
        <v>692</v>
      </c>
    </row>
    <row r="66" spans="2:6" ht="22.05" customHeight="1">
      <c r="B66" s="14" t="s">
        <v>693</v>
      </c>
      <c r="C66" s="14"/>
      <c r="E66" s="101">
        <f>SUM($I$8:$I$32)-G41</f>
        <v>0</v>
      </c>
      <c r="F66" s="13" t="str">
        <f>IF(ABS(E66)&lt;0.000001,"Reconciles","CHECK")</f>
        <v>Reconciles</v>
      </c>
    </row>
    <row r="67" spans="2:6" ht="22.05" customHeight="1">
      <c r="B67" s="14" t="s">
        <v>694</v>
      </c>
      <c r="C67" s="14"/>
      <c r="E67" s="101">
        <f>E41+F41-G41</f>
        <v>0</v>
      </c>
      <c r="F67" s="13" t="str">
        <f>IF(ABS(E67)&lt;0.000001,"Reconciles","CHECK")</f>
        <v>Reconciles</v>
      </c>
    </row>
    <row r="68" spans="2:6" ht="22.05" customHeight="1">
      <c r="B68" s="14" t="s">
        <v>695</v>
      </c>
      <c r="C68" s="14"/>
      <c r="E68" s="101">
        <f>E47+F47-G47</f>
        <v>0</v>
      </c>
      <c r="F68" s="13" t="str">
        <f>IF(ABS(E68)&lt;0.000001,"Reconciles","CHECK")</f>
        <v>Reconciles</v>
      </c>
    </row>
    <row r="69" spans="2:6" ht="22.05" customHeight="1">
      <c r="B69" s="14" t="s">
        <v>696</v>
      </c>
      <c r="C69" s="14"/>
      <c r="E69" s="101">
        <f>G47-(Unit_Cost!E13+Unit_Cost!F13+Unit_Cost!G13+Unit_Cost!H13)</f>
        <v>0</v>
      </c>
      <c r="F69" s="13" t="str">
        <f>IF(ABS(E69)&lt;0.000001,"Reconciles","CHECK")</f>
        <v>Reconciles</v>
      </c>
    </row>
  </sheetData>
  <mergeCells count="1">
    <mergeCell ref="B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L43"/>
  <sheetViews>
    <sheetView showGridLines="0" workbookViewId="0"/>
  </sheetViews>
  <sheetFormatPr defaultRowHeight="14.4"/>
  <cols>
    <col min="1" max="1" width="4" customWidth="1"/>
    <col min="2" max="2" width="54" customWidth="1"/>
    <col min="3" max="3" width="24" customWidth="1"/>
    <col min="4" max="4" width="4" customWidth="1"/>
    <col min="5" max="6" width="25" customWidth="1"/>
    <col min="7" max="7" width="4" customWidth="1"/>
    <col min="8" max="8" width="20" customWidth="1"/>
    <col min="9" max="9" width="22" customWidth="1"/>
    <col min="10" max="10" width="4" customWidth="1"/>
    <col min="11" max="11" width="22" customWidth="1"/>
    <col min="12" max="12" width="4" customWidth="1"/>
  </cols>
  <sheetData>
    <row r="1" spans="2:12" ht="7.95" customHeight="1"/>
    <row r="2" spans="2:12" ht="30" customHeight="1">
      <c r="B2" s="12" t="s">
        <v>697</v>
      </c>
    </row>
    <row r="3" spans="2:12" ht="19.95" customHeight="1">
      <c r="B3" s="88" t="s">
        <v>698</v>
      </c>
    </row>
    <row r="4" spans="2:12" ht="24" customHeight="1">
      <c r="B4" s="121" t="s">
        <v>699</v>
      </c>
      <c r="C4" s="122"/>
      <c r="D4" s="122"/>
      <c r="E4" s="122"/>
      <c r="F4" s="122"/>
      <c r="G4" s="122"/>
      <c r="H4" s="122"/>
      <c r="I4" s="122"/>
      <c r="J4" s="122"/>
      <c r="K4" s="122"/>
      <c r="L4" s="122"/>
    </row>
    <row r="5" spans="2:12" ht="7.95" customHeight="1"/>
    <row r="6" spans="2:12" ht="46.05" customHeight="1">
      <c r="B6" s="8" t="s">
        <v>700</v>
      </c>
      <c r="C6" s="8" t="s">
        <v>701</v>
      </c>
      <c r="D6" s="8"/>
      <c r="E6" s="8" t="s">
        <v>702</v>
      </c>
      <c r="F6" s="8" t="s">
        <v>703</v>
      </c>
      <c r="G6" s="8"/>
      <c r="H6" s="8" t="s">
        <v>544</v>
      </c>
      <c r="I6" s="8" t="s">
        <v>704</v>
      </c>
      <c r="J6" s="8"/>
      <c r="K6" s="8" t="s">
        <v>705</v>
      </c>
      <c r="L6" s="8" t="s">
        <v>431</v>
      </c>
    </row>
    <row r="7" spans="2:12" ht="22.05" customHeight="1">
      <c r="B7" s="13" t="s">
        <v>706</v>
      </c>
      <c r="C7" s="14" t="s">
        <v>707</v>
      </c>
      <c r="E7" s="17">
        <f>B_Ground_Support!N11</f>
        <v>904575.31611336849</v>
      </c>
      <c r="F7" s="94">
        <f>B_Ground_Support!O11</f>
        <v>657.48181526435064</v>
      </c>
      <c r="H7" s="27">
        <f t="shared" ref="H7:H38" si="0">IF($E$39=0,0,E7/$E$39)</f>
        <v>0.38082776017615583</v>
      </c>
      <c r="I7" s="30">
        <f>IF($E$39=0,0,SUM($E$7:E7)/$E$39)</f>
        <v>0.38082776017615583</v>
      </c>
      <c r="K7" s="102" t="str">
        <f>"Yes"</f>
        <v>Yes</v>
      </c>
    </row>
    <row r="8" spans="2:12" ht="22.05" customHeight="1">
      <c r="B8" s="13" t="s">
        <v>708</v>
      </c>
      <c r="C8" s="14" t="s">
        <v>709</v>
      </c>
      <c r="E8" s="17">
        <f>C_Face_Drilling!N9</f>
        <v>473326.75</v>
      </c>
      <c r="F8" s="94">
        <f>C_Face_Drilling!O9</f>
        <v>344.03296802338679</v>
      </c>
      <c r="H8" s="27">
        <f t="shared" si="0"/>
        <v>0.19927137389560184</v>
      </c>
      <c r="I8" s="30">
        <f>IF($E$39=0,0,SUM($E$7:E8)/$E$39)</f>
        <v>0.58009913407175773</v>
      </c>
      <c r="K8" s="102" t="str">
        <f t="shared" ref="K8:K38" si="1">IF(I8&lt;=0.8,"Yes",IF(I7&lt;0.8,"Yes","No"))</f>
        <v>Yes</v>
      </c>
    </row>
    <row r="9" spans="2:12" ht="22.05" customHeight="1">
      <c r="B9" s="13" t="s">
        <v>710</v>
      </c>
      <c r="C9" s="14" t="s">
        <v>707</v>
      </c>
      <c r="E9" s="17">
        <f>B_Ground_Support!N21</f>
        <v>353779.92667963501</v>
      </c>
      <c r="F9" s="94">
        <f>B_Ground_Support!O21</f>
        <v>257.14151630494365</v>
      </c>
      <c r="H9" s="27">
        <f t="shared" si="0"/>
        <v>0.14894195615636799</v>
      </c>
      <c r="I9" s="30">
        <f>IF($E$39=0,0,SUM($E$7:E9)/$E$39)</f>
        <v>0.72904109022812569</v>
      </c>
      <c r="K9" s="102" t="str">
        <f t="shared" si="1"/>
        <v>Yes</v>
      </c>
    </row>
    <row r="10" spans="2:12" ht="22.05" customHeight="1">
      <c r="B10" s="13" t="s">
        <v>711</v>
      </c>
      <c r="C10" s="14" t="s">
        <v>709</v>
      </c>
      <c r="E10" s="17">
        <f>C_Face_Drilling!N13</f>
        <v>227125.94999999998</v>
      </c>
      <c r="F10" s="94">
        <f>C_Face_Drilling!O13</f>
        <v>165.08429894070287</v>
      </c>
      <c r="H10" s="27">
        <f t="shared" si="0"/>
        <v>9.5620414658254077E-2</v>
      </c>
      <c r="I10" s="30">
        <f>IF($E$39=0,0,SUM($E$7:E10)/$E$39)</f>
        <v>0.82466150488637979</v>
      </c>
      <c r="K10" s="102" t="str">
        <f t="shared" si="1"/>
        <v>Yes</v>
      </c>
    </row>
    <row r="11" spans="2:12" ht="22.05" customHeight="1">
      <c r="B11" s="13" t="s">
        <v>712</v>
      </c>
      <c r="C11" s="14" t="s">
        <v>709</v>
      </c>
      <c r="E11" s="17">
        <f>C_Face_Drilling!N14</f>
        <v>100124.44</v>
      </c>
      <c r="F11" s="94">
        <f>C_Face_Drilling!O14</f>
        <v>72.77448034551081</v>
      </c>
      <c r="H11" s="27">
        <f t="shared" si="0"/>
        <v>4.2152561035960365E-2</v>
      </c>
      <c r="I11" s="30">
        <f>IF($E$39=0,0,SUM($E$7:E11)/$E$39)</f>
        <v>0.86681406592234012</v>
      </c>
      <c r="K11" s="102" t="str">
        <f t="shared" si="1"/>
        <v>No</v>
      </c>
    </row>
    <row r="12" spans="2:12" ht="22.05" customHeight="1">
      <c r="B12" s="13" t="s">
        <v>713</v>
      </c>
      <c r="C12" s="14" t="s">
        <v>707</v>
      </c>
      <c r="E12" s="17">
        <f>B_Ground_Support!N10</f>
        <v>97769.314125000004</v>
      </c>
      <c r="F12" s="94">
        <f>B_Ground_Support!O10</f>
        <v>71.062679892980029</v>
      </c>
      <c r="H12" s="27">
        <f t="shared" si="0"/>
        <v>4.1161049001602848E-2</v>
      </c>
      <c r="I12" s="30">
        <f>IF($E$39=0,0,SUM($E$7:E12)/$E$39)</f>
        <v>0.90797511492394289</v>
      </c>
      <c r="K12" s="102" t="str">
        <f t="shared" si="1"/>
        <v>No</v>
      </c>
    </row>
    <row r="13" spans="2:12" ht="22.05" customHeight="1">
      <c r="B13" s="13" t="s">
        <v>714</v>
      </c>
      <c r="C13" s="14" t="s">
        <v>709</v>
      </c>
      <c r="E13" s="17">
        <f>C_Face_Drilling!N30</f>
        <v>46647</v>
      </c>
      <c r="F13" s="94">
        <f>C_Face_Drilling!O30</f>
        <v>33.904920563621054</v>
      </c>
      <c r="H13" s="27">
        <f t="shared" si="0"/>
        <v>1.9638467038062265E-2</v>
      </c>
      <c r="I13" s="30">
        <f>IF($E$39=0,0,SUM($E$7:E13)/$E$39)</f>
        <v>0.92761358196200516</v>
      </c>
      <c r="K13" s="102" t="str">
        <f t="shared" si="1"/>
        <v>No</v>
      </c>
    </row>
    <row r="14" spans="2:12" ht="22.05" customHeight="1">
      <c r="B14" s="13" t="s">
        <v>715</v>
      </c>
      <c r="C14" s="14" t="s">
        <v>707</v>
      </c>
      <c r="E14" s="17">
        <f>B_Ground_Support!N9</f>
        <v>19990.698662812501</v>
      </c>
      <c r="F14" s="94">
        <f>B_Ground_Support!O9</f>
        <v>14.530045880205448</v>
      </c>
      <c r="H14" s="27">
        <f t="shared" si="0"/>
        <v>8.4161184375732365E-3</v>
      </c>
      <c r="I14" s="30">
        <f>IF($E$39=0,0,SUM($E$7:E14)/$E$39)</f>
        <v>0.93602970039957833</v>
      </c>
      <c r="K14" s="102" t="str">
        <f t="shared" si="1"/>
        <v>No</v>
      </c>
    </row>
    <row r="15" spans="2:12" ht="22.05" customHeight="1">
      <c r="B15" s="13" t="s">
        <v>716</v>
      </c>
      <c r="C15" s="14" t="s">
        <v>709</v>
      </c>
      <c r="E15" s="17">
        <f>C_Face_Drilling!N41</f>
        <v>18848.3</v>
      </c>
      <c r="F15" s="94">
        <f>C_Face_Drilling!O41</f>
        <v>13.699704466724521</v>
      </c>
      <c r="H15" s="27">
        <f t="shared" si="0"/>
        <v>7.9351666403736365E-3</v>
      </c>
      <c r="I15" s="30">
        <f>IF($E$39=0,0,SUM($E$7:E15)/$E$39)</f>
        <v>0.94396486703995186</v>
      </c>
      <c r="K15" s="102" t="str">
        <f t="shared" si="1"/>
        <v>No</v>
      </c>
    </row>
    <row r="16" spans="2:12" ht="22.05" customHeight="1">
      <c r="B16" s="13" t="s">
        <v>717</v>
      </c>
      <c r="C16" s="14" t="s">
        <v>709</v>
      </c>
      <c r="E16" s="17">
        <f>C_Face_Drilling!N8</f>
        <v>16021.2</v>
      </c>
      <c r="F16" s="94">
        <f>C_Face_Drilling!O8</f>
        <v>11.64485418856273</v>
      </c>
      <c r="H16" s="27">
        <f t="shared" si="0"/>
        <v>6.744952689566386E-3</v>
      </c>
      <c r="I16" s="30">
        <f>IF($E$39=0,0,SUM($E$7:E16)/$E$39)</f>
        <v>0.95070981972951829</v>
      </c>
      <c r="K16" s="102" t="str">
        <f t="shared" si="1"/>
        <v>No</v>
      </c>
    </row>
    <row r="17" spans="2:11" ht="22.05" customHeight="1">
      <c r="B17" s="13" t="s">
        <v>718</v>
      </c>
      <c r="C17" s="14" t="s">
        <v>709</v>
      </c>
      <c r="E17" s="17">
        <f>C_Face_Drilling!N25</f>
        <v>15467.62</v>
      </c>
      <c r="F17" s="94">
        <f>C_Face_Drilling!O25</f>
        <v>11.242489922358915</v>
      </c>
      <c r="H17" s="27">
        <f t="shared" si="0"/>
        <v>6.5118945597202969E-3</v>
      </c>
      <c r="I17" s="30">
        <f>IF($E$39=0,0,SUM($E$7:E17)/$E$39)</f>
        <v>0.95722171428923863</v>
      </c>
      <c r="K17" s="102" t="str">
        <f t="shared" si="1"/>
        <v>No</v>
      </c>
    </row>
    <row r="18" spans="2:11" ht="22.05" customHeight="1">
      <c r="B18" s="13" t="s">
        <v>719</v>
      </c>
      <c r="C18" s="14" t="s">
        <v>709</v>
      </c>
      <c r="E18" s="17">
        <f>C_Face_Drilling!N23</f>
        <v>14419.859999999999</v>
      </c>
      <c r="F18" s="94">
        <f>C_Face_Drilling!O23</f>
        <v>10.480935705158673</v>
      </c>
      <c r="H18" s="27">
        <f t="shared" si="0"/>
        <v>6.0707858019480891E-3</v>
      </c>
      <c r="I18" s="30">
        <f>IF($E$39=0,0,SUM($E$7:E18)/$E$39)</f>
        <v>0.96329250009118672</v>
      </c>
      <c r="K18" s="102" t="str">
        <f t="shared" si="1"/>
        <v>No</v>
      </c>
    </row>
    <row r="19" spans="2:11" ht="22.05" customHeight="1">
      <c r="B19" s="13" t="s">
        <v>720</v>
      </c>
      <c r="C19" s="14" t="s">
        <v>709</v>
      </c>
      <c r="E19" s="17">
        <f>C_Face_Drilling!N29</f>
        <v>13468.95</v>
      </c>
      <c r="F19" s="94">
        <f>C_Face_Drilling!O29</f>
        <v>9.7897759732755336</v>
      </c>
      <c r="H19" s="27">
        <f t="shared" si="0"/>
        <v>5.67045106035348E-3</v>
      </c>
      <c r="I19" s="30">
        <f>IF($E$39=0,0,SUM($E$7:E19)/$E$39)</f>
        <v>0.9689629511515403</v>
      </c>
      <c r="K19" s="102" t="str">
        <f t="shared" si="1"/>
        <v>No</v>
      </c>
    </row>
    <row r="20" spans="2:11" ht="22.05" customHeight="1">
      <c r="B20" s="13" t="s">
        <v>721</v>
      </c>
      <c r="C20" s="14" t="s">
        <v>722</v>
      </c>
      <c r="E20" s="17">
        <f>D_Cable_Bolting!N8</f>
        <v>10006.578206433855</v>
      </c>
      <c r="F20" s="94">
        <f>D_Cable_Bolting!O8</f>
        <v>7.27318453925872</v>
      </c>
      <c r="H20" s="27">
        <f t="shared" si="0"/>
        <v>4.2127865944400177E-3</v>
      </c>
      <c r="I20" s="30">
        <f>IF($E$39=0,0,SUM($E$7:E20)/$E$39)</f>
        <v>0.97317573774598032</v>
      </c>
      <c r="K20" s="102" t="str">
        <f t="shared" si="1"/>
        <v>No</v>
      </c>
    </row>
    <row r="21" spans="2:11" ht="22.05" customHeight="1">
      <c r="B21" s="13" t="s">
        <v>723</v>
      </c>
      <c r="C21" s="14" t="s">
        <v>709</v>
      </c>
      <c r="E21" s="17">
        <f>C_Face_Drilling!N32</f>
        <v>9840.33</v>
      </c>
      <c r="F21" s="94">
        <f>C_Face_Drilling!O32</f>
        <v>7.1523486391368616</v>
      </c>
      <c r="H21" s="27">
        <f t="shared" si="0"/>
        <v>4.1427958142786301E-3</v>
      </c>
      <c r="I21" s="30">
        <f>IF($E$39=0,0,SUM($E$7:E21)/$E$39)</f>
        <v>0.977318533560259</v>
      </c>
      <c r="K21" s="102" t="str">
        <f t="shared" si="1"/>
        <v>No</v>
      </c>
    </row>
    <row r="22" spans="2:11" ht="22.05" customHeight="1">
      <c r="B22" s="13" t="s">
        <v>724</v>
      </c>
      <c r="C22" s="14" t="s">
        <v>709</v>
      </c>
      <c r="E22" s="17">
        <f>C_Face_Drilling!N20</f>
        <v>8445.51</v>
      </c>
      <c r="F22" s="94">
        <f>C_Face_Drilling!O20</f>
        <v>6.138537219312437</v>
      </c>
      <c r="H22" s="27">
        <f t="shared" si="0"/>
        <v>3.5555742010123965E-3</v>
      </c>
      <c r="I22" s="30">
        <f>IF($E$39=0,0,SUM($E$7:E22)/$E$39)</f>
        <v>0.98087410776127126</v>
      </c>
      <c r="K22" s="102" t="str">
        <f t="shared" si="1"/>
        <v>No</v>
      </c>
    </row>
    <row r="23" spans="2:11" ht="22.05" customHeight="1">
      <c r="B23" s="13" t="s">
        <v>725</v>
      </c>
      <c r="C23" s="14" t="s">
        <v>709</v>
      </c>
      <c r="E23" s="17">
        <f>C_Face_Drilling!N19</f>
        <v>8315</v>
      </c>
      <c r="F23" s="94">
        <f>C_Face_Drilling!O19</f>
        <v>6.0436772887111516</v>
      </c>
      <c r="H23" s="27">
        <f t="shared" si="0"/>
        <v>3.5006292670801496E-3</v>
      </c>
      <c r="I23" s="30">
        <f>IF($E$39=0,0,SUM($E$7:E23)/$E$39)</f>
        <v>0.98437473702835143</v>
      </c>
      <c r="K23" s="102" t="str">
        <f t="shared" si="1"/>
        <v>No</v>
      </c>
    </row>
    <row r="24" spans="2:11" ht="22.05" customHeight="1">
      <c r="B24" s="13" t="s">
        <v>726</v>
      </c>
      <c r="C24" s="14" t="s">
        <v>709</v>
      </c>
      <c r="E24" s="17">
        <f>C_Face_Drilling!N24</f>
        <v>7504.2</v>
      </c>
      <c r="F24" s="94">
        <f>C_Face_Drilling!O24</f>
        <v>5.4543551545335198</v>
      </c>
      <c r="H24" s="27">
        <f t="shared" si="0"/>
        <v>3.1592810758897002E-3</v>
      </c>
      <c r="I24" s="30">
        <f>IF($E$39=0,0,SUM($E$7:E24)/$E$39)</f>
        <v>0.98753401810424124</v>
      </c>
      <c r="K24" s="102" t="str">
        <f t="shared" si="1"/>
        <v>No</v>
      </c>
    </row>
    <row r="25" spans="2:11" ht="22.05" customHeight="1">
      <c r="B25" s="13" t="s">
        <v>727</v>
      </c>
      <c r="C25" s="14" t="s">
        <v>709</v>
      </c>
      <c r="E25" s="17">
        <f>C_Face_Drilling!N42</f>
        <v>5201.01</v>
      </c>
      <c r="F25" s="94">
        <f>C_Face_Drilling!O42</f>
        <v>3.7803037901815499</v>
      </c>
      <c r="H25" s="27">
        <f t="shared" si="0"/>
        <v>2.1896341340200279E-3</v>
      </c>
      <c r="I25" s="30">
        <f>IF($E$39=0,0,SUM($E$7:E25)/$E$39)</f>
        <v>0.9897236522382612</v>
      </c>
      <c r="K25" s="102" t="str">
        <f t="shared" si="1"/>
        <v>No</v>
      </c>
    </row>
    <row r="26" spans="2:11" ht="22.05" customHeight="1">
      <c r="B26" s="13" t="s">
        <v>728</v>
      </c>
      <c r="C26" s="14" t="s">
        <v>709</v>
      </c>
      <c r="E26" s="17">
        <f>C_Face_Drilling!N22</f>
        <v>4706.5</v>
      </c>
      <c r="F26" s="94">
        <f>C_Face_Drilling!O22</f>
        <v>3.4208739818784166</v>
      </c>
      <c r="H26" s="27">
        <f t="shared" si="0"/>
        <v>1.9814445755276877E-3</v>
      </c>
      <c r="I26" s="30">
        <f>IF($E$39=0,0,SUM($E$7:E26)/$E$39)</f>
        <v>0.99170509681378882</v>
      </c>
      <c r="K26" s="102" t="str">
        <f t="shared" si="1"/>
        <v>No</v>
      </c>
    </row>
    <row r="27" spans="2:11" ht="22.05" customHeight="1">
      <c r="B27" s="13" t="s">
        <v>729</v>
      </c>
      <c r="C27" s="14" t="s">
        <v>709</v>
      </c>
      <c r="E27" s="17">
        <f>C_Face_Drilling!N31</f>
        <v>4395.8999999999996</v>
      </c>
      <c r="F27" s="94">
        <f>C_Face_Drilling!O31</f>
        <v>3.1951173774438182</v>
      </c>
      <c r="H27" s="27">
        <f t="shared" si="0"/>
        <v>1.8506814425926193E-3</v>
      </c>
      <c r="I27" s="30">
        <f>IF($E$39=0,0,SUM($E$7:E27)/$E$39)</f>
        <v>0.99355577825638142</v>
      </c>
      <c r="K27" s="102" t="str">
        <f t="shared" si="1"/>
        <v>No</v>
      </c>
    </row>
    <row r="28" spans="2:11" ht="22.05" customHeight="1">
      <c r="B28" s="13" t="s">
        <v>730</v>
      </c>
      <c r="C28" s="14" t="s">
        <v>709</v>
      </c>
      <c r="E28" s="17">
        <f>C_Face_Drilling!N21</f>
        <v>3786.65</v>
      </c>
      <c r="F28" s="94">
        <f>C_Face_Drilling!O21</f>
        <v>2.7522899104387348</v>
      </c>
      <c r="H28" s="27">
        <f t="shared" si="0"/>
        <v>1.5941861472265845E-3</v>
      </c>
      <c r="I28" s="30">
        <f>IF($E$39=0,0,SUM($E$7:E28)/$E$39)</f>
        <v>0.99514996440360792</v>
      </c>
      <c r="K28" s="102" t="str">
        <f t="shared" si="1"/>
        <v>No</v>
      </c>
    </row>
    <row r="29" spans="2:11" ht="22.05" customHeight="1">
      <c r="B29" s="13" t="s">
        <v>731</v>
      </c>
      <c r="C29" s="14" t="s">
        <v>707</v>
      </c>
      <c r="E29" s="17">
        <f>B_Ground_Support!N8</f>
        <v>3249.1776240000004</v>
      </c>
      <c r="F29" s="94">
        <f>B_Ground_Support!O8</f>
        <v>2.3616333148715891</v>
      </c>
      <c r="H29" s="27">
        <f t="shared" si="0"/>
        <v>1.3679093547223505E-3</v>
      </c>
      <c r="I29" s="30">
        <f>IF($E$39=0,0,SUM($E$7:E29)/$E$39)</f>
        <v>0.99651787375833023</v>
      </c>
      <c r="K29" s="102" t="str">
        <f t="shared" si="1"/>
        <v>No</v>
      </c>
    </row>
    <row r="30" spans="2:11" ht="22.05" customHeight="1">
      <c r="B30" s="13" t="s">
        <v>732</v>
      </c>
      <c r="C30" s="14" t="s">
        <v>709</v>
      </c>
      <c r="E30" s="17">
        <f>C_Face_Drilling!N43</f>
        <v>2752.58</v>
      </c>
      <c r="F30" s="94">
        <f>C_Face_Drilling!O43</f>
        <v>2.0006861372652485</v>
      </c>
      <c r="H30" s="27">
        <f t="shared" si="0"/>
        <v>1.1588409029440142E-3</v>
      </c>
      <c r="I30" s="30">
        <f>IF($E$39=0,0,SUM($E$7:E30)/$E$39)</f>
        <v>0.99767671466127428</v>
      </c>
      <c r="K30" s="102" t="str">
        <f t="shared" si="1"/>
        <v>No</v>
      </c>
    </row>
    <row r="31" spans="2:11" ht="22.05" customHeight="1">
      <c r="B31" s="13" t="s">
        <v>733</v>
      </c>
      <c r="C31" s="14" t="s">
        <v>709</v>
      </c>
      <c r="E31" s="17">
        <f>C_Face_Drilling!N38</f>
        <v>1128</v>
      </c>
      <c r="F31" s="94">
        <f>C_Face_Drilling!O38</f>
        <v>0.81987588474638351</v>
      </c>
      <c r="H31" s="27">
        <f t="shared" si="0"/>
        <v>4.7488993544995896E-4</v>
      </c>
      <c r="I31" s="30">
        <f>IF($E$39=0,0,SUM($E$7:E31)/$E$39)</f>
        <v>0.99815160459672425</v>
      </c>
      <c r="K31" s="102" t="str">
        <f t="shared" si="1"/>
        <v>No</v>
      </c>
    </row>
    <row r="32" spans="2:11" ht="22.05" customHeight="1">
      <c r="B32" s="13" t="s">
        <v>734</v>
      </c>
      <c r="C32" s="14" t="s">
        <v>709</v>
      </c>
      <c r="E32" s="17">
        <f>C_Face_Drilling!N33</f>
        <v>1108.5</v>
      </c>
      <c r="F32" s="94">
        <f>C_Face_Drilling!O33</f>
        <v>0.80570249844092734</v>
      </c>
      <c r="H32" s="27">
        <f t="shared" si="0"/>
        <v>4.6668040199138259E-4</v>
      </c>
      <c r="I32" s="30">
        <f>IF($E$39=0,0,SUM($E$7:E32)/$E$39)</f>
        <v>0.99861828499871563</v>
      </c>
      <c r="K32" s="102" t="str">
        <f t="shared" si="1"/>
        <v>No</v>
      </c>
    </row>
    <row r="33" spans="2:12" ht="22.05" customHeight="1">
      <c r="B33" s="13" t="s">
        <v>735</v>
      </c>
      <c r="C33" s="14" t="s">
        <v>709</v>
      </c>
      <c r="E33" s="17">
        <f>C_Face_Drilling!N34</f>
        <v>829.89</v>
      </c>
      <c r="F33" s="94">
        <f>C_Face_Drilling!O34</f>
        <v>0.60319751595051074</v>
      </c>
      <c r="H33" s="27">
        <f t="shared" si="0"/>
        <v>3.4938511394553765E-4</v>
      </c>
      <c r="I33" s="30">
        <f>IF($E$39=0,0,SUM($E$7:E33)/$E$39)</f>
        <v>0.99896767011266119</v>
      </c>
      <c r="K33" s="102" t="str">
        <f t="shared" si="1"/>
        <v>No</v>
      </c>
    </row>
    <row r="34" spans="2:12" ht="22.05" customHeight="1">
      <c r="B34" s="13" t="s">
        <v>736</v>
      </c>
      <c r="C34" s="14" t="s">
        <v>709</v>
      </c>
      <c r="E34" s="17">
        <f>C_Face_Drilling!N44</f>
        <v>770.4</v>
      </c>
      <c r="F34" s="94">
        <f>C_Face_Drilling!O44</f>
        <v>0.55995778511401939</v>
      </c>
      <c r="H34" s="27">
        <f t="shared" si="0"/>
        <v>3.2433972187114217E-4</v>
      </c>
      <c r="I34" s="30">
        <f>IF($E$39=0,0,SUM($E$7:E34)/$E$39)</f>
        <v>0.99929200983453226</v>
      </c>
      <c r="K34" s="102" t="str">
        <f t="shared" si="1"/>
        <v>No</v>
      </c>
    </row>
    <row r="35" spans="2:12" ht="22.05" customHeight="1">
      <c r="B35" s="13" t="s">
        <v>737</v>
      </c>
      <c r="C35" s="14" t="s">
        <v>709</v>
      </c>
      <c r="E35" s="17">
        <f>C_Face_Drilling!N15</f>
        <v>629.64</v>
      </c>
      <c r="F35" s="94">
        <f>C_Face_Drilling!O15</f>
        <v>0.45764774119832702</v>
      </c>
      <c r="H35" s="27">
        <f t="shared" si="0"/>
        <v>2.650795203516952E-4</v>
      </c>
      <c r="I35" s="30">
        <f>IF($E$39=0,0,SUM($E$7:E35)/$E$39)</f>
        <v>0.99955708935488408</v>
      </c>
      <c r="K35" s="102" t="str">
        <f t="shared" si="1"/>
        <v>No</v>
      </c>
    </row>
    <row r="36" spans="2:12" ht="22.05" customHeight="1">
      <c r="B36" s="13" t="s">
        <v>738</v>
      </c>
      <c r="C36" s="14" t="s">
        <v>709</v>
      </c>
      <c r="E36" s="17">
        <f>C_Face_Drilling!N45</f>
        <v>481.5</v>
      </c>
      <c r="F36" s="94">
        <f>C_Face_Drilling!O45</f>
        <v>0.34997361569626212</v>
      </c>
      <c r="H36" s="27">
        <f t="shared" si="0"/>
        <v>2.0271232616946388E-4</v>
      </c>
      <c r="I36" s="30">
        <f>IF($E$39=0,0,SUM($E$7:E36)/$E$39)</f>
        <v>0.99975980168105349</v>
      </c>
      <c r="K36" s="102" t="str">
        <f t="shared" si="1"/>
        <v>No</v>
      </c>
    </row>
    <row r="37" spans="2:12" ht="22.05" customHeight="1">
      <c r="B37" s="13" t="s">
        <v>739</v>
      </c>
      <c r="C37" s="14" t="s">
        <v>709</v>
      </c>
      <c r="E37" s="17">
        <f>C_Face_Drilling!N40</f>
        <v>366.54</v>
      </c>
      <c r="F37" s="94">
        <f>C_Face_Drilling!O40</f>
        <v>0.26641605212317326</v>
      </c>
      <c r="H37" s="27">
        <f t="shared" si="0"/>
        <v>1.5431396891828721E-4</v>
      </c>
      <c r="I37" s="30">
        <f>IF($E$39=0,0,SUM($E$7:E37)/$E$39)</f>
        <v>0.99991411564997179</v>
      </c>
      <c r="K37" s="102" t="str">
        <f t="shared" si="1"/>
        <v>No</v>
      </c>
    </row>
    <row r="38" spans="2:12" ht="22.05" customHeight="1">
      <c r="B38" s="13" t="s">
        <v>740</v>
      </c>
      <c r="C38" s="14" t="s">
        <v>709</v>
      </c>
      <c r="E38" s="17">
        <f>C_Face_Drilling!N39</f>
        <v>204</v>
      </c>
      <c r="F38" s="94">
        <f>C_Face_Drilling!O39</f>
        <v>0.14827542596477147</v>
      </c>
      <c r="H38" s="27">
        <f t="shared" si="0"/>
        <v>8.588435002818407E-5</v>
      </c>
      <c r="I38" s="30">
        <f>IF($E$39=0,0,SUM($E$7:E38)/$E$39)</f>
        <v>1</v>
      </c>
      <c r="K38" s="102" t="str">
        <f t="shared" si="1"/>
        <v>No</v>
      </c>
    </row>
    <row r="39" spans="2:12" ht="22.05" customHeight="1">
      <c r="B39" s="58" t="s">
        <v>545</v>
      </c>
      <c r="E39" s="93">
        <f>SUM(E7:E38)</f>
        <v>2375287.2314112494</v>
      </c>
      <c r="F39" s="103">
        <f>SUM(F7:F38)</f>
        <v>1726.454539344048</v>
      </c>
      <c r="I39" s="63">
        <f>IF($E$39=0,0,SUM($E$7:$E$38)/$E$39)</f>
        <v>1</v>
      </c>
    </row>
    <row r="41" spans="2:12" ht="24" customHeight="1">
      <c r="B41" s="121" t="s">
        <v>741</v>
      </c>
      <c r="C41" s="122"/>
      <c r="D41" s="122"/>
      <c r="E41" s="122"/>
      <c r="F41" s="122"/>
      <c r="G41" s="122"/>
      <c r="H41" s="122"/>
      <c r="I41" s="122"/>
      <c r="J41" s="122"/>
      <c r="K41" s="122"/>
      <c r="L41" s="122"/>
    </row>
    <row r="43" spans="2:12" ht="24" customHeight="1">
      <c r="B43" s="125" t="s">
        <v>742</v>
      </c>
      <c r="C43" s="122"/>
      <c r="D43" s="122"/>
      <c r="E43" s="122"/>
      <c r="F43" s="122"/>
      <c r="G43" s="122"/>
      <c r="H43" s="122"/>
      <c r="I43" s="122"/>
      <c r="J43" s="122"/>
      <c r="K43" s="122"/>
      <c r="L43" s="122"/>
    </row>
  </sheetData>
  <mergeCells count="3">
    <mergeCell ref="B4:L4"/>
    <mergeCell ref="B43:L43"/>
    <mergeCell ref="B41:L4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N62"/>
  <sheetViews>
    <sheetView showGridLines="0" workbookViewId="0"/>
  </sheetViews>
  <sheetFormatPr defaultRowHeight="14.4"/>
  <cols>
    <col min="1" max="1" width="4" customWidth="1"/>
    <col min="2" max="2" width="34" customWidth="1"/>
    <col min="3" max="3" width="12" customWidth="1"/>
    <col min="4" max="4" width="4" customWidth="1"/>
    <col min="5" max="7" width="20" customWidth="1"/>
    <col min="8" max="8" width="4" customWidth="1"/>
    <col min="9" max="9" width="22" customWidth="1"/>
    <col min="10" max="10" width="4" customWidth="1"/>
    <col min="11" max="11" width="18" customWidth="1"/>
    <col min="12" max="12" width="20" customWidth="1"/>
    <col min="13" max="13" width="4" customWidth="1"/>
    <col min="14" max="14" width="34" customWidth="1"/>
  </cols>
  <sheetData>
    <row r="1" spans="2:14" ht="7.95" customHeight="1"/>
    <row r="2" spans="2:14" ht="30" customHeight="1">
      <c r="B2" s="12" t="s">
        <v>743</v>
      </c>
    </row>
    <row r="3" spans="2:14" ht="19.95" customHeight="1">
      <c r="B3" s="3" t="s">
        <v>744</v>
      </c>
    </row>
    <row r="4" spans="2:14" ht="24" customHeight="1">
      <c r="B4" s="121" t="s">
        <v>745</v>
      </c>
      <c r="C4" s="122"/>
      <c r="D4" s="122"/>
      <c r="E4" s="122"/>
      <c r="F4" s="122"/>
      <c r="G4" s="122"/>
      <c r="H4" s="122"/>
      <c r="I4" s="122"/>
      <c r="J4" s="122"/>
      <c r="K4" s="122"/>
      <c r="L4" s="122"/>
      <c r="M4" s="122"/>
      <c r="N4" s="122"/>
    </row>
    <row r="5" spans="2:14" ht="7.95" customHeight="1"/>
    <row r="6" spans="2:14" ht="24" customHeight="1">
      <c r="B6" s="4" t="s">
        <v>746</v>
      </c>
      <c r="C6" s="5"/>
      <c r="D6" s="5"/>
      <c r="E6" s="5"/>
      <c r="F6" s="5"/>
      <c r="G6" s="5"/>
      <c r="H6" s="5"/>
      <c r="I6" s="5"/>
      <c r="J6" s="5"/>
      <c r="K6" s="5"/>
      <c r="L6" s="5"/>
      <c r="M6" s="5"/>
    </row>
    <row r="7" spans="2:14" ht="34.049999999999997" customHeight="1">
      <c r="B7" s="8" t="s">
        <v>747</v>
      </c>
      <c r="C7" s="8" t="s">
        <v>748</v>
      </c>
      <c r="D7" s="8"/>
      <c r="E7" s="8" t="s">
        <v>749</v>
      </c>
      <c r="F7" s="8"/>
      <c r="G7" s="8"/>
      <c r="H7" s="8"/>
      <c r="I7" s="8" t="s">
        <v>750</v>
      </c>
    </row>
    <row r="8" spans="2:14" ht="31.95" customHeight="1">
      <c r="B8" s="13" t="s">
        <v>751</v>
      </c>
      <c r="C8" s="14" t="s">
        <v>752</v>
      </c>
      <c r="E8" s="128" t="s">
        <v>753</v>
      </c>
      <c r="F8" s="129"/>
      <c r="G8" s="129"/>
      <c r="H8" s="129"/>
      <c r="I8" s="102" t="s">
        <v>754</v>
      </c>
    </row>
    <row r="9" spans="2:14" ht="22.05" customHeight="1">
      <c r="B9" s="13" t="s">
        <v>755</v>
      </c>
      <c r="C9" s="14" t="s">
        <v>756</v>
      </c>
      <c r="E9" s="128" t="s">
        <v>757</v>
      </c>
      <c r="F9" s="129"/>
      <c r="G9" s="129"/>
      <c r="H9" s="129"/>
      <c r="I9" s="102" t="s">
        <v>758</v>
      </c>
    </row>
    <row r="10" spans="2:14" ht="31.95" customHeight="1">
      <c r="B10" s="13" t="s">
        <v>759</v>
      </c>
      <c r="C10" s="14" t="s">
        <v>760</v>
      </c>
      <c r="E10" s="128" t="s">
        <v>761</v>
      </c>
      <c r="F10" s="129"/>
      <c r="G10" s="129"/>
      <c r="H10" s="129"/>
      <c r="I10" s="102" t="s">
        <v>762</v>
      </c>
    </row>
    <row r="12" spans="2:14" ht="24" customHeight="1">
      <c r="B12" s="121" t="s">
        <v>763</v>
      </c>
      <c r="C12" s="122"/>
      <c r="D12" s="122"/>
      <c r="E12" s="122"/>
      <c r="F12" s="122"/>
      <c r="G12" s="122"/>
      <c r="H12" s="122"/>
      <c r="I12" s="122"/>
      <c r="J12" s="122"/>
      <c r="K12" s="122"/>
      <c r="L12" s="122"/>
      <c r="M12" s="122"/>
      <c r="N12" s="122"/>
    </row>
    <row r="14" spans="2:14" ht="24" customHeight="1">
      <c r="B14" s="4" t="s">
        <v>764</v>
      </c>
      <c r="C14" s="5"/>
      <c r="D14" s="5"/>
      <c r="E14" s="5"/>
      <c r="F14" s="5"/>
      <c r="G14" s="5"/>
      <c r="H14" s="5"/>
      <c r="I14" s="5"/>
      <c r="J14" s="5"/>
      <c r="K14" s="5"/>
      <c r="L14" s="5"/>
      <c r="M14" s="5"/>
    </row>
    <row r="15" spans="2:14" ht="40.049999999999997" customHeight="1">
      <c r="B15" s="8" t="s">
        <v>130</v>
      </c>
      <c r="C15" s="8" t="s">
        <v>235</v>
      </c>
      <c r="D15" s="8"/>
      <c r="E15" s="8" t="s">
        <v>751</v>
      </c>
      <c r="F15" s="8" t="s">
        <v>755</v>
      </c>
      <c r="G15" s="8" t="s">
        <v>759</v>
      </c>
      <c r="H15" s="8"/>
      <c r="I15" s="8" t="s">
        <v>765</v>
      </c>
      <c r="J15" s="8"/>
      <c r="K15" s="8" t="s">
        <v>766</v>
      </c>
      <c r="L15" s="8" t="s">
        <v>767</v>
      </c>
      <c r="M15" s="8"/>
      <c r="N15" s="8" t="s">
        <v>768</v>
      </c>
    </row>
    <row r="16" spans="2:14" ht="22.05" customHeight="1">
      <c r="B16" s="14" t="s">
        <v>769</v>
      </c>
      <c r="C16" s="14" t="s">
        <v>99</v>
      </c>
      <c r="E16" s="60">
        <f>MAX(0,Consumption_PL!I15)</f>
        <v>2575</v>
      </c>
      <c r="F16" s="56">
        <v>2956</v>
      </c>
      <c r="G16" s="60">
        <f>Consumption_Issues!F14</f>
        <v>1852</v>
      </c>
      <c r="I16" s="57">
        <f t="shared" ref="I16:I39" si="0">E16</f>
        <v>2575</v>
      </c>
      <c r="K16" s="104">
        <f t="shared" ref="K16:K39" si="1">IF(NOT(ISNUMBER(F16)),"n/a",IF(MIN(E16,F16,G16)&lt;=0,"n/a",MAX(E16,F16,G16)/MIN(E16,F16,G16)))</f>
        <v>1.5961123110151187</v>
      </c>
      <c r="L16" s="61">
        <f t="shared" ref="L16:L39" si="2">IF(NOT(ISNUMBER(F16)),"",E16-F16)</f>
        <v>-381</v>
      </c>
      <c r="N16" s="13" t="str">
        <f t="shared" ref="N16:N39" si="3">IF(OR(E16&lt;=0,NOT(ISNUMBER(F16))),"",IF(ABS(E16-F16)/E16&gt;0.25,"Investigate","Consistent"))</f>
        <v>Consistent</v>
      </c>
    </row>
    <row r="17" spans="2:14" ht="22.05" customHeight="1">
      <c r="B17" s="14" t="s">
        <v>769</v>
      </c>
      <c r="C17" s="14" t="s">
        <v>100</v>
      </c>
      <c r="E17" s="60">
        <f>MAX(0,Consumption_PL!M15)</f>
        <v>3674</v>
      </c>
      <c r="F17" s="56">
        <v>3191</v>
      </c>
      <c r="G17" s="60">
        <f>Consumption_Issues!G14</f>
        <v>885</v>
      </c>
      <c r="I17" s="57">
        <f t="shared" si="0"/>
        <v>3674</v>
      </c>
      <c r="K17" s="104">
        <f t="shared" si="1"/>
        <v>4.1514124293785315</v>
      </c>
      <c r="L17" s="61">
        <f t="shared" si="2"/>
        <v>483</v>
      </c>
      <c r="N17" s="13" t="str">
        <f t="shared" si="3"/>
        <v>Consistent</v>
      </c>
    </row>
    <row r="18" spans="2:14" ht="22.05" customHeight="1">
      <c r="B18" s="14" t="s">
        <v>769</v>
      </c>
      <c r="C18" s="14" t="s">
        <v>101</v>
      </c>
      <c r="E18" s="60">
        <f>MAX(0,Consumption_PL!Q15)</f>
        <v>4163</v>
      </c>
      <c r="F18" s="56">
        <v>3961</v>
      </c>
      <c r="G18" s="60">
        <f>Consumption_Issues!H14</f>
        <v>1602</v>
      </c>
      <c r="I18" s="57">
        <f t="shared" si="0"/>
        <v>4163</v>
      </c>
      <c r="K18" s="104">
        <f t="shared" si="1"/>
        <v>2.5986267166042447</v>
      </c>
      <c r="L18" s="61">
        <f t="shared" si="2"/>
        <v>202</v>
      </c>
      <c r="N18" s="13" t="str">
        <f t="shared" si="3"/>
        <v>Consistent</v>
      </c>
    </row>
    <row r="19" spans="2:14" ht="22.05" customHeight="1">
      <c r="B19" s="14" t="s">
        <v>769</v>
      </c>
      <c r="C19" s="14" t="s">
        <v>102</v>
      </c>
      <c r="E19" s="60">
        <f>MAX(0,Consumption_PL!U15)</f>
        <v>3319</v>
      </c>
      <c r="F19" s="105" t="s">
        <v>770</v>
      </c>
      <c r="G19" s="60">
        <f>Consumption_Issues!I14</f>
        <v>4339</v>
      </c>
      <c r="I19" s="57">
        <f t="shared" si="0"/>
        <v>3319</v>
      </c>
      <c r="K19" s="104" t="str">
        <f t="shared" si="1"/>
        <v>n/a</v>
      </c>
      <c r="L19" s="61" t="str">
        <f t="shared" si="2"/>
        <v/>
      </c>
      <c r="N19" s="13" t="str">
        <f t="shared" si="3"/>
        <v/>
      </c>
    </row>
    <row r="20" spans="2:14" ht="22.05" customHeight="1">
      <c r="B20" s="14" t="s">
        <v>771</v>
      </c>
      <c r="C20" s="14" t="s">
        <v>99</v>
      </c>
      <c r="E20" s="60">
        <f>MAX(0,Consumption_PL!I14)</f>
        <v>743</v>
      </c>
      <c r="F20" s="56">
        <v>1025</v>
      </c>
      <c r="G20" s="60">
        <f>Consumption_Issues!F13</f>
        <v>156</v>
      </c>
      <c r="I20" s="57">
        <f t="shared" si="0"/>
        <v>743</v>
      </c>
      <c r="K20" s="104">
        <f t="shared" si="1"/>
        <v>6.5705128205128203</v>
      </c>
      <c r="L20" s="61">
        <f t="shared" si="2"/>
        <v>-282</v>
      </c>
      <c r="N20" s="13" t="str">
        <f t="shared" si="3"/>
        <v>Investigate</v>
      </c>
    </row>
    <row r="21" spans="2:14" ht="22.05" customHeight="1">
      <c r="B21" s="14" t="s">
        <v>771</v>
      </c>
      <c r="C21" s="14" t="s">
        <v>100</v>
      </c>
      <c r="E21" s="60">
        <f>MAX(0,Consumption_PL!M14)</f>
        <v>949</v>
      </c>
      <c r="F21" s="56">
        <v>671</v>
      </c>
      <c r="G21" s="60">
        <f>Consumption_Issues!G13</f>
        <v>1350</v>
      </c>
      <c r="I21" s="57">
        <f t="shared" si="0"/>
        <v>949</v>
      </c>
      <c r="K21" s="104">
        <f t="shared" si="1"/>
        <v>2.0119225037257826</v>
      </c>
      <c r="L21" s="61">
        <f t="shared" si="2"/>
        <v>278</v>
      </c>
      <c r="N21" s="13" t="str">
        <f t="shared" si="3"/>
        <v>Investigate</v>
      </c>
    </row>
    <row r="22" spans="2:14" ht="22.05" customHeight="1">
      <c r="B22" s="14" t="s">
        <v>771</v>
      </c>
      <c r="C22" s="14" t="s">
        <v>101</v>
      </c>
      <c r="E22" s="60">
        <f>MAX(0,Consumption_PL!Q14)</f>
        <v>2159</v>
      </c>
      <c r="F22" s="56">
        <v>2114</v>
      </c>
      <c r="G22" s="60">
        <f>Consumption_Issues!H13</f>
        <v>728</v>
      </c>
      <c r="I22" s="57">
        <f t="shared" si="0"/>
        <v>2159</v>
      </c>
      <c r="K22" s="104">
        <f t="shared" si="1"/>
        <v>2.9656593406593408</v>
      </c>
      <c r="L22" s="61">
        <f t="shared" si="2"/>
        <v>45</v>
      </c>
      <c r="N22" s="13" t="str">
        <f t="shared" si="3"/>
        <v>Consistent</v>
      </c>
    </row>
    <row r="23" spans="2:14" ht="22.05" customHeight="1">
      <c r="B23" s="14" t="s">
        <v>771</v>
      </c>
      <c r="C23" s="14" t="s">
        <v>102</v>
      </c>
      <c r="E23" s="60">
        <f>MAX(0,Consumption_PL!U14)</f>
        <v>2286</v>
      </c>
      <c r="F23" s="105" t="s">
        <v>770</v>
      </c>
      <c r="G23" s="60">
        <f>Consumption_Issues!I13</f>
        <v>2234</v>
      </c>
      <c r="I23" s="57">
        <f t="shared" si="0"/>
        <v>2286</v>
      </c>
      <c r="K23" s="104" t="str">
        <f t="shared" si="1"/>
        <v>n/a</v>
      </c>
      <c r="L23" s="61" t="str">
        <f t="shared" si="2"/>
        <v/>
      </c>
      <c r="N23" s="13" t="str">
        <f t="shared" si="3"/>
        <v/>
      </c>
    </row>
    <row r="24" spans="2:14" ht="22.05" customHeight="1">
      <c r="B24" s="14" t="s">
        <v>772</v>
      </c>
      <c r="C24" s="14" t="s">
        <v>99</v>
      </c>
      <c r="E24" s="60">
        <f>MAX(0,Consumption_PL!I13)</f>
        <v>300</v>
      </c>
      <c r="F24" s="56">
        <v>78</v>
      </c>
      <c r="G24" s="60">
        <f>Consumption_Issues!F12</f>
        <v>26</v>
      </c>
      <c r="I24" s="57">
        <f t="shared" si="0"/>
        <v>300</v>
      </c>
      <c r="K24" s="104">
        <f t="shared" si="1"/>
        <v>11.538461538461538</v>
      </c>
      <c r="L24" s="61">
        <f t="shared" si="2"/>
        <v>222</v>
      </c>
      <c r="N24" s="13" t="str">
        <f t="shared" si="3"/>
        <v>Investigate</v>
      </c>
    </row>
    <row r="25" spans="2:14" ht="22.05" customHeight="1">
      <c r="B25" s="14" t="s">
        <v>772</v>
      </c>
      <c r="C25" s="14" t="s">
        <v>100</v>
      </c>
      <c r="E25" s="60">
        <f>MAX(0,Consumption_PL!M13)</f>
        <v>529</v>
      </c>
      <c r="F25" s="56">
        <v>345</v>
      </c>
      <c r="G25" s="60">
        <f>Consumption_Issues!G12</f>
        <v>150</v>
      </c>
      <c r="I25" s="57">
        <f t="shared" si="0"/>
        <v>529</v>
      </c>
      <c r="K25" s="104">
        <f t="shared" si="1"/>
        <v>3.5266666666666668</v>
      </c>
      <c r="L25" s="61">
        <f t="shared" si="2"/>
        <v>184</v>
      </c>
      <c r="N25" s="13" t="str">
        <f t="shared" si="3"/>
        <v>Investigate</v>
      </c>
    </row>
    <row r="26" spans="2:14" ht="22.05" customHeight="1">
      <c r="B26" s="14" t="s">
        <v>772</v>
      </c>
      <c r="C26" s="14" t="s">
        <v>101</v>
      </c>
      <c r="E26" s="60">
        <f>MAX(0,Consumption_PL!Q13)</f>
        <v>401</v>
      </c>
      <c r="F26" s="56">
        <v>293</v>
      </c>
      <c r="G26" s="60">
        <f>Consumption_Issues!H12</f>
        <v>270</v>
      </c>
      <c r="I26" s="57">
        <f t="shared" si="0"/>
        <v>401</v>
      </c>
      <c r="K26" s="104">
        <f t="shared" si="1"/>
        <v>1.4851851851851852</v>
      </c>
      <c r="L26" s="61">
        <f t="shared" si="2"/>
        <v>108</v>
      </c>
      <c r="N26" s="13" t="str">
        <f t="shared" si="3"/>
        <v>Investigate</v>
      </c>
    </row>
    <row r="27" spans="2:14" ht="22.05" customHeight="1">
      <c r="B27" s="14" t="s">
        <v>772</v>
      </c>
      <c r="C27" s="14" t="s">
        <v>102</v>
      </c>
      <c r="E27" s="60">
        <f>MAX(0,Consumption_PL!U13)</f>
        <v>320</v>
      </c>
      <c r="F27" s="105" t="s">
        <v>770</v>
      </c>
      <c r="G27" s="60">
        <f>Consumption_Issues!I12</f>
        <v>446</v>
      </c>
      <c r="I27" s="57">
        <f t="shared" si="0"/>
        <v>320</v>
      </c>
      <c r="K27" s="104" t="str">
        <f t="shared" si="1"/>
        <v>n/a</v>
      </c>
      <c r="L27" s="61" t="str">
        <f t="shared" si="2"/>
        <v/>
      </c>
      <c r="N27" s="13" t="str">
        <f t="shared" si="3"/>
        <v/>
      </c>
    </row>
    <row r="28" spans="2:14" ht="22.05" customHeight="1">
      <c r="B28" s="14" t="s">
        <v>773</v>
      </c>
      <c r="C28" s="14" t="s">
        <v>99</v>
      </c>
      <c r="E28" s="60">
        <f>MAX(0,Consumption_PL!I12)</f>
        <v>183</v>
      </c>
      <c r="F28" s="56">
        <v>6</v>
      </c>
      <c r="G28" s="60">
        <f>Consumption_Issues!F11</f>
        <v>0</v>
      </c>
      <c r="I28" s="57">
        <f t="shared" si="0"/>
        <v>183</v>
      </c>
      <c r="K28" s="104" t="str">
        <f t="shared" si="1"/>
        <v>n/a</v>
      </c>
      <c r="L28" s="61">
        <f t="shared" si="2"/>
        <v>177</v>
      </c>
      <c r="N28" s="13" t="str">
        <f t="shared" si="3"/>
        <v>Investigate</v>
      </c>
    </row>
    <row r="29" spans="2:14" ht="22.05" customHeight="1">
      <c r="B29" s="14" t="s">
        <v>773</v>
      </c>
      <c r="C29" s="14" t="s">
        <v>100</v>
      </c>
      <c r="E29" s="60">
        <f>MAX(0,Consumption_PL!M12)</f>
        <v>177</v>
      </c>
      <c r="F29" s="56">
        <v>37</v>
      </c>
      <c r="G29" s="60">
        <f>Consumption_Issues!G11</f>
        <v>0</v>
      </c>
      <c r="I29" s="57">
        <f t="shared" si="0"/>
        <v>177</v>
      </c>
      <c r="K29" s="104" t="str">
        <f t="shared" si="1"/>
        <v>n/a</v>
      </c>
      <c r="L29" s="61">
        <f t="shared" si="2"/>
        <v>140</v>
      </c>
      <c r="N29" s="13" t="str">
        <f t="shared" si="3"/>
        <v>Investigate</v>
      </c>
    </row>
    <row r="30" spans="2:14" ht="22.05" customHeight="1">
      <c r="B30" s="14" t="s">
        <v>773</v>
      </c>
      <c r="C30" s="14" t="s">
        <v>101</v>
      </c>
      <c r="E30" s="60">
        <f>MAX(0,Consumption_PL!Q12)</f>
        <v>0</v>
      </c>
      <c r="F30" s="56">
        <v>5</v>
      </c>
      <c r="G30" s="60">
        <f>Consumption_Issues!H11</f>
        <v>150</v>
      </c>
      <c r="I30" s="57">
        <f t="shared" si="0"/>
        <v>0</v>
      </c>
      <c r="K30" s="104" t="str">
        <f t="shared" si="1"/>
        <v>n/a</v>
      </c>
      <c r="L30" s="61">
        <f t="shared" si="2"/>
        <v>-5</v>
      </c>
      <c r="N30" s="13" t="str">
        <f t="shared" si="3"/>
        <v/>
      </c>
    </row>
    <row r="31" spans="2:14" ht="22.05" customHeight="1">
      <c r="B31" s="14" t="s">
        <v>773</v>
      </c>
      <c r="C31" s="14" t="s">
        <v>102</v>
      </c>
      <c r="E31" s="60">
        <f>MAX(0,Consumption_PL!U12)</f>
        <v>80</v>
      </c>
      <c r="F31" s="105" t="s">
        <v>770</v>
      </c>
      <c r="G31" s="60">
        <f>Consumption_Issues!I11</f>
        <v>150</v>
      </c>
      <c r="I31" s="57">
        <f t="shared" si="0"/>
        <v>80</v>
      </c>
      <c r="K31" s="104" t="str">
        <f t="shared" si="1"/>
        <v>n/a</v>
      </c>
      <c r="L31" s="61" t="str">
        <f t="shared" si="2"/>
        <v/>
      </c>
      <c r="N31" s="13" t="str">
        <f t="shared" si="3"/>
        <v/>
      </c>
    </row>
    <row r="32" spans="2:14" ht="22.05" customHeight="1">
      <c r="B32" s="14" t="s">
        <v>774</v>
      </c>
      <c r="C32" s="14" t="s">
        <v>99</v>
      </c>
      <c r="E32" s="60">
        <f>MAX(0,Consumption_PL!I19)</f>
        <v>2291</v>
      </c>
      <c r="F32" s="56">
        <v>396</v>
      </c>
      <c r="G32" s="60">
        <f>Consumption_Issues!F18</f>
        <v>200</v>
      </c>
      <c r="I32" s="57">
        <f t="shared" si="0"/>
        <v>2291</v>
      </c>
      <c r="K32" s="104">
        <f t="shared" si="1"/>
        <v>11.455</v>
      </c>
      <c r="L32" s="61">
        <f t="shared" si="2"/>
        <v>1895</v>
      </c>
      <c r="N32" s="13" t="str">
        <f t="shared" si="3"/>
        <v>Investigate</v>
      </c>
    </row>
    <row r="33" spans="2:14" ht="22.05" customHeight="1">
      <c r="B33" s="14" t="s">
        <v>774</v>
      </c>
      <c r="C33" s="14" t="s">
        <v>100</v>
      </c>
      <c r="E33" s="60">
        <f>MAX(0,Consumption_PL!M19)</f>
        <v>408</v>
      </c>
      <c r="F33" s="56">
        <v>483</v>
      </c>
      <c r="G33" s="60">
        <f>Consumption_Issues!G18</f>
        <v>230</v>
      </c>
      <c r="I33" s="57">
        <f t="shared" si="0"/>
        <v>408</v>
      </c>
      <c r="K33" s="104">
        <f t="shared" si="1"/>
        <v>2.1</v>
      </c>
      <c r="L33" s="61">
        <f t="shared" si="2"/>
        <v>-75</v>
      </c>
      <c r="N33" s="13" t="str">
        <f t="shared" si="3"/>
        <v>Consistent</v>
      </c>
    </row>
    <row r="34" spans="2:14" ht="22.05" customHeight="1">
      <c r="B34" s="14" t="s">
        <v>774</v>
      </c>
      <c r="C34" s="14" t="s">
        <v>101</v>
      </c>
      <c r="E34" s="60">
        <f>MAX(0,Consumption_PL!Q19)</f>
        <v>821</v>
      </c>
      <c r="F34" s="56">
        <v>676</v>
      </c>
      <c r="G34" s="60">
        <f>Consumption_Issues!H18</f>
        <v>369</v>
      </c>
      <c r="I34" s="57">
        <f t="shared" si="0"/>
        <v>821</v>
      </c>
      <c r="K34" s="104">
        <f t="shared" si="1"/>
        <v>2.2249322493224932</v>
      </c>
      <c r="L34" s="61">
        <f t="shared" si="2"/>
        <v>145</v>
      </c>
      <c r="N34" s="13" t="str">
        <f t="shared" si="3"/>
        <v>Consistent</v>
      </c>
    </row>
    <row r="35" spans="2:14" ht="22.05" customHeight="1">
      <c r="B35" s="14" t="s">
        <v>774</v>
      </c>
      <c r="C35" s="14" t="s">
        <v>102</v>
      </c>
      <c r="E35" s="60">
        <f>MAX(0,Consumption_PL!U19)</f>
        <v>769</v>
      </c>
      <c r="F35" s="105" t="s">
        <v>770</v>
      </c>
      <c r="G35" s="60">
        <f>Consumption_Issues!I18</f>
        <v>799</v>
      </c>
      <c r="I35" s="57">
        <f t="shared" si="0"/>
        <v>769</v>
      </c>
      <c r="K35" s="104" t="str">
        <f t="shared" si="1"/>
        <v>n/a</v>
      </c>
      <c r="L35" s="61" t="str">
        <f t="shared" si="2"/>
        <v/>
      </c>
      <c r="N35" s="13" t="str">
        <f t="shared" si="3"/>
        <v/>
      </c>
    </row>
    <row r="36" spans="2:14" ht="22.05" customHeight="1">
      <c r="B36" s="14" t="s">
        <v>775</v>
      </c>
      <c r="C36" s="14" t="s">
        <v>99</v>
      </c>
      <c r="E36" s="60">
        <f>MAX(0,Consumption_PL!I43)</f>
        <v>27</v>
      </c>
      <c r="F36" s="56">
        <v>0</v>
      </c>
      <c r="G36" s="60">
        <f>Consumption_Issues!F42</f>
        <v>0</v>
      </c>
      <c r="I36" s="57">
        <f t="shared" si="0"/>
        <v>27</v>
      </c>
      <c r="K36" s="104" t="str">
        <f t="shared" si="1"/>
        <v>n/a</v>
      </c>
      <c r="L36" s="61">
        <f t="shared" si="2"/>
        <v>27</v>
      </c>
      <c r="N36" s="13" t="str">
        <f t="shared" si="3"/>
        <v>Investigate</v>
      </c>
    </row>
    <row r="37" spans="2:14" ht="22.05" customHeight="1">
      <c r="B37" s="14" t="s">
        <v>775</v>
      </c>
      <c r="C37" s="14" t="s">
        <v>100</v>
      </c>
      <c r="E37" s="60">
        <f>MAX(0,Consumption_PL!M43)</f>
        <v>0</v>
      </c>
      <c r="F37" s="56">
        <v>66</v>
      </c>
      <c r="G37" s="60">
        <f>Consumption_Issues!G42</f>
        <v>51</v>
      </c>
      <c r="I37" s="57">
        <f t="shared" si="0"/>
        <v>0</v>
      </c>
      <c r="K37" s="104" t="str">
        <f t="shared" si="1"/>
        <v>n/a</v>
      </c>
      <c r="L37" s="61">
        <f t="shared" si="2"/>
        <v>-66</v>
      </c>
      <c r="N37" s="13" t="str">
        <f t="shared" si="3"/>
        <v/>
      </c>
    </row>
    <row r="38" spans="2:14" ht="22.05" customHeight="1">
      <c r="B38" s="14" t="s">
        <v>775</v>
      </c>
      <c r="C38" s="14" t="s">
        <v>101</v>
      </c>
      <c r="E38" s="60">
        <f>MAX(0,Consumption_PL!Q43)</f>
        <v>60</v>
      </c>
      <c r="F38" s="56">
        <v>40</v>
      </c>
      <c r="G38" s="60">
        <f>Consumption_Issues!H42</f>
        <v>18</v>
      </c>
      <c r="I38" s="57">
        <f t="shared" si="0"/>
        <v>60</v>
      </c>
      <c r="K38" s="104">
        <f t="shared" si="1"/>
        <v>3.3333333333333335</v>
      </c>
      <c r="L38" s="61">
        <f t="shared" si="2"/>
        <v>20</v>
      </c>
      <c r="N38" s="13" t="str">
        <f t="shared" si="3"/>
        <v>Investigate</v>
      </c>
    </row>
    <row r="39" spans="2:14" ht="22.05" customHeight="1">
      <c r="B39" s="14" t="s">
        <v>775</v>
      </c>
      <c r="C39" s="14" t="s">
        <v>102</v>
      </c>
      <c r="E39" s="60">
        <f>MAX(0,Consumption_PL!U43)</f>
        <v>60</v>
      </c>
      <c r="F39" s="105" t="s">
        <v>770</v>
      </c>
      <c r="G39" s="60">
        <f>Consumption_Issues!I42</f>
        <v>69</v>
      </c>
      <c r="I39" s="57">
        <f t="shared" si="0"/>
        <v>60</v>
      </c>
      <c r="K39" s="104" t="str">
        <f t="shared" si="1"/>
        <v>n/a</v>
      </c>
      <c r="L39" s="61" t="str">
        <f t="shared" si="2"/>
        <v/>
      </c>
      <c r="N39" s="13" t="str">
        <f t="shared" si="3"/>
        <v/>
      </c>
    </row>
    <row r="40" spans="2:14">
      <c r="B40" s="58" t="s">
        <v>776</v>
      </c>
      <c r="E40" s="59">
        <f>SUM(E16:E39)</f>
        <v>26294</v>
      </c>
      <c r="F40" s="59">
        <f>SUMIF(F16:F39,"&lt;&gt;")</f>
        <v>16343</v>
      </c>
      <c r="G40" s="59">
        <f>SUM(G16:G39)</f>
        <v>16074</v>
      </c>
      <c r="I40" s="59">
        <f>SUM(I16:I39)</f>
        <v>26294</v>
      </c>
      <c r="L40" s="59">
        <f>SUM(L16:L39)</f>
        <v>3117</v>
      </c>
    </row>
    <row r="42" spans="2:14" ht="24" customHeight="1">
      <c r="B42" s="4" t="s">
        <v>777</v>
      </c>
      <c r="C42" s="5"/>
      <c r="D42" s="5"/>
      <c r="E42" s="5"/>
      <c r="F42" s="5"/>
      <c r="G42" s="5"/>
      <c r="H42" s="5"/>
      <c r="I42" s="5"/>
      <c r="J42" s="5"/>
      <c r="K42" s="5"/>
      <c r="L42" s="5"/>
      <c r="M42" s="5"/>
    </row>
    <row r="43" spans="2:14" ht="34.049999999999997" customHeight="1">
      <c r="B43" s="8" t="s">
        <v>97</v>
      </c>
      <c r="C43" s="8"/>
      <c r="D43" s="8"/>
      <c r="E43" s="8" t="s">
        <v>778</v>
      </c>
      <c r="F43" s="8"/>
      <c r="G43" s="8"/>
      <c r="H43" s="8"/>
      <c r="I43" s="8" t="s">
        <v>779</v>
      </c>
      <c r="J43" s="8"/>
      <c r="K43" s="8"/>
      <c r="L43" s="8"/>
      <c r="M43" s="8"/>
      <c r="N43" s="8" t="s">
        <v>136</v>
      </c>
    </row>
    <row r="44" spans="2:14" ht="22.05" customHeight="1">
      <c r="B44" s="13" t="s">
        <v>780</v>
      </c>
      <c r="E44" s="57">
        <f>E16+E17+E18+E20+E21+E22+E24+E25+E26+E28+E29+E30+E32+E33+E34+E36+E37+E38</f>
        <v>19460</v>
      </c>
      <c r="I44" s="27">
        <f>IF($E$44=0,0,E44/$E$44)</f>
        <v>1</v>
      </c>
      <c r="N44" s="28" t="s">
        <v>781</v>
      </c>
    </row>
    <row r="45" spans="2:14" ht="31.95" customHeight="1">
      <c r="B45" s="13" t="s">
        <v>782</v>
      </c>
      <c r="E45" s="57">
        <f>F16+F17+F18+F20+F21+F22+F24+F25+F26+F28+F29+F30+F32+F33+F34+F36+F37+F38</f>
        <v>16343</v>
      </c>
      <c r="I45" s="27">
        <f>IF($E$44=0,0,E45/$E$44)</f>
        <v>0.83982528263103806</v>
      </c>
      <c r="N45" s="28" t="s">
        <v>783</v>
      </c>
    </row>
    <row r="46" spans="2:14" ht="31.95" customHeight="1">
      <c r="B46" s="13" t="s">
        <v>784</v>
      </c>
      <c r="E46" s="57">
        <f>(E16+E17+E18+E20+E21+E22+E24+E25+E26+E28+E29+E30+E32+E33+E34+E36+E37+E38)-(F16+F17+F18+F20+F21+F22+F24+F25+F26+F28+F29+F30+F32+F33+F34+F36+F37+F38)</f>
        <v>3117</v>
      </c>
      <c r="I46" s="27">
        <f>IF($E$44=0,0,E46/$E$44)</f>
        <v>0.16017471736896197</v>
      </c>
      <c r="N46" s="28" t="s">
        <v>785</v>
      </c>
    </row>
    <row r="48" spans="2:14" ht="24" customHeight="1">
      <c r="B48" s="125" t="s">
        <v>786</v>
      </c>
      <c r="C48" s="122"/>
      <c r="D48" s="122"/>
      <c r="E48" s="122"/>
      <c r="F48" s="122"/>
      <c r="G48" s="122"/>
      <c r="H48" s="122"/>
      <c r="I48" s="122"/>
      <c r="J48" s="122"/>
      <c r="K48" s="122"/>
      <c r="L48" s="122"/>
      <c r="M48" s="122"/>
      <c r="N48" s="122"/>
    </row>
    <row r="50" spans="2:14" ht="24" customHeight="1">
      <c r="B50" s="4" t="s">
        <v>787</v>
      </c>
      <c r="C50" s="5"/>
      <c r="D50" s="5"/>
      <c r="E50" s="5"/>
      <c r="F50" s="5"/>
      <c r="G50" s="5"/>
      <c r="H50" s="5"/>
      <c r="I50" s="5"/>
      <c r="J50" s="5"/>
      <c r="K50" s="5"/>
      <c r="L50" s="5"/>
      <c r="M50" s="5"/>
    </row>
    <row r="51" spans="2:14" ht="34.049999999999997" customHeight="1">
      <c r="B51" s="8" t="s">
        <v>97</v>
      </c>
      <c r="C51" s="8"/>
      <c r="D51" s="8"/>
      <c r="E51" s="8" t="s">
        <v>788</v>
      </c>
      <c r="F51" s="8"/>
      <c r="G51" s="8"/>
      <c r="H51" s="8"/>
      <c r="I51" s="8" t="s">
        <v>789</v>
      </c>
      <c r="J51" s="8"/>
      <c r="K51" s="8"/>
      <c r="L51" s="8"/>
      <c r="M51" s="8"/>
      <c r="N51" s="8" t="s">
        <v>136</v>
      </c>
    </row>
    <row r="52" spans="2:14" ht="31.95" customHeight="1">
      <c r="B52" s="13" t="s">
        <v>790</v>
      </c>
      <c r="E52" s="18">
        <f>Unit_Cost!E13+Unit_Cost!F13+Unit_Cost!G13</f>
        <v>1062068.8203488961</v>
      </c>
      <c r="I52" s="95">
        <f>IF((Advance!E53+Advance!F53+Advance!G53)=0,0,E52/(Advance!E53+Advance!F53+Advance!G53))</f>
        <v>1078.4055865799962</v>
      </c>
      <c r="N52" s="28" t="s">
        <v>791</v>
      </c>
    </row>
    <row r="53" spans="2:14" ht="48" customHeight="1">
      <c r="B53" s="13" t="s">
        <v>792</v>
      </c>
      <c r="E53" s="18">
        <f>IF($E$44=0,0,(Unit_Cost!E13+Unit_Cost!F13+Unit_Cost!G13)*$E$45/$E$44)</f>
        <v>891952.24722312484</v>
      </c>
      <c r="I53" s="95">
        <f>IF((Advance!E53+Advance!F53+Advance!G53)=0,0,E53/(Advance!E53+Advance!F53+Advance!G53))</f>
        <v>905.67227654043575</v>
      </c>
      <c r="N53" s="28" t="s">
        <v>793</v>
      </c>
    </row>
    <row r="54" spans="2:14" ht="31.95" customHeight="1">
      <c r="B54" s="13" t="s">
        <v>794</v>
      </c>
      <c r="E54" s="106">
        <f>E52-E53</f>
        <v>170116.57312577125</v>
      </c>
      <c r="I54" s="95">
        <f>IF((Advance!E53+Advance!F53+Advance!G53)=0,0,E54/(Advance!E53+Advance!F53+Advance!G53))</f>
        <v>172.73331003956054</v>
      </c>
      <c r="N54" s="28" t="s">
        <v>795</v>
      </c>
    </row>
    <row r="56" spans="2:14" ht="24" customHeight="1">
      <c r="B56" s="125" t="s">
        <v>796</v>
      </c>
      <c r="C56" s="122"/>
      <c r="D56" s="122"/>
      <c r="E56" s="122"/>
      <c r="F56" s="122"/>
      <c r="G56" s="122"/>
      <c r="H56" s="122"/>
      <c r="I56" s="122"/>
      <c r="J56" s="122"/>
      <c r="K56" s="122"/>
      <c r="L56" s="122"/>
      <c r="M56" s="122"/>
      <c r="N56" s="122"/>
    </row>
    <row r="58" spans="2:14" ht="24" customHeight="1">
      <c r="B58" s="4" t="s">
        <v>797</v>
      </c>
      <c r="C58" s="5"/>
      <c r="D58" s="5"/>
      <c r="E58" s="5"/>
      <c r="F58" s="5"/>
      <c r="G58" s="5"/>
      <c r="H58" s="5"/>
      <c r="I58" s="5"/>
      <c r="J58" s="5"/>
      <c r="K58" s="5"/>
      <c r="L58" s="5"/>
      <c r="M58" s="5"/>
    </row>
    <row r="59" spans="2:14" ht="46.05" customHeight="1">
      <c r="B59" s="8" t="s">
        <v>747</v>
      </c>
      <c r="C59" s="8" t="s">
        <v>798</v>
      </c>
    </row>
    <row r="60" spans="2:14" ht="22.05" customHeight="1">
      <c r="B60" s="14" t="s">
        <v>751</v>
      </c>
      <c r="C60" s="60">
        <f>E40</f>
        <v>26294</v>
      </c>
    </row>
    <row r="61" spans="2:14" ht="22.05" customHeight="1">
      <c r="B61" s="14" t="s">
        <v>755</v>
      </c>
      <c r="C61" s="60">
        <f>F40</f>
        <v>16343</v>
      </c>
    </row>
    <row r="62" spans="2:14" ht="22.05" customHeight="1">
      <c r="B62" s="14" t="s">
        <v>759</v>
      </c>
      <c r="C62" s="60">
        <f>G40</f>
        <v>16074</v>
      </c>
    </row>
  </sheetData>
  <mergeCells count="7">
    <mergeCell ref="E9:H9"/>
    <mergeCell ref="E8:H8"/>
    <mergeCell ref="B4:N4"/>
    <mergeCell ref="B12:N12"/>
    <mergeCell ref="B56:N56"/>
    <mergeCell ref="B48:N48"/>
    <mergeCell ref="E10:H10"/>
  </mergeCell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N48"/>
  <sheetViews>
    <sheetView showGridLines="0" workbookViewId="0"/>
  </sheetViews>
  <sheetFormatPr defaultRowHeight="14.4"/>
  <cols>
    <col min="1" max="1" width="4" customWidth="1"/>
    <col min="2" max="2" width="50" customWidth="1"/>
    <col min="3" max="3" width="16" customWidth="1"/>
    <col min="4" max="4" width="4" customWidth="1"/>
    <col min="5" max="9" width="22" customWidth="1"/>
    <col min="10" max="10" width="4" customWidth="1"/>
    <col min="11" max="11" width="26" customWidth="1"/>
    <col min="12" max="12" width="4" customWidth="1"/>
    <col min="13" max="13" width="50" customWidth="1"/>
  </cols>
  <sheetData>
    <row r="1" spans="2:14" ht="7.95" customHeight="1"/>
    <row r="2" spans="2:14" ht="30" customHeight="1">
      <c r="B2" s="12" t="s">
        <v>799</v>
      </c>
    </row>
    <row r="3" spans="2:14" ht="19.95" customHeight="1">
      <c r="B3" s="3" t="s">
        <v>800</v>
      </c>
    </row>
    <row r="5" spans="2:14" ht="7.95" customHeight="1"/>
    <row r="6" spans="2:14" ht="24" customHeight="1">
      <c r="B6" s="4" t="s">
        <v>801</v>
      </c>
      <c r="C6" s="5"/>
      <c r="D6" s="5"/>
      <c r="E6" s="5"/>
      <c r="F6" s="5"/>
      <c r="G6" s="5"/>
      <c r="H6" s="5"/>
      <c r="I6" s="5"/>
      <c r="J6" s="5"/>
      <c r="K6" s="5"/>
      <c r="L6" s="5"/>
      <c r="M6" s="5"/>
    </row>
    <row r="7" spans="2:14" ht="46.05" customHeight="1">
      <c r="B7" s="8" t="s">
        <v>97</v>
      </c>
      <c r="C7" s="8" t="s">
        <v>98</v>
      </c>
      <c r="D7" s="8"/>
      <c r="E7" s="8" t="s">
        <v>99</v>
      </c>
      <c r="F7" s="8" t="s">
        <v>100</v>
      </c>
      <c r="G7" s="8" t="s">
        <v>101</v>
      </c>
      <c r="H7" s="8" t="s">
        <v>102</v>
      </c>
      <c r="I7" s="8" t="s">
        <v>103</v>
      </c>
      <c r="J7" s="8"/>
      <c r="K7" s="8" t="s">
        <v>802</v>
      </c>
    </row>
    <row r="8" spans="2:14" ht="22.05" customHeight="1">
      <c r="B8" s="13" t="s">
        <v>518</v>
      </c>
      <c r="C8" s="14" t="s">
        <v>105</v>
      </c>
      <c r="E8" s="15">
        <f>Advance!E53</f>
        <v>270.43599999999998</v>
      </c>
      <c r="F8" s="15">
        <f>Advance!F53</f>
        <v>316.61700000000008</v>
      </c>
      <c r="G8" s="15">
        <f>Advance!G53</f>
        <v>397.79799999999994</v>
      </c>
      <c r="H8" s="15">
        <f>Advance!H53</f>
        <v>390.96699999999998</v>
      </c>
      <c r="I8" s="15">
        <f>Advance!I53</f>
        <v>1375.8180000000002</v>
      </c>
      <c r="M8" s="33" t="s">
        <v>803</v>
      </c>
    </row>
    <row r="9" spans="2:14" ht="22.05" customHeight="1">
      <c r="B9" s="13" t="s">
        <v>109</v>
      </c>
      <c r="C9" s="14" t="s">
        <v>107</v>
      </c>
      <c r="E9" s="17">
        <f>Unit_Cost!E13+Unit_Cost!E24</f>
        <v>553444.3883591434</v>
      </c>
      <c r="F9" s="17">
        <f>Unit_Cost!F13+Unit_Cost!F24</f>
        <v>463281.77830685611</v>
      </c>
      <c r="G9" s="17">
        <f>Unit_Cost!G13+Unit_Cost!G24</f>
        <v>736352.81368289678</v>
      </c>
      <c r="H9" s="17">
        <f>Unit_Cost!H13+Unit_Cost!H24</f>
        <v>622208.25106235361</v>
      </c>
      <c r="I9" s="17">
        <f>Unit_Cost!I13+Unit_Cost!I24</f>
        <v>2375287.2314112498</v>
      </c>
      <c r="M9" s="33"/>
    </row>
    <row r="10" spans="2:14" ht="22.05" customHeight="1">
      <c r="B10" s="13" t="s">
        <v>804</v>
      </c>
      <c r="C10" s="14" t="s">
        <v>600</v>
      </c>
      <c r="E10" s="24">
        <f>IF(Advance!E53=0,0,(Unit_Cost!E13+Unit_Cost!E24)/Advance!E53)</f>
        <v>2046.489329671876</v>
      </c>
      <c r="F10" s="24">
        <f>IF(Advance!F53=0,0,(Unit_Cost!F13+Unit_Cost!F24)/Advance!F53)</f>
        <v>1463.2245846143953</v>
      </c>
      <c r="G10" s="24">
        <f>IF(Advance!G53=0,0,(Unit_Cost!G13+Unit_Cost!G24)/Advance!G53)</f>
        <v>1851.0721865944447</v>
      </c>
      <c r="H10" s="24">
        <f>IF(Advance!H53=0,0,(Unit_Cost!H13+Unit_Cost!H24)/Advance!H53)</f>
        <v>1591.4597678636653</v>
      </c>
      <c r="I10" s="24">
        <f>IF(Advance!I53=0,0,(Unit_Cost!I13+Unit_Cost!I24)/Advance!I53)</f>
        <v>1726.454539344048</v>
      </c>
      <c r="M10" s="33" t="s">
        <v>805</v>
      </c>
    </row>
    <row r="12" spans="2:14" ht="24" customHeight="1">
      <c r="B12" s="125" t="s">
        <v>806</v>
      </c>
      <c r="C12" s="122"/>
      <c r="D12" s="122"/>
      <c r="E12" s="122"/>
      <c r="F12" s="122"/>
      <c r="G12" s="122"/>
      <c r="H12" s="122"/>
      <c r="I12" s="122"/>
      <c r="J12" s="122"/>
      <c r="K12" s="122"/>
      <c r="L12" s="122"/>
      <c r="M12" s="122"/>
      <c r="N12" s="122"/>
    </row>
    <row r="14" spans="2:14" ht="24" customHeight="1">
      <c r="B14" s="4" t="s">
        <v>807</v>
      </c>
      <c r="C14" s="5"/>
      <c r="D14" s="5"/>
      <c r="E14" s="5"/>
      <c r="F14" s="5"/>
      <c r="G14" s="5"/>
      <c r="H14" s="5"/>
      <c r="I14" s="5"/>
      <c r="J14" s="5"/>
      <c r="K14" s="5"/>
      <c r="L14" s="5"/>
      <c r="M14" s="5"/>
    </row>
    <row r="15" spans="2:14" ht="46.05" customHeight="1">
      <c r="B15" s="8" t="s">
        <v>747</v>
      </c>
      <c r="C15" s="8" t="s">
        <v>98</v>
      </c>
      <c r="D15" s="8"/>
      <c r="E15" s="8" t="s">
        <v>99</v>
      </c>
      <c r="F15" s="8" t="s">
        <v>100</v>
      </c>
      <c r="G15" s="8" t="s">
        <v>101</v>
      </c>
      <c r="H15" s="8" t="s">
        <v>102</v>
      </c>
      <c r="I15" s="8"/>
      <c r="J15" s="8"/>
      <c r="K15" s="8" t="s">
        <v>808</v>
      </c>
    </row>
    <row r="16" spans="2:14" ht="22.05" customHeight="1">
      <c r="B16" s="13" t="s">
        <v>809</v>
      </c>
      <c r="C16" s="14" t="s">
        <v>810</v>
      </c>
      <c r="E16" s="60">
        <f>MAX(0,B_Ground_Support!G21)</f>
        <v>2291</v>
      </c>
      <c r="F16" s="60">
        <f>MAX(0,B_Ground_Support!H21)</f>
        <v>408</v>
      </c>
      <c r="G16" s="60">
        <f>MAX(0,B_Ground_Support!I21)</f>
        <v>821</v>
      </c>
      <c r="H16" s="60">
        <f>MAX(0,B_Ground_Support!J21)</f>
        <v>769</v>
      </c>
      <c r="M16" s="33" t="s">
        <v>811</v>
      </c>
    </row>
    <row r="17" spans="2:14" ht="22.05" customHeight="1">
      <c r="B17" s="13" t="s">
        <v>812</v>
      </c>
      <c r="C17" s="14" t="s">
        <v>810</v>
      </c>
      <c r="E17" s="56">
        <v>396</v>
      </c>
      <c r="F17" s="56">
        <v>483</v>
      </c>
      <c r="G17" s="56">
        <v>676</v>
      </c>
      <c r="H17" s="105" t="s">
        <v>770</v>
      </c>
      <c r="M17" s="33" t="s">
        <v>813</v>
      </c>
    </row>
    <row r="19" spans="2:14" ht="46.05" customHeight="1">
      <c r="B19" s="8" t="s">
        <v>814</v>
      </c>
      <c r="C19" s="8" t="s">
        <v>98</v>
      </c>
      <c r="D19" s="8"/>
      <c r="E19" s="8" t="s">
        <v>99</v>
      </c>
      <c r="F19" s="8" t="s">
        <v>100</v>
      </c>
      <c r="G19" s="8" t="s">
        <v>101</v>
      </c>
      <c r="H19" s="8" t="s">
        <v>102</v>
      </c>
      <c r="I19" s="8"/>
      <c r="J19" s="8"/>
      <c r="K19" s="8" t="s">
        <v>815</v>
      </c>
    </row>
    <row r="20" spans="2:14" ht="22.05" customHeight="1">
      <c r="B20" s="13" t="s">
        <v>816</v>
      </c>
      <c r="C20" s="14" t="s">
        <v>817</v>
      </c>
      <c r="E20" s="25">
        <f>IF(OR(NOT(ISNUMBER(E16)),Advance!E53=0),"",E16/Advance!E53)</f>
        <v>8.4715052729666169</v>
      </c>
      <c r="F20" s="25">
        <f>IF(OR(NOT(ISNUMBER(F16)),Advance!F53=0),"",F16/Advance!F53)</f>
        <v>1.2886231630013547</v>
      </c>
      <c r="G20" s="25">
        <f>IF(OR(NOT(ISNUMBER(G16)),Advance!G53=0),"",G16/Advance!G53)</f>
        <v>2.0638615578761081</v>
      </c>
      <c r="H20" s="25">
        <f>IF(OR(NOT(ISNUMBER(H16)),Advance!H53=0),"",H16/Advance!H53)</f>
        <v>1.9669179240191628</v>
      </c>
      <c r="M20" s="33" t="s">
        <v>818</v>
      </c>
    </row>
    <row r="21" spans="2:14" ht="22.05" customHeight="1">
      <c r="B21" s="13" t="s">
        <v>819</v>
      </c>
      <c r="C21" s="14" t="s">
        <v>817</v>
      </c>
      <c r="E21" s="25">
        <f>IF(OR(NOT(ISNUMBER(E17)),Advance!E53=0),"",E17/Advance!E53)</f>
        <v>1.4643020899584376</v>
      </c>
      <c r="F21" s="25">
        <f>IF(OR(NOT(ISNUMBER(F17)),Advance!F53=0),"",F17/Advance!F53)</f>
        <v>1.5255024209060155</v>
      </c>
      <c r="G21" s="25">
        <f>IF(OR(NOT(ISNUMBER(G17)),Advance!G53=0),"",G17/Advance!G53)</f>
        <v>1.6993549489942135</v>
      </c>
      <c r="H21" s="25" t="str">
        <f>IF(OR(NOT(ISNUMBER(H17)),Advance!H53=0),"",H17/Advance!H53)</f>
        <v/>
      </c>
      <c r="M21" s="33" t="s">
        <v>820</v>
      </c>
    </row>
    <row r="22" spans="2:14" ht="22.05" customHeight="1">
      <c r="B22" s="13" t="s">
        <v>821</v>
      </c>
      <c r="C22" s="14" t="s">
        <v>817</v>
      </c>
      <c r="E22" s="91">
        <f>Plan_vs_Actual!E18</f>
        <v>1.5</v>
      </c>
      <c r="F22" s="91">
        <f>Plan_vs_Actual!F18</f>
        <v>1.5</v>
      </c>
      <c r="G22" s="91">
        <f>Plan_vs_Actual!G18</f>
        <v>1.5</v>
      </c>
      <c r="H22" s="91">
        <f>Plan_vs_Actual!H18</f>
        <v>1.4999999999999998</v>
      </c>
      <c r="M22" s="33" t="s">
        <v>822</v>
      </c>
    </row>
    <row r="24" spans="2:14" ht="24" customHeight="1">
      <c r="B24" s="125" t="s">
        <v>823</v>
      </c>
      <c r="C24" s="122"/>
      <c r="D24" s="122"/>
      <c r="E24" s="122"/>
      <c r="F24" s="122"/>
      <c r="G24" s="122"/>
      <c r="H24" s="122"/>
      <c r="I24" s="122"/>
      <c r="J24" s="122"/>
      <c r="K24" s="122"/>
      <c r="L24" s="122"/>
      <c r="M24" s="122"/>
      <c r="N24" s="122"/>
    </row>
    <row r="26" spans="2:14" ht="24" customHeight="1">
      <c r="B26" s="4" t="s">
        <v>824</v>
      </c>
      <c r="C26" s="5"/>
      <c r="D26" s="5"/>
      <c r="E26" s="5"/>
      <c r="F26" s="5"/>
      <c r="G26" s="5"/>
      <c r="H26" s="5"/>
      <c r="I26" s="5"/>
      <c r="J26" s="5"/>
      <c r="K26" s="5"/>
      <c r="L26" s="5"/>
      <c r="M26" s="5"/>
    </row>
    <row r="27" spans="2:14" ht="46.05" customHeight="1">
      <c r="B27" s="8" t="s">
        <v>97</v>
      </c>
      <c r="C27" s="8" t="s">
        <v>98</v>
      </c>
      <c r="D27" s="8"/>
      <c r="E27" s="8" t="s">
        <v>135</v>
      </c>
      <c r="F27" s="8"/>
      <c r="G27" s="8"/>
      <c r="H27" s="8"/>
      <c r="I27" s="8"/>
      <c r="J27" s="8"/>
      <c r="K27" s="8" t="s">
        <v>236</v>
      </c>
    </row>
    <row r="28" spans="2:14" ht="22.05" customHeight="1">
      <c r="B28" s="13" t="s">
        <v>825</v>
      </c>
      <c r="C28" s="14" t="s">
        <v>810</v>
      </c>
      <c r="E28" s="57">
        <f>E16</f>
        <v>2291</v>
      </c>
      <c r="M28" s="33" t="s">
        <v>826</v>
      </c>
    </row>
    <row r="29" spans="2:14" ht="22.05" customHeight="1">
      <c r="B29" s="13" t="s">
        <v>827</v>
      </c>
      <c r="C29" s="14" t="s">
        <v>810</v>
      </c>
      <c r="E29" s="57">
        <f>E17</f>
        <v>396</v>
      </c>
      <c r="M29" s="33" t="s">
        <v>828</v>
      </c>
    </row>
    <row r="30" spans="2:14" ht="22.05" customHeight="1">
      <c r="B30" s="13" t="s">
        <v>829</v>
      </c>
      <c r="C30" s="14" t="s">
        <v>810</v>
      </c>
      <c r="E30" s="57">
        <f>E16-E17</f>
        <v>1895</v>
      </c>
      <c r="M30" s="33" t="s">
        <v>830</v>
      </c>
    </row>
    <row r="31" spans="2:14" ht="22.05" customHeight="1">
      <c r="B31" s="13" t="s">
        <v>831</v>
      </c>
      <c r="C31" s="14" t="s">
        <v>107</v>
      </c>
      <c r="E31" s="24">
        <f>B_Ground_Support!$E$21</f>
        <v>82.485410743678017</v>
      </c>
      <c r="M31" s="33" t="s">
        <v>832</v>
      </c>
    </row>
    <row r="32" spans="2:14" ht="22.05" customHeight="1">
      <c r="B32" s="13" t="s">
        <v>833</v>
      </c>
      <c r="C32" s="14" t="s">
        <v>107</v>
      </c>
      <c r="E32" s="107">
        <f>E30*E31</f>
        <v>156309.85335926985</v>
      </c>
      <c r="M32" s="33" t="s">
        <v>834</v>
      </c>
    </row>
    <row r="35" spans="2:14" ht="24" customHeight="1">
      <c r="B35" s="4" t="s">
        <v>835</v>
      </c>
      <c r="C35" s="5"/>
      <c r="D35" s="5"/>
      <c r="E35" s="5"/>
      <c r="F35" s="5"/>
      <c r="G35" s="5"/>
      <c r="H35" s="5"/>
      <c r="I35" s="5"/>
      <c r="J35" s="5"/>
      <c r="K35" s="5"/>
      <c r="L35" s="5"/>
      <c r="M35" s="5"/>
    </row>
    <row r="36" spans="2:14" ht="46.05" customHeight="1">
      <c r="B36" s="8" t="s">
        <v>97</v>
      </c>
      <c r="C36" s="8" t="s">
        <v>98</v>
      </c>
      <c r="D36" s="8"/>
      <c r="E36" s="8" t="s">
        <v>237</v>
      </c>
      <c r="F36" s="8"/>
      <c r="G36" s="8"/>
      <c r="H36" s="8"/>
      <c r="I36" s="8"/>
      <c r="J36" s="8"/>
      <c r="K36" s="8" t="s">
        <v>768</v>
      </c>
    </row>
    <row r="37" spans="2:14" ht="22.05" customHeight="1">
      <c r="B37" s="13" t="s">
        <v>804</v>
      </c>
      <c r="C37" s="14" t="s">
        <v>600</v>
      </c>
      <c r="E37" s="24">
        <f>E10</f>
        <v>2046.489329671876</v>
      </c>
      <c r="M37" s="33" t="s">
        <v>836</v>
      </c>
    </row>
    <row r="38" spans="2:14" ht="22.05" customHeight="1">
      <c r="B38" s="13" t="s">
        <v>837</v>
      </c>
      <c r="C38" s="14" t="s">
        <v>600</v>
      </c>
      <c r="E38" s="24">
        <f>IF(Advance!E53=0,0,E32/Advance!E53)</f>
        <v>577.99203271483771</v>
      </c>
      <c r="M38" s="33" t="s">
        <v>838</v>
      </c>
    </row>
    <row r="39" spans="2:14" ht="25.95" customHeight="1">
      <c r="B39" s="13" t="s">
        <v>839</v>
      </c>
      <c r="C39" s="14" t="s">
        <v>600</v>
      </c>
      <c r="E39" s="100">
        <f>E37-E38</f>
        <v>1468.4972969570383</v>
      </c>
      <c r="M39" s="33" t="s">
        <v>840</v>
      </c>
    </row>
    <row r="40" spans="2:14" ht="22.05" customHeight="1">
      <c r="B40" s="13" t="s">
        <v>841</v>
      </c>
      <c r="C40" s="14" t="s">
        <v>600</v>
      </c>
      <c r="E40" s="24">
        <f>AVERAGE(F10:H10)</f>
        <v>1635.2521796908352</v>
      </c>
      <c r="M40" s="33" t="s">
        <v>842</v>
      </c>
    </row>
    <row r="41" spans="2:14" ht="25.95" customHeight="1">
      <c r="B41" s="13" t="s">
        <v>843</v>
      </c>
      <c r="C41" s="14" t="s">
        <v>600</v>
      </c>
      <c r="E41" s="100">
        <f>E39-E40</f>
        <v>-166.75488273379688</v>
      </c>
      <c r="M41" s="33" t="s">
        <v>844</v>
      </c>
    </row>
    <row r="43" spans="2:14" ht="24" customHeight="1">
      <c r="B43" s="125" t="s">
        <v>845</v>
      </c>
      <c r="C43" s="122"/>
      <c r="D43" s="122"/>
      <c r="E43" s="122"/>
      <c r="F43" s="122"/>
      <c r="G43" s="122"/>
      <c r="H43" s="122"/>
      <c r="I43" s="122"/>
      <c r="J43" s="122"/>
      <c r="K43" s="122"/>
      <c r="L43" s="122"/>
      <c r="M43" s="122"/>
      <c r="N43" s="122"/>
    </row>
    <row r="45" spans="2:14" ht="24" customHeight="1">
      <c r="B45" s="4" t="s">
        <v>846</v>
      </c>
      <c r="C45" s="5"/>
      <c r="D45" s="5"/>
      <c r="E45" s="5"/>
      <c r="F45" s="5"/>
      <c r="G45" s="5"/>
      <c r="H45" s="5"/>
      <c r="I45" s="5"/>
      <c r="J45" s="5"/>
      <c r="K45" s="5"/>
      <c r="L45" s="5"/>
      <c r="M45" s="5"/>
    </row>
    <row r="46" spans="2:14" ht="34.049999999999997" customHeight="1">
      <c r="B46" s="130" t="s">
        <v>847</v>
      </c>
      <c r="C46" s="131"/>
      <c r="D46" s="131"/>
      <c r="E46" s="131"/>
      <c r="F46" s="131"/>
      <c r="G46" s="131"/>
      <c r="H46" s="131"/>
      <c r="I46" s="131"/>
      <c r="J46" s="131"/>
      <c r="K46" s="131"/>
      <c r="L46" s="131"/>
      <c r="M46" s="131"/>
    </row>
    <row r="48" spans="2:14" ht="24" customHeight="1">
      <c r="B48" s="125" t="s">
        <v>848</v>
      </c>
      <c r="C48" s="122"/>
      <c r="D48" s="122"/>
      <c r="E48" s="122"/>
      <c r="F48" s="122"/>
      <c r="G48" s="122"/>
      <c r="H48" s="122"/>
      <c r="I48" s="122"/>
      <c r="J48" s="122"/>
      <c r="K48" s="122"/>
      <c r="L48" s="122"/>
      <c r="M48" s="122"/>
      <c r="N48" s="122"/>
    </row>
  </sheetData>
  <mergeCells count="5">
    <mergeCell ref="B46:M46"/>
    <mergeCell ref="B43:N43"/>
    <mergeCell ref="B12:N12"/>
    <mergeCell ref="B48:N48"/>
    <mergeCell ref="B24:N2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C341"/>
  <sheetViews>
    <sheetView showGridLines="0" workbookViewId="0"/>
  </sheetViews>
  <sheetFormatPr defaultRowHeight="14.4"/>
  <cols>
    <col min="1" max="1" width="4" customWidth="1"/>
    <col min="2" max="2" width="38" customWidth="1"/>
    <col min="3" max="4" width="24" customWidth="1"/>
    <col min="5" max="14" width="13" customWidth="1"/>
  </cols>
  <sheetData>
    <row r="1" spans="2:2" ht="7.95" customHeight="1"/>
    <row r="2" spans="2:2" ht="30" customHeight="1">
      <c r="B2" s="12" t="s">
        <v>849</v>
      </c>
    </row>
    <row r="3" spans="2:2" ht="19.95" customHeight="1">
      <c r="B3" s="3" t="s">
        <v>850</v>
      </c>
    </row>
    <row r="5" spans="2:2" ht="7.95" customHeight="1"/>
    <row r="6" spans="2:2" ht="25.95" customHeight="1">
      <c r="B6" s="108" t="s">
        <v>851</v>
      </c>
    </row>
    <row r="29" spans="2:3" ht="22.05" customHeight="1">
      <c r="B29" s="6" t="s">
        <v>852</v>
      </c>
    </row>
    <row r="30" spans="2:3" ht="34.049999999999997" customHeight="1">
      <c r="B30" s="8" t="s">
        <v>235</v>
      </c>
      <c r="C30" s="8" t="s">
        <v>853</v>
      </c>
    </row>
    <row r="31" spans="2:3" ht="22.05" customHeight="1">
      <c r="B31" s="14" t="s">
        <v>99</v>
      </c>
      <c r="C31" s="17">
        <f>Unit_Cost!E15</f>
        <v>1395.9164769451679</v>
      </c>
    </row>
    <row r="32" spans="2:3" ht="22.05" customHeight="1">
      <c r="B32" s="14" t="s">
        <v>100</v>
      </c>
      <c r="C32" s="17">
        <f>Unit_Cost!F15</f>
        <v>944.16707980574654</v>
      </c>
    </row>
    <row r="33" spans="2:3" ht="22.05" customHeight="1">
      <c r="B33" s="14" t="s">
        <v>101</v>
      </c>
      <c r="C33" s="17">
        <f>Unit_Cost!G15</f>
        <v>969.39502884101182</v>
      </c>
    </row>
    <row r="34" spans="2:3" ht="22.05" customHeight="1">
      <c r="B34" s="14" t="s">
        <v>102</v>
      </c>
      <c r="C34" s="17">
        <f>Unit_Cost!H15</f>
        <v>837.16065822014036</v>
      </c>
    </row>
    <row r="38" spans="2:3" ht="25.95" customHeight="1">
      <c r="B38" s="108" t="s">
        <v>854</v>
      </c>
    </row>
    <row r="61" spans="2:3" ht="22.05" customHeight="1">
      <c r="B61" s="6" t="s">
        <v>855</v>
      </c>
    </row>
    <row r="62" spans="2:3" ht="34.049999999999997" customHeight="1">
      <c r="B62" s="8" t="s">
        <v>235</v>
      </c>
      <c r="C62" s="8" t="s">
        <v>518</v>
      </c>
    </row>
    <row r="63" spans="2:3" ht="22.05" customHeight="1">
      <c r="B63" s="14" t="s">
        <v>99</v>
      </c>
      <c r="C63" s="15">
        <f>Advance!E53</f>
        <v>270.43599999999998</v>
      </c>
    </row>
    <row r="64" spans="2:3" ht="22.05" customHeight="1">
      <c r="B64" s="14" t="s">
        <v>100</v>
      </c>
      <c r="C64" s="15">
        <f>Advance!F53</f>
        <v>316.61700000000008</v>
      </c>
    </row>
    <row r="65" spans="2:3" ht="22.05" customHeight="1">
      <c r="B65" s="14" t="s">
        <v>101</v>
      </c>
      <c r="C65" s="15">
        <f>Advance!G53</f>
        <v>397.79799999999994</v>
      </c>
    </row>
    <row r="66" spans="2:3" ht="22.05" customHeight="1">
      <c r="B66" s="14" t="s">
        <v>102</v>
      </c>
      <c r="C66" s="15">
        <f>Advance!H53</f>
        <v>390.96699999999998</v>
      </c>
    </row>
    <row r="70" spans="2:3" ht="25.95" customHeight="1">
      <c r="B70" s="108" t="s">
        <v>856</v>
      </c>
    </row>
    <row r="93" spans="2:3" ht="22.05" customHeight="1">
      <c r="B93" s="6" t="s">
        <v>857</v>
      </c>
    </row>
    <row r="94" spans="2:3" ht="34.049999999999997" customHeight="1">
      <c r="B94" s="8" t="s">
        <v>130</v>
      </c>
      <c r="C94" s="8" t="s">
        <v>702</v>
      </c>
    </row>
    <row r="95" spans="2:3" ht="22.05" customHeight="1">
      <c r="B95" s="14" t="s">
        <v>769</v>
      </c>
      <c r="C95" s="17">
        <f>Pareto!E7</f>
        <v>904575.31611336849</v>
      </c>
    </row>
    <row r="96" spans="2:3" ht="22.05" customHeight="1">
      <c r="B96" s="14" t="s">
        <v>858</v>
      </c>
      <c r="C96" s="17">
        <f>Pareto!E8</f>
        <v>473326.75</v>
      </c>
    </row>
    <row r="97" spans="2:3" ht="22.05" customHeight="1">
      <c r="B97" s="14" t="s">
        <v>859</v>
      </c>
      <c r="C97" s="17">
        <f>Pareto!E9</f>
        <v>353779.92667963501</v>
      </c>
    </row>
    <row r="98" spans="2:3" ht="22.05" customHeight="1">
      <c r="B98" s="14" t="s">
        <v>860</v>
      </c>
      <c r="C98" s="17">
        <f>Pareto!E10</f>
        <v>227125.94999999998</v>
      </c>
    </row>
    <row r="99" spans="2:3" ht="22.05" customHeight="1">
      <c r="B99" s="14" t="s">
        <v>861</v>
      </c>
      <c r="C99" s="17">
        <f>Pareto!E11</f>
        <v>100124.44</v>
      </c>
    </row>
    <row r="100" spans="2:3" ht="22.05" customHeight="1">
      <c r="B100" s="14" t="s">
        <v>862</v>
      </c>
      <c r="C100" s="17">
        <f>Pareto!E12</f>
        <v>97769.314125000004</v>
      </c>
    </row>
    <row r="101" spans="2:3" ht="22.05" customHeight="1">
      <c r="B101" s="14" t="s">
        <v>863</v>
      </c>
      <c r="C101" s="17">
        <f>Pareto!E13</f>
        <v>46647</v>
      </c>
    </row>
    <row r="102" spans="2:3" ht="22.05" customHeight="1">
      <c r="B102" s="14" t="s">
        <v>864</v>
      </c>
      <c r="C102" s="17">
        <f>Pareto!E14</f>
        <v>19990.698662812501</v>
      </c>
    </row>
    <row r="103" spans="2:3" ht="22.05" customHeight="1">
      <c r="B103" s="14" t="s">
        <v>865</v>
      </c>
      <c r="C103" s="17">
        <f>Pareto!E15</f>
        <v>18848.3</v>
      </c>
    </row>
    <row r="104" spans="2:3" ht="22.05" customHeight="1">
      <c r="B104" s="14" t="s">
        <v>866</v>
      </c>
      <c r="C104" s="17">
        <f>Pareto!E16</f>
        <v>16021.2</v>
      </c>
    </row>
    <row r="108" spans="2:3" ht="25.95" customHeight="1">
      <c r="B108" s="108" t="s">
        <v>867</v>
      </c>
    </row>
    <row r="131" spans="2:3" ht="22.05" customHeight="1">
      <c r="B131" s="6" t="s">
        <v>868</v>
      </c>
    </row>
    <row r="132" spans="2:3" ht="34.049999999999997" customHeight="1">
      <c r="B132" s="8" t="s">
        <v>130</v>
      </c>
      <c r="C132" s="8" t="s">
        <v>869</v>
      </c>
    </row>
    <row r="133" spans="2:3" ht="22.05" customHeight="1">
      <c r="B133" s="14" t="s">
        <v>769</v>
      </c>
      <c r="C133" s="109">
        <f>Pareto!H7</f>
        <v>0.38082776017615583</v>
      </c>
    </row>
    <row r="134" spans="2:3" ht="22.05" customHeight="1">
      <c r="B134" s="14" t="s">
        <v>858</v>
      </c>
      <c r="C134" s="109">
        <f>Pareto!H8</f>
        <v>0.19927137389560184</v>
      </c>
    </row>
    <row r="135" spans="2:3" ht="22.05" customHeight="1">
      <c r="B135" s="14" t="s">
        <v>859</v>
      </c>
      <c r="C135" s="109">
        <f>Pareto!H9</f>
        <v>0.14894195615636799</v>
      </c>
    </row>
    <row r="136" spans="2:3" ht="22.05" customHeight="1">
      <c r="B136" s="14" t="s">
        <v>860</v>
      </c>
      <c r="C136" s="109">
        <f>Pareto!H10</f>
        <v>9.5620414658254077E-2</v>
      </c>
    </row>
    <row r="137" spans="2:3" ht="22.05" customHeight="1">
      <c r="B137" s="14" t="s">
        <v>861</v>
      </c>
      <c r="C137" s="109">
        <f>Pareto!H11</f>
        <v>4.2152561035960365E-2</v>
      </c>
    </row>
    <row r="138" spans="2:3" ht="22.05" customHeight="1">
      <c r="B138" s="14" t="s">
        <v>862</v>
      </c>
      <c r="C138" s="109">
        <f>Pareto!H12</f>
        <v>4.1161049001602848E-2</v>
      </c>
    </row>
    <row r="139" spans="2:3" ht="22.05" customHeight="1">
      <c r="B139" s="14" t="s">
        <v>863</v>
      </c>
      <c r="C139" s="109">
        <f>Pareto!H13</f>
        <v>1.9638467038062265E-2</v>
      </c>
    </row>
    <row r="140" spans="2:3" ht="22.05" customHeight="1">
      <c r="B140" s="14" t="s">
        <v>864</v>
      </c>
      <c r="C140" s="109">
        <f>Pareto!H14</f>
        <v>8.4161184375732365E-3</v>
      </c>
    </row>
    <row r="141" spans="2:3" ht="22.05" customHeight="1">
      <c r="B141" s="14" t="s">
        <v>865</v>
      </c>
      <c r="C141" s="109">
        <f>Pareto!H15</f>
        <v>7.9351666403736365E-3</v>
      </c>
    </row>
    <row r="142" spans="2:3" ht="22.05" customHeight="1">
      <c r="B142" s="14" t="s">
        <v>866</v>
      </c>
      <c r="C142" s="109">
        <f>Pareto!H16</f>
        <v>6.744952689566386E-3</v>
      </c>
    </row>
    <row r="146" spans="2:2" ht="25.95" customHeight="1">
      <c r="B146" s="108" t="s">
        <v>870</v>
      </c>
    </row>
    <row r="169" spans="2:3" ht="22.05" customHeight="1">
      <c r="B169" s="6" t="s">
        <v>871</v>
      </c>
    </row>
    <row r="170" spans="2:3" ht="34.049999999999997" customHeight="1">
      <c r="B170" s="8" t="s">
        <v>235</v>
      </c>
      <c r="C170" s="8" t="s">
        <v>872</v>
      </c>
    </row>
    <row r="171" spans="2:3" ht="22.05" customHeight="1">
      <c r="B171" s="14" t="s">
        <v>99</v>
      </c>
      <c r="C171" s="91">
        <f>IF(Advance!E53=0,0,(MAX(0,B_Ground_Support!G8)+MAX(0,B_Ground_Support!G9)+MAX(0,B_Ground_Support!G10)+MAX(0,B_Ground_Support!G11))/Advance!E53)</f>
        <v>14.05508142407076</v>
      </c>
    </row>
    <row r="172" spans="2:3" ht="22.05" customHeight="1">
      <c r="B172" s="14" t="s">
        <v>100</v>
      </c>
      <c r="C172" s="91">
        <f>IF(Advance!F53=0,0,(MAX(0,B_Ground_Support!H8)+MAX(0,B_Ground_Support!H9)+MAX(0,B_Ground_Support!H10)+MAX(0,B_Ground_Support!H11))/Advance!F53)</f>
        <v>16.831060871652497</v>
      </c>
    </row>
    <row r="173" spans="2:3" ht="22.05" customHeight="1">
      <c r="B173" s="14" t="s">
        <v>101</v>
      </c>
      <c r="C173" s="91">
        <f>IF(Advance!G53=0,0,(MAX(0,B_Ground_Support!I8)+MAX(0,B_Ground_Support!I9)+MAX(0,B_Ground_Support!I10)+MAX(0,B_Ground_Support!I11))/Advance!G53)</f>
        <v>16.9005374587102</v>
      </c>
    </row>
    <row r="174" spans="2:3" ht="22.05" customHeight="1">
      <c r="B174" s="14" t="s">
        <v>102</v>
      </c>
      <c r="C174" s="91">
        <f>IF(Advance!H53=0,0,(MAX(0,B_Ground_Support!J8)+MAX(0,B_Ground_Support!J9)+MAX(0,B_Ground_Support!J10)+MAX(0,B_Ground_Support!J11))/Advance!H53)</f>
        <v>15.359352579629483</v>
      </c>
    </row>
    <row r="178" spans="2:2" ht="25.95" customHeight="1">
      <c r="B178" s="108" t="s">
        <v>873</v>
      </c>
    </row>
    <row r="201" spans="2:3" ht="22.05" customHeight="1">
      <c r="B201" s="6" t="s">
        <v>874</v>
      </c>
    </row>
    <row r="202" spans="2:3" ht="34.049999999999997" customHeight="1">
      <c r="B202" s="8" t="s">
        <v>235</v>
      </c>
      <c r="C202" s="8" t="s">
        <v>875</v>
      </c>
    </row>
    <row r="203" spans="2:3" ht="22.05" customHeight="1">
      <c r="B203" s="14" t="s">
        <v>99</v>
      </c>
      <c r="C203" s="91">
        <f>IF(Advance!E53=0,0,MAX(0,B_Ground_Support!G21)/Advance!E53)</f>
        <v>8.4715052729666169</v>
      </c>
    </row>
    <row r="204" spans="2:3" ht="22.05" customHeight="1">
      <c r="B204" s="14" t="s">
        <v>100</v>
      </c>
      <c r="C204" s="91">
        <f>IF(Advance!F53=0,0,MAX(0,B_Ground_Support!H21)/Advance!F53)</f>
        <v>1.2886231630013547</v>
      </c>
    </row>
    <row r="205" spans="2:3" ht="22.05" customHeight="1">
      <c r="B205" s="14" t="s">
        <v>101</v>
      </c>
      <c r="C205" s="91">
        <f>IF(Advance!G53=0,0,MAX(0,B_Ground_Support!I21)/Advance!G53)</f>
        <v>2.0638615578761081</v>
      </c>
    </row>
    <row r="206" spans="2:3" ht="22.05" customHeight="1">
      <c r="B206" s="14" t="s">
        <v>102</v>
      </c>
      <c r="C206" s="91">
        <f>IF(Advance!H53=0,0,MAX(0,B_Ground_Support!J21)/Advance!H53)</f>
        <v>1.9669179240191628</v>
      </c>
    </row>
    <row r="210" spans="2:2" ht="25.95" customHeight="1">
      <c r="B210" s="108" t="s">
        <v>876</v>
      </c>
    </row>
    <row r="233" spans="2:3" ht="22.05" customHeight="1">
      <c r="B233" s="6" t="s">
        <v>877</v>
      </c>
    </row>
    <row r="234" spans="2:3" ht="34.049999999999997" customHeight="1">
      <c r="B234" s="8" t="s">
        <v>97</v>
      </c>
      <c r="C234" s="8" t="s">
        <v>778</v>
      </c>
    </row>
    <row r="235" spans="2:3" ht="22.05" customHeight="1">
      <c r="B235" s="14" t="s">
        <v>751</v>
      </c>
      <c r="C235" s="60">
        <f>Consumption_Compare!F176</f>
        <v>34961</v>
      </c>
    </row>
    <row r="236" spans="2:3" ht="22.05" customHeight="1">
      <c r="B236" s="14" t="s">
        <v>759</v>
      </c>
      <c r="C236" s="60">
        <f>Consumption_Compare!G176</f>
        <v>17102</v>
      </c>
    </row>
    <row r="240" spans="2:3" ht="25.95" customHeight="1">
      <c r="B240" s="108" t="s">
        <v>878</v>
      </c>
    </row>
    <row r="263" spans="2:3" ht="22.05" customHeight="1">
      <c r="B263" s="6" t="s">
        <v>879</v>
      </c>
    </row>
    <row r="264" spans="2:3" ht="34.049999999999997" customHeight="1">
      <c r="B264" s="8" t="s">
        <v>538</v>
      </c>
      <c r="C264" s="8" t="s">
        <v>880</v>
      </c>
    </row>
    <row r="265" spans="2:3" ht="22.05" customHeight="1">
      <c r="B265" s="14" t="s">
        <v>881</v>
      </c>
      <c r="C265" s="15">
        <f>Plan_vs_Actual!H8</f>
        <v>152.678</v>
      </c>
    </row>
    <row r="266" spans="2:3" ht="22.05" customHeight="1">
      <c r="B266" s="14" t="s">
        <v>882</v>
      </c>
      <c r="C266" s="15">
        <f>Plan_vs_Actual!H9</f>
        <v>238.28899999999999</v>
      </c>
    </row>
    <row r="267" spans="2:3" ht="22.05" customHeight="1">
      <c r="B267" s="14" t="s">
        <v>883</v>
      </c>
      <c r="C267" s="15">
        <f>Plan_vs_Actual!H10</f>
        <v>0</v>
      </c>
    </row>
    <row r="271" spans="2:3" ht="25.95" customHeight="1">
      <c r="B271" s="108" t="s">
        <v>884</v>
      </c>
    </row>
    <row r="294" spans="2:3" ht="22.05" customHeight="1">
      <c r="B294" s="6" t="s">
        <v>885</v>
      </c>
    </row>
    <row r="295" spans="2:3" ht="34.049999999999997" customHeight="1">
      <c r="B295" s="8" t="s">
        <v>119</v>
      </c>
      <c r="C295" s="8" t="s">
        <v>853</v>
      </c>
    </row>
    <row r="296" spans="2:3" ht="22.05" customHeight="1">
      <c r="B296" s="14" t="s">
        <v>124</v>
      </c>
      <c r="C296" s="17">
        <f>Portal_Analysis!E53</f>
        <v>1036.7868632552179</v>
      </c>
    </row>
    <row r="297" spans="2:3" ht="22.05" customHeight="1">
      <c r="B297" s="14" t="s">
        <v>126</v>
      </c>
      <c r="C297" s="17">
        <f>Portal_Analysis!F53</f>
        <v>976.95905886339619</v>
      </c>
    </row>
    <row r="301" spans="2:3" ht="25.95" customHeight="1">
      <c r="B301" s="108" t="s">
        <v>886</v>
      </c>
    </row>
    <row r="332" spans="2:3" ht="22.05" customHeight="1">
      <c r="B332" s="6" t="s">
        <v>887</v>
      </c>
    </row>
    <row r="333" spans="2:3" ht="34.049999999999997" customHeight="1">
      <c r="B333" s="8" t="s">
        <v>648</v>
      </c>
      <c r="C333" s="8" t="s">
        <v>518</v>
      </c>
    </row>
    <row r="334" spans="2:3" ht="22.05" customHeight="1">
      <c r="B334" s="14" t="s">
        <v>352</v>
      </c>
      <c r="C334" s="15">
        <f>Portal_Analysis!H8</f>
        <v>95.451999999999998</v>
      </c>
    </row>
    <row r="335" spans="2:3" ht="22.05" customHeight="1">
      <c r="B335" s="14" t="s">
        <v>349</v>
      </c>
      <c r="C335" s="15">
        <f>Portal_Analysis!H18</f>
        <v>66.894000000000005</v>
      </c>
    </row>
    <row r="336" spans="2:3" ht="22.05" customHeight="1">
      <c r="B336" s="14" t="s">
        <v>367</v>
      </c>
      <c r="C336" s="15">
        <f>Portal_Analysis!H9</f>
        <v>31.786999999999999</v>
      </c>
    </row>
    <row r="337" spans="2:3" ht="22.05" customHeight="1">
      <c r="B337" s="14" t="s">
        <v>357</v>
      </c>
      <c r="C337" s="15">
        <f>Portal_Analysis!H19</f>
        <v>0</v>
      </c>
    </row>
    <row r="338" spans="2:3" ht="22.05" customHeight="1">
      <c r="B338" s="14" t="s">
        <v>388</v>
      </c>
      <c r="C338" s="15">
        <f>Portal_Analysis!H10</f>
        <v>57.558</v>
      </c>
    </row>
    <row r="339" spans="2:3" ht="22.05" customHeight="1">
      <c r="B339" s="14" t="s">
        <v>370</v>
      </c>
      <c r="C339" s="15">
        <f>Portal_Analysis!H20</f>
        <v>0</v>
      </c>
    </row>
    <row r="340" spans="2:3" ht="22.05" customHeight="1">
      <c r="B340" s="14" t="s">
        <v>384</v>
      </c>
      <c r="C340" s="15">
        <f>Portal_Analysis!H21</f>
        <v>32.860999999999997</v>
      </c>
    </row>
    <row r="341" spans="2:3" ht="22.05" customHeight="1">
      <c r="B341" s="14" t="s">
        <v>391</v>
      </c>
      <c r="C341" s="15">
        <f>Portal_Analysis!H11</f>
        <v>32.709000000000003</v>
      </c>
    </row>
  </sheetData>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188"/>
  <sheetViews>
    <sheetView showGridLines="0" workbookViewId="0">
      <pane xSplit="1" ySplit="6" topLeftCell="B7" activePane="bottomRight" state="frozen"/>
      <selection pane="topRight"/>
      <selection pane="bottomLeft"/>
      <selection pane="bottomRight"/>
    </sheetView>
  </sheetViews>
  <sheetFormatPr defaultRowHeight="14.4"/>
  <cols>
    <col min="1" max="1" width="4" customWidth="1"/>
    <col min="2" max="2" width="14" customWidth="1"/>
    <col min="3" max="3" width="10" customWidth="1"/>
    <col min="4" max="4" width="18" customWidth="1"/>
    <col min="5" max="5" width="26" customWidth="1"/>
    <col min="6" max="6" width="14" customWidth="1"/>
    <col min="7" max="7" width="4" customWidth="1"/>
    <col min="8" max="11" width="16" customWidth="1"/>
    <col min="12" max="12" width="4" customWidth="1"/>
    <col min="13" max="14" width="16" customWidth="1"/>
    <col min="15" max="15" width="4" customWidth="1"/>
    <col min="16" max="16" width="22" customWidth="1"/>
    <col min="17" max="17" width="30" customWidth="1"/>
  </cols>
  <sheetData>
    <row r="1" spans="2:17" ht="7.95" customHeight="1"/>
    <row r="2" spans="2:17" ht="30" customHeight="1">
      <c r="B2" s="12" t="s">
        <v>888</v>
      </c>
    </row>
    <row r="3" spans="2:17" ht="19.95" customHeight="1">
      <c r="B3" s="3" t="s">
        <v>889</v>
      </c>
    </row>
    <row r="4" spans="2:17" ht="24" customHeight="1">
      <c r="B4" s="121" t="s">
        <v>890</v>
      </c>
      <c r="C4" s="122"/>
      <c r="D4" s="122"/>
      <c r="E4" s="122"/>
      <c r="F4" s="122"/>
      <c r="G4" s="122"/>
      <c r="H4" s="122"/>
      <c r="I4" s="122"/>
      <c r="J4" s="122"/>
      <c r="K4" s="122"/>
      <c r="L4" s="122"/>
      <c r="M4" s="122"/>
      <c r="N4" s="122"/>
      <c r="O4" s="122"/>
      <c r="P4" s="122"/>
      <c r="Q4" s="122"/>
    </row>
    <row r="5" spans="2:17" ht="7.95" customHeight="1"/>
    <row r="6" spans="2:17" ht="52.05" customHeight="1">
      <c r="B6" s="8" t="s">
        <v>891</v>
      </c>
      <c r="C6" s="8" t="s">
        <v>892</v>
      </c>
      <c r="D6" s="8" t="s">
        <v>119</v>
      </c>
      <c r="E6" s="8" t="s">
        <v>648</v>
      </c>
      <c r="F6" s="8" t="s">
        <v>538</v>
      </c>
      <c r="G6" s="8"/>
      <c r="H6" s="8" t="s">
        <v>346</v>
      </c>
      <c r="I6" s="8" t="s">
        <v>893</v>
      </c>
      <c r="J6" s="8" t="s">
        <v>894</v>
      </c>
      <c r="K6" s="8" t="s">
        <v>895</v>
      </c>
      <c r="L6" s="8"/>
      <c r="M6" s="8" t="s">
        <v>896</v>
      </c>
      <c r="N6" s="8" t="s">
        <v>897</v>
      </c>
      <c r="O6" s="8"/>
      <c r="P6" s="8" t="s">
        <v>898</v>
      </c>
      <c r="Q6" s="8" t="s">
        <v>899</v>
      </c>
    </row>
    <row r="7" spans="2:17" ht="22.05" customHeight="1">
      <c r="B7" s="110" t="s">
        <v>900</v>
      </c>
      <c r="C7" s="42"/>
      <c r="D7" s="42"/>
      <c r="E7" s="42"/>
      <c r="F7" s="42"/>
      <c r="G7" s="42"/>
      <c r="H7" s="111">
        <v>8</v>
      </c>
      <c r="I7" s="56">
        <v>70</v>
      </c>
      <c r="J7" s="56">
        <v>11</v>
      </c>
      <c r="K7" s="56">
        <v>13</v>
      </c>
      <c r="L7" s="42"/>
      <c r="M7" s="56">
        <v>146</v>
      </c>
      <c r="N7" s="42"/>
      <c r="O7" s="42"/>
      <c r="P7" s="42"/>
      <c r="Q7" s="42" t="s">
        <v>755</v>
      </c>
    </row>
    <row r="8" spans="2:17" ht="22.05" customHeight="1">
      <c r="B8" s="110" t="s">
        <v>901</v>
      </c>
      <c r="C8" s="42"/>
      <c r="D8" s="42"/>
      <c r="E8" s="42"/>
      <c r="F8" s="42"/>
      <c r="G8" s="42"/>
      <c r="H8" s="111">
        <v>8</v>
      </c>
      <c r="I8" s="56">
        <v>74</v>
      </c>
      <c r="J8" s="56">
        <v>27</v>
      </c>
      <c r="K8" s="56">
        <v>6</v>
      </c>
      <c r="L8" s="42"/>
      <c r="M8" s="56">
        <v>100</v>
      </c>
      <c r="N8" s="42"/>
      <c r="O8" s="42"/>
      <c r="P8" s="42"/>
      <c r="Q8" s="42" t="s">
        <v>755</v>
      </c>
    </row>
    <row r="9" spans="2:17" ht="22.05" customHeight="1">
      <c r="B9" s="110" t="s">
        <v>902</v>
      </c>
      <c r="C9" s="42"/>
      <c r="D9" s="42"/>
      <c r="E9" s="42"/>
      <c r="F9" s="42"/>
      <c r="G9" s="42"/>
      <c r="H9" s="111">
        <v>8</v>
      </c>
      <c r="I9" s="56">
        <v>90</v>
      </c>
      <c r="J9" s="56">
        <v>25</v>
      </c>
      <c r="K9" s="56">
        <v>15</v>
      </c>
      <c r="L9" s="42"/>
      <c r="M9" s="56">
        <v>155</v>
      </c>
      <c r="N9" s="42"/>
      <c r="O9" s="42"/>
      <c r="P9" s="42"/>
      <c r="Q9" s="42" t="s">
        <v>755</v>
      </c>
    </row>
    <row r="10" spans="2:17" ht="22.05" customHeight="1">
      <c r="B10" s="110" t="s">
        <v>903</v>
      </c>
      <c r="C10" s="42"/>
      <c r="D10" s="42"/>
      <c r="E10" s="42"/>
      <c r="F10" s="42"/>
      <c r="G10" s="42"/>
      <c r="H10" s="111">
        <v>8</v>
      </c>
      <c r="I10" s="56">
        <v>49</v>
      </c>
      <c r="J10" s="56">
        <v>11</v>
      </c>
      <c r="K10" s="56">
        <v>4</v>
      </c>
      <c r="L10" s="42"/>
      <c r="M10" s="56">
        <v>123</v>
      </c>
      <c r="N10" s="42"/>
      <c r="O10" s="42"/>
      <c r="P10" s="42"/>
      <c r="Q10" s="42" t="s">
        <v>755</v>
      </c>
    </row>
    <row r="11" spans="2:17" ht="22.05" customHeight="1">
      <c r="B11" s="110" t="s">
        <v>904</v>
      </c>
      <c r="C11" s="42"/>
      <c r="D11" s="42"/>
      <c r="E11" s="42"/>
      <c r="F11" s="42"/>
      <c r="G11" s="42"/>
      <c r="H11" s="111">
        <v>4</v>
      </c>
      <c r="I11" s="56">
        <v>63</v>
      </c>
      <c r="J11" s="56">
        <v>14</v>
      </c>
      <c r="K11" s="56">
        <v>9</v>
      </c>
      <c r="L11" s="42"/>
      <c r="M11" s="56">
        <v>78</v>
      </c>
      <c r="N11" s="42"/>
      <c r="O11" s="42"/>
      <c r="P11" s="42"/>
      <c r="Q11" s="42" t="s">
        <v>755</v>
      </c>
    </row>
    <row r="12" spans="2:17" ht="22.05" customHeight="1">
      <c r="B12" s="110" t="s">
        <v>905</v>
      </c>
      <c r="C12" s="42"/>
      <c r="D12" s="42"/>
      <c r="E12" s="42"/>
      <c r="F12" s="42"/>
      <c r="G12" s="42"/>
      <c r="H12" s="111">
        <v>8</v>
      </c>
      <c r="I12" s="56">
        <v>85</v>
      </c>
      <c r="J12" s="56">
        <v>66</v>
      </c>
      <c r="K12" s="56">
        <v>18</v>
      </c>
      <c r="L12" s="42"/>
      <c r="M12" s="56">
        <v>149</v>
      </c>
      <c r="N12" s="42"/>
      <c r="O12" s="42"/>
      <c r="P12" s="42"/>
      <c r="Q12" s="42" t="s">
        <v>755</v>
      </c>
    </row>
    <row r="13" spans="2:17" ht="22.05" customHeight="1">
      <c r="B13" s="110" t="s">
        <v>906</v>
      </c>
      <c r="C13" s="42"/>
      <c r="D13" s="42"/>
      <c r="E13" s="42"/>
      <c r="F13" s="42"/>
      <c r="G13" s="42"/>
      <c r="H13" s="111">
        <v>4</v>
      </c>
      <c r="I13" s="56">
        <v>97</v>
      </c>
      <c r="J13" s="56">
        <v>37</v>
      </c>
      <c r="K13" s="56">
        <v>16</v>
      </c>
      <c r="L13" s="42"/>
      <c r="M13" s="56">
        <v>89</v>
      </c>
      <c r="N13" s="42"/>
      <c r="O13" s="42"/>
      <c r="P13" s="42"/>
      <c r="Q13" s="42" t="s">
        <v>755</v>
      </c>
    </row>
    <row r="14" spans="2:17" ht="22.05" customHeight="1">
      <c r="B14" s="110" t="s">
        <v>907</v>
      </c>
      <c r="C14" s="42"/>
      <c r="D14" s="42"/>
      <c r="E14" s="42"/>
      <c r="F14" s="42"/>
      <c r="G14" s="42"/>
      <c r="H14" s="111">
        <v>8</v>
      </c>
      <c r="I14" s="56">
        <v>45</v>
      </c>
      <c r="J14" s="56">
        <v>13</v>
      </c>
      <c r="K14" s="56">
        <v>6</v>
      </c>
      <c r="L14" s="42"/>
      <c r="M14" s="56">
        <v>118</v>
      </c>
      <c r="N14" s="42"/>
      <c r="O14" s="42"/>
      <c r="P14" s="42"/>
      <c r="Q14" s="42" t="s">
        <v>755</v>
      </c>
    </row>
    <row r="15" spans="2:17" ht="22.05" customHeight="1">
      <c r="B15" s="110" t="s">
        <v>908</v>
      </c>
      <c r="C15" s="42"/>
      <c r="D15" s="42"/>
      <c r="E15" s="42"/>
      <c r="F15" s="42"/>
      <c r="G15" s="42"/>
      <c r="H15" s="111">
        <v>20</v>
      </c>
      <c r="I15" s="56">
        <v>113</v>
      </c>
      <c r="J15" s="56">
        <v>53</v>
      </c>
      <c r="K15" s="56">
        <v>16</v>
      </c>
      <c r="L15" s="42"/>
      <c r="M15" s="56">
        <v>195</v>
      </c>
      <c r="N15" s="42"/>
      <c r="O15" s="42"/>
      <c r="P15" s="42"/>
      <c r="Q15" s="42" t="s">
        <v>755</v>
      </c>
    </row>
    <row r="16" spans="2:17" ht="22.05" customHeight="1">
      <c r="B16" s="110" t="s">
        <v>909</v>
      </c>
      <c r="C16" s="42"/>
      <c r="D16" s="42"/>
      <c r="E16" s="42"/>
      <c r="F16" s="42"/>
      <c r="G16" s="42"/>
      <c r="H16" s="111">
        <v>8</v>
      </c>
      <c r="I16" s="56">
        <v>63</v>
      </c>
      <c r="J16" s="56">
        <v>54</v>
      </c>
      <c r="K16" s="56">
        <v>6</v>
      </c>
      <c r="L16" s="42"/>
      <c r="M16" s="56">
        <v>95</v>
      </c>
      <c r="N16" s="42"/>
      <c r="O16" s="42"/>
      <c r="P16" s="42"/>
      <c r="Q16" s="42" t="s">
        <v>755</v>
      </c>
    </row>
    <row r="17" spans="2:17" ht="22.05" customHeight="1">
      <c r="B17" s="110" t="s">
        <v>910</v>
      </c>
      <c r="C17" s="42"/>
      <c r="D17" s="42"/>
      <c r="E17" s="42"/>
      <c r="F17" s="42"/>
      <c r="G17" s="42"/>
      <c r="H17" s="111">
        <v>8</v>
      </c>
      <c r="I17" s="56">
        <v>59</v>
      </c>
      <c r="J17" s="56">
        <v>54</v>
      </c>
      <c r="K17" s="56">
        <v>9</v>
      </c>
      <c r="L17" s="42"/>
      <c r="M17" s="56">
        <v>145</v>
      </c>
      <c r="N17" s="42"/>
      <c r="O17" s="42"/>
      <c r="P17" s="42"/>
      <c r="Q17" s="42" t="s">
        <v>755</v>
      </c>
    </row>
    <row r="18" spans="2:17" ht="22.05" customHeight="1">
      <c r="B18" s="110" t="s">
        <v>911</v>
      </c>
      <c r="C18" s="42"/>
      <c r="D18" s="42"/>
      <c r="E18" s="42"/>
      <c r="F18" s="42"/>
      <c r="G18" s="42"/>
      <c r="H18" s="111">
        <v>4</v>
      </c>
      <c r="I18" s="56">
        <v>82</v>
      </c>
      <c r="J18" s="56">
        <v>15</v>
      </c>
      <c r="K18" s="56">
        <v>12</v>
      </c>
      <c r="L18" s="42"/>
      <c r="M18" s="56">
        <v>78</v>
      </c>
      <c r="N18" s="42"/>
      <c r="O18" s="42"/>
      <c r="P18" s="42"/>
      <c r="Q18" s="42" t="s">
        <v>755</v>
      </c>
    </row>
    <row r="19" spans="2:17" ht="22.05" customHeight="1">
      <c r="B19" s="110" t="s">
        <v>912</v>
      </c>
      <c r="C19" s="42"/>
      <c r="D19" s="42"/>
      <c r="E19" s="42"/>
      <c r="F19" s="42"/>
      <c r="G19" s="42"/>
      <c r="H19" s="111">
        <v>8</v>
      </c>
      <c r="I19" s="56">
        <v>79</v>
      </c>
      <c r="J19" s="56">
        <v>44</v>
      </c>
      <c r="K19" s="56">
        <v>15</v>
      </c>
      <c r="L19" s="42"/>
      <c r="M19" s="56">
        <v>182</v>
      </c>
      <c r="N19" s="42"/>
      <c r="O19" s="42"/>
      <c r="P19" s="42"/>
      <c r="Q19" s="42" t="s">
        <v>755</v>
      </c>
    </row>
    <row r="20" spans="2:17" ht="22.05" customHeight="1">
      <c r="B20" s="110" t="s">
        <v>913</v>
      </c>
      <c r="C20" s="42"/>
      <c r="D20" s="42"/>
      <c r="E20" s="42"/>
      <c r="F20" s="42"/>
      <c r="G20" s="42"/>
      <c r="H20" s="111">
        <v>12</v>
      </c>
      <c r="I20" s="56">
        <v>110</v>
      </c>
      <c r="J20" s="56">
        <v>62</v>
      </c>
      <c r="K20" s="56">
        <v>11</v>
      </c>
      <c r="L20" s="42"/>
      <c r="M20" s="56">
        <v>233</v>
      </c>
      <c r="N20" s="42"/>
      <c r="O20" s="42"/>
      <c r="P20" s="42"/>
      <c r="Q20" s="42" t="s">
        <v>755</v>
      </c>
    </row>
    <row r="21" spans="2:17" ht="22.05" customHeight="1">
      <c r="B21" s="110" t="s">
        <v>914</v>
      </c>
      <c r="C21" s="42"/>
      <c r="D21" s="42"/>
      <c r="E21" s="42"/>
      <c r="F21" s="42"/>
      <c r="G21" s="42"/>
      <c r="H21" s="111">
        <v>4</v>
      </c>
      <c r="I21" s="56">
        <v>83</v>
      </c>
      <c r="J21" s="56">
        <v>49</v>
      </c>
      <c r="K21" s="56">
        <v>5</v>
      </c>
      <c r="L21" s="42"/>
      <c r="M21" s="56">
        <v>65</v>
      </c>
      <c r="N21" s="42"/>
      <c r="O21" s="42"/>
      <c r="P21" s="42"/>
      <c r="Q21" s="42" t="s">
        <v>755</v>
      </c>
    </row>
    <row r="22" spans="2:17" ht="22.05" customHeight="1">
      <c r="B22" s="110" t="s">
        <v>915</v>
      </c>
      <c r="C22" s="42"/>
      <c r="D22" s="42"/>
      <c r="E22" s="42"/>
      <c r="F22" s="42"/>
      <c r="G22" s="42"/>
      <c r="H22" s="111">
        <v>4</v>
      </c>
      <c r="I22" s="56">
        <v>42</v>
      </c>
      <c r="J22" s="56">
        <v>11</v>
      </c>
      <c r="K22" s="56">
        <v>8</v>
      </c>
      <c r="L22" s="42"/>
      <c r="M22" s="56">
        <v>62</v>
      </c>
      <c r="N22" s="42"/>
      <c r="O22" s="42"/>
      <c r="P22" s="42"/>
      <c r="Q22" s="42" t="s">
        <v>755</v>
      </c>
    </row>
    <row r="23" spans="2:17" ht="22.05" customHeight="1">
      <c r="B23" s="110" t="s">
        <v>916</v>
      </c>
      <c r="C23" s="42"/>
      <c r="D23" s="42"/>
      <c r="E23" s="42"/>
      <c r="F23" s="42"/>
      <c r="G23" s="42"/>
      <c r="H23" s="111">
        <v>4</v>
      </c>
      <c r="I23" s="56">
        <v>58</v>
      </c>
      <c r="J23" s="56">
        <v>14</v>
      </c>
      <c r="K23" s="56">
        <v>9</v>
      </c>
      <c r="L23" s="42"/>
      <c r="M23" s="56">
        <v>73</v>
      </c>
      <c r="N23" s="42"/>
      <c r="O23" s="42"/>
      <c r="P23" s="42"/>
      <c r="Q23" s="42" t="s">
        <v>755</v>
      </c>
    </row>
    <row r="24" spans="2:17" ht="22.05" customHeight="1">
      <c r="B24" s="110" t="s">
        <v>917</v>
      </c>
      <c r="C24" s="42"/>
      <c r="D24" s="42"/>
      <c r="E24" s="42"/>
      <c r="F24" s="42"/>
      <c r="G24" s="42"/>
      <c r="H24" s="111">
        <v>8</v>
      </c>
      <c r="I24" s="56">
        <v>71</v>
      </c>
      <c r="J24" s="56">
        <v>76</v>
      </c>
      <c r="K24" s="56">
        <v>11</v>
      </c>
      <c r="L24" s="42"/>
      <c r="M24" s="56">
        <v>153</v>
      </c>
      <c r="N24" s="42"/>
      <c r="O24" s="42"/>
      <c r="P24" s="42"/>
      <c r="Q24" s="42" t="s">
        <v>755</v>
      </c>
    </row>
    <row r="25" spans="2:17" ht="22.05" customHeight="1">
      <c r="B25" s="110" t="s">
        <v>918</v>
      </c>
      <c r="C25" s="42"/>
      <c r="D25" s="42"/>
      <c r="E25" s="42"/>
      <c r="F25" s="42"/>
      <c r="G25" s="42"/>
      <c r="H25" s="111">
        <v>12</v>
      </c>
      <c r="I25" s="56">
        <v>197</v>
      </c>
      <c r="J25" s="56">
        <v>49</v>
      </c>
      <c r="K25" s="56">
        <v>26</v>
      </c>
      <c r="L25" s="42"/>
      <c r="M25" s="56">
        <v>240</v>
      </c>
      <c r="N25" s="42"/>
      <c r="O25" s="42"/>
      <c r="P25" s="42"/>
      <c r="Q25" s="42" t="s">
        <v>755</v>
      </c>
    </row>
    <row r="26" spans="2:17" ht="22.05" customHeight="1">
      <c r="B26" s="110" t="s">
        <v>919</v>
      </c>
      <c r="C26" s="42"/>
      <c r="D26" s="42"/>
      <c r="E26" s="42"/>
      <c r="F26" s="42"/>
      <c r="G26" s="42"/>
      <c r="H26" s="111">
        <v>10.5</v>
      </c>
      <c r="I26" s="56">
        <v>125</v>
      </c>
      <c r="J26" s="56">
        <v>37</v>
      </c>
      <c r="K26" s="56">
        <v>20</v>
      </c>
      <c r="L26" s="42"/>
      <c r="M26" s="56">
        <v>196</v>
      </c>
      <c r="N26" s="42"/>
      <c r="O26" s="42"/>
      <c r="P26" s="42"/>
      <c r="Q26" s="42" t="s">
        <v>755</v>
      </c>
    </row>
    <row r="27" spans="2:17" ht="22.05" customHeight="1">
      <c r="B27" s="110" t="s">
        <v>920</v>
      </c>
      <c r="C27" s="42"/>
      <c r="D27" s="42"/>
      <c r="E27" s="42"/>
      <c r="F27" s="42"/>
      <c r="G27" s="42"/>
      <c r="H27" s="111">
        <v>15.5</v>
      </c>
      <c r="I27" s="56">
        <v>129</v>
      </c>
      <c r="J27" s="56">
        <v>34</v>
      </c>
      <c r="K27" s="56">
        <v>14</v>
      </c>
      <c r="L27" s="42"/>
      <c r="M27" s="56">
        <v>284</v>
      </c>
      <c r="N27" s="42"/>
      <c r="O27" s="42"/>
      <c r="P27" s="42"/>
      <c r="Q27" s="42" t="s">
        <v>755</v>
      </c>
    </row>
    <row r="28" spans="2:17" ht="22.05" customHeight="1">
      <c r="B28" s="110" t="s">
        <v>921</v>
      </c>
      <c r="C28" s="42"/>
      <c r="D28" s="42"/>
      <c r="E28" s="42"/>
      <c r="F28" s="42"/>
      <c r="G28" s="42"/>
      <c r="H28" s="111">
        <v>4</v>
      </c>
      <c r="I28" s="56">
        <v>88</v>
      </c>
      <c r="J28" s="56">
        <v>23</v>
      </c>
      <c r="K28" s="56">
        <v>5</v>
      </c>
      <c r="L28" s="42"/>
      <c r="M28" s="56">
        <v>87</v>
      </c>
      <c r="N28" s="42"/>
      <c r="O28" s="42"/>
      <c r="P28" s="42"/>
      <c r="Q28" s="42" t="s">
        <v>755</v>
      </c>
    </row>
    <row r="29" spans="2:17" ht="22.05" customHeight="1">
      <c r="B29" s="110" t="s">
        <v>922</v>
      </c>
      <c r="C29" s="42"/>
      <c r="D29" s="42"/>
      <c r="E29" s="42"/>
      <c r="F29" s="42"/>
      <c r="G29" s="42"/>
      <c r="H29" s="111">
        <v>20</v>
      </c>
      <c r="I29" s="56">
        <v>172</v>
      </c>
      <c r="J29" s="56">
        <v>52</v>
      </c>
      <c r="K29" s="56">
        <v>18</v>
      </c>
      <c r="L29" s="42"/>
      <c r="M29" s="56">
        <v>371</v>
      </c>
      <c r="N29" s="42"/>
      <c r="O29" s="42"/>
      <c r="P29" s="42"/>
      <c r="Q29" s="42" t="s">
        <v>755</v>
      </c>
    </row>
    <row r="30" spans="2:17" ht="22.05" customHeight="1">
      <c r="B30" s="110" t="s">
        <v>923</v>
      </c>
      <c r="C30" s="42"/>
      <c r="D30" s="42"/>
      <c r="E30" s="42"/>
      <c r="F30" s="42"/>
      <c r="G30" s="42"/>
      <c r="H30" s="111">
        <v>12</v>
      </c>
      <c r="I30" s="56">
        <v>129</v>
      </c>
      <c r="J30" s="56">
        <v>41</v>
      </c>
      <c r="K30" s="56">
        <v>14</v>
      </c>
      <c r="L30" s="42"/>
      <c r="M30" s="56">
        <v>180</v>
      </c>
      <c r="N30" s="42"/>
      <c r="O30" s="42"/>
      <c r="P30" s="42"/>
      <c r="Q30" s="42" t="s">
        <v>755</v>
      </c>
    </row>
    <row r="31" spans="2:17" ht="22.05" customHeight="1">
      <c r="B31" s="110" t="s">
        <v>924</v>
      </c>
      <c r="C31" s="42"/>
      <c r="D31" s="42"/>
      <c r="E31" s="42"/>
      <c r="F31" s="42"/>
      <c r="G31" s="42"/>
      <c r="H31" s="111">
        <v>12</v>
      </c>
      <c r="I31" s="56">
        <v>114</v>
      </c>
      <c r="J31" s="56">
        <v>26</v>
      </c>
      <c r="K31" s="56">
        <v>15</v>
      </c>
      <c r="L31" s="42"/>
      <c r="M31" s="56">
        <v>246</v>
      </c>
      <c r="N31" s="42"/>
      <c r="O31" s="42"/>
      <c r="P31" s="42"/>
      <c r="Q31" s="42" t="s">
        <v>755</v>
      </c>
    </row>
    <row r="32" spans="2:17" ht="22.05" customHeight="1">
      <c r="B32" s="110" t="s">
        <v>925</v>
      </c>
      <c r="C32" s="42"/>
      <c r="D32" s="42"/>
      <c r="E32" s="42"/>
      <c r="F32" s="42"/>
      <c r="G32" s="42"/>
      <c r="H32" s="111">
        <v>8</v>
      </c>
      <c r="I32" s="56">
        <v>193</v>
      </c>
      <c r="J32" s="56">
        <v>33</v>
      </c>
      <c r="K32" s="56">
        <v>31</v>
      </c>
      <c r="L32" s="42"/>
      <c r="M32" s="56">
        <v>158</v>
      </c>
      <c r="N32" s="42"/>
      <c r="O32" s="42"/>
      <c r="P32" s="42"/>
      <c r="Q32" s="42" t="s">
        <v>755</v>
      </c>
    </row>
    <row r="33" spans="2:17" ht="22.05" customHeight="1">
      <c r="B33" s="110" t="s">
        <v>926</v>
      </c>
      <c r="C33" s="42"/>
      <c r="D33" s="42"/>
      <c r="E33" s="42"/>
      <c r="F33" s="42"/>
      <c r="G33" s="42"/>
      <c r="H33" s="111">
        <v>12</v>
      </c>
      <c r="I33" s="56">
        <v>111</v>
      </c>
      <c r="J33" s="56">
        <v>38</v>
      </c>
      <c r="K33" s="56">
        <v>12</v>
      </c>
      <c r="L33" s="42"/>
      <c r="M33" s="56">
        <v>248</v>
      </c>
      <c r="N33" s="42"/>
      <c r="O33" s="42"/>
      <c r="P33" s="42"/>
      <c r="Q33" s="42" t="s">
        <v>755</v>
      </c>
    </row>
    <row r="34" spans="2:17" ht="22.05" customHeight="1">
      <c r="B34" s="110" t="s">
        <v>927</v>
      </c>
      <c r="C34" s="42"/>
      <c r="D34" s="42"/>
      <c r="E34" s="42"/>
      <c r="F34" s="42"/>
      <c r="G34" s="42"/>
      <c r="H34" s="111">
        <v>8.1999999999999993</v>
      </c>
      <c r="I34" s="56">
        <v>144</v>
      </c>
      <c r="J34" s="56">
        <v>26</v>
      </c>
      <c r="K34" s="56">
        <v>21</v>
      </c>
      <c r="L34" s="42"/>
      <c r="M34" s="56">
        <v>155</v>
      </c>
      <c r="N34" s="42"/>
      <c r="O34" s="42"/>
      <c r="P34" s="42"/>
      <c r="Q34" s="42" t="s">
        <v>755</v>
      </c>
    </row>
    <row r="35" spans="2:17" ht="22.05" customHeight="1">
      <c r="B35" s="110" t="s">
        <v>928</v>
      </c>
      <c r="C35" s="42"/>
      <c r="D35" s="42"/>
      <c r="E35" s="42"/>
      <c r="F35" s="42"/>
      <c r="G35" s="42"/>
      <c r="H35" s="111">
        <v>12.2</v>
      </c>
      <c r="I35" s="56">
        <v>103</v>
      </c>
      <c r="J35" s="56">
        <v>47</v>
      </c>
      <c r="K35" s="56">
        <v>19</v>
      </c>
      <c r="L35" s="42"/>
      <c r="M35" s="56">
        <v>224</v>
      </c>
      <c r="N35" s="42"/>
      <c r="O35" s="42"/>
      <c r="P35" s="42"/>
      <c r="Q35" s="42" t="s">
        <v>755</v>
      </c>
    </row>
    <row r="36" spans="2:17" ht="22.05" customHeight="1">
      <c r="B36" s="110" t="s">
        <v>929</v>
      </c>
      <c r="C36" s="42"/>
      <c r="D36" s="42"/>
      <c r="E36" s="42"/>
      <c r="F36" s="42"/>
      <c r="G36" s="42"/>
      <c r="H36" s="111">
        <v>4.2</v>
      </c>
      <c r="I36" s="56">
        <v>55</v>
      </c>
      <c r="J36" s="56">
        <v>33</v>
      </c>
      <c r="K36" s="56">
        <v>5</v>
      </c>
      <c r="L36" s="42"/>
      <c r="M36" s="56">
        <v>71</v>
      </c>
      <c r="N36" s="42"/>
      <c r="O36" s="42"/>
      <c r="P36" s="42"/>
      <c r="Q36" s="42" t="s">
        <v>755</v>
      </c>
    </row>
    <row r="37" spans="2:17" ht="22.05" customHeight="1">
      <c r="B37" s="110" t="s">
        <v>930</v>
      </c>
      <c r="C37" s="42"/>
      <c r="D37" s="42"/>
      <c r="E37" s="42"/>
      <c r="F37" s="42"/>
      <c r="G37" s="42"/>
      <c r="H37" s="111">
        <v>8</v>
      </c>
      <c r="I37" s="56">
        <v>63</v>
      </c>
      <c r="J37" s="56">
        <v>34</v>
      </c>
      <c r="K37" s="56">
        <v>7</v>
      </c>
      <c r="L37" s="42"/>
      <c r="M37" s="56">
        <v>140</v>
      </c>
      <c r="N37" s="42"/>
      <c r="O37" s="42"/>
      <c r="P37" s="42"/>
      <c r="Q37" s="42" t="s">
        <v>755</v>
      </c>
    </row>
    <row r="38" spans="2:17" ht="22.05" customHeight="1">
      <c r="B38" s="110" t="s">
        <v>931</v>
      </c>
      <c r="C38" s="42"/>
      <c r="D38" s="42"/>
      <c r="E38" s="42"/>
      <c r="F38" s="42"/>
      <c r="G38" s="42"/>
      <c r="H38" s="111">
        <v>12</v>
      </c>
      <c r="I38" s="56">
        <v>167</v>
      </c>
      <c r="J38" s="56">
        <v>0</v>
      </c>
      <c r="K38" s="56">
        <v>25</v>
      </c>
      <c r="L38" s="42"/>
      <c r="M38" s="56">
        <v>243</v>
      </c>
      <c r="N38" s="42"/>
      <c r="O38" s="42"/>
      <c r="P38" s="42"/>
      <c r="Q38" s="42" t="s">
        <v>755</v>
      </c>
    </row>
    <row r="39" spans="2:17" ht="22.05" customHeight="1">
      <c r="B39" s="110" t="s">
        <v>932</v>
      </c>
      <c r="C39" s="42"/>
      <c r="D39" s="42"/>
      <c r="E39" s="42"/>
      <c r="F39" s="42"/>
      <c r="G39" s="42"/>
      <c r="H39" s="111">
        <v>12</v>
      </c>
      <c r="I39" s="56">
        <v>108</v>
      </c>
      <c r="J39" s="56">
        <v>27</v>
      </c>
      <c r="K39" s="56">
        <v>13</v>
      </c>
      <c r="L39" s="42"/>
      <c r="M39" s="56">
        <v>279</v>
      </c>
      <c r="N39" s="42"/>
      <c r="O39" s="42"/>
      <c r="P39" s="42"/>
      <c r="Q39" s="42" t="s">
        <v>755</v>
      </c>
    </row>
    <row r="40" spans="2:17" ht="22.05" customHeight="1">
      <c r="B40" s="110" t="s">
        <v>933</v>
      </c>
      <c r="C40" s="42"/>
      <c r="D40" s="42"/>
      <c r="E40" s="42"/>
      <c r="F40" s="42"/>
      <c r="G40" s="42"/>
      <c r="H40" s="111">
        <v>12</v>
      </c>
      <c r="I40" s="56">
        <v>147</v>
      </c>
      <c r="J40" s="56">
        <v>29</v>
      </c>
      <c r="K40" s="56">
        <v>15</v>
      </c>
      <c r="L40" s="42"/>
      <c r="M40" s="56">
        <v>249</v>
      </c>
      <c r="N40" s="42"/>
      <c r="O40" s="42"/>
      <c r="P40" s="42"/>
      <c r="Q40" s="42" t="s">
        <v>755</v>
      </c>
    </row>
    <row r="41" spans="2:17" ht="22.05" customHeight="1">
      <c r="B41" s="110" t="s">
        <v>934</v>
      </c>
      <c r="C41" s="42"/>
      <c r="D41" s="42"/>
      <c r="E41" s="42"/>
      <c r="F41" s="42"/>
      <c r="G41" s="42"/>
      <c r="H41" s="111">
        <v>8</v>
      </c>
      <c r="I41" s="56">
        <v>127</v>
      </c>
      <c r="J41" s="56">
        <v>43</v>
      </c>
      <c r="K41" s="56">
        <v>20</v>
      </c>
      <c r="L41" s="42"/>
      <c r="M41" s="56">
        <v>175</v>
      </c>
      <c r="N41" s="42"/>
      <c r="O41" s="42"/>
      <c r="P41" s="42"/>
      <c r="Q41" s="42" t="s">
        <v>755</v>
      </c>
    </row>
    <row r="42" spans="2:17" ht="22.05" customHeight="1">
      <c r="B42" s="110" t="s">
        <v>935</v>
      </c>
      <c r="C42" s="42"/>
      <c r="D42" s="42"/>
      <c r="E42" s="42"/>
      <c r="F42" s="42"/>
      <c r="G42" s="42"/>
      <c r="H42" s="111">
        <v>8</v>
      </c>
      <c r="I42" s="56">
        <v>27</v>
      </c>
      <c r="J42" s="56">
        <v>23</v>
      </c>
      <c r="K42" s="56">
        <v>6</v>
      </c>
      <c r="L42" s="42"/>
      <c r="M42" s="56">
        <v>142</v>
      </c>
      <c r="N42" s="42"/>
      <c r="O42" s="42"/>
      <c r="P42" s="42"/>
      <c r="Q42" s="42" t="s">
        <v>755</v>
      </c>
    </row>
    <row r="43" spans="2:17" ht="22.05" customHeight="1">
      <c r="B43" s="110" t="s">
        <v>936</v>
      </c>
      <c r="C43" s="42"/>
      <c r="D43" s="42"/>
      <c r="E43" s="42"/>
      <c r="F43" s="42"/>
      <c r="G43" s="42"/>
      <c r="H43" s="111">
        <v>8</v>
      </c>
      <c r="I43" s="56">
        <v>114</v>
      </c>
      <c r="J43" s="56">
        <v>62</v>
      </c>
      <c r="K43" s="56">
        <v>21</v>
      </c>
      <c r="L43" s="42"/>
      <c r="M43" s="56">
        <v>175</v>
      </c>
      <c r="N43" s="42"/>
      <c r="O43" s="42"/>
      <c r="P43" s="42"/>
      <c r="Q43" s="42" t="s">
        <v>755</v>
      </c>
    </row>
    <row r="44" spans="2:17" ht="22.05" customHeight="1">
      <c r="B44" s="110" t="s">
        <v>937</v>
      </c>
      <c r="C44" s="42"/>
      <c r="D44" s="42"/>
      <c r="E44" s="42"/>
      <c r="F44" s="42"/>
      <c r="G44" s="42"/>
      <c r="H44" s="111">
        <v>8</v>
      </c>
      <c r="I44" s="56">
        <v>81</v>
      </c>
      <c r="J44" s="56">
        <v>32</v>
      </c>
      <c r="K44" s="56">
        <v>13</v>
      </c>
      <c r="L44" s="42"/>
      <c r="M44" s="56">
        <v>148</v>
      </c>
      <c r="N44" s="42"/>
      <c r="O44" s="42"/>
      <c r="P44" s="42"/>
      <c r="Q44" s="42" t="s">
        <v>755</v>
      </c>
    </row>
    <row r="45" spans="2:17" ht="22.05" customHeight="1">
      <c r="B45" s="110" t="s">
        <v>938</v>
      </c>
      <c r="C45" s="42"/>
      <c r="D45" s="42"/>
      <c r="E45" s="42"/>
      <c r="F45" s="42"/>
      <c r="G45" s="42"/>
      <c r="H45" s="111">
        <v>8</v>
      </c>
      <c r="I45" s="56">
        <v>213</v>
      </c>
      <c r="J45" s="56">
        <v>57</v>
      </c>
      <c r="K45" s="56">
        <v>34</v>
      </c>
      <c r="L45" s="42"/>
      <c r="M45" s="56">
        <v>148</v>
      </c>
      <c r="N45" s="42"/>
      <c r="O45" s="42"/>
      <c r="P45" s="42"/>
      <c r="Q45" s="42" t="s">
        <v>755</v>
      </c>
    </row>
    <row r="46" spans="2:17" ht="22.05" customHeight="1">
      <c r="B46" s="110" t="s">
        <v>939</v>
      </c>
      <c r="C46" s="42"/>
      <c r="D46" s="42"/>
      <c r="E46" s="42"/>
      <c r="F46" s="42"/>
      <c r="G46" s="42"/>
      <c r="H46" s="111">
        <v>8</v>
      </c>
      <c r="I46" s="56">
        <v>168</v>
      </c>
      <c r="J46" s="56">
        <v>98</v>
      </c>
      <c r="K46" s="56">
        <v>29</v>
      </c>
      <c r="L46" s="42"/>
      <c r="M46" s="56">
        <v>158</v>
      </c>
      <c r="N46" s="42"/>
      <c r="O46" s="42"/>
      <c r="P46" s="42"/>
      <c r="Q46" s="42" t="s">
        <v>755</v>
      </c>
    </row>
    <row r="47" spans="2:17" ht="22.05" customHeight="1">
      <c r="B47" s="110" t="s">
        <v>940</v>
      </c>
      <c r="C47" s="42"/>
      <c r="D47" s="42"/>
      <c r="E47" s="42"/>
      <c r="F47" s="42"/>
      <c r="G47" s="42"/>
      <c r="H47" s="111">
        <v>16</v>
      </c>
      <c r="I47" s="56">
        <v>42</v>
      </c>
      <c r="J47" s="56">
        <v>55</v>
      </c>
      <c r="K47" s="56">
        <v>6</v>
      </c>
      <c r="L47" s="42"/>
      <c r="M47" s="56">
        <v>306</v>
      </c>
      <c r="N47" s="42"/>
      <c r="O47" s="42"/>
      <c r="P47" s="42"/>
      <c r="Q47" s="42" t="s">
        <v>755</v>
      </c>
    </row>
    <row r="48" spans="2:17" ht="22.05" customHeight="1">
      <c r="B48" s="110" t="s">
        <v>941</v>
      </c>
      <c r="C48" s="42"/>
      <c r="D48" s="42"/>
      <c r="E48" s="42"/>
      <c r="F48" s="42"/>
      <c r="G48" s="42"/>
      <c r="H48" s="111">
        <v>8</v>
      </c>
      <c r="I48" s="56">
        <v>91</v>
      </c>
      <c r="J48" s="56">
        <v>34</v>
      </c>
      <c r="K48" s="56">
        <v>17</v>
      </c>
      <c r="L48" s="42"/>
      <c r="M48" s="56">
        <v>154</v>
      </c>
      <c r="N48" s="42"/>
      <c r="O48" s="42"/>
      <c r="P48" s="42"/>
      <c r="Q48" s="42" t="s">
        <v>755</v>
      </c>
    </row>
    <row r="49" spans="2:17" ht="22.05" customHeight="1">
      <c r="B49" s="110" t="s">
        <v>942</v>
      </c>
      <c r="C49" s="42"/>
      <c r="D49" s="42"/>
      <c r="E49" s="42"/>
      <c r="F49" s="42"/>
      <c r="G49" s="42"/>
      <c r="H49" s="111">
        <v>12</v>
      </c>
      <c r="I49" s="56">
        <v>132</v>
      </c>
      <c r="J49" s="56">
        <v>57</v>
      </c>
      <c r="K49" s="56">
        <v>23</v>
      </c>
      <c r="L49" s="42"/>
      <c r="M49" s="56">
        <v>227</v>
      </c>
      <c r="N49" s="42"/>
      <c r="O49" s="42"/>
      <c r="P49" s="42"/>
      <c r="Q49" s="42" t="s">
        <v>755</v>
      </c>
    </row>
    <row r="50" spans="2:17" ht="22.05" customHeight="1">
      <c r="B50" s="110" t="s">
        <v>943</v>
      </c>
      <c r="C50" s="42"/>
      <c r="D50" s="42"/>
      <c r="E50" s="42"/>
      <c r="F50" s="42"/>
      <c r="G50" s="42"/>
      <c r="H50" s="111">
        <v>8</v>
      </c>
      <c r="I50" s="56">
        <v>170</v>
      </c>
      <c r="J50" s="56">
        <v>51</v>
      </c>
      <c r="K50" s="56">
        <v>28</v>
      </c>
      <c r="L50" s="42"/>
      <c r="M50" s="56">
        <v>166</v>
      </c>
      <c r="N50" s="42"/>
      <c r="O50" s="42"/>
      <c r="P50" s="42"/>
      <c r="Q50" s="42" t="s">
        <v>755</v>
      </c>
    </row>
    <row r="51" spans="2:17" ht="22.05" customHeight="1">
      <c r="B51" s="110" t="s">
        <v>944</v>
      </c>
      <c r="C51" s="42"/>
      <c r="D51" s="42"/>
      <c r="E51" s="42"/>
      <c r="F51" s="42"/>
      <c r="G51" s="42"/>
      <c r="H51" s="111">
        <v>18.5</v>
      </c>
      <c r="I51" s="56">
        <v>104</v>
      </c>
      <c r="J51" s="56">
        <v>34</v>
      </c>
      <c r="K51" s="56">
        <v>10</v>
      </c>
      <c r="L51" s="42"/>
      <c r="M51" s="56">
        <v>316</v>
      </c>
      <c r="N51" s="42"/>
      <c r="O51" s="42"/>
      <c r="P51" s="42"/>
      <c r="Q51" s="42" t="s">
        <v>755</v>
      </c>
    </row>
    <row r="52" spans="2:17" ht="22.05" customHeight="1">
      <c r="B52" s="110" t="s">
        <v>945</v>
      </c>
      <c r="C52" s="42"/>
      <c r="D52" s="42"/>
      <c r="E52" s="42"/>
      <c r="F52" s="42"/>
      <c r="G52" s="42"/>
      <c r="H52" s="111">
        <v>8</v>
      </c>
      <c r="I52" s="56">
        <v>105</v>
      </c>
      <c r="J52" s="56">
        <v>25</v>
      </c>
      <c r="K52" s="56">
        <v>19</v>
      </c>
      <c r="L52" s="42"/>
      <c r="M52" s="56">
        <v>123</v>
      </c>
      <c r="N52" s="42"/>
      <c r="O52" s="42"/>
      <c r="P52" s="42"/>
      <c r="Q52" s="42" t="s">
        <v>755</v>
      </c>
    </row>
    <row r="53" spans="2:17" ht="22.05" customHeight="1">
      <c r="B53" s="110" t="s">
        <v>946</v>
      </c>
      <c r="C53" s="42"/>
      <c r="D53" s="42"/>
      <c r="E53" s="42"/>
      <c r="F53" s="42"/>
      <c r="G53" s="42"/>
      <c r="H53" s="111">
        <v>12</v>
      </c>
      <c r="I53" s="56">
        <v>104</v>
      </c>
      <c r="J53" s="56">
        <v>21</v>
      </c>
      <c r="K53" s="56">
        <v>7</v>
      </c>
      <c r="L53" s="42"/>
      <c r="M53" s="56">
        <v>233</v>
      </c>
      <c r="N53" s="42"/>
      <c r="O53" s="42"/>
      <c r="P53" s="42"/>
      <c r="Q53" s="42" t="s">
        <v>755</v>
      </c>
    </row>
    <row r="54" spans="2:17" ht="22.05" customHeight="1">
      <c r="B54" s="110" t="s">
        <v>947</v>
      </c>
      <c r="C54" s="42"/>
      <c r="D54" s="42"/>
      <c r="E54" s="42"/>
      <c r="F54" s="42"/>
      <c r="G54" s="42"/>
      <c r="H54" s="111">
        <v>4</v>
      </c>
      <c r="I54" s="56">
        <v>92</v>
      </c>
      <c r="J54" s="56">
        <v>24</v>
      </c>
      <c r="K54" s="56">
        <v>13</v>
      </c>
      <c r="L54" s="42"/>
      <c r="M54" s="56">
        <v>70</v>
      </c>
      <c r="N54" s="42"/>
      <c r="O54" s="42"/>
      <c r="P54" s="42"/>
      <c r="Q54" s="42" t="s">
        <v>755</v>
      </c>
    </row>
    <row r="55" spans="2:17" ht="22.05" customHeight="1">
      <c r="B55" s="110" t="s">
        <v>948</v>
      </c>
      <c r="C55" s="42"/>
      <c r="D55" s="42"/>
      <c r="E55" s="42"/>
      <c r="F55" s="42"/>
      <c r="G55" s="42"/>
      <c r="H55" s="111">
        <v>8</v>
      </c>
      <c r="I55" s="56">
        <v>66</v>
      </c>
      <c r="J55" s="56">
        <v>14</v>
      </c>
      <c r="K55" s="56">
        <v>10</v>
      </c>
      <c r="L55" s="42"/>
      <c r="M55" s="56">
        <v>144</v>
      </c>
      <c r="N55" s="42"/>
      <c r="O55" s="42"/>
      <c r="P55" s="42"/>
      <c r="Q55" s="42" t="s">
        <v>755</v>
      </c>
    </row>
    <row r="56" spans="2:17" ht="22.05" customHeight="1">
      <c r="B56" s="110" t="s">
        <v>949</v>
      </c>
      <c r="C56" s="42"/>
      <c r="D56" s="42"/>
      <c r="E56" s="42"/>
      <c r="F56" s="42"/>
      <c r="G56" s="42"/>
      <c r="H56" s="111">
        <v>20</v>
      </c>
      <c r="I56" s="56">
        <v>127</v>
      </c>
      <c r="J56" s="56">
        <v>30</v>
      </c>
      <c r="K56" s="56">
        <v>14</v>
      </c>
      <c r="L56" s="42"/>
      <c r="M56" s="56">
        <v>269</v>
      </c>
      <c r="N56" s="42"/>
      <c r="O56" s="42"/>
      <c r="P56" s="42"/>
      <c r="Q56" s="42" t="s">
        <v>755</v>
      </c>
    </row>
    <row r="57" spans="2:17" ht="22.05" customHeight="1">
      <c r="B57" s="110" t="s">
        <v>950</v>
      </c>
      <c r="C57" s="42"/>
      <c r="D57" s="42"/>
      <c r="E57" s="42"/>
      <c r="F57" s="42"/>
      <c r="G57" s="42"/>
      <c r="H57" s="111">
        <v>16</v>
      </c>
      <c r="I57" s="56">
        <v>212</v>
      </c>
      <c r="J57" s="56">
        <v>28</v>
      </c>
      <c r="K57" s="56">
        <v>28</v>
      </c>
      <c r="L57" s="42"/>
      <c r="M57" s="56">
        <v>127</v>
      </c>
      <c r="N57" s="42"/>
      <c r="O57" s="42"/>
      <c r="P57" s="42"/>
      <c r="Q57" s="42" t="s">
        <v>755</v>
      </c>
    </row>
    <row r="58" spans="2:17" ht="22.05" customHeight="1">
      <c r="B58" s="110" t="s">
        <v>951</v>
      </c>
      <c r="C58" s="42"/>
      <c r="D58" s="42"/>
      <c r="E58" s="42"/>
      <c r="F58" s="42"/>
      <c r="G58" s="42"/>
      <c r="H58" s="111">
        <v>12</v>
      </c>
      <c r="I58" s="56">
        <v>49</v>
      </c>
      <c r="J58" s="56">
        <v>44</v>
      </c>
      <c r="K58" s="56">
        <v>7</v>
      </c>
      <c r="L58" s="42"/>
      <c r="M58" s="56">
        <v>143</v>
      </c>
      <c r="N58" s="42"/>
      <c r="O58" s="42"/>
      <c r="P58" s="42"/>
      <c r="Q58" s="42" t="s">
        <v>755</v>
      </c>
    </row>
    <row r="59" spans="2:17" ht="22.05" customHeight="1">
      <c r="B59" s="110" t="s">
        <v>952</v>
      </c>
      <c r="C59" s="42"/>
      <c r="D59" s="42"/>
      <c r="E59" s="42"/>
      <c r="F59" s="42"/>
      <c r="G59" s="42"/>
      <c r="H59" s="111">
        <v>4</v>
      </c>
      <c r="I59" s="56">
        <v>30</v>
      </c>
      <c r="J59" s="56">
        <v>30</v>
      </c>
      <c r="K59" s="56">
        <v>7</v>
      </c>
      <c r="L59" s="42"/>
      <c r="M59" s="56">
        <v>46</v>
      </c>
      <c r="N59" s="42"/>
      <c r="O59" s="42"/>
      <c r="P59" s="42"/>
      <c r="Q59" s="42" t="s">
        <v>755</v>
      </c>
    </row>
    <row r="60" spans="2:17" ht="22.05" customHeight="1">
      <c r="B60" s="110" t="s">
        <v>953</v>
      </c>
      <c r="C60" s="42"/>
      <c r="D60" s="42"/>
      <c r="E60" s="42"/>
      <c r="F60" s="42"/>
      <c r="G60" s="42"/>
      <c r="H60" s="111">
        <v>8</v>
      </c>
      <c r="I60" s="56">
        <v>50</v>
      </c>
      <c r="J60" s="56">
        <v>14</v>
      </c>
      <c r="K60" s="56">
        <v>11</v>
      </c>
      <c r="L60" s="42"/>
      <c r="M60" s="56">
        <v>0</v>
      </c>
      <c r="N60" s="42"/>
      <c r="O60" s="42"/>
      <c r="P60" s="42"/>
      <c r="Q60" s="42" t="s">
        <v>755</v>
      </c>
    </row>
    <row r="61" spans="2:17" ht="22.05" customHeight="1">
      <c r="B61" s="110" t="s">
        <v>954</v>
      </c>
      <c r="C61" s="42"/>
      <c r="D61" s="42"/>
      <c r="E61" s="42"/>
      <c r="F61" s="42"/>
      <c r="G61" s="42"/>
      <c r="H61" s="111">
        <v>15.5</v>
      </c>
      <c r="I61" s="56">
        <v>72</v>
      </c>
      <c r="J61" s="56">
        <v>30</v>
      </c>
      <c r="K61" s="56">
        <v>16</v>
      </c>
      <c r="L61" s="42"/>
      <c r="M61" s="56">
        <v>232</v>
      </c>
      <c r="N61" s="42"/>
      <c r="O61" s="42"/>
      <c r="P61" s="42"/>
      <c r="Q61" s="42" t="s">
        <v>755</v>
      </c>
    </row>
    <row r="62" spans="2:17" ht="22.05" customHeight="1">
      <c r="B62" s="110" t="s">
        <v>955</v>
      </c>
      <c r="C62" s="42"/>
      <c r="D62" s="42"/>
      <c r="E62" s="42"/>
      <c r="F62" s="42"/>
      <c r="G62" s="42"/>
      <c r="H62" s="111">
        <v>8</v>
      </c>
      <c r="I62" s="56">
        <v>126</v>
      </c>
      <c r="J62" s="56">
        <v>38</v>
      </c>
      <c r="K62" s="56">
        <v>12</v>
      </c>
      <c r="L62" s="42"/>
      <c r="M62" s="56">
        <v>178</v>
      </c>
      <c r="N62" s="42"/>
      <c r="O62" s="42"/>
      <c r="P62" s="42"/>
      <c r="Q62" s="42" t="s">
        <v>755</v>
      </c>
    </row>
    <row r="63" spans="2:17" ht="22.05" customHeight="1">
      <c r="B63" s="110" t="s">
        <v>956</v>
      </c>
      <c r="C63" s="42"/>
      <c r="D63" s="42"/>
      <c r="E63" s="42"/>
      <c r="F63" s="42"/>
      <c r="G63" s="42"/>
      <c r="H63" s="111">
        <v>4</v>
      </c>
      <c r="I63" s="56">
        <v>94</v>
      </c>
      <c r="J63" s="56">
        <v>12</v>
      </c>
      <c r="K63" s="56">
        <v>17</v>
      </c>
      <c r="L63" s="42"/>
      <c r="M63" s="56">
        <v>68</v>
      </c>
      <c r="N63" s="42"/>
      <c r="O63" s="42"/>
      <c r="P63" s="42"/>
      <c r="Q63" s="42" t="s">
        <v>755</v>
      </c>
    </row>
    <row r="64" spans="2:17" ht="22.05" customHeight="1">
      <c r="B64" s="110" t="s">
        <v>957</v>
      </c>
      <c r="C64" s="42"/>
      <c r="D64" s="42"/>
      <c r="E64" s="42"/>
      <c r="F64" s="42"/>
      <c r="G64" s="42"/>
      <c r="H64" s="111">
        <v>24</v>
      </c>
      <c r="I64" s="56">
        <v>107</v>
      </c>
      <c r="J64" s="56">
        <v>56</v>
      </c>
      <c r="K64" s="56">
        <v>14</v>
      </c>
      <c r="L64" s="42"/>
      <c r="M64" s="56">
        <v>186</v>
      </c>
      <c r="N64" s="42"/>
      <c r="O64" s="42"/>
      <c r="P64" s="42"/>
      <c r="Q64" s="42" t="s">
        <v>755</v>
      </c>
    </row>
    <row r="65" spans="2:17" ht="22.05" customHeight="1">
      <c r="B65" s="110" t="s">
        <v>958</v>
      </c>
      <c r="C65" s="42"/>
      <c r="D65" s="42"/>
      <c r="E65" s="42"/>
      <c r="F65" s="42"/>
      <c r="G65" s="42"/>
      <c r="H65" s="111">
        <v>8</v>
      </c>
      <c r="I65" s="56">
        <v>91</v>
      </c>
      <c r="J65" s="56">
        <v>43</v>
      </c>
      <c r="K65" s="56">
        <v>16</v>
      </c>
      <c r="L65" s="42"/>
      <c r="M65" s="56">
        <v>58</v>
      </c>
      <c r="N65" s="42"/>
      <c r="O65" s="42"/>
      <c r="P65" s="42"/>
      <c r="Q65" s="42" t="s">
        <v>755</v>
      </c>
    </row>
    <row r="66" spans="2:17" ht="22.05" customHeight="1">
      <c r="B66" s="110" t="s">
        <v>959</v>
      </c>
      <c r="C66" s="42"/>
      <c r="D66" s="42"/>
      <c r="E66" s="42"/>
      <c r="F66" s="42"/>
      <c r="G66" s="42"/>
      <c r="H66" s="111">
        <v>10.5</v>
      </c>
      <c r="I66" s="56">
        <v>65</v>
      </c>
      <c r="J66" s="56">
        <v>24</v>
      </c>
      <c r="K66" s="56">
        <v>9</v>
      </c>
      <c r="L66" s="42"/>
      <c r="M66" s="56">
        <v>225</v>
      </c>
      <c r="N66" s="42"/>
      <c r="O66" s="42"/>
      <c r="P66" s="42"/>
      <c r="Q66" s="42" t="s">
        <v>755</v>
      </c>
    </row>
    <row r="67" spans="2:17" ht="22.05" customHeight="1">
      <c r="B67" s="110" t="s">
        <v>960</v>
      </c>
      <c r="C67" s="42"/>
      <c r="D67" s="42"/>
      <c r="E67" s="42"/>
      <c r="F67" s="42"/>
      <c r="G67" s="42"/>
      <c r="H67" s="111">
        <v>8</v>
      </c>
      <c r="I67" s="56">
        <v>110</v>
      </c>
      <c r="J67" s="56">
        <v>18</v>
      </c>
      <c r="K67" s="56">
        <v>23</v>
      </c>
      <c r="L67" s="42"/>
      <c r="M67" s="56">
        <v>160</v>
      </c>
      <c r="N67" s="42"/>
      <c r="O67" s="42"/>
      <c r="P67" s="42"/>
      <c r="Q67" s="42" t="s">
        <v>755</v>
      </c>
    </row>
    <row r="68" spans="2:17" ht="22.05" customHeight="1">
      <c r="B68" s="110" t="s">
        <v>961</v>
      </c>
      <c r="C68" s="42"/>
      <c r="D68" s="42"/>
      <c r="E68" s="42"/>
      <c r="F68" s="42"/>
      <c r="G68" s="42"/>
      <c r="H68" s="111">
        <v>12</v>
      </c>
      <c r="I68" s="56">
        <v>185</v>
      </c>
      <c r="J68" s="56">
        <v>39</v>
      </c>
      <c r="K68" s="56">
        <v>23</v>
      </c>
      <c r="L68" s="42"/>
      <c r="M68" s="56">
        <v>219</v>
      </c>
      <c r="N68" s="42"/>
      <c r="O68" s="42"/>
      <c r="P68" s="42"/>
      <c r="Q68" s="42" t="s">
        <v>755</v>
      </c>
    </row>
    <row r="69" spans="2:17" ht="22.05" customHeight="1">
      <c r="B69" s="110" t="s">
        <v>962</v>
      </c>
      <c r="C69" s="42"/>
      <c r="D69" s="42"/>
      <c r="E69" s="42"/>
      <c r="F69" s="42"/>
      <c r="G69" s="42"/>
      <c r="H69" s="111">
        <v>20</v>
      </c>
      <c r="I69" s="56">
        <v>58</v>
      </c>
      <c r="J69" s="56">
        <v>50</v>
      </c>
      <c r="K69" s="56">
        <v>7</v>
      </c>
      <c r="L69" s="42"/>
      <c r="M69" s="56">
        <v>327</v>
      </c>
      <c r="N69" s="42"/>
      <c r="O69" s="42"/>
      <c r="P69" s="42"/>
      <c r="Q69" s="42" t="s">
        <v>755</v>
      </c>
    </row>
    <row r="70" spans="2:17" ht="22.05" customHeight="1">
      <c r="B70" s="110" t="s">
        <v>963</v>
      </c>
      <c r="C70" s="42"/>
      <c r="D70" s="42"/>
      <c r="E70" s="42"/>
      <c r="F70" s="42"/>
      <c r="G70" s="42"/>
      <c r="H70" s="111">
        <v>12</v>
      </c>
      <c r="I70" s="56">
        <v>42</v>
      </c>
      <c r="J70" s="56">
        <v>39</v>
      </c>
      <c r="K70" s="56">
        <v>7</v>
      </c>
      <c r="L70" s="42"/>
      <c r="M70" s="56">
        <v>276</v>
      </c>
      <c r="N70" s="42"/>
      <c r="O70" s="42"/>
      <c r="P70" s="42"/>
      <c r="Q70" s="42" t="s">
        <v>755</v>
      </c>
    </row>
    <row r="71" spans="2:17" ht="22.05" customHeight="1">
      <c r="B71" s="110" t="s">
        <v>964</v>
      </c>
      <c r="C71" s="42"/>
      <c r="D71" s="42"/>
      <c r="E71" s="42"/>
      <c r="F71" s="42"/>
      <c r="G71" s="42"/>
      <c r="H71" s="111">
        <v>4</v>
      </c>
      <c r="I71" s="56">
        <v>80</v>
      </c>
      <c r="J71" s="56">
        <v>19</v>
      </c>
      <c r="K71" s="56">
        <v>15</v>
      </c>
      <c r="L71" s="42"/>
      <c r="M71" s="56">
        <v>155</v>
      </c>
      <c r="N71" s="42"/>
      <c r="O71" s="42"/>
      <c r="P71" s="42"/>
      <c r="Q71" s="42" t="s">
        <v>755</v>
      </c>
    </row>
    <row r="72" spans="2:17" ht="22.05" customHeight="1">
      <c r="B72" s="110" t="s">
        <v>965</v>
      </c>
      <c r="C72" s="42"/>
      <c r="D72" s="42"/>
      <c r="E72" s="42"/>
      <c r="F72" s="42"/>
      <c r="G72" s="42"/>
      <c r="H72" s="111">
        <v>12</v>
      </c>
      <c r="I72" s="56">
        <v>191</v>
      </c>
      <c r="J72" s="56">
        <v>119</v>
      </c>
      <c r="K72" s="56">
        <v>34</v>
      </c>
      <c r="L72" s="42"/>
      <c r="M72" s="56">
        <v>245</v>
      </c>
      <c r="N72" s="42"/>
      <c r="O72" s="42"/>
      <c r="P72" s="42"/>
      <c r="Q72" s="42" t="s">
        <v>755</v>
      </c>
    </row>
    <row r="73" spans="2:17" ht="22.05" customHeight="1">
      <c r="B73" s="110" t="s">
        <v>966</v>
      </c>
      <c r="C73" s="42"/>
      <c r="D73" s="42"/>
      <c r="E73" s="42"/>
      <c r="F73" s="42"/>
      <c r="G73" s="42"/>
      <c r="H73" s="111">
        <v>16</v>
      </c>
      <c r="I73" s="56">
        <v>124</v>
      </c>
      <c r="J73" s="56">
        <v>64</v>
      </c>
      <c r="K73" s="56">
        <v>17</v>
      </c>
      <c r="L73" s="42"/>
      <c r="M73" s="56">
        <v>307</v>
      </c>
      <c r="N73" s="42"/>
      <c r="O73" s="42"/>
      <c r="P73" s="42"/>
      <c r="Q73" s="42" t="s">
        <v>755</v>
      </c>
    </row>
    <row r="74" spans="2:17" ht="22.05" customHeight="1">
      <c r="B74" s="110" t="s">
        <v>967</v>
      </c>
      <c r="C74" s="42"/>
      <c r="D74" s="42"/>
      <c r="E74" s="42"/>
      <c r="F74" s="42"/>
      <c r="G74" s="42"/>
      <c r="H74" s="111">
        <v>12</v>
      </c>
      <c r="I74" s="56">
        <v>127</v>
      </c>
      <c r="J74" s="56">
        <v>39</v>
      </c>
      <c r="K74" s="56">
        <v>16</v>
      </c>
      <c r="L74" s="42"/>
      <c r="M74" s="56">
        <v>240</v>
      </c>
      <c r="N74" s="42"/>
      <c r="O74" s="42"/>
      <c r="P74" s="42"/>
      <c r="Q74" s="42" t="s">
        <v>755</v>
      </c>
    </row>
    <row r="75" spans="2:17" ht="22.05" customHeight="1">
      <c r="B75" s="110" t="s">
        <v>968</v>
      </c>
      <c r="C75" s="42"/>
      <c r="D75" s="42"/>
      <c r="E75" s="42"/>
      <c r="F75" s="42"/>
      <c r="G75" s="42"/>
      <c r="H75" s="111">
        <v>8</v>
      </c>
      <c r="I75" s="56">
        <v>140</v>
      </c>
      <c r="J75" s="56">
        <v>82</v>
      </c>
      <c r="K75" s="56">
        <v>25</v>
      </c>
      <c r="L75" s="42"/>
      <c r="M75" s="56">
        <v>155</v>
      </c>
      <c r="N75" s="42"/>
      <c r="O75" s="42"/>
      <c r="P75" s="42"/>
      <c r="Q75" s="42" t="s">
        <v>755</v>
      </c>
    </row>
    <row r="76" spans="2:17" ht="22.05" customHeight="1">
      <c r="B76" s="110" t="s">
        <v>969</v>
      </c>
      <c r="C76" s="42"/>
      <c r="D76" s="42"/>
      <c r="E76" s="42"/>
      <c r="F76" s="42"/>
      <c r="G76" s="42"/>
      <c r="H76" s="111">
        <v>12</v>
      </c>
      <c r="I76" s="56">
        <v>171</v>
      </c>
      <c r="J76" s="56">
        <v>62</v>
      </c>
      <c r="K76" s="56">
        <v>24</v>
      </c>
      <c r="L76" s="42"/>
      <c r="M76" s="56">
        <v>231</v>
      </c>
      <c r="N76" s="42"/>
      <c r="O76" s="42"/>
      <c r="P76" s="42"/>
      <c r="Q76" s="42" t="s">
        <v>755</v>
      </c>
    </row>
    <row r="77" spans="2:17" ht="22.05" customHeight="1">
      <c r="B77" s="110" t="s">
        <v>970</v>
      </c>
      <c r="C77" s="42"/>
      <c r="D77" s="42"/>
      <c r="E77" s="42"/>
      <c r="F77" s="42"/>
      <c r="G77" s="42"/>
      <c r="H77" s="111">
        <v>12</v>
      </c>
      <c r="I77" s="56">
        <v>80</v>
      </c>
      <c r="J77" s="56">
        <v>91</v>
      </c>
      <c r="K77" s="56">
        <v>16</v>
      </c>
      <c r="L77" s="42"/>
      <c r="M77" s="56">
        <v>231</v>
      </c>
      <c r="N77" s="42"/>
      <c r="O77" s="42"/>
      <c r="P77" s="42"/>
      <c r="Q77" s="42" t="s">
        <v>755</v>
      </c>
    </row>
    <row r="78" spans="2:17" ht="22.05" customHeight="1">
      <c r="B78" s="110" t="s">
        <v>971</v>
      </c>
      <c r="C78" s="42"/>
      <c r="D78" s="42"/>
      <c r="E78" s="42"/>
      <c r="F78" s="42"/>
      <c r="G78" s="42"/>
      <c r="H78" s="111">
        <v>16</v>
      </c>
      <c r="I78" s="56">
        <v>111</v>
      </c>
      <c r="J78" s="56">
        <v>85</v>
      </c>
      <c r="K78" s="56">
        <v>22</v>
      </c>
      <c r="L78" s="42"/>
      <c r="M78" s="56">
        <v>331</v>
      </c>
      <c r="N78" s="42"/>
      <c r="O78" s="42"/>
      <c r="P78" s="42"/>
      <c r="Q78" s="42" t="s">
        <v>755</v>
      </c>
    </row>
    <row r="79" spans="2:17" ht="22.05" customHeight="1">
      <c r="B79" s="110" t="s">
        <v>972</v>
      </c>
      <c r="C79" s="42"/>
      <c r="D79" s="42"/>
      <c r="E79" s="42"/>
      <c r="F79" s="42"/>
      <c r="G79" s="42"/>
      <c r="H79" s="111">
        <v>16</v>
      </c>
      <c r="I79" s="56">
        <v>167</v>
      </c>
      <c r="J79" s="56">
        <v>118</v>
      </c>
      <c r="K79" s="56">
        <v>32</v>
      </c>
      <c r="L79" s="42"/>
      <c r="M79" s="56">
        <v>282</v>
      </c>
      <c r="N79" s="42"/>
      <c r="O79" s="42"/>
      <c r="P79" s="42"/>
      <c r="Q79" s="42" t="s">
        <v>755</v>
      </c>
    </row>
    <row r="80" spans="2:17" ht="22.05" customHeight="1">
      <c r="B80" s="110" t="s">
        <v>973</v>
      </c>
      <c r="C80" s="42"/>
      <c r="D80" s="42"/>
      <c r="E80" s="42"/>
      <c r="F80" s="42"/>
      <c r="G80" s="42"/>
      <c r="H80" s="111">
        <v>12</v>
      </c>
      <c r="I80" s="56">
        <v>68</v>
      </c>
      <c r="J80" s="56">
        <v>57</v>
      </c>
      <c r="K80" s="56">
        <v>11</v>
      </c>
      <c r="L80" s="42"/>
      <c r="M80" s="56">
        <v>224</v>
      </c>
      <c r="N80" s="42"/>
      <c r="O80" s="42"/>
      <c r="P80" s="42"/>
      <c r="Q80" s="42" t="s">
        <v>755</v>
      </c>
    </row>
    <row r="81" spans="2:17" ht="22.05" customHeight="1">
      <c r="B81" s="110" t="s">
        <v>974</v>
      </c>
      <c r="C81" s="42"/>
      <c r="D81" s="42"/>
      <c r="E81" s="42"/>
      <c r="F81" s="42"/>
      <c r="G81" s="42"/>
      <c r="H81" s="111">
        <v>12</v>
      </c>
      <c r="I81" s="56">
        <v>119</v>
      </c>
      <c r="J81" s="56">
        <v>78</v>
      </c>
      <c r="K81" s="56">
        <v>16</v>
      </c>
      <c r="L81" s="42"/>
      <c r="M81" s="56">
        <v>301</v>
      </c>
      <c r="N81" s="42"/>
      <c r="O81" s="42"/>
      <c r="P81" s="42"/>
      <c r="Q81" s="42" t="s">
        <v>755</v>
      </c>
    </row>
    <row r="82" spans="2:17" ht="22.05" customHeight="1">
      <c r="B82" s="110" t="s">
        <v>975</v>
      </c>
      <c r="C82" s="42"/>
      <c r="D82" s="42"/>
      <c r="E82" s="42"/>
      <c r="F82" s="42"/>
      <c r="G82" s="42"/>
      <c r="H82" s="111">
        <v>12</v>
      </c>
      <c r="I82" s="56">
        <v>206</v>
      </c>
      <c r="J82" s="56">
        <v>113</v>
      </c>
      <c r="K82" s="56">
        <v>30</v>
      </c>
      <c r="L82" s="42"/>
      <c r="M82" s="56">
        <v>310</v>
      </c>
      <c r="N82" s="42"/>
      <c r="O82" s="42"/>
      <c r="P82" s="42"/>
      <c r="Q82" s="42" t="s">
        <v>755</v>
      </c>
    </row>
    <row r="83" spans="2:17" ht="22.05" customHeight="1">
      <c r="B83" s="110" t="s">
        <v>976</v>
      </c>
      <c r="C83" s="42"/>
      <c r="D83" s="42"/>
      <c r="E83" s="42"/>
      <c r="F83" s="42"/>
      <c r="G83" s="42"/>
      <c r="H83" s="111">
        <v>24</v>
      </c>
      <c r="I83" s="56">
        <v>118</v>
      </c>
      <c r="J83" s="56">
        <v>78</v>
      </c>
      <c r="K83" s="56">
        <v>22</v>
      </c>
      <c r="L83" s="42"/>
      <c r="M83" s="56">
        <v>381</v>
      </c>
      <c r="N83" s="42"/>
      <c r="O83" s="42"/>
      <c r="P83" s="42"/>
      <c r="Q83" s="42" t="s">
        <v>755</v>
      </c>
    </row>
    <row r="84" spans="2:17" ht="22.05" customHeight="1">
      <c r="B84" s="110" t="s">
        <v>977</v>
      </c>
      <c r="C84" s="42"/>
      <c r="D84" s="42"/>
      <c r="E84" s="42"/>
      <c r="F84" s="42"/>
      <c r="G84" s="42"/>
      <c r="H84" s="111">
        <v>8</v>
      </c>
      <c r="I84" s="56">
        <v>86</v>
      </c>
      <c r="J84" s="56">
        <v>41</v>
      </c>
      <c r="K84" s="56">
        <v>19</v>
      </c>
      <c r="L84" s="42"/>
      <c r="M84" s="56">
        <v>158</v>
      </c>
      <c r="N84" s="42"/>
      <c r="O84" s="42"/>
      <c r="P84" s="42"/>
      <c r="Q84" s="42" t="s">
        <v>755</v>
      </c>
    </row>
    <row r="85" spans="2:17" ht="22.05" customHeight="1">
      <c r="B85" s="110" t="s">
        <v>978</v>
      </c>
      <c r="C85" s="42"/>
      <c r="D85" s="42"/>
      <c r="E85" s="42"/>
      <c r="F85" s="42"/>
      <c r="G85" s="42"/>
      <c r="H85" s="111">
        <v>16</v>
      </c>
      <c r="I85" s="56">
        <v>118</v>
      </c>
      <c r="J85" s="56">
        <v>74</v>
      </c>
      <c r="K85" s="56">
        <v>18</v>
      </c>
      <c r="L85" s="42"/>
      <c r="M85" s="56">
        <v>241</v>
      </c>
      <c r="N85" s="42"/>
      <c r="O85" s="42"/>
      <c r="P85" s="42"/>
      <c r="Q85" s="42" t="s">
        <v>755</v>
      </c>
    </row>
    <row r="86" spans="2:17" ht="22.05" customHeight="1">
      <c r="B86" s="110" t="s">
        <v>979</v>
      </c>
      <c r="C86" s="42"/>
      <c r="D86" s="42"/>
      <c r="E86" s="42"/>
      <c r="F86" s="42"/>
      <c r="G86" s="42"/>
      <c r="H86" s="111">
        <v>20</v>
      </c>
      <c r="I86" s="56">
        <v>164</v>
      </c>
      <c r="J86" s="56">
        <v>112</v>
      </c>
      <c r="K86" s="56">
        <v>24</v>
      </c>
      <c r="L86" s="42"/>
      <c r="M86" s="56">
        <v>311</v>
      </c>
      <c r="N86" s="42"/>
      <c r="O86" s="42"/>
      <c r="P86" s="42"/>
      <c r="Q86" s="42" t="s">
        <v>755</v>
      </c>
    </row>
    <row r="87" spans="2:17" ht="22.05" customHeight="1">
      <c r="B87" s="110" t="s">
        <v>980</v>
      </c>
      <c r="C87" s="42"/>
      <c r="D87" s="42"/>
      <c r="E87" s="42"/>
      <c r="F87" s="42"/>
      <c r="G87" s="42"/>
      <c r="H87" s="111">
        <v>16</v>
      </c>
      <c r="I87" s="56">
        <v>162</v>
      </c>
      <c r="J87" s="56">
        <v>96</v>
      </c>
      <c r="K87" s="56">
        <v>28</v>
      </c>
      <c r="L87" s="42"/>
      <c r="M87" s="56">
        <v>366</v>
      </c>
      <c r="N87" s="42"/>
      <c r="O87" s="42"/>
      <c r="P87" s="42"/>
      <c r="Q87" s="42" t="s">
        <v>755</v>
      </c>
    </row>
    <row r="88" spans="2:17" ht="22.05" customHeight="1">
      <c r="B88" s="110" t="s">
        <v>981</v>
      </c>
      <c r="C88" s="42"/>
      <c r="D88" s="42"/>
      <c r="E88" s="42"/>
      <c r="F88" s="42"/>
      <c r="G88" s="42"/>
      <c r="H88" s="111">
        <v>12</v>
      </c>
      <c r="I88" s="56">
        <v>130</v>
      </c>
      <c r="J88" s="56">
        <v>117</v>
      </c>
      <c r="K88" s="56">
        <v>23</v>
      </c>
      <c r="L88" s="42"/>
      <c r="M88" s="56">
        <v>178</v>
      </c>
      <c r="N88" s="42"/>
      <c r="O88" s="42"/>
      <c r="P88" s="42"/>
      <c r="Q88" s="42" t="s">
        <v>755</v>
      </c>
    </row>
    <row r="89" spans="2:17" ht="22.05" customHeight="1">
      <c r="B89" s="110" t="s">
        <v>982</v>
      </c>
      <c r="C89" s="42"/>
      <c r="D89" s="42"/>
      <c r="E89" s="42"/>
      <c r="F89" s="42"/>
      <c r="G89" s="42"/>
      <c r="H89" s="111">
        <v>14.5</v>
      </c>
      <c r="I89" s="56">
        <v>98</v>
      </c>
      <c r="J89" s="56">
        <v>40</v>
      </c>
      <c r="K89" s="56">
        <v>15</v>
      </c>
      <c r="L89" s="42"/>
      <c r="M89" s="56">
        <v>255</v>
      </c>
      <c r="N89" s="42"/>
      <c r="O89" s="42"/>
      <c r="P89" s="42"/>
      <c r="Q89" s="42" t="s">
        <v>755</v>
      </c>
    </row>
    <row r="90" spans="2:17" ht="22.05" customHeight="1">
      <c r="B90" s="110" t="s">
        <v>983</v>
      </c>
      <c r="C90" s="42"/>
      <c r="D90" s="42"/>
      <c r="E90" s="42"/>
      <c r="F90" s="42"/>
      <c r="G90" s="42"/>
      <c r="H90" s="111">
        <v>16</v>
      </c>
      <c r="I90" s="56">
        <v>160</v>
      </c>
      <c r="J90" s="56">
        <v>106</v>
      </c>
      <c r="K90" s="56">
        <v>28</v>
      </c>
      <c r="L90" s="42"/>
      <c r="M90" s="56">
        <v>309</v>
      </c>
      <c r="N90" s="42"/>
      <c r="O90" s="42"/>
      <c r="P90" s="42"/>
      <c r="Q90" s="42" t="s">
        <v>755</v>
      </c>
    </row>
    <row r="91" spans="2:17" ht="22.05" customHeight="1">
      <c r="B91" s="110" t="s">
        <v>984</v>
      </c>
      <c r="C91" s="42"/>
      <c r="D91" s="42"/>
      <c r="E91" s="42"/>
      <c r="F91" s="42"/>
      <c r="G91" s="42"/>
      <c r="H91" s="111">
        <v>20</v>
      </c>
      <c r="I91" s="56">
        <v>209</v>
      </c>
      <c r="J91" s="56">
        <v>79</v>
      </c>
      <c r="K91" s="56">
        <v>38</v>
      </c>
      <c r="L91" s="42"/>
      <c r="M91" s="56">
        <v>295</v>
      </c>
      <c r="N91" s="42"/>
      <c r="O91" s="42"/>
      <c r="P91" s="42"/>
      <c r="Q91" s="42" t="s">
        <v>755</v>
      </c>
    </row>
    <row r="92" spans="2:17" ht="22.05" customHeight="1">
      <c r="B92" s="110" t="s">
        <v>985</v>
      </c>
      <c r="C92" s="42"/>
      <c r="D92" s="42"/>
      <c r="E92" s="42"/>
      <c r="F92" s="42"/>
      <c r="G92" s="42"/>
      <c r="H92" s="111">
        <v>16</v>
      </c>
      <c r="I92" s="56">
        <v>124</v>
      </c>
      <c r="J92" s="56">
        <v>98</v>
      </c>
      <c r="K92" s="56">
        <v>24</v>
      </c>
      <c r="L92" s="42"/>
      <c r="M92" s="56">
        <v>314</v>
      </c>
      <c r="N92" s="42"/>
      <c r="O92" s="42"/>
      <c r="P92" s="42"/>
      <c r="Q92" s="42" t="s">
        <v>755</v>
      </c>
    </row>
    <row r="93" spans="2:17" ht="22.05" customHeight="1">
      <c r="B93" s="110" t="s">
        <v>986</v>
      </c>
      <c r="C93" s="42"/>
      <c r="D93" s="42"/>
      <c r="E93" s="42"/>
      <c r="F93" s="42"/>
      <c r="G93" s="42"/>
      <c r="H93" s="111">
        <v>6.5</v>
      </c>
      <c r="I93" s="56">
        <v>93</v>
      </c>
      <c r="J93" s="56">
        <v>62</v>
      </c>
      <c r="K93" s="56">
        <v>17</v>
      </c>
      <c r="L93" s="42"/>
      <c r="M93" s="56">
        <v>163</v>
      </c>
      <c r="N93" s="42"/>
      <c r="O93" s="42"/>
      <c r="P93" s="42"/>
      <c r="Q93" s="42" t="s">
        <v>755</v>
      </c>
    </row>
    <row r="94" spans="2:17" ht="22.05" customHeight="1">
      <c r="B94" s="110" t="s">
        <v>987</v>
      </c>
      <c r="C94" s="42"/>
      <c r="D94" s="42"/>
      <c r="E94" s="42"/>
      <c r="F94" s="42"/>
      <c r="G94" s="42"/>
      <c r="H94" s="111">
        <v>8</v>
      </c>
      <c r="I94" s="56">
        <v>127</v>
      </c>
      <c r="J94" s="56">
        <v>84</v>
      </c>
      <c r="K94" s="56">
        <v>29</v>
      </c>
      <c r="L94" s="42"/>
      <c r="M94" s="56">
        <v>176</v>
      </c>
      <c r="N94" s="42"/>
      <c r="O94" s="42"/>
      <c r="P94" s="42"/>
      <c r="Q94" s="42" t="s">
        <v>755</v>
      </c>
    </row>
    <row r="95" spans="2:17" ht="22.05" customHeight="1">
      <c r="B95" s="110" t="s">
        <v>988</v>
      </c>
      <c r="C95" s="42"/>
      <c r="D95" s="42"/>
      <c r="E95" s="42"/>
      <c r="F95" s="42"/>
      <c r="G95" s="42"/>
      <c r="H95" s="111">
        <v>0</v>
      </c>
      <c r="I95" s="56">
        <v>134</v>
      </c>
      <c r="J95" s="56">
        <v>85</v>
      </c>
      <c r="K95" s="56">
        <v>18</v>
      </c>
      <c r="L95" s="42"/>
      <c r="M95" s="56">
        <v>66</v>
      </c>
      <c r="N95" s="42"/>
      <c r="O95" s="42"/>
      <c r="P95" s="42"/>
      <c r="Q95" s="42" t="s">
        <v>755</v>
      </c>
    </row>
    <row r="96" spans="2:17" ht="22.05" customHeight="1">
      <c r="B96" s="110" t="s">
        <v>989</v>
      </c>
      <c r="C96" s="42"/>
      <c r="D96" s="42"/>
      <c r="E96" s="42"/>
      <c r="F96" s="42"/>
      <c r="G96" s="42"/>
      <c r="H96" s="111">
        <v>8</v>
      </c>
      <c r="I96" s="56">
        <v>104</v>
      </c>
      <c r="J96" s="56">
        <v>74</v>
      </c>
      <c r="K96" s="56">
        <v>22</v>
      </c>
      <c r="L96" s="42"/>
      <c r="M96" s="56">
        <v>232</v>
      </c>
      <c r="N96" s="42"/>
      <c r="O96" s="42"/>
      <c r="P96" s="42"/>
      <c r="Q96" s="42" t="s">
        <v>755</v>
      </c>
    </row>
    <row r="97" spans="2:17" ht="22.05" customHeight="1">
      <c r="B97" s="110" t="s">
        <v>990</v>
      </c>
      <c r="C97" s="42"/>
      <c r="D97" s="42"/>
      <c r="E97" s="42"/>
      <c r="F97" s="42"/>
      <c r="G97" s="42"/>
      <c r="H97" s="111">
        <v>16</v>
      </c>
      <c r="I97" s="56">
        <v>99</v>
      </c>
      <c r="J97" s="56">
        <v>66</v>
      </c>
      <c r="K97" s="56">
        <v>25</v>
      </c>
      <c r="L97" s="42"/>
      <c r="M97" s="56">
        <v>167</v>
      </c>
      <c r="N97" s="42"/>
      <c r="O97" s="42"/>
      <c r="P97" s="42"/>
      <c r="Q97" s="42" t="s">
        <v>755</v>
      </c>
    </row>
    <row r="98" spans="2:17" ht="22.05" customHeight="1">
      <c r="B98" s="110" t="s">
        <v>991</v>
      </c>
      <c r="C98" s="42"/>
      <c r="D98" s="42"/>
      <c r="E98" s="42"/>
      <c r="F98" s="42"/>
      <c r="G98" s="42"/>
      <c r="H98" s="111">
        <v>12</v>
      </c>
      <c r="I98" s="56">
        <v>166</v>
      </c>
      <c r="J98" s="56">
        <v>145</v>
      </c>
      <c r="K98" s="56">
        <v>31</v>
      </c>
      <c r="L98" s="42"/>
      <c r="M98" s="56">
        <v>327</v>
      </c>
      <c r="N98" s="42"/>
      <c r="O98" s="42"/>
      <c r="P98" s="42"/>
      <c r="Q98" s="42" t="s">
        <v>755</v>
      </c>
    </row>
    <row r="99" spans="2:17" ht="22.05" customHeight="1">
      <c r="B99" s="110" t="s">
        <v>992</v>
      </c>
      <c r="C99" s="42"/>
      <c r="D99" s="42"/>
      <c r="E99" s="42"/>
      <c r="F99" s="42"/>
      <c r="G99" s="42"/>
      <c r="H99" s="111">
        <v>8</v>
      </c>
      <c r="I99" s="56">
        <v>91</v>
      </c>
      <c r="J99" s="56">
        <v>59</v>
      </c>
      <c r="K99" s="56">
        <v>22</v>
      </c>
      <c r="L99" s="42"/>
      <c r="M99" s="56">
        <v>168</v>
      </c>
      <c r="N99" s="42"/>
      <c r="O99" s="42"/>
      <c r="P99" s="42"/>
      <c r="Q99" s="42" t="s">
        <v>755</v>
      </c>
    </row>
    <row r="100" spans="2:17" ht="22.05" customHeight="1">
      <c r="B100" s="110" t="s">
        <v>993</v>
      </c>
      <c r="C100" s="42"/>
      <c r="D100" s="42"/>
      <c r="E100" s="42"/>
      <c r="F100" s="42"/>
      <c r="G100" s="42"/>
      <c r="H100" s="111">
        <v>13</v>
      </c>
      <c r="I100" s="56">
        <v>77</v>
      </c>
      <c r="J100" s="56">
        <v>58</v>
      </c>
      <c r="K100" s="56">
        <v>9</v>
      </c>
      <c r="L100" s="42"/>
      <c r="M100" s="56">
        <v>258</v>
      </c>
      <c r="N100" s="42"/>
      <c r="O100" s="42"/>
      <c r="P100" s="42"/>
      <c r="Q100" s="42" t="s">
        <v>755</v>
      </c>
    </row>
    <row r="101" spans="2:17" ht="22.05" customHeight="1">
      <c r="B101" s="110" t="s">
        <v>994</v>
      </c>
      <c r="C101" s="42"/>
      <c r="D101" s="42"/>
      <c r="E101" s="42"/>
      <c r="F101" s="42"/>
      <c r="G101" s="42"/>
      <c r="H101" s="111">
        <v>8</v>
      </c>
      <c r="I101" s="56">
        <v>156</v>
      </c>
      <c r="J101" s="56">
        <v>77</v>
      </c>
      <c r="K101" s="56">
        <v>28</v>
      </c>
      <c r="L101" s="42"/>
      <c r="M101" s="56">
        <v>125</v>
      </c>
      <c r="N101" s="42"/>
      <c r="O101" s="42"/>
      <c r="P101" s="42"/>
      <c r="Q101" s="42" t="s">
        <v>755</v>
      </c>
    </row>
    <row r="102" spans="2:17" ht="22.05" customHeight="1">
      <c r="B102" s="110" t="s">
        <v>995</v>
      </c>
      <c r="C102" s="42"/>
      <c r="D102" s="42"/>
      <c r="E102" s="42"/>
      <c r="F102" s="42"/>
      <c r="G102" s="42"/>
      <c r="H102" s="111">
        <v>16</v>
      </c>
      <c r="I102" s="56">
        <v>125</v>
      </c>
      <c r="J102" s="56">
        <v>49</v>
      </c>
      <c r="K102" s="56">
        <v>22</v>
      </c>
      <c r="L102" s="42"/>
      <c r="M102" s="56">
        <v>302</v>
      </c>
      <c r="N102" s="42"/>
      <c r="O102" s="42"/>
      <c r="P102" s="42"/>
      <c r="Q102" s="42" t="s">
        <v>755</v>
      </c>
    </row>
    <row r="103" spans="2:17" ht="22.05" customHeight="1">
      <c r="B103" s="110" t="s">
        <v>996</v>
      </c>
      <c r="C103" s="42"/>
      <c r="D103" s="42"/>
      <c r="E103" s="42"/>
      <c r="F103" s="42"/>
      <c r="G103" s="42"/>
      <c r="H103" s="111">
        <v>20</v>
      </c>
      <c r="I103" s="56">
        <v>100</v>
      </c>
      <c r="J103" s="56">
        <v>62</v>
      </c>
      <c r="K103" s="56">
        <v>19</v>
      </c>
      <c r="L103" s="42"/>
      <c r="M103" s="56">
        <v>270</v>
      </c>
      <c r="N103" s="42"/>
      <c r="O103" s="42"/>
      <c r="P103" s="42"/>
      <c r="Q103" s="42" t="s">
        <v>755</v>
      </c>
    </row>
    <row r="104" spans="2:17" ht="22.05" customHeight="1">
      <c r="B104" s="110" t="s">
        <v>997</v>
      </c>
      <c r="C104" s="42"/>
      <c r="D104" s="42"/>
      <c r="E104" s="42"/>
      <c r="F104" s="42"/>
      <c r="G104" s="42"/>
      <c r="H104" s="111">
        <v>20</v>
      </c>
      <c r="I104" s="56">
        <v>207</v>
      </c>
      <c r="J104" s="56">
        <v>108</v>
      </c>
      <c r="K104" s="56">
        <v>39</v>
      </c>
      <c r="L104" s="42"/>
      <c r="M104" s="56">
        <v>358</v>
      </c>
      <c r="N104" s="42"/>
      <c r="O104" s="42"/>
      <c r="P104" s="42"/>
      <c r="Q104" s="42" t="s">
        <v>755</v>
      </c>
    </row>
    <row r="105" spans="2:17" ht="22.05" customHeight="1">
      <c r="B105" s="110" t="s">
        <v>998</v>
      </c>
      <c r="C105" s="42"/>
      <c r="D105" s="42"/>
      <c r="E105" s="42"/>
      <c r="F105" s="42"/>
      <c r="G105" s="42"/>
      <c r="H105" s="111">
        <v>8</v>
      </c>
      <c r="I105" s="56">
        <v>93</v>
      </c>
      <c r="J105" s="56">
        <v>47</v>
      </c>
      <c r="K105" s="56">
        <v>16</v>
      </c>
      <c r="L105" s="42"/>
      <c r="M105" s="56">
        <v>163</v>
      </c>
      <c r="N105" s="42"/>
      <c r="O105" s="42"/>
      <c r="P105" s="42"/>
      <c r="Q105" s="42" t="s">
        <v>755</v>
      </c>
    </row>
    <row r="106" spans="2:17" ht="22.05" customHeight="1">
      <c r="B106" s="110" t="s">
        <v>999</v>
      </c>
      <c r="C106" s="42"/>
      <c r="D106" s="42"/>
      <c r="E106" s="42"/>
      <c r="F106" s="42"/>
      <c r="G106" s="42"/>
      <c r="H106" s="111">
        <v>20</v>
      </c>
      <c r="I106" s="56">
        <v>141</v>
      </c>
      <c r="J106" s="56">
        <v>123</v>
      </c>
      <c r="K106" s="56">
        <v>22</v>
      </c>
      <c r="L106" s="42"/>
      <c r="M106" s="56">
        <v>362</v>
      </c>
      <c r="N106" s="42"/>
      <c r="O106" s="42"/>
      <c r="P106" s="42"/>
      <c r="Q106" s="42" t="s">
        <v>755</v>
      </c>
    </row>
    <row r="107" spans="2:17" ht="22.05" customHeight="1">
      <c r="B107" s="110" t="s">
        <v>1000</v>
      </c>
      <c r="C107" s="42"/>
      <c r="D107" s="42"/>
      <c r="E107" s="42"/>
      <c r="F107" s="42"/>
      <c r="G107" s="42"/>
      <c r="H107" s="111">
        <v>8</v>
      </c>
      <c r="I107" s="56">
        <v>33</v>
      </c>
      <c r="J107" s="56">
        <v>16</v>
      </c>
      <c r="K107" s="56">
        <v>5</v>
      </c>
      <c r="L107" s="42"/>
      <c r="M107" s="56">
        <v>172</v>
      </c>
      <c r="N107" s="42"/>
      <c r="O107" s="42"/>
      <c r="P107" s="42"/>
      <c r="Q107" s="42" t="s">
        <v>755</v>
      </c>
    </row>
    <row r="108" spans="2:17" ht="22.05" customHeight="1">
      <c r="B108" s="110" t="s">
        <v>1001</v>
      </c>
      <c r="C108" s="42"/>
      <c r="D108" s="42"/>
      <c r="E108" s="42"/>
      <c r="F108" s="42"/>
      <c r="G108" s="42"/>
      <c r="H108" s="111">
        <v>12</v>
      </c>
      <c r="I108" s="56">
        <v>115</v>
      </c>
      <c r="J108" s="56">
        <v>54</v>
      </c>
      <c r="K108" s="56">
        <v>21</v>
      </c>
      <c r="L108" s="42"/>
      <c r="M108" s="56">
        <v>166</v>
      </c>
      <c r="N108" s="42"/>
      <c r="O108" s="42"/>
      <c r="P108" s="42"/>
      <c r="Q108" s="42" t="s">
        <v>755</v>
      </c>
    </row>
    <row r="109" spans="2:17" ht="22.05" customHeight="1">
      <c r="B109" s="110" t="s">
        <v>1002</v>
      </c>
      <c r="C109" s="42"/>
      <c r="D109" s="42"/>
      <c r="E109" s="42"/>
      <c r="F109" s="42"/>
      <c r="G109" s="42"/>
      <c r="H109" s="111">
        <v>16</v>
      </c>
      <c r="I109" s="56">
        <v>145</v>
      </c>
      <c r="J109" s="56">
        <v>72</v>
      </c>
      <c r="K109" s="56">
        <v>28</v>
      </c>
      <c r="L109" s="42"/>
      <c r="M109" s="56">
        <v>224</v>
      </c>
      <c r="N109" s="42"/>
      <c r="O109" s="42"/>
      <c r="P109" s="42"/>
      <c r="Q109" s="42" t="s">
        <v>755</v>
      </c>
    </row>
    <row r="110" spans="2:17" ht="22.05" customHeight="1">
      <c r="B110" s="110" t="s">
        <v>1003</v>
      </c>
      <c r="C110" s="42"/>
      <c r="D110" s="42"/>
      <c r="E110" s="42"/>
      <c r="F110" s="42"/>
      <c r="G110" s="42"/>
      <c r="H110" s="111">
        <v>16</v>
      </c>
      <c r="I110" s="56">
        <v>143</v>
      </c>
      <c r="J110" s="56">
        <v>92</v>
      </c>
      <c r="K110" s="56">
        <v>24</v>
      </c>
      <c r="L110" s="42"/>
      <c r="M110" s="56">
        <v>289</v>
      </c>
      <c r="N110" s="42"/>
      <c r="O110" s="42"/>
      <c r="P110" s="42"/>
      <c r="Q110" s="42" t="s">
        <v>755</v>
      </c>
    </row>
    <row r="111" spans="2:17" ht="22.05" customHeight="1">
      <c r="B111" s="110" t="s">
        <v>1004</v>
      </c>
      <c r="C111" s="42"/>
      <c r="D111" s="42"/>
      <c r="E111" s="42"/>
      <c r="F111" s="42"/>
      <c r="G111" s="42"/>
      <c r="H111" s="111">
        <v>10.5</v>
      </c>
      <c r="I111" s="56">
        <v>107</v>
      </c>
      <c r="J111" s="56">
        <v>83</v>
      </c>
      <c r="K111" s="56">
        <v>20</v>
      </c>
      <c r="L111" s="42"/>
      <c r="M111" s="56">
        <v>211</v>
      </c>
      <c r="N111" s="42"/>
      <c r="O111" s="42"/>
      <c r="P111" s="42"/>
      <c r="Q111" s="42" t="s">
        <v>755</v>
      </c>
    </row>
    <row r="112" spans="2:17" ht="22.05" customHeight="1">
      <c r="B112" s="110" t="s">
        <v>1005</v>
      </c>
      <c r="C112" s="42"/>
      <c r="D112" s="42"/>
      <c r="E112" s="42"/>
      <c r="F112" s="42"/>
      <c r="G112" s="42"/>
      <c r="H112" s="111">
        <v>8</v>
      </c>
      <c r="I112" s="56">
        <v>49</v>
      </c>
      <c r="J112" s="56">
        <v>39</v>
      </c>
      <c r="K112" s="56">
        <v>6</v>
      </c>
      <c r="L112" s="42"/>
      <c r="M112" s="56">
        <v>225</v>
      </c>
      <c r="N112" s="42"/>
      <c r="O112" s="42"/>
      <c r="P112" s="42"/>
      <c r="Q112" s="42" t="s">
        <v>755</v>
      </c>
    </row>
    <row r="113" spans="2:17" ht="22.05" customHeight="1">
      <c r="B113" s="110" t="s">
        <v>1006</v>
      </c>
      <c r="C113" s="42"/>
      <c r="D113" s="42"/>
      <c r="E113" s="42"/>
      <c r="F113" s="42"/>
      <c r="G113" s="42"/>
      <c r="H113" s="111">
        <v>8</v>
      </c>
      <c r="I113" s="56">
        <v>87</v>
      </c>
      <c r="J113" s="56">
        <v>55</v>
      </c>
      <c r="K113" s="56">
        <v>20</v>
      </c>
      <c r="L113" s="42"/>
      <c r="M113" s="56">
        <v>103</v>
      </c>
      <c r="N113" s="42"/>
      <c r="O113" s="42"/>
      <c r="P113" s="42"/>
      <c r="Q113" s="42" t="s">
        <v>755</v>
      </c>
    </row>
    <row r="114" spans="2:17" ht="22.05" customHeight="1">
      <c r="B114" s="110" t="s">
        <v>1007</v>
      </c>
      <c r="C114" s="42"/>
      <c r="D114" s="42"/>
      <c r="E114" s="42"/>
      <c r="F114" s="42"/>
      <c r="G114" s="42"/>
      <c r="H114" s="111">
        <v>14.5</v>
      </c>
      <c r="I114" s="56">
        <v>185</v>
      </c>
      <c r="J114" s="56">
        <v>113</v>
      </c>
      <c r="K114" s="56">
        <v>27</v>
      </c>
      <c r="L114" s="42"/>
      <c r="M114" s="56">
        <v>235</v>
      </c>
      <c r="N114" s="42"/>
      <c r="O114" s="42"/>
      <c r="P114" s="42"/>
      <c r="Q114" s="42" t="s">
        <v>755</v>
      </c>
    </row>
    <row r="115" spans="2:17" ht="22.05" customHeight="1">
      <c r="B115" s="110" t="s">
        <v>1008</v>
      </c>
      <c r="C115" s="42"/>
      <c r="D115" s="42"/>
      <c r="E115" s="42"/>
      <c r="F115" s="42"/>
      <c r="G115" s="42"/>
      <c r="H115" s="111">
        <v>18.5</v>
      </c>
      <c r="I115" s="56">
        <v>33</v>
      </c>
      <c r="J115" s="56">
        <v>31</v>
      </c>
      <c r="K115" s="56">
        <v>7</v>
      </c>
      <c r="L115" s="42"/>
      <c r="M115" s="56">
        <v>373</v>
      </c>
      <c r="N115" s="42"/>
      <c r="O115" s="42"/>
      <c r="P115" s="42"/>
      <c r="Q115" s="42" t="s">
        <v>755</v>
      </c>
    </row>
    <row r="116" spans="2:17" ht="22.05" customHeight="1">
      <c r="B116" s="110" t="s">
        <v>1009</v>
      </c>
      <c r="C116" s="42"/>
      <c r="D116" s="42"/>
      <c r="E116" s="42"/>
      <c r="F116" s="42"/>
      <c r="G116" s="42"/>
      <c r="H116" s="111">
        <v>4</v>
      </c>
      <c r="I116" s="56">
        <v>104</v>
      </c>
      <c r="J116" s="56">
        <v>71</v>
      </c>
      <c r="K116" s="56">
        <v>21</v>
      </c>
      <c r="L116" s="42"/>
      <c r="M116" s="56">
        <v>64</v>
      </c>
      <c r="N116" s="42"/>
      <c r="O116" s="42"/>
      <c r="P116" s="42"/>
      <c r="Q116" s="42" t="s">
        <v>755</v>
      </c>
    </row>
    <row r="117" spans="2:17" ht="22.05" customHeight="1">
      <c r="B117" s="110" t="s">
        <v>1010</v>
      </c>
      <c r="C117" s="42"/>
      <c r="D117" s="42"/>
      <c r="E117" s="42"/>
      <c r="F117" s="42"/>
      <c r="G117" s="42"/>
      <c r="H117" s="111">
        <v>20</v>
      </c>
      <c r="I117" s="56">
        <v>99</v>
      </c>
      <c r="J117" s="56">
        <v>67</v>
      </c>
      <c r="K117" s="56">
        <v>21</v>
      </c>
      <c r="L117" s="42"/>
      <c r="M117" s="56">
        <v>376</v>
      </c>
      <c r="N117" s="42"/>
      <c r="O117" s="42"/>
      <c r="P117" s="42"/>
      <c r="Q117" s="42" t="s">
        <v>755</v>
      </c>
    </row>
    <row r="118" spans="2:17" ht="22.05" customHeight="1">
      <c r="B118" s="110" t="s">
        <v>1011</v>
      </c>
      <c r="C118" s="42"/>
      <c r="D118" s="42"/>
      <c r="E118" s="42"/>
      <c r="F118" s="42"/>
      <c r="G118" s="42"/>
      <c r="H118" s="111">
        <v>8</v>
      </c>
      <c r="I118" s="56">
        <v>132</v>
      </c>
      <c r="J118" s="56">
        <v>64</v>
      </c>
      <c r="K118" s="56">
        <v>25</v>
      </c>
      <c r="L118" s="42"/>
      <c r="M118" s="56">
        <v>82</v>
      </c>
      <c r="N118" s="42"/>
      <c r="O118" s="42"/>
      <c r="P118" s="42"/>
      <c r="Q118" s="42" t="s">
        <v>755</v>
      </c>
    </row>
    <row r="119" spans="2:17" ht="22.05" customHeight="1">
      <c r="B119" s="110" t="s">
        <v>1012</v>
      </c>
      <c r="C119" s="42"/>
      <c r="D119" s="42"/>
      <c r="E119" s="42"/>
      <c r="F119" s="42"/>
      <c r="G119" s="42"/>
      <c r="H119" s="111">
        <v>16</v>
      </c>
      <c r="I119" s="56">
        <v>145</v>
      </c>
      <c r="J119" s="56">
        <v>101</v>
      </c>
      <c r="K119" s="56">
        <v>28</v>
      </c>
      <c r="L119" s="42"/>
      <c r="M119" s="56">
        <v>301</v>
      </c>
      <c r="N119" s="42"/>
      <c r="O119" s="42"/>
      <c r="P119" s="42"/>
      <c r="Q119" s="42" t="s">
        <v>755</v>
      </c>
    </row>
    <row r="120" spans="2:17" ht="22.05" customHeight="1">
      <c r="B120" s="110" t="s">
        <v>1013</v>
      </c>
      <c r="C120" s="42"/>
      <c r="D120" s="42"/>
      <c r="E120" s="42"/>
      <c r="F120" s="42"/>
      <c r="G120" s="42"/>
      <c r="H120" s="111">
        <v>12.4</v>
      </c>
      <c r="I120" s="56">
        <v>85</v>
      </c>
      <c r="J120" s="56">
        <v>36</v>
      </c>
      <c r="K120" s="56">
        <v>14</v>
      </c>
      <c r="L120" s="42"/>
      <c r="M120" s="56">
        <v>174</v>
      </c>
      <c r="N120" s="42"/>
      <c r="O120" s="42"/>
      <c r="P120" s="42"/>
      <c r="Q120" s="42" t="s">
        <v>755</v>
      </c>
    </row>
    <row r="121" spans="2:17" ht="22.05" customHeight="1">
      <c r="B121" s="110" t="s">
        <v>1014</v>
      </c>
      <c r="C121" s="42"/>
      <c r="D121" s="42"/>
      <c r="E121" s="42"/>
      <c r="F121" s="42"/>
      <c r="G121" s="42"/>
      <c r="H121" s="111">
        <v>8.1999999999999993</v>
      </c>
      <c r="I121" s="56">
        <v>0</v>
      </c>
      <c r="J121" s="56">
        <v>0</v>
      </c>
      <c r="K121" s="56">
        <v>0</v>
      </c>
      <c r="L121" s="42"/>
      <c r="M121" s="56">
        <v>146</v>
      </c>
      <c r="N121" s="42"/>
      <c r="O121" s="42"/>
      <c r="P121" s="42"/>
      <c r="Q121" s="42" t="s">
        <v>755</v>
      </c>
    </row>
    <row r="122" spans="2:17" ht="22.05" customHeight="1">
      <c r="B122" s="110" t="s">
        <v>1015</v>
      </c>
      <c r="C122" s="42"/>
      <c r="D122" s="42"/>
      <c r="E122" s="42"/>
      <c r="F122" s="42"/>
      <c r="G122" s="42"/>
      <c r="H122" s="111">
        <v>6.5</v>
      </c>
      <c r="I122" s="56">
        <v>0</v>
      </c>
      <c r="J122" s="56">
        <v>0</v>
      </c>
      <c r="K122" s="56">
        <v>0</v>
      </c>
      <c r="L122" s="42"/>
      <c r="M122" s="56">
        <v>132</v>
      </c>
      <c r="N122" s="42"/>
      <c r="O122" s="42"/>
      <c r="P122" s="42"/>
      <c r="Q122" s="42" t="s">
        <v>755</v>
      </c>
    </row>
    <row r="123" spans="2:17" ht="22.05" customHeight="1">
      <c r="B123" s="110" t="s">
        <v>1016</v>
      </c>
      <c r="C123" s="42"/>
      <c r="D123" s="42"/>
      <c r="E123" s="42"/>
      <c r="F123" s="42"/>
      <c r="G123" s="42"/>
      <c r="H123" s="111">
        <v>12</v>
      </c>
      <c r="I123" s="56">
        <v>0</v>
      </c>
      <c r="J123" s="56">
        <v>0</v>
      </c>
      <c r="K123" s="56">
        <v>0</v>
      </c>
      <c r="L123" s="42"/>
      <c r="M123" s="56">
        <v>178</v>
      </c>
      <c r="N123" s="42"/>
      <c r="O123" s="42"/>
      <c r="P123" s="42"/>
      <c r="Q123" s="42" t="s">
        <v>755</v>
      </c>
    </row>
    <row r="124" spans="2:17" ht="22.05" customHeight="1">
      <c r="B124" s="110" t="s">
        <v>1017</v>
      </c>
      <c r="C124" s="42"/>
      <c r="D124" s="42"/>
      <c r="E124" s="42"/>
      <c r="F124" s="42"/>
      <c r="G124" s="42"/>
      <c r="H124" s="111">
        <v>10.5</v>
      </c>
      <c r="I124" s="56">
        <v>0</v>
      </c>
      <c r="J124" s="56">
        <v>0</v>
      </c>
      <c r="K124" s="56">
        <v>0</v>
      </c>
      <c r="L124" s="42"/>
      <c r="M124" s="56">
        <v>213</v>
      </c>
      <c r="N124" s="42"/>
      <c r="O124" s="42"/>
      <c r="P124" s="42"/>
      <c r="Q124" s="42" t="s">
        <v>755</v>
      </c>
    </row>
    <row r="125" spans="2:17" ht="22.05" customHeight="1">
      <c r="B125" s="110" t="s">
        <v>1018</v>
      </c>
      <c r="C125" s="42"/>
      <c r="D125" s="42"/>
      <c r="E125" s="42"/>
      <c r="F125" s="42"/>
      <c r="G125" s="42"/>
      <c r="H125" s="111">
        <v>12</v>
      </c>
      <c r="I125" s="56">
        <v>0</v>
      </c>
      <c r="J125" s="56">
        <v>0</v>
      </c>
      <c r="K125" s="56">
        <v>0</v>
      </c>
      <c r="L125" s="42"/>
      <c r="M125" s="56">
        <v>305</v>
      </c>
      <c r="N125" s="42"/>
      <c r="O125" s="42"/>
      <c r="P125" s="42"/>
      <c r="Q125" s="42" t="s">
        <v>755</v>
      </c>
    </row>
    <row r="126" spans="2:17" ht="22.05" customHeight="1">
      <c r="B126" s="110" t="s">
        <v>1019</v>
      </c>
      <c r="C126" s="42"/>
      <c r="D126" s="42"/>
      <c r="E126" s="42"/>
      <c r="F126" s="42"/>
      <c r="G126" s="42"/>
      <c r="H126" s="111">
        <v>12</v>
      </c>
      <c r="I126" s="56">
        <v>0</v>
      </c>
      <c r="J126" s="56">
        <v>0</v>
      </c>
      <c r="K126" s="56">
        <v>0</v>
      </c>
      <c r="L126" s="42"/>
      <c r="M126" s="56">
        <v>234</v>
      </c>
      <c r="N126" s="42"/>
      <c r="O126" s="42"/>
      <c r="P126" s="42"/>
      <c r="Q126" s="42" t="s">
        <v>755</v>
      </c>
    </row>
    <row r="127" spans="2:17" ht="22.05" customHeight="1">
      <c r="B127" s="110" t="s">
        <v>1020</v>
      </c>
      <c r="C127" s="42"/>
      <c r="D127" s="42"/>
      <c r="E127" s="42"/>
      <c r="F127" s="42"/>
      <c r="G127" s="42"/>
      <c r="H127" s="111">
        <v>16</v>
      </c>
      <c r="I127" s="56">
        <v>0</v>
      </c>
      <c r="J127" s="56">
        <v>0</v>
      </c>
      <c r="K127" s="56">
        <v>0</v>
      </c>
      <c r="L127" s="42"/>
      <c r="M127" s="56">
        <v>239</v>
      </c>
      <c r="N127" s="42"/>
      <c r="O127" s="42"/>
      <c r="P127" s="42"/>
      <c r="Q127" s="42" t="s">
        <v>755</v>
      </c>
    </row>
    <row r="128" spans="2:17" ht="22.05" customHeight="1">
      <c r="B128" s="110" t="s">
        <v>1021</v>
      </c>
      <c r="C128" s="42"/>
      <c r="D128" s="42"/>
      <c r="E128" s="42"/>
      <c r="F128" s="42"/>
      <c r="G128" s="42"/>
      <c r="H128" s="111">
        <v>4</v>
      </c>
      <c r="I128" s="56">
        <v>0</v>
      </c>
      <c r="J128" s="56">
        <v>0</v>
      </c>
      <c r="K128" s="56">
        <v>0</v>
      </c>
      <c r="L128" s="42"/>
      <c r="M128" s="56">
        <v>84</v>
      </c>
      <c r="N128" s="42"/>
      <c r="O128" s="42"/>
      <c r="P128" s="42"/>
      <c r="Q128" s="42" t="s">
        <v>755</v>
      </c>
    </row>
    <row r="129" spans="2:17" ht="22.05" customHeight="1">
      <c r="B129" s="35"/>
      <c r="C129" s="35"/>
      <c r="D129" s="35"/>
      <c r="E129" s="35"/>
      <c r="F129" s="35"/>
      <c r="G129" s="35"/>
      <c r="H129" s="112"/>
      <c r="I129" s="113"/>
      <c r="J129" s="113"/>
      <c r="K129" s="113"/>
      <c r="L129" s="35"/>
      <c r="M129" s="113"/>
      <c r="N129" s="113"/>
      <c r="O129" s="35"/>
      <c r="P129" s="113"/>
      <c r="Q129" s="35"/>
    </row>
    <row r="130" spans="2:17" ht="22.05" customHeight="1">
      <c r="B130" s="35"/>
      <c r="C130" s="35"/>
      <c r="D130" s="35"/>
      <c r="E130" s="35"/>
      <c r="F130" s="35"/>
      <c r="G130" s="35"/>
      <c r="H130" s="112"/>
      <c r="I130" s="113"/>
      <c r="J130" s="113"/>
      <c r="K130" s="113"/>
      <c r="L130" s="35"/>
      <c r="M130" s="113"/>
      <c r="N130" s="113"/>
      <c r="O130" s="35"/>
      <c r="P130" s="113"/>
      <c r="Q130" s="35"/>
    </row>
    <row r="131" spans="2:17" ht="22.05" customHeight="1">
      <c r="B131" s="35"/>
      <c r="C131" s="35"/>
      <c r="D131" s="35"/>
      <c r="E131" s="35"/>
      <c r="F131" s="35"/>
      <c r="G131" s="35"/>
      <c r="H131" s="112"/>
      <c r="I131" s="113"/>
      <c r="J131" s="113"/>
      <c r="K131" s="113"/>
      <c r="L131" s="35"/>
      <c r="M131" s="113"/>
      <c r="N131" s="113"/>
      <c r="O131" s="35"/>
      <c r="P131" s="113"/>
      <c r="Q131" s="35"/>
    </row>
    <row r="132" spans="2:17" ht="22.05" customHeight="1">
      <c r="B132" s="35"/>
      <c r="C132" s="35"/>
      <c r="D132" s="35"/>
      <c r="E132" s="35"/>
      <c r="F132" s="35"/>
      <c r="G132" s="35"/>
      <c r="H132" s="112"/>
      <c r="I132" s="113"/>
      <c r="J132" s="113"/>
      <c r="K132" s="113"/>
      <c r="L132" s="35"/>
      <c r="M132" s="113"/>
      <c r="N132" s="113"/>
      <c r="O132" s="35"/>
      <c r="P132" s="113"/>
      <c r="Q132" s="35"/>
    </row>
    <row r="133" spans="2:17" ht="22.05" customHeight="1">
      <c r="B133" s="35"/>
      <c r="C133" s="35"/>
      <c r="D133" s="35"/>
      <c r="E133" s="35"/>
      <c r="F133" s="35"/>
      <c r="G133" s="35"/>
      <c r="H133" s="112"/>
      <c r="I133" s="113"/>
      <c r="J133" s="113"/>
      <c r="K133" s="113"/>
      <c r="L133" s="35"/>
      <c r="M133" s="113"/>
      <c r="N133" s="113"/>
      <c r="O133" s="35"/>
      <c r="P133" s="113"/>
      <c r="Q133" s="35"/>
    </row>
    <row r="134" spans="2:17" ht="22.05" customHeight="1">
      <c r="B134" s="35"/>
      <c r="C134" s="35"/>
      <c r="D134" s="35"/>
      <c r="E134" s="35"/>
      <c r="F134" s="35"/>
      <c r="G134" s="35"/>
      <c r="H134" s="112"/>
      <c r="I134" s="113"/>
      <c r="J134" s="113"/>
      <c r="K134" s="113"/>
      <c r="L134" s="35"/>
      <c r="M134" s="113"/>
      <c r="N134" s="113"/>
      <c r="O134" s="35"/>
      <c r="P134" s="113"/>
      <c r="Q134" s="35"/>
    </row>
    <row r="135" spans="2:17" ht="22.05" customHeight="1">
      <c r="B135" s="35"/>
      <c r="C135" s="35"/>
      <c r="D135" s="35"/>
      <c r="E135" s="35"/>
      <c r="F135" s="35"/>
      <c r="G135" s="35"/>
      <c r="H135" s="112"/>
      <c r="I135" s="113"/>
      <c r="J135" s="113"/>
      <c r="K135" s="113"/>
      <c r="L135" s="35"/>
      <c r="M135" s="113"/>
      <c r="N135" s="113"/>
      <c r="O135" s="35"/>
      <c r="P135" s="113"/>
      <c r="Q135" s="35"/>
    </row>
    <row r="136" spans="2:17" ht="22.05" customHeight="1">
      <c r="B136" s="35"/>
      <c r="C136" s="35"/>
      <c r="D136" s="35"/>
      <c r="E136" s="35"/>
      <c r="F136" s="35"/>
      <c r="G136" s="35"/>
      <c r="H136" s="112"/>
      <c r="I136" s="113"/>
      <c r="J136" s="113"/>
      <c r="K136" s="113"/>
      <c r="L136" s="35"/>
      <c r="M136" s="113"/>
      <c r="N136" s="113"/>
      <c r="O136" s="35"/>
      <c r="P136" s="113"/>
      <c r="Q136" s="35"/>
    </row>
    <row r="137" spans="2:17" ht="22.05" customHeight="1">
      <c r="B137" s="35"/>
      <c r="C137" s="35"/>
      <c r="D137" s="35"/>
      <c r="E137" s="35"/>
      <c r="F137" s="35"/>
      <c r="G137" s="35"/>
      <c r="H137" s="112"/>
      <c r="I137" s="113"/>
      <c r="J137" s="113"/>
      <c r="K137" s="113"/>
      <c r="L137" s="35"/>
      <c r="M137" s="113"/>
      <c r="N137" s="113"/>
      <c r="O137" s="35"/>
      <c r="P137" s="113"/>
      <c r="Q137" s="35"/>
    </row>
    <row r="138" spans="2:17" ht="22.05" customHeight="1">
      <c r="B138" s="35"/>
      <c r="C138" s="35"/>
      <c r="D138" s="35"/>
      <c r="E138" s="35"/>
      <c r="F138" s="35"/>
      <c r="G138" s="35"/>
      <c r="H138" s="112"/>
      <c r="I138" s="113"/>
      <c r="J138" s="113"/>
      <c r="K138" s="113"/>
      <c r="L138" s="35"/>
      <c r="M138" s="113"/>
      <c r="N138" s="113"/>
      <c r="O138" s="35"/>
      <c r="P138" s="113"/>
      <c r="Q138" s="35"/>
    </row>
    <row r="139" spans="2:17" ht="22.05" customHeight="1">
      <c r="B139" s="35"/>
      <c r="C139" s="35"/>
      <c r="D139" s="35"/>
      <c r="E139" s="35"/>
      <c r="F139" s="35"/>
      <c r="G139" s="35"/>
      <c r="H139" s="112"/>
      <c r="I139" s="113"/>
      <c r="J139" s="113"/>
      <c r="K139" s="113"/>
      <c r="L139" s="35"/>
      <c r="M139" s="113"/>
      <c r="N139" s="113"/>
      <c r="O139" s="35"/>
      <c r="P139" s="113"/>
      <c r="Q139" s="35"/>
    </row>
    <row r="140" spans="2:17" ht="22.05" customHeight="1">
      <c r="B140" s="35"/>
      <c r="C140" s="35"/>
      <c r="D140" s="35"/>
      <c r="E140" s="35"/>
      <c r="F140" s="35"/>
      <c r="G140" s="35"/>
      <c r="H140" s="112"/>
      <c r="I140" s="113"/>
      <c r="J140" s="113"/>
      <c r="K140" s="113"/>
      <c r="L140" s="35"/>
      <c r="M140" s="113"/>
      <c r="N140" s="113"/>
      <c r="O140" s="35"/>
      <c r="P140" s="113"/>
      <c r="Q140" s="35"/>
    </row>
    <row r="141" spans="2:17" ht="22.05" customHeight="1">
      <c r="B141" s="35"/>
      <c r="C141" s="35"/>
      <c r="D141" s="35"/>
      <c r="E141" s="35"/>
      <c r="F141" s="35"/>
      <c r="G141" s="35"/>
      <c r="H141" s="112"/>
      <c r="I141" s="113"/>
      <c r="J141" s="113"/>
      <c r="K141" s="113"/>
      <c r="L141" s="35"/>
      <c r="M141" s="113"/>
      <c r="N141" s="113"/>
      <c r="O141" s="35"/>
      <c r="P141" s="113"/>
      <c r="Q141" s="35"/>
    </row>
    <row r="142" spans="2:17" ht="22.05" customHeight="1">
      <c r="B142" s="35"/>
      <c r="C142" s="35"/>
      <c r="D142" s="35"/>
      <c r="E142" s="35"/>
      <c r="F142" s="35"/>
      <c r="G142" s="35"/>
      <c r="H142" s="112"/>
      <c r="I142" s="113"/>
      <c r="J142" s="113"/>
      <c r="K142" s="113"/>
      <c r="L142" s="35"/>
      <c r="M142" s="113"/>
      <c r="N142" s="113"/>
      <c r="O142" s="35"/>
      <c r="P142" s="113"/>
      <c r="Q142" s="35"/>
    </row>
    <row r="143" spans="2:17" ht="22.05" customHeight="1">
      <c r="B143" s="35"/>
      <c r="C143" s="35"/>
      <c r="D143" s="35"/>
      <c r="E143" s="35"/>
      <c r="F143" s="35"/>
      <c r="G143" s="35"/>
      <c r="H143" s="112"/>
      <c r="I143" s="113"/>
      <c r="J143" s="113"/>
      <c r="K143" s="113"/>
      <c r="L143" s="35"/>
      <c r="M143" s="113"/>
      <c r="N143" s="113"/>
      <c r="O143" s="35"/>
      <c r="P143" s="113"/>
      <c r="Q143" s="35"/>
    </row>
    <row r="144" spans="2:17" ht="22.05" customHeight="1">
      <c r="B144" s="35"/>
      <c r="C144" s="35"/>
      <c r="D144" s="35"/>
      <c r="E144" s="35"/>
      <c r="F144" s="35"/>
      <c r="G144" s="35"/>
      <c r="H144" s="112"/>
      <c r="I144" s="113"/>
      <c r="J144" s="113"/>
      <c r="K144" s="113"/>
      <c r="L144" s="35"/>
      <c r="M144" s="113"/>
      <c r="N144" s="113"/>
      <c r="O144" s="35"/>
      <c r="P144" s="113"/>
      <c r="Q144" s="35"/>
    </row>
    <row r="145" spans="2:17" ht="22.05" customHeight="1">
      <c r="B145" s="35"/>
      <c r="C145" s="35"/>
      <c r="D145" s="35"/>
      <c r="E145" s="35"/>
      <c r="F145" s="35"/>
      <c r="G145" s="35"/>
      <c r="H145" s="112"/>
      <c r="I145" s="113"/>
      <c r="J145" s="113"/>
      <c r="K145" s="113"/>
      <c r="L145" s="35"/>
      <c r="M145" s="113"/>
      <c r="N145" s="113"/>
      <c r="O145" s="35"/>
      <c r="P145" s="113"/>
      <c r="Q145" s="35"/>
    </row>
    <row r="146" spans="2:17" ht="22.05" customHeight="1">
      <c r="B146" s="35"/>
      <c r="C146" s="35"/>
      <c r="D146" s="35"/>
      <c r="E146" s="35"/>
      <c r="F146" s="35"/>
      <c r="G146" s="35"/>
      <c r="H146" s="112"/>
      <c r="I146" s="113"/>
      <c r="J146" s="113"/>
      <c r="K146" s="113"/>
      <c r="L146" s="35"/>
      <c r="M146" s="113"/>
      <c r="N146" s="113"/>
      <c r="O146" s="35"/>
      <c r="P146" s="113"/>
      <c r="Q146" s="35"/>
    </row>
    <row r="147" spans="2:17" ht="22.05" customHeight="1">
      <c r="B147" s="35"/>
      <c r="C147" s="35"/>
      <c r="D147" s="35"/>
      <c r="E147" s="35"/>
      <c r="F147" s="35"/>
      <c r="G147" s="35"/>
      <c r="H147" s="112"/>
      <c r="I147" s="113"/>
      <c r="J147" s="113"/>
      <c r="K147" s="113"/>
      <c r="L147" s="35"/>
      <c r="M147" s="113"/>
      <c r="N147" s="113"/>
      <c r="O147" s="35"/>
      <c r="P147" s="113"/>
      <c r="Q147" s="35"/>
    </row>
    <row r="148" spans="2:17" ht="22.05" customHeight="1">
      <c r="B148" s="35"/>
      <c r="C148" s="35"/>
      <c r="D148" s="35"/>
      <c r="E148" s="35"/>
      <c r="F148" s="35"/>
      <c r="G148" s="35"/>
      <c r="H148" s="112"/>
      <c r="I148" s="113"/>
      <c r="J148" s="113"/>
      <c r="K148" s="113"/>
      <c r="L148" s="35"/>
      <c r="M148" s="113"/>
      <c r="N148" s="113"/>
      <c r="O148" s="35"/>
      <c r="P148" s="113"/>
      <c r="Q148" s="35"/>
    </row>
    <row r="149" spans="2:17" ht="22.05" customHeight="1">
      <c r="B149" s="35"/>
      <c r="C149" s="35"/>
      <c r="D149" s="35"/>
      <c r="E149" s="35"/>
      <c r="F149" s="35"/>
      <c r="G149" s="35"/>
      <c r="H149" s="112"/>
      <c r="I149" s="113"/>
      <c r="J149" s="113"/>
      <c r="K149" s="113"/>
      <c r="L149" s="35"/>
      <c r="M149" s="113"/>
      <c r="N149" s="113"/>
      <c r="O149" s="35"/>
      <c r="P149" s="113"/>
      <c r="Q149" s="35"/>
    </row>
    <row r="150" spans="2:17" ht="22.05" customHeight="1">
      <c r="B150" s="35"/>
      <c r="C150" s="35"/>
      <c r="D150" s="35"/>
      <c r="E150" s="35"/>
      <c r="F150" s="35"/>
      <c r="G150" s="35"/>
      <c r="H150" s="112"/>
      <c r="I150" s="113"/>
      <c r="J150" s="113"/>
      <c r="K150" s="113"/>
      <c r="L150" s="35"/>
      <c r="M150" s="113"/>
      <c r="N150" s="113"/>
      <c r="O150" s="35"/>
      <c r="P150" s="113"/>
      <c r="Q150" s="35"/>
    </row>
    <row r="151" spans="2:17" ht="22.05" customHeight="1">
      <c r="B151" s="35"/>
      <c r="C151" s="35"/>
      <c r="D151" s="35"/>
      <c r="E151" s="35"/>
      <c r="F151" s="35"/>
      <c r="G151" s="35"/>
      <c r="H151" s="112"/>
      <c r="I151" s="113"/>
      <c r="J151" s="113"/>
      <c r="K151" s="113"/>
      <c r="L151" s="35"/>
      <c r="M151" s="113"/>
      <c r="N151" s="113"/>
      <c r="O151" s="35"/>
      <c r="P151" s="113"/>
      <c r="Q151" s="35"/>
    </row>
    <row r="152" spans="2:17" ht="22.05" customHeight="1">
      <c r="B152" s="35"/>
      <c r="C152" s="35"/>
      <c r="D152" s="35"/>
      <c r="E152" s="35"/>
      <c r="F152" s="35"/>
      <c r="G152" s="35"/>
      <c r="H152" s="112"/>
      <c r="I152" s="113"/>
      <c r="J152" s="113"/>
      <c r="K152" s="113"/>
      <c r="L152" s="35"/>
      <c r="M152" s="113"/>
      <c r="N152" s="113"/>
      <c r="O152" s="35"/>
      <c r="P152" s="113"/>
      <c r="Q152" s="35"/>
    </row>
    <row r="153" spans="2:17" ht="22.05" customHeight="1">
      <c r="B153" s="35"/>
      <c r="C153" s="35"/>
      <c r="D153" s="35"/>
      <c r="E153" s="35"/>
      <c r="F153" s="35"/>
      <c r="G153" s="35"/>
      <c r="H153" s="112"/>
      <c r="I153" s="113"/>
      <c r="J153" s="113"/>
      <c r="K153" s="113"/>
      <c r="L153" s="35"/>
      <c r="M153" s="113"/>
      <c r="N153" s="113"/>
      <c r="O153" s="35"/>
      <c r="P153" s="113"/>
      <c r="Q153" s="35"/>
    </row>
    <row r="154" spans="2:17" ht="22.05" customHeight="1">
      <c r="B154" s="35"/>
      <c r="C154" s="35"/>
      <c r="D154" s="35"/>
      <c r="E154" s="35"/>
      <c r="F154" s="35"/>
      <c r="G154" s="35"/>
      <c r="H154" s="112"/>
      <c r="I154" s="113"/>
      <c r="J154" s="113"/>
      <c r="K154" s="113"/>
      <c r="L154" s="35"/>
      <c r="M154" s="113"/>
      <c r="N154" s="113"/>
      <c r="O154" s="35"/>
      <c r="P154" s="113"/>
      <c r="Q154" s="35"/>
    </row>
    <row r="155" spans="2:17" ht="22.05" customHeight="1">
      <c r="B155" s="35"/>
      <c r="C155" s="35"/>
      <c r="D155" s="35"/>
      <c r="E155" s="35"/>
      <c r="F155" s="35"/>
      <c r="G155" s="35"/>
      <c r="H155" s="112"/>
      <c r="I155" s="113"/>
      <c r="J155" s="113"/>
      <c r="K155" s="113"/>
      <c r="L155" s="35"/>
      <c r="M155" s="113"/>
      <c r="N155" s="113"/>
      <c r="O155" s="35"/>
      <c r="P155" s="113"/>
      <c r="Q155" s="35"/>
    </row>
    <row r="156" spans="2:17" ht="22.05" customHeight="1">
      <c r="B156" s="35"/>
      <c r="C156" s="35"/>
      <c r="D156" s="35"/>
      <c r="E156" s="35"/>
      <c r="F156" s="35"/>
      <c r="G156" s="35"/>
      <c r="H156" s="112"/>
      <c r="I156" s="113"/>
      <c r="J156" s="113"/>
      <c r="K156" s="113"/>
      <c r="L156" s="35"/>
      <c r="M156" s="113"/>
      <c r="N156" s="113"/>
      <c r="O156" s="35"/>
      <c r="P156" s="113"/>
      <c r="Q156" s="35"/>
    </row>
    <row r="157" spans="2:17" ht="22.05" customHeight="1">
      <c r="B157" s="35"/>
      <c r="C157" s="35"/>
      <c r="D157" s="35"/>
      <c r="E157" s="35"/>
      <c r="F157" s="35"/>
      <c r="G157" s="35"/>
      <c r="H157" s="112"/>
      <c r="I157" s="113"/>
      <c r="J157" s="113"/>
      <c r="K157" s="113"/>
      <c r="L157" s="35"/>
      <c r="M157" s="113"/>
      <c r="N157" s="113"/>
      <c r="O157" s="35"/>
      <c r="P157" s="113"/>
      <c r="Q157" s="35"/>
    </row>
    <row r="158" spans="2:17" ht="22.05" customHeight="1">
      <c r="B158" s="35"/>
      <c r="C158" s="35"/>
      <c r="D158" s="35"/>
      <c r="E158" s="35"/>
      <c r="F158" s="35"/>
      <c r="G158" s="35"/>
      <c r="H158" s="112"/>
      <c r="I158" s="113"/>
      <c r="J158" s="113"/>
      <c r="K158" s="113"/>
      <c r="L158" s="35"/>
      <c r="M158" s="113"/>
      <c r="N158" s="113"/>
      <c r="O158" s="35"/>
      <c r="P158" s="113"/>
      <c r="Q158" s="35"/>
    </row>
    <row r="159" spans="2:17" ht="22.05" customHeight="1">
      <c r="B159" s="35"/>
      <c r="C159" s="35"/>
      <c r="D159" s="35"/>
      <c r="E159" s="35"/>
      <c r="F159" s="35"/>
      <c r="G159" s="35"/>
      <c r="H159" s="112"/>
      <c r="I159" s="113"/>
      <c r="J159" s="113"/>
      <c r="K159" s="113"/>
      <c r="L159" s="35"/>
      <c r="M159" s="113"/>
      <c r="N159" s="113"/>
      <c r="O159" s="35"/>
      <c r="P159" s="113"/>
      <c r="Q159" s="35"/>
    </row>
    <row r="160" spans="2:17" ht="22.05" customHeight="1">
      <c r="B160" s="35"/>
      <c r="C160" s="35"/>
      <c r="D160" s="35"/>
      <c r="E160" s="35"/>
      <c r="F160" s="35"/>
      <c r="G160" s="35"/>
      <c r="H160" s="112"/>
      <c r="I160" s="113"/>
      <c r="J160" s="113"/>
      <c r="K160" s="113"/>
      <c r="L160" s="35"/>
      <c r="M160" s="113"/>
      <c r="N160" s="113"/>
      <c r="O160" s="35"/>
      <c r="P160" s="113"/>
      <c r="Q160" s="35"/>
    </row>
    <row r="161" spans="2:17" ht="22.05" customHeight="1">
      <c r="B161" s="35"/>
      <c r="C161" s="35"/>
      <c r="D161" s="35"/>
      <c r="E161" s="35"/>
      <c r="F161" s="35"/>
      <c r="G161" s="35"/>
      <c r="H161" s="112"/>
      <c r="I161" s="113"/>
      <c r="J161" s="113"/>
      <c r="K161" s="113"/>
      <c r="L161" s="35"/>
      <c r="M161" s="113"/>
      <c r="N161" s="113"/>
      <c r="O161" s="35"/>
      <c r="P161" s="113"/>
      <c r="Q161" s="35"/>
    </row>
    <row r="162" spans="2:17" ht="22.05" customHeight="1">
      <c r="B162" s="35"/>
      <c r="C162" s="35"/>
      <c r="D162" s="35"/>
      <c r="E162" s="35"/>
      <c r="F162" s="35"/>
      <c r="G162" s="35"/>
      <c r="H162" s="112"/>
      <c r="I162" s="113"/>
      <c r="J162" s="113"/>
      <c r="K162" s="113"/>
      <c r="L162" s="35"/>
      <c r="M162" s="113"/>
      <c r="N162" s="113"/>
      <c r="O162" s="35"/>
      <c r="P162" s="113"/>
      <c r="Q162" s="35"/>
    </row>
    <row r="163" spans="2:17" ht="22.05" customHeight="1">
      <c r="B163" s="35"/>
      <c r="C163" s="35"/>
      <c r="D163" s="35"/>
      <c r="E163" s="35"/>
      <c r="F163" s="35"/>
      <c r="G163" s="35"/>
      <c r="H163" s="112"/>
      <c r="I163" s="113"/>
      <c r="J163" s="113"/>
      <c r="K163" s="113"/>
      <c r="L163" s="35"/>
      <c r="M163" s="113"/>
      <c r="N163" s="113"/>
      <c r="O163" s="35"/>
      <c r="P163" s="113"/>
      <c r="Q163" s="35"/>
    </row>
    <row r="164" spans="2:17" ht="22.05" customHeight="1">
      <c r="B164" s="35"/>
      <c r="C164" s="35"/>
      <c r="D164" s="35"/>
      <c r="E164" s="35"/>
      <c r="F164" s="35"/>
      <c r="G164" s="35"/>
      <c r="H164" s="112"/>
      <c r="I164" s="113"/>
      <c r="J164" s="113"/>
      <c r="K164" s="113"/>
      <c r="L164" s="35"/>
      <c r="M164" s="113"/>
      <c r="N164" s="113"/>
      <c r="O164" s="35"/>
      <c r="P164" s="113"/>
      <c r="Q164" s="35"/>
    </row>
    <row r="165" spans="2:17" ht="22.05" customHeight="1">
      <c r="B165" s="35"/>
      <c r="C165" s="35"/>
      <c r="D165" s="35"/>
      <c r="E165" s="35"/>
      <c r="F165" s="35"/>
      <c r="G165" s="35"/>
      <c r="H165" s="112"/>
      <c r="I165" s="113"/>
      <c r="J165" s="113"/>
      <c r="K165" s="113"/>
      <c r="L165" s="35"/>
      <c r="M165" s="113"/>
      <c r="N165" s="113"/>
      <c r="O165" s="35"/>
      <c r="P165" s="113"/>
      <c r="Q165" s="35"/>
    </row>
    <row r="166" spans="2:17" ht="22.05" customHeight="1">
      <c r="B166" s="35"/>
      <c r="C166" s="35"/>
      <c r="D166" s="35"/>
      <c r="E166" s="35"/>
      <c r="F166" s="35"/>
      <c r="G166" s="35"/>
      <c r="H166" s="112"/>
      <c r="I166" s="113"/>
      <c r="J166" s="113"/>
      <c r="K166" s="113"/>
      <c r="L166" s="35"/>
      <c r="M166" s="113"/>
      <c r="N166" s="113"/>
      <c r="O166" s="35"/>
      <c r="P166" s="113"/>
      <c r="Q166" s="35"/>
    </row>
    <row r="167" spans="2:17" ht="22.05" customHeight="1">
      <c r="B167" s="35"/>
      <c r="C167" s="35"/>
      <c r="D167" s="35"/>
      <c r="E167" s="35"/>
      <c r="F167" s="35"/>
      <c r="G167" s="35"/>
      <c r="H167" s="112"/>
      <c r="I167" s="113"/>
      <c r="J167" s="113"/>
      <c r="K167" s="113"/>
      <c r="L167" s="35"/>
      <c r="M167" s="113"/>
      <c r="N167" s="113"/>
      <c r="O167" s="35"/>
      <c r="P167" s="113"/>
      <c r="Q167" s="35"/>
    </row>
    <row r="168" spans="2:17" ht="22.05" customHeight="1">
      <c r="B168" s="35"/>
      <c r="C168" s="35"/>
      <c r="D168" s="35"/>
      <c r="E168" s="35"/>
      <c r="F168" s="35"/>
      <c r="G168" s="35"/>
      <c r="H168" s="112"/>
      <c r="I168" s="113"/>
      <c r="J168" s="113"/>
      <c r="K168" s="113"/>
      <c r="L168" s="35"/>
      <c r="M168" s="113"/>
      <c r="N168" s="113"/>
      <c r="O168" s="35"/>
      <c r="P168" s="113"/>
      <c r="Q168" s="35"/>
    </row>
    <row r="169" spans="2:17" ht="22.05" customHeight="1">
      <c r="B169" s="35"/>
      <c r="C169" s="35"/>
      <c r="D169" s="35"/>
      <c r="E169" s="35"/>
      <c r="F169" s="35"/>
      <c r="G169" s="35"/>
      <c r="H169" s="112"/>
      <c r="I169" s="113"/>
      <c r="J169" s="113"/>
      <c r="K169" s="113"/>
      <c r="L169" s="35"/>
      <c r="M169" s="113"/>
      <c r="N169" s="113"/>
      <c r="O169" s="35"/>
      <c r="P169" s="113"/>
      <c r="Q169" s="35"/>
    </row>
    <row r="170" spans="2:17" ht="22.05" customHeight="1">
      <c r="B170" s="35"/>
      <c r="C170" s="35"/>
      <c r="D170" s="35"/>
      <c r="E170" s="35"/>
      <c r="F170" s="35"/>
      <c r="G170" s="35"/>
      <c r="H170" s="112"/>
      <c r="I170" s="113"/>
      <c r="J170" s="113"/>
      <c r="K170" s="113"/>
      <c r="L170" s="35"/>
      <c r="M170" s="113"/>
      <c r="N170" s="113"/>
      <c r="O170" s="35"/>
      <c r="P170" s="113"/>
      <c r="Q170" s="35"/>
    </row>
    <row r="171" spans="2:17" ht="22.05" customHeight="1">
      <c r="B171" s="35"/>
      <c r="C171" s="35"/>
      <c r="D171" s="35"/>
      <c r="E171" s="35"/>
      <c r="F171" s="35"/>
      <c r="G171" s="35"/>
      <c r="H171" s="112"/>
      <c r="I171" s="113"/>
      <c r="J171" s="113"/>
      <c r="K171" s="113"/>
      <c r="L171" s="35"/>
      <c r="M171" s="113"/>
      <c r="N171" s="113"/>
      <c r="O171" s="35"/>
      <c r="P171" s="113"/>
      <c r="Q171" s="35"/>
    </row>
    <row r="172" spans="2:17" ht="22.05" customHeight="1">
      <c r="B172" s="35"/>
      <c r="C172" s="35"/>
      <c r="D172" s="35"/>
      <c r="E172" s="35"/>
      <c r="F172" s="35"/>
      <c r="G172" s="35"/>
      <c r="H172" s="112"/>
      <c r="I172" s="113"/>
      <c r="J172" s="113"/>
      <c r="K172" s="113"/>
      <c r="L172" s="35"/>
      <c r="M172" s="113"/>
      <c r="N172" s="113"/>
      <c r="O172" s="35"/>
      <c r="P172" s="113"/>
      <c r="Q172" s="35"/>
    </row>
    <row r="173" spans="2:17" ht="22.05" customHeight="1">
      <c r="B173" s="35"/>
      <c r="C173" s="35"/>
      <c r="D173" s="35"/>
      <c r="E173" s="35"/>
      <c r="F173" s="35"/>
      <c r="G173" s="35"/>
      <c r="H173" s="112"/>
      <c r="I173" s="113"/>
      <c r="J173" s="113"/>
      <c r="K173" s="113"/>
      <c r="L173" s="35"/>
      <c r="M173" s="113"/>
      <c r="N173" s="113"/>
      <c r="O173" s="35"/>
      <c r="P173" s="113"/>
      <c r="Q173" s="35"/>
    </row>
    <row r="174" spans="2:17" ht="22.05" customHeight="1">
      <c r="B174" s="35"/>
      <c r="C174" s="35"/>
      <c r="D174" s="35"/>
      <c r="E174" s="35"/>
      <c r="F174" s="35"/>
      <c r="G174" s="35"/>
      <c r="H174" s="112"/>
      <c r="I174" s="113"/>
      <c r="J174" s="113"/>
      <c r="K174" s="113"/>
      <c r="L174" s="35"/>
      <c r="M174" s="113"/>
      <c r="N174" s="113"/>
      <c r="O174" s="35"/>
      <c r="P174" s="113"/>
      <c r="Q174" s="35"/>
    </row>
    <row r="175" spans="2:17" ht="22.05" customHeight="1">
      <c r="B175" s="35"/>
      <c r="C175" s="35"/>
      <c r="D175" s="35"/>
      <c r="E175" s="35"/>
      <c r="F175" s="35"/>
      <c r="G175" s="35"/>
      <c r="H175" s="112"/>
      <c r="I175" s="113"/>
      <c r="J175" s="113"/>
      <c r="K175" s="113"/>
      <c r="L175" s="35"/>
      <c r="M175" s="113"/>
      <c r="N175" s="113"/>
      <c r="O175" s="35"/>
      <c r="P175" s="113"/>
      <c r="Q175" s="35"/>
    </row>
    <row r="176" spans="2:17" ht="22.05" customHeight="1">
      <c r="B176" s="35"/>
      <c r="C176" s="35"/>
      <c r="D176" s="35"/>
      <c r="E176" s="35"/>
      <c r="F176" s="35"/>
      <c r="G176" s="35"/>
      <c r="H176" s="112"/>
      <c r="I176" s="113"/>
      <c r="J176" s="113"/>
      <c r="K176" s="113"/>
      <c r="L176" s="35"/>
      <c r="M176" s="113"/>
      <c r="N176" s="113"/>
      <c r="O176" s="35"/>
      <c r="P176" s="113"/>
      <c r="Q176" s="35"/>
    </row>
    <row r="177" spans="2:17" ht="22.05" customHeight="1">
      <c r="B177" s="35"/>
      <c r="C177" s="35"/>
      <c r="D177" s="35"/>
      <c r="E177" s="35"/>
      <c r="F177" s="35"/>
      <c r="G177" s="35"/>
      <c r="H177" s="112"/>
      <c r="I177" s="113"/>
      <c r="J177" s="113"/>
      <c r="K177" s="113"/>
      <c r="L177" s="35"/>
      <c r="M177" s="113"/>
      <c r="N177" s="113"/>
      <c r="O177" s="35"/>
      <c r="P177" s="113"/>
      <c r="Q177" s="35"/>
    </row>
    <row r="178" spans="2:17" ht="22.05" customHeight="1">
      <c r="B178" s="35"/>
      <c r="C178" s="35"/>
      <c r="D178" s="35"/>
      <c r="E178" s="35"/>
      <c r="F178" s="35"/>
      <c r="G178" s="35"/>
      <c r="H178" s="112"/>
      <c r="I178" s="113"/>
      <c r="J178" s="113"/>
      <c r="K178" s="113"/>
      <c r="L178" s="35"/>
      <c r="M178" s="113"/>
      <c r="N178" s="113"/>
      <c r="O178" s="35"/>
      <c r="P178" s="113"/>
      <c r="Q178" s="35"/>
    </row>
    <row r="179" spans="2:17" ht="22.05" customHeight="1">
      <c r="B179" s="35"/>
      <c r="C179" s="35"/>
      <c r="D179" s="35"/>
      <c r="E179" s="35"/>
      <c r="F179" s="35"/>
      <c r="G179" s="35"/>
      <c r="H179" s="112"/>
      <c r="I179" s="113"/>
      <c r="J179" s="113"/>
      <c r="K179" s="113"/>
      <c r="L179" s="35"/>
      <c r="M179" s="113"/>
      <c r="N179" s="113"/>
      <c r="O179" s="35"/>
      <c r="P179" s="113"/>
      <c r="Q179" s="35"/>
    </row>
    <row r="180" spans="2:17" ht="22.05" customHeight="1">
      <c r="B180" s="35"/>
      <c r="C180" s="35"/>
      <c r="D180" s="35"/>
      <c r="E180" s="35"/>
      <c r="F180" s="35"/>
      <c r="G180" s="35"/>
      <c r="H180" s="112"/>
      <c r="I180" s="113"/>
      <c r="J180" s="113"/>
      <c r="K180" s="113"/>
      <c r="L180" s="35"/>
      <c r="M180" s="113"/>
      <c r="N180" s="113"/>
      <c r="O180" s="35"/>
      <c r="P180" s="113"/>
      <c r="Q180" s="35"/>
    </row>
    <row r="181" spans="2:17" ht="22.05" customHeight="1">
      <c r="B181" s="35"/>
      <c r="C181" s="35"/>
      <c r="D181" s="35"/>
      <c r="E181" s="35"/>
      <c r="F181" s="35"/>
      <c r="G181" s="35"/>
      <c r="H181" s="112"/>
      <c r="I181" s="113"/>
      <c r="J181" s="113"/>
      <c r="K181" s="113"/>
      <c r="L181" s="35"/>
      <c r="M181" s="113"/>
      <c r="N181" s="113"/>
      <c r="O181" s="35"/>
      <c r="P181" s="113"/>
      <c r="Q181" s="35"/>
    </row>
    <row r="182" spans="2:17" ht="22.05" customHeight="1">
      <c r="B182" s="35"/>
      <c r="C182" s="35"/>
      <c r="D182" s="35"/>
      <c r="E182" s="35"/>
      <c r="F182" s="35"/>
      <c r="G182" s="35"/>
      <c r="H182" s="112"/>
      <c r="I182" s="113"/>
      <c r="J182" s="113"/>
      <c r="K182" s="113"/>
      <c r="L182" s="35"/>
      <c r="M182" s="113"/>
      <c r="N182" s="113"/>
      <c r="O182" s="35"/>
      <c r="P182" s="113"/>
      <c r="Q182" s="35"/>
    </row>
    <row r="183" spans="2:17" ht="22.05" customHeight="1">
      <c r="B183" s="35"/>
      <c r="C183" s="35"/>
      <c r="D183" s="35"/>
      <c r="E183" s="35"/>
      <c r="F183" s="35"/>
      <c r="G183" s="35"/>
      <c r="H183" s="112"/>
      <c r="I183" s="113"/>
      <c r="J183" s="113"/>
      <c r="K183" s="113"/>
      <c r="L183" s="35"/>
      <c r="M183" s="113"/>
      <c r="N183" s="113"/>
      <c r="O183" s="35"/>
      <c r="P183" s="113"/>
      <c r="Q183" s="35"/>
    </row>
    <row r="184" spans="2:17" ht="22.05" customHeight="1">
      <c r="B184" s="35"/>
      <c r="C184" s="35"/>
      <c r="D184" s="35"/>
      <c r="E184" s="35"/>
      <c r="F184" s="35"/>
      <c r="G184" s="35"/>
      <c r="H184" s="112"/>
      <c r="I184" s="113"/>
      <c r="J184" s="113"/>
      <c r="K184" s="113"/>
      <c r="L184" s="35"/>
      <c r="M184" s="113"/>
      <c r="N184" s="113"/>
      <c r="O184" s="35"/>
      <c r="P184" s="113"/>
      <c r="Q184" s="35"/>
    </row>
    <row r="185" spans="2:17" ht="22.05" customHeight="1">
      <c r="B185" s="35"/>
      <c r="C185" s="35"/>
      <c r="D185" s="35"/>
      <c r="E185" s="35"/>
      <c r="F185" s="35"/>
      <c r="G185" s="35"/>
      <c r="H185" s="112"/>
      <c r="I185" s="113"/>
      <c r="J185" s="113"/>
      <c r="K185" s="113"/>
      <c r="L185" s="35"/>
      <c r="M185" s="113"/>
      <c r="N185" s="113"/>
      <c r="O185" s="35"/>
      <c r="P185" s="113"/>
      <c r="Q185" s="35"/>
    </row>
    <row r="186" spans="2:17" ht="22.05" customHeight="1">
      <c r="B186" s="35"/>
      <c r="C186" s="35"/>
      <c r="D186" s="35"/>
      <c r="E186" s="35"/>
      <c r="F186" s="35"/>
      <c r="G186" s="35"/>
      <c r="H186" s="112"/>
      <c r="I186" s="113"/>
      <c r="J186" s="113"/>
      <c r="K186" s="113"/>
      <c r="L186" s="35"/>
      <c r="M186" s="113"/>
      <c r="N186" s="113"/>
      <c r="O186" s="35"/>
      <c r="P186" s="113"/>
      <c r="Q186" s="35"/>
    </row>
    <row r="187" spans="2:17" ht="22.05" customHeight="1">
      <c r="B187" s="35"/>
      <c r="C187" s="35"/>
      <c r="D187" s="35"/>
      <c r="E187" s="35"/>
      <c r="F187" s="35"/>
      <c r="G187" s="35"/>
      <c r="H187" s="112"/>
      <c r="I187" s="113"/>
      <c r="J187" s="113"/>
      <c r="K187" s="113"/>
      <c r="L187" s="35"/>
      <c r="M187" s="113"/>
      <c r="N187" s="113"/>
      <c r="O187" s="35"/>
      <c r="P187" s="113"/>
      <c r="Q187" s="35"/>
    </row>
    <row r="188" spans="2:17" ht="22.05" customHeight="1">
      <c r="B188" s="35"/>
      <c r="C188" s="35"/>
      <c r="D188" s="35"/>
      <c r="E188" s="35"/>
      <c r="F188" s="35"/>
      <c r="G188" s="35"/>
      <c r="H188" s="112"/>
      <c r="I188" s="113"/>
      <c r="J188" s="113"/>
      <c r="K188" s="113"/>
      <c r="L188" s="35"/>
      <c r="M188" s="113"/>
      <c r="N188" s="113"/>
      <c r="O188" s="35"/>
      <c r="P188" s="113"/>
      <c r="Q188" s="35"/>
    </row>
  </sheetData>
  <mergeCells count="1">
    <mergeCell ref="B4:Q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M69"/>
  <sheetViews>
    <sheetView showGridLines="0" workbookViewId="0"/>
  </sheetViews>
  <sheetFormatPr defaultRowHeight="14.4"/>
  <cols>
    <col min="1" max="1" width="4" customWidth="1"/>
    <col min="2" max="2" width="44" customWidth="1"/>
    <col min="3" max="3" width="16" customWidth="1"/>
    <col min="4" max="4" width="4" customWidth="1"/>
    <col min="5" max="9" width="20" customWidth="1"/>
    <col min="10" max="10" width="4" customWidth="1"/>
    <col min="11" max="11" width="34" customWidth="1"/>
    <col min="12" max="12" width="22" customWidth="1"/>
    <col min="13" max="13" width="4" customWidth="1"/>
    <col min="14" max="14" width="26" customWidth="1"/>
  </cols>
  <sheetData>
    <row r="1" spans="2:13" ht="7.95" customHeight="1"/>
    <row r="2" spans="2:13" ht="30" customHeight="1">
      <c r="B2" s="12" t="s">
        <v>1022</v>
      </c>
    </row>
    <row r="3" spans="2:13" ht="19.95" customHeight="1">
      <c r="B3" s="3" t="s">
        <v>1023</v>
      </c>
    </row>
    <row r="4" spans="2:13" ht="24" customHeight="1">
      <c r="B4" s="121" t="s">
        <v>1024</v>
      </c>
      <c r="C4" s="122"/>
      <c r="D4" s="122"/>
      <c r="E4" s="122"/>
      <c r="F4" s="122"/>
      <c r="G4" s="122"/>
      <c r="H4" s="122"/>
      <c r="I4" s="122"/>
      <c r="J4" s="122"/>
      <c r="K4" s="122"/>
      <c r="L4" s="122"/>
      <c r="M4" s="122"/>
    </row>
    <row r="5" spans="2:13" ht="7.95" customHeight="1"/>
    <row r="6" spans="2:13" ht="24" customHeight="1">
      <c r="B6" s="4" t="s">
        <v>1025</v>
      </c>
      <c r="C6" s="5"/>
      <c r="D6" s="5"/>
      <c r="E6" s="5"/>
      <c r="F6" s="5"/>
      <c r="G6" s="5"/>
      <c r="H6" s="5"/>
      <c r="I6" s="5"/>
      <c r="J6" s="5"/>
      <c r="K6" s="5"/>
      <c r="L6" s="5"/>
    </row>
    <row r="7" spans="2:13" ht="46.05" customHeight="1">
      <c r="B7" s="8" t="s">
        <v>97</v>
      </c>
      <c r="C7" s="8" t="s">
        <v>98</v>
      </c>
      <c r="D7" s="8"/>
      <c r="E7" s="8" t="s">
        <v>1026</v>
      </c>
      <c r="F7" s="8" t="s">
        <v>1027</v>
      </c>
      <c r="G7" s="8" t="s">
        <v>1028</v>
      </c>
      <c r="H7" s="8" t="s">
        <v>1029</v>
      </c>
      <c r="I7" s="8"/>
      <c r="J7" s="8" t="s">
        <v>236</v>
      </c>
    </row>
    <row r="8" spans="2:13" ht="31.95" customHeight="1">
      <c r="B8" s="13" t="s">
        <v>1030</v>
      </c>
      <c r="C8" s="14" t="s">
        <v>1031</v>
      </c>
      <c r="E8" s="111">
        <v>15.92889325147782</v>
      </c>
      <c r="F8" s="111">
        <v>1.6231404198143899</v>
      </c>
      <c r="G8" s="52">
        <f>E8-2*F8</f>
        <v>12.682612411849041</v>
      </c>
      <c r="H8" s="52">
        <f>E8+2*F8</f>
        <v>19.175174091106602</v>
      </c>
      <c r="J8" s="97"/>
      <c r="K8" s="33" t="s">
        <v>1032</v>
      </c>
    </row>
    <row r="9" spans="2:13" ht="31.95" customHeight="1">
      <c r="B9" s="13" t="s">
        <v>875</v>
      </c>
      <c r="C9" s="14" t="s">
        <v>1033</v>
      </c>
      <c r="E9" s="111">
        <v>1.676242360438732</v>
      </c>
      <c r="F9" s="111">
        <v>0.38761919743737672</v>
      </c>
      <c r="G9" s="52">
        <f>E9-2*F9</f>
        <v>0.90100396556397855</v>
      </c>
      <c r="H9" s="52">
        <f>E9+2*F9</f>
        <v>2.4514807553134856</v>
      </c>
      <c r="J9" s="97"/>
      <c r="K9" s="33" t="s">
        <v>1034</v>
      </c>
    </row>
    <row r="10" spans="2:13" ht="31.95" customHeight="1">
      <c r="B10" s="13" t="s">
        <v>398</v>
      </c>
      <c r="C10" s="14" t="s">
        <v>1035</v>
      </c>
      <c r="E10" s="111">
        <v>10.73237562724014</v>
      </c>
      <c r="F10" s="111">
        <v>2.3121893735099892</v>
      </c>
      <c r="G10" s="52">
        <f>E10-2*F10</f>
        <v>6.1079968802201616</v>
      </c>
      <c r="H10" s="52">
        <f>E10+2*F10</f>
        <v>15.356754374260118</v>
      </c>
      <c r="J10" s="97"/>
      <c r="K10" s="33" t="s">
        <v>1036</v>
      </c>
    </row>
    <row r="12" spans="2:13" ht="24" customHeight="1">
      <c r="B12" s="121" t="s">
        <v>1037</v>
      </c>
      <c r="C12" s="122"/>
      <c r="D12" s="122"/>
      <c r="E12" s="122"/>
      <c r="F12" s="122"/>
      <c r="G12" s="122"/>
      <c r="H12" s="122"/>
      <c r="I12" s="122"/>
      <c r="J12" s="122"/>
      <c r="K12" s="122"/>
      <c r="L12" s="122"/>
      <c r="M12" s="122"/>
    </row>
    <row r="14" spans="2:13" ht="24" customHeight="1">
      <c r="B14" s="4" t="s">
        <v>1038</v>
      </c>
      <c r="C14" s="5"/>
      <c r="D14" s="5"/>
      <c r="E14" s="5"/>
      <c r="F14" s="5"/>
      <c r="G14" s="5"/>
      <c r="H14" s="5"/>
      <c r="I14" s="5"/>
      <c r="J14" s="5"/>
      <c r="K14" s="5"/>
      <c r="L14" s="5"/>
    </row>
    <row r="15" spans="2:13" ht="46.05" customHeight="1">
      <c r="B15" s="8" t="s">
        <v>97</v>
      </c>
      <c r="C15" s="8" t="s">
        <v>98</v>
      </c>
      <c r="D15" s="8"/>
      <c r="E15" s="8" t="s">
        <v>135</v>
      </c>
      <c r="F15" s="8"/>
      <c r="G15" s="8"/>
      <c r="H15" s="8"/>
      <c r="I15" s="8"/>
      <c r="J15" s="8"/>
      <c r="K15" s="8" t="s">
        <v>1039</v>
      </c>
    </row>
    <row r="16" spans="2:13" ht="22.05" customHeight="1">
      <c r="B16" s="13" t="s">
        <v>1040</v>
      </c>
      <c r="C16" s="14" t="s">
        <v>1041</v>
      </c>
      <c r="E16" s="20">
        <f>COUNT(Daily_Log!$H$8:$H$188)</f>
        <v>121</v>
      </c>
    </row>
    <row r="17" spans="2:12" ht="22.05" customHeight="1">
      <c r="B17" s="13" t="s">
        <v>518</v>
      </c>
      <c r="C17" s="14" t="s">
        <v>105</v>
      </c>
      <c r="E17" s="16">
        <f>SUM(Daily_Log!$H$8:$H$188)</f>
        <v>1350.2</v>
      </c>
    </row>
    <row r="18" spans="2:12" ht="22.05" customHeight="1">
      <c r="B18" s="13" t="s">
        <v>893</v>
      </c>
      <c r="C18" s="14" t="s">
        <v>1042</v>
      </c>
      <c r="E18" s="57">
        <f>SUM(Daily_Log!$I$8:$I$188)</f>
        <v>12490</v>
      </c>
    </row>
    <row r="19" spans="2:12" ht="22.05" customHeight="1">
      <c r="B19" s="13" t="s">
        <v>894</v>
      </c>
      <c r="C19" s="14" t="s">
        <v>1042</v>
      </c>
      <c r="E19" s="57">
        <f>SUM(Daily_Log!$J$8:$J$188)</f>
        <v>6040</v>
      </c>
    </row>
    <row r="20" spans="2:12" ht="22.05" customHeight="1">
      <c r="B20" s="13" t="s">
        <v>895</v>
      </c>
      <c r="C20" s="14" t="s">
        <v>1042</v>
      </c>
      <c r="E20" s="57">
        <f>SUM(Daily_Log!$K$8:$K$188)</f>
        <v>1986</v>
      </c>
    </row>
    <row r="21" spans="2:12" ht="22.05" customHeight="1">
      <c r="B21" s="13" t="s">
        <v>898</v>
      </c>
      <c r="C21" s="14" t="s">
        <v>1042</v>
      </c>
      <c r="E21" s="57">
        <f>SUM(Daily_Log!$P$8:$P$188)</f>
        <v>0</v>
      </c>
    </row>
    <row r="22" spans="2:12" ht="22.05" customHeight="1">
      <c r="B22" s="13" t="s">
        <v>1043</v>
      </c>
      <c r="C22" s="14" t="s">
        <v>1044</v>
      </c>
      <c r="E22" s="25">
        <f>IF(E17=0,0,(E18+E19)/E17)</f>
        <v>13.723892756628647</v>
      </c>
      <c r="J22" s="13" t="str">
        <f>IF(E22=0,"no data yet",IF(E22&gt;H8,"Above the upper limit",IF(E22&lt;G8,"Below the lower limit","Within the normal range")))</f>
        <v>Within the normal range</v>
      </c>
    </row>
    <row r="23" spans="2:12" ht="22.05" customHeight="1">
      <c r="B23" s="13" t="s">
        <v>1045</v>
      </c>
      <c r="C23" s="14" t="s">
        <v>1044</v>
      </c>
      <c r="E23" s="25">
        <f>IF(E17=0,0,(E20)/E17)</f>
        <v>1.4708932010072582</v>
      </c>
      <c r="J23" s="13" t="str">
        <f>IF(E23=0,"no data yet",IF(E23&gt;H9,"Above the upper limit",IF(E23&lt;G9,"Below the lower limit","Within the normal range")))</f>
        <v>Within the normal range</v>
      </c>
    </row>
    <row r="26" spans="2:12" ht="24" customHeight="1">
      <c r="B26" s="4" t="s">
        <v>1046</v>
      </c>
      <c r="C26" s="5"/>
      <c r="D26" s="5"/>
      <c r="E26" s="5"/>
      <c r="F26" s="5"/>
      <c r="G26" s="5"/>
      <c r="H26" s="5"/>
      <c r="I26" s="5"/>
      <c r="J26" s="5"/>
      <c r="K26" s="5"/>
      <c r="L26" s="5"/>
    </row>
    <row r="27" spans="2:12" ht="46.05" customHeight="1">
      <c r="B27" s="8" t="s">
        <v>891</v>
      </c>
      <c r="C27" s="8" t="s">
        <v>1047</v>
      </c>
      <c r="D27" s="8"/>
      <c r="E27" s="8" t="s">
        <v>518</v>
      </c>
      <c r="F27" s="8" t="s">
        <v>1048</v>
      </c>
      <c r="G27" s="8" t="s">
        <v>1049</v>
      </c>
      <c r="H27" s="8" t="s">
        <v>1050</v>
      </c>
      <c r="I27" s="8"/>
      <c r="J27" s="8"/>
      <c r="K27" s="8" t="s">
        <v>872</v>
      </c>
    </row>
    <row r="28" spans="2:12" ht="22.05" customHeight="1">
      <c r="B28" s="114"/>
      <c r="C28" s="79" t="str">
        <f>IF($B28="","",COUNTIFS(Daily_Log!$B$8:$B$188,$B28))</f>
        <v/>
      </c>
      <c r="E28" s="51" t="str">
        <f>IF($B28="","",SUMIFS(Daily_Log!$H$8:$H$188,Daily_Log!$B$8:$B$188,$B28))</f>
        <v/>
      </c>
      <c r="F28" s="61" t="str">
        <f>IF($B28="","",SUMIFS(Daily_Log!$I$8:$I$188,Daily_Log!$B$8:$B$188,$B28))</f>
        <v/>
      </c>
      <c r="G28" s="61" t="str">
        <f>IF($B28="","",SUMIFS(Daily_Log!$J$8:$J$188,Daily_Log!$B$8:$B$188,$B28))</f>
        <v/>
      </c>
      <c r="H28" s="61" t="str">
        <f>IF($B28="","",SUMIFS(Daily_Log!$K$8:$K$188,Daily_Log!$B$8:$B$188,$B28))</f>
        <v/>
      </c>
      <c r="J28" s="25" t="str">
        <f t="shared" ref="J28:J67" si="0">IF(OR($B28="",E28=0),"",(F28+G28)/E28)</f>
        <v/>
      </c>
    </row>
    <row r="29" spans="2:12" ht="22.05" customHeight="1">
      <c r="B29" s="114"/>
      <c r="C29" s="79" t="str">
        <f>IF($B29="","",COUNTIFS(Daily_Log!$B$8:$B$188,$B29))</f>
        <v/>
      </c>
      <c r="E29" s="51" t="str">
        <f>IF($B29="","",SUMIFS(Daily_Log!$H$8:$H$188,Daily_Log!$B$8:$B$188,$B29))</f>
        <v/>
      </c>
      <c r="F29" s="61" t="str">
        <f>IF($B29="","",SUMIFS(Daily_Log!$I$8:$I$188,Daily_Log!$B$8:$B$188,$B29))</f>
        <v/>
      </c>
      <c r="G29" s="61" t="str">
        <f>IF($B29="","",SUMIFS(Daily_Log!$J$8:$J$188,Daily_Log!$B$8:$B$188,$B29))</f>
        <v/>
      </c>
      <c r="H29" s="61" t="str">
        <f>IF($B29="","",SUMIFS(Daily_Log!$K$8:$K$188,Daily_Log!$B$8:$B$188,$B29))</f>
        <v/>
      </c>
      <c r="J29" s="25" t="str">
        <f t="shared" si="0"/>
        <v/>
      </c>
    </row>
    <row r="30" spans="2:12" ht="22.05" customHeight="1">
      <c r="B30" s="114"/>
      <c r="C30" s="79" t="str">
        <f>IF($B30="","",COUNTIFS(Daily_Log!$B$8:$B$188,$B30))</f>
        <v/>
      </c>
      <c r="E30" s="51" t="str">
        <f>IF($B30="","",SUMIFS(Daily_Log!$H$8:$H$188,Daily_Log!$B$8:$B$188,$B30))</f>
        <v/>
      </c>
      <c r="F30" s="61" t="str">
        <f>IF($B30="","",SUMIFS(Daily_Log!$I$8:$I$188,Daily_Log!$B$8:$B$188,$B30))</f>
        <v/>
      </c>
      <c r="G30" s="61" t="str">
        <f>IF($B30="","",SUMIFS(Daily_Log!$J$8:$J$188,Daily_Log!$B$8:$B$188,$B30))</f>
        <v/>
      </c>
      <c r="H30" s="61" t="str">
        <f>IF($B30="","",SUMIFS(Daily_Log!$K$8:$K$188,Daily_Log!$B$8:$B$188,$B30))</f>
        <v/>
      </c>
      <c r="J30" s="25" t="str">
        <f t="shared" si="0"/>
        <v/>
      </c>
    </row>
    <row r="31" spans="2:12" ht="22.05" customHeight="1">
      <c r="B31" s="114"/>
      <c r="C31" s="79" t="str">
        <f>IF($B31="","",COUNTIFS(Daily_Log!$B$8:$B$188,$B31))</f>
        <v/>
      </c>
      <c r="E31" s="51" t="str">
        <f>IF($B31="","",SUMIFS(Daily_Log!$H$8:$H$188,Daily_Log!$B$8:$B$188,$B31))</f>
        <v/>
      </c>
      <c r="F31" s="61" t="str">
        <f>IF($B31="","",SUMIFS(Daily_Log!$I$8:$I$188,Daily_Log!$B$8:$B$188,$B31))</f>
        <v/>
      </c>
      <c r="G31" s="61" t="str">
        <f>IF($B31="","",SUMIFS(Daily_Log!$J$8:$J$188,Daily_Log!$B$8:$B$188,$B31))</f>
        <v/>
      </c>
      <c r="H31" s="61" t="str">
        <f>IF($B31="","",SUMIFS(Daily_Log!$K$8:$K$188,Daily_Log!$B$8:$B$188,$B31))</f>
        <v/>
      </c>
      <c r="J31" s="25" t="str">
        <f t="shared" si="0"/>
        <v/>
      </c>
    </row>
    <row r="32" spans="2:12" ht="22.05" customHeight="1">
      <c r="B32" s="114"/>
      <c r="C32" s="79" t="str">
        <f>IF($B32="","",COUNTIFS(Daily_Log!$B$8:$B$188,$B32))</f>
        <v/>
      </c>
      <c r="E32" s="51" t="str">
        <f>IF($B32="","",SUMIFS(Daily_Log!$H$8:$H$188,Daily_Log!$B$8:$B$188,$B32))</f>
        <v/>
      </c>
      <c r="F32" s="61" t="str">
        <f>IF($B32="","",SUMIFS(Daily_Log!$I$8:$I$188,Daily_Log!$B$8:$B$188,$B32))</f>
        <v/>
      </c>
      <c r="G32" s="61" t="str">
        <f>IF($B32="","",SUMIFS(Daily_Log!$J$8:$J$188,Daily_Log!$B$8:$B$188,$B32))</f>
        <v/>
      </c>
      <c r="H32" s="61" t="str">
        <f>IF($B32="","",SUMIFS(Daily_Log!$K$8:$K$188,Daily_Log!$B$8:$B$188,$B32))</f>
        <v/>
      </c>
      <c r="J32" s="25" t="str">
        <f t="shared" si="0"/>
        <v/>
      </c>
    </row>
    <row r="33" spans="2:10" ht="22.05" customHeight="1">
      <c r="B33" s="114"/>
      <c r="C33" s="79" t="str">
        <f>IF($B33="","",COUNTIFS(Daily_Log!$B$8:$B$188,$B33))</f>
        <v/>
      </c>
      <c r="E33" s="51" t="str">
        <f>IF($B33="","",SUMIFS(Daily_Log!$H$8:$H$188,Daily_Log!$B$8:$B$188,$B33))</f>
        <v/>
      </c>
      <c r="F33" s="61" t="str">
        <f>IF($B33="","",SUMIFS(Daily_Log!$I$8:$I$188,Daily_Log!$B$8:$B$188,$B33))</f>
        <v/>
      </c>
      <c r="G33" s="61" t="str">
        <f>IF($B33="","",SUMIFS(Daily_Log!$J$8:$J$188,Daily_Log!$B$8:$B$188,$B33))</f>
        <v/>
      </c>
      <c r="H33" s="61" t="str">
        <f>IF($B33="","",SUMIFS(Daily_Log!$K$8:$K$188,Daily_Log!$B$8:$B$188,$B33))</f>
        <v/>
      </c>
      <c r="J33" s="25" t="str">
        <f t="shared" si="0"/>
        <v/>
      </c>
    </row>
    <row r="34" spans="2:10" ht="22.05" customHeight="1">
      <c r="B34" s="114"/>
      <c r="C34" s="79" t="str">
        <f>IF($B34="","",COUNTIFS(Daily_Log!$B$8:$B$188,$B34))</f>
        <v/>
      </c>
      <c r="E34" s="51" t="str">
        <f>IF($B34="","",SUMIFS(Daily_Log!$H$8:$H$188,Daily_Log!$B$8:$B$188,$B34))</f>
        <v/>
      </c>
      <c r="F34" s="61" t="str">
        <f>IF($B34="","",SUMIFS(Daily_Log!$I$8:$I$188,Daily_Log!$B$8:$B$188,$B34))</f>
        <v/>
      </c>
      <c r="G34" s="61" t="str">
        <f>IF($B34="","",SUMIFS(Daily_Log!$J$8:$J$188,Daily_Log!$B$8:$B$188,$B34))</f>
        <v/>
      </c>
      <c r="H34" s="61" t="str">
        <f>IF($B34="","",SUMIFS(Daily_Log!$K$8:$K$188,Daily_Log!$B$8:$B$188,$B34))</f>
        <v/>
      </c>
      <c r="J34" s="25" t="str">
        <f t="shared" si="0"/>
        <v/>
      </c>
    </row>
    <row r="35" spans="2:10" ht="22.05" customHeight="1">
      <c r="B35" s="114"/>
      <c r="C35" s="79" t="str">
        <f>IF($B35="","",COUNTIFS(Daily_Log!$B$8:$B$188,$B35))</f>
        <v/>
      </c>
      <c r="E35" s="51" t="str">
        <f>IF($B35="","",SUMIFS(Daily_Log!$H$8:$H$188,Daily_Log!$B$8:$B$188,$B35))</f>
        <v/>
      </c>
      <c r="F35" s="61" t="str">
        <f>IF($B35="","",SUMIFS(Daily_Log!$I$8:$I$188,Daily_Log!$B$8:$B$188,$B35))</f>
        <v/>
      </c>
      <c r="G35" s="61" t="str">
        <f>IF($B35="","",SUMIFS(Daily_Log!$J$8:$J$188,Daily_Log!$B$8:$B$188,$B35))</f>
        <v/>
      </c>
      <c r="H35" s="61" t="str">
        <f>IF($B35="","",SUMIFS(Daily_Log!$K$8:$K$188,Daily_Log!$B$8:$B$188,$B35))</f>
        <v/>
      </c>
      <c r="J35" s="25" t="str">
        <f t="shared" si="0"/>
        <v/>
      </c>
    </row>
    <row r="36" spans="2:10" ht="22.05" customHeight="1">
      <c r="B36" s="114"/>
      <c r="C36" s="79" t="str">
        <f>IF($B36="","",COUNTIFS(Daily_Log!$B$8:$B$188,$B36))</f>
        <v/>
      </c>
      <c r="E36" s="51" t="str">
        <f>IF($B36="","",SUMIFS(Daily_Log!$H$8:$H$188,Daily_Log!$B$8:$B$188,$B36))</f>
        <v/>
      </c>
      <c r="F36" s="61" t="str">
        <f>IF($B36="","",SUMIFS(Daily_Log!$I$8:$I$188,Daily_Log!$B$8:$B$188,$B36))</f>
        <v/>
      </c>
      <c r="G36" s="61" t="str">
        <f>IF($B36="","",SUMIFS(Daily_Log!$J$8:$J$188,Daily_Log!$B$8:$B$188,$B36))</f>
        <v/>
      </c>
      <c r="H36" s="61" t="str">
        <f>IF($B36="","",SUMIFS(Daily_Log!$K$8:$K$188,Daily_Log!$B$8:$B$188,$B36))</f>
        <v/>
      </c>
      <c r="J36" s="25" t="str">
        <f t="shared" si="0"/>
        <v/>
      </c>
    </row>
    <row r="37" spans="2:10" ht="22.05" customHeight="1">
      <c r="B37" s="114"/>
      <c r="C37" s="79" t="str">
        <f>IF($B37="","",COUNTIFS(Daily_Log!$B$8:$B$188,$B37))</f>
        <v/>
      </c>
      <c r="E37" s="51" t="str">
        <f>IF($B37="","",SUMIFS(Daily_Log!$H$8:$H$188,Daily_Log!$B$8:$B$188,$B37))</f>
        <v/>
      </c>
      <c r="F37" s="61" t="str">
        <f>IF($B37="","",SUMIFS(Daily_Log!$I$8:$I$188,Daily_Log!$B$8:$B$188,$B37))</f>
        <v/>
      </c>
      <c r="G37" s="61" t="str">
        <f>IF($B37="","",SUMIFS(Daily_Log!$J$8:$J$188,Daily_Log!$B$8:$B$188,$B37))</f>
        <v/>
      </c>
      <c r="H37" s="61" t="str">
        <f>IF($B37="","",SUMIFS(Daily_Log!$K$8:$K$188,Daily_Log!$B$8:$B$188,$B37))</f>
        <v/>
      </c>
      <c r="J37" s="25" t="str">
        <f t="shared" si="0"/>
        <v/>
      </c>
    </row>
    <row r="38" spans="2:10" ht="22.05" customHeight="1">
      <c r="B38" s="114"/>
      <c r="C38" s="79" t="str">
        <f>IF($B38="","",COUNTIFS(Daily_Log!$B$8:$B$188,$B38))</f>
        <v/>
      </c>
      <c r="E38" s="51" t="str">
        <f>IF($B38="","",SUMIFS(Daily_Log!$H$8:$H$188,Daily_Log!$B$8:$B$188,$B38))</f>
        <v/>
      </c>
      <c r="F38" s="61" t="str">
        <f>IF($B38="","",SUMIFS(Daily_Log!$I$8:$I$188,Daily_Log!$B$8:$B$188,$B38))</f>
        <v/>
      </c>
      <c r="G38" s="61" t="str">
        <f>IF($B38="","",SUMIFS(Daily_Log!$J$8:$J$188,Daily_Log!$B$8:$B$188,$B38))</f>
        <v/>
      </c>
      <c r="H38" s="61" t="str">
        <f>IF($B38="","",SUMIFS(Daily_Log!$K$8:$K$188,Daily_Log!$B$8:$B$188,$B38))</f>
        <v/>
      </c>
      <c r="J38" s="25" t="str">
        <f t="shared" si="0"/>
        <v/>
      </c>
    </row>
    <row r="39" spans="2:10" ht="22.05" customHeight="1">
      <c r="B39" s="114"/>
      <c r="C39" s="79" t="str">
        <f>IF($B39="","",COUNTIFS(Daily_Log!$B$8:$B$188,$B39))</f>
        <v/>
      </c>
      <c r="E39" s="51" t="str">
        <f>IF($B39="","",SUMIFS(Daily_Log!$H$8:$H$188,Daily_Log!$B$8:$B$188,$B39))</f>
        <v/>
      </c>
      <c r="F39" s="61" t="str">
        <f>IF($B39="","",SUMIFS(Daily_Log!$I$8:$I$188,Daily_Log!$B$8:$B$188,$B39))</f>
        <v/>
      </c>
      <c r="G39" s="61" t="str">
        <f>IF($B39="","",SUMIFS(Daily_Log!$J$8:$J$188,Daily_Log!$B$8:$B$188,$B39))</f>
        <v/>
      </c>
      <c r="H39" s="61" t="str">
        <f>IF($B39="","",SUMIFS(Daily_Log!$K$8:$K$188,Daily_Log!$B$8:$B$188,$B39))</f>
        <v/>
      </c>
      <c r="J39" s="25" t="str">
        <f t="shared" si="0"/>
        <v/>
      </c>
    </row>
    <row r="40" spans="2:10" ht="22.05" customHeight="1">
      <c r="B40" s="114"/>
      <c r="C40" s="79" t="str">
        <f>IF($B40="","",COUNTIFS(Daily_Log!$B$8:$B$188,$B40))</f>
        <v/>
      </c>
      <c r="E40" s="51" t="str">
        <f>IF($B40="","",SUMIFS(Daily_Log!$H$8:$H$188,Daily_Log!$B$8:$B$188,$B40))</f>
        <v/>
      </c>
      <c r="F40" s="61" t="str">
        <f>IF($B40="","",SUMIFS(Daily_Log!$I$8:$I$188,Daily_Log!$B$8:$B$188,$B40))</f>
        <v/>
      </c>
      <c r="G40" s="61" t="str">
        <f>IF($B40="","",SUMIFS(Daily_Log!$J$8:$J$188,Daily_Log!$B$8:$B$188,$B40))</f>
        <v/>
      </c>
      <c r="H40" s="61" t="str">
        <f>IF($B40="","",SUMIFS(Daily_Log!$K$8:$K$188,Daily_Log!$B$8:$B$188,$B40))</f>
        <v/>
      </c>
      <c r="J40" s="25" t="str">
        <f t="shared" si="0"/>
        <v/>
      </c>
    </row>
    <row r="41" spans="2:10" ht="22.05" customHeight="1">
      <c r="B41" s="114"/>
      <c r="C41" s="79" t="str">
        <f>IF($B41="","",COUNTIFS(Daily_Log!$B$8:$B$188,$B41))</f>
        <v/>
      </c>
      <c r="E41" s="51" t="str">
        <f>IF($B41="","",SUMIFS(Daily_Log!$H$8:$H$188,Daily_Log!$B$8:$B$188,$B41))</f>
        <v/>
      </c>
      <c r="F41" s="61" t="str">
        <f>IF($B41="","",SUMIFS(Daily_Log!$I$8:$I$188,Daily_Log!$B$8:$B$188,$B41))</f>
        <v/>
      </c>
      <c r="G41" s="61" t="str">
        <f>IF($B41="","",SUMIFS(Daily_Log!$J$8:$J$188,Daily_Log!$B$8:$B$188,$B41))</f>
        <v/>
      </c>
      <c r="H41" s="61" t="str">
        <f>IF($B41="","",SUMIFS(Daily_Log!$K$8:$K$188,Daily_Log!$B$8:$B$188,$B41))</f>
        <v/>
      </c>
      <c r="J41" s="25" t="str">
        <f t="shared" si="0"/>
        <v/>
      </c>
    </row>
    <row r="42" spans="2:10" ht="22.05" customHeight="1">
      <c r="B42" s="114"/>
      <c r="C42" s="79" t="str">
        <f>IF($B42="","",COUNTIFS(Daily_Log!$B$8:$B$188,$B42))</f>
        <v/>
      </c>
      <c r="E42" s="51" t="str">
        <f>IF($B42="","",SUMIFS(Daily_Log!$H$8:$H$188,Daily_Log!$B$8:$B$188,$B42))</f>
        <v/>
      </c>
      <c r="F42" s="61" t="str">
        <f>IF($B42="","",SUMIFS(Daily_Log!$I$8:$I$188,Daily_Log!$B$8:$B$188,$B42))</f>
        <v/>
      </c>
      <c r="G42" s="61" t="str">
        <f>IF($B42="","",SUMIFS(Daily_Log!$J$8:$J$188,Daily_Log!$B$8:$B$188,$B42))</f>
        <v/>
      </c>
      <c r="H42" s="61" t="str">
        <f>IF($B42="","",SUMIFS(Daily_Log!$K$8:$K$188,Daily_Log!$B$8:$B$188,$B42))</f>
        <v/>
      </c>
      <c r="J42" s="25" t="str">
        <f t="shared" si="0"/>
        <v/>
      </c>
    </row>
    <row r="43" spans="2:10" ht="22.05" customHeight="1">
      <c r="B43" s="114"/>
      <c r="C43" s="79" t="str">
        <f>IF($B43="","",COUNTIFS(Daily_Log!$B$8:$B$188,$B43))</f>
        <v/>
      </c>
      <c r="E43" s="51" t="str">
        <f>IF($B43="","",SUMIFS(Daily_Log!$H$8:$H$188,Daily_Log!$B$8:$B$188,$B43))</f>
        <v/>
      </c>
      <c r="F43" s="61" t="str">
        <f>IF($B43="","",SUMIFS(Daily_Log!$I$8:$I$188,Daily_Log!$B$8:$B$188,$B43))</f>
        <v/>
      </c>
      <c r="G43" s="61" t="str">
        <f>IF($B43="","",SUMIFS(Daily_Log!$J$8:$J$188,Daily_Log!$B$8:$B$188,$B43))</f>
        <v/>
      </c>
      <c r="H43" s="61" t="str">
        <f>IF($B43="","",SUMIFS(Daily_Log!$K$8:$K$188,Daily_Log!$B$8:$B$188,$B43))</f>
        <v/>
      </c>
      <c r="J43" s="25" t="str">
        <f t="shared" si="0"/>
        <v/>
      </c>
    </row>
    <row r="44" spans="2:10" ht="22.05" customHeight="1">
      <c r="B44" s="114"/>
      <c r="C44" s="79" t="str">
        <f>IF($B44="","",COUNTIFS(Daily_Log!$B$8:$B$188,$B44))</f>
        <v/>
      </c>
      <c r="E44" s="51" t="str">
        <f>IF($B44="","",SUMIFS(Daily_Log!$H$8:$H$188,Daily_Log!$B$8:$B$188,$B44))</f>
        <v/>
      </c>
      <c r="F44" s="61" t="str">
        <f>IF($B44="","",SUMIFS(Daily_Log!$I$8:$I$188,Daily_Log!$B$8:$B$188,$B44))</f>
        <v/>
      </c>
      <c r="G44" s="61" t="str">
        <f>IF($B44="","",SUMIFS(Daily_Log!$J$8:$J$188,Daily_Log!$B$8:$B$188,$B44))</f>
        <v/>
      </c>
      <c r="H44" s="61" t="str">
        <f>IF($B44="","",SUMIFS(Daily_Log!$K$8:$K$188,Daily_Log!$B$8:$B$188,$B44))</f>
        <v/>
      </c>
      <c r="J44" s="25" t="str">
        <f t="shared" si="0"/>
        <v/>
      </c>
    </row>
    <row r="45" spans="2:10" ht="22.05" customHeight="1">
      <c r="B45" s="114"/>
      <c r="C45" s="79" t="str">
        <f>IF($B45="","",COUNTIFS(Daily_Log!$B$8:$B$188,$B45))</f>
        <v/>
      </c>
      <c r="E45" s="51" t="str">
        <f>IF($B45="","",SUMIFS(Daily_Log!$H$8:$H$188,Daily_Log!$B$8:$B$188,$B45))</f>
        <v/>
      </c>
      <c r="F45" s="61" t="str">
        <f>IF($B45="","",SUMIFS(Daily_Log!$I$8:$I$188,Daily_Log!$B$8:$B$188,$B45))</f>
        <v/>
      </c>
      <c r="G45" s="61" t="str">
        <f>IF($B45="","",SUMIFS(Daily_Log!$J$8:$J$188,Daily_Log!$B$8:$B$188,$B45))</f>
        <v/>
      </c>
      <c r="H45" s="61" t="str">
        <f>IF($B45="","",SUMIFS(Daily_Log!$K$8:$K$188,Daily_Log!$B$8:$B$188,$B45))</f>
        <v/>
      </c>
      <c r="J45" s="25" t="str">
        <f t="shared" si="0"/>
        <v/>
      </c>
    </row>
    <row r="46" spans="2:10" ht="22.05" customHeight="1">
      <c r="B46" s="114"/>
      <c r="C46" s="79" t="str">
        <f>IF($B46="","",COUNTIFS(Daily_Log!$B$8:$B$188,$B46))</f>
        <v/>
      </c>
      <c r="E46" s="51" t="str">
        <f>IF($B46="","",SUMIFS(Daily_Log!$H$8:$H$188,Daily_Log!$B$8:$B$188,$B46))</f>
        <v/>
      </c>
      <c r="F46" s="61" t="str">
        <f>IF($B46="","",SUMIFS(Daily_Log!$I$8:$I$188,Daily_Log!$B$8:$B$188,$B46))</f>
        <v/>
      </c>
      <c r="G46" s="61" t="str">
        <f>IF($B46="","",SUMIFS(Daily_Log!$J$8:$J$188,Daily_Log!$B$8:$B$188,$B46))</f>
        <v/>
      </c>
      <c r="H46" s="61" t="str">
        <f>IF($B46="","",SUMIFS(Daily_Log!$K$8:$K$188,Daily_Log!$B$8:$B$188,$B46))</f>
        <v/>
      </c>
      <c r="J46" s="25" t="str">
        <f t="shared" si="0"/>
        <v/>
      </c>
    </row>
    <row r="47" spans="2:10" ht="22.05" customHeight="1">
      <c r="B47" s="114"/>
      <c r="C47" s="79" t="str">
        <f>IF($B47="","",COUNTIFS(Daily_Log!$B$8:$B$188,$B47))</f>
        <v/>
      </c>
      <c r="E47" s="51" t="str">
        <f>IF($B47="","",SUMIFS(Daily_Log!$H$8:$H$188,Daily_Log!$B$8:$B$188,$B47))</f>
        <v/>
      </c>
      <c r="F47" s="61" t="str">
        <f>IF($B47="","",SUMIFS(Daily_Log!$I$8:$I$188,Daily_Log!$B$8:$B$188,$B47))</f>
        <v/>
      </c>
      <c r="G47" s="61" t="str">
        <f>IF($B47="","",SUMIFS(Daily_Log!$J$8:$J$188,Daily_Log!$B$8:$B$188,$B47))</f>
        <v/>
      </c>
      <c r="H47" s="61" t="str">
        <f>IF($B47="","",SUMIFS(Daily_Log!$K$8:$K$188,Daily_Log!$B$8:$B$188,$B47))</f>
        <v/>
      </c>
      <c r="J47" s="25" t="str">
        <f t="shared" si="0"/>
        <v/>
      </c>
    </row>
    <row r="48" spans="2:10" ht="22.05" customHeight="1">
      <c r="B48" s="114"/>
      <c r="C48" s="79" t="str">
        <f>IF($B48="","",COUNTIFS(Daily_Log!$B$8:$B$188,$B48))</f>
        <v/>
      </c>
      <c r="E48" s="51" t="str">
        <f>IF($B48="","",SUMIFS(Daily_Log!$H$8:$H$188,Daily_Log!$B$8:$B$188,$B48))</f>
        <v/>
      </c>
      <c r="F48" s="61" t="str">
        <f>IF($B48="","",SUMIFS(Daily_Log!$I$8:$I$188,Daily_Log!$B$8:$B$188,$B48))</f>
        <v/>
      </c>
      <c r="G48" s="61" t="str">
        <f>IF($B48="","",SUMIFS(Daily_Log!$J$8:$J$188,Daily_Log!$B$8:$B$188,$B48))</f>
        <v/>
      </c>
      <c r="H48" s="61" t="str">
        <f>IF($B48="","",SUMIFS(Daily_Log!$K$8:$K$188,Daily_Log!$B$8:$B$188,$B48))</f>
        <v/>
      </c>
      <c r="J48" s="25" t="str">
        <f t="shared" si="0"/>
        <v/>
      </c>
    </row>
    <row r="49" spans="2:10" ht="22.05" customHeight="1">
      <c r="B49" s="114"/>
      <c r="C49" s="79" t="str">
        <f>IF($B49="","",COUNTIFS(Daily_Log!$B$8:$B$188,$B49))</f>
        <v/>
      </c>
      <c r="E49" s="51" t="str">
        <f>IF($B49="","",SUMIFS(Daily_Log!$H$8:$H$188,Daily_Log!$B$8:$B$188,$B49))</f>
        <v/>
      </c>
      <c r="F49" s="61" t="str">
        <f>IF($B49="","",SUMIFS(Daily_Log!$I$8:$I$188,Daily_Log!$B$8:$B$188,$B49))</f>
        <v/>
      </c>
      <c r="G49" s="61" t="str">
        <f>IF($B49="","",SUMIFS(Daily_Log!$J$8:$J$188,Daily_Log!$B$8:$B$188,$B49))</f>
        <v/>
      </c>
      <c r="H49" s="61" t="str">
        <f>IF($B49="","",SUMIFS(Daily_Log!$K$8:$K$188,Daily_Log!$B$8:$B$188,$B49))</f>
        <v/>
      </c>
      <c r="J49" s="25" t="str">
        <f t="shared" si="0"/>
        <v/>
      </c>
    </row>
    <row r="50" spans="2:10" ht="22.05" customHeight="1">
      <c r="B50" s="114"/>
      <c r="C50" s="79" t="str">
        <f>IF($B50="","",COUNTIFS(Daily_Log!$B$8:$B$188,$B50))</f>
        <v/>
      </c>
      <c r="E50" s="51" t="str">
        <f>IF($B50="","",SUMIFS(Daily_Log!$H$8:$H$188,Daily_Log!$B$8:$B$188,$B50))</f>
        <v/>
      </c>
      <c r="F50" s="61" t="str">
        <f>IF($B50="","",SUMIFS(Daily_Log!$I$8:$I$188,Daily_Log!$B$8:$B$188,$B50))</f>
        <v/>
      </c>
      <c r="G50" s="61" t="str">
        <f>IF($B50="","",SUMIFS(Daily_Log!$J$8:$J$188,Daily_Log!$B$8:$B$188,$B50))</f>
        <v/>
      </c>
      <c r="H50" s="61" t="str">
        <f>IF($B50="","",SUMIFS(Daily_Log!$K$8:$K$188,Daily_Log!$B$8:$B$188,$B50))</f>
        <v/>
      </c>
      <c r="J50" s="25" t="str">
        <f t="shared" si="0"/>
        <v/>
      </c>
    </row>
    <row r="51" spans="2:10" ht="22.05" customHeight="1">
      <c r="B51" s="114"/>
      <c r="C51" s="79" t="str">
        <f>IF($B51="","",COUNTIFS(Daily_Log!$B$8:$B$188,$B51))</f>
        <v/>
      </c>
      <c r="E51" s="51" t="str">
        <f>IF($B51="","",SUMIFS(Daily_Log!$H$8:$H$188,Daily_Log!$B$8:$B$188,$B51))</f>
        <v/>
      </c>
      <c r="F51" s="61" t="str">
        <f>IF($B51="","",SUMIFS(Daily_Log!$I$8:$I$188,Daily_Log!$B$8:$B$188,$B51))</f>
        <v/>
      </c>
      <c r="G51" s="61" t="str">
        <f>IF($B51="","",SUMIFS(Daily_Log!$J$8:$J$188,Daily_Log!$B$8:$B$188,$B51))</f>
        <v/>
      </c>
      <c r="H51" s="61" t="str">
        <f>IF($B51="","",SUMIFS(Daily_Log!$K$8:$K$188,Daily_Log!$B$8:$B$188,$B51))</f>
        <v/>
      </c>
      <c r="J51" s="25" t="str">
        <f t="shared" si="0"/>
        <v/>
      </c>
    </row>
    <row r="52" spans="2:10" ht="22.05" customHeight="1">
      <c r="B52" s="114"/>
      <c r="C52" s="79" t="str">
        <f>IF($B52="","",COUNTIFS(Daily_Log!$B$8:$B$188,$B52))</f>
        <v/>
      </c>
      <c r="E52" s="51" t="str">
        <f>IF($B52="","",SUMIFS(Daily_Log!$H$8:$H$188,Daily_Log!$B$8:$B$188,$B52))</f>
        <v/>
      </c>
      <c r="F52" s="61" t="str">
        <f>IF($B52="","",SUMIFS(Daily_Log!$I$8:$I$188,Daily_Log!$B$8:$B$188,$B52))</f>
        <v/>
      </c>
      <c r="G52" s="61" t="str">
        <f>IF($B52="","",SUMIFS(Daily_Log!$J$8:$J$188,Daily_Log!$B$8:$B$188,$B52))</f>
        <v/>
      </c>
      <c r="H52" s="61" t="str">
        <f>IF($B52="","",SUMIFS(Daily_Log!$K$8:$K$188,Daily_Log!$B$8:$B$188,$B52))</f>
        <v/>
      </c>
      <c r="J52" s="25" t="str">
        <f t="shared" si="0"/>
        <v/>
      </c>
    </row>
    <row r="53" spans="2:10" ht="22.05" customHeight="1">
      <c r="B53" s="114"/>
      <c r="C53" s="79" t="str">
        <f>IF($B53="","",COUNTIFS(Daily_Log!$B$8:$B$188,$B53))</f>
        <v/>
      </c>
      <c r="E53" s="51" t="str">
        <f>IF($B53="","",SUMIFS(Daily_Log!$H$8:$H$188,Daily_Log!$B$8:$B$188,$B53))</f>
        <v/>
      </c>
      <c r="F53" s="61" t="str">
        <f>IF($B53="","",SUMIFS(Daily_Log!$I$8:$I$188,Daily_Log!$B$8:$B$188,$B53))</f>
        <v/>
      </c>
      <c r="G53" s="61" t="str">
        <f>IF($B53="","",SUMIFS(Daily_Log!$J$8:$J$188,Daily_Log!$B$8:$B$188,$B53))</f>
        <v/>
      </c>
      <c r="H53" s="61" t="str">
        <f>IF($B53="","",SUMIFS(Daily_Log!$K$8:$K$188,Daily_Log!$B$8:$B$188,$B53))</f>
        <v/>
      </c>
      <c r="J53" s="25" t="str">
        <f t="shared" si="0"/>
        <v/>
      </c>
    </row>
    <row r="54" spans="2:10" ht="22.05" customHeight="1">
      <c r="B54" s="114"/>
      <c r="C54" s="79" t="str">
        <f>IF($B54="","",COUNTIFS(Daily_Log!$B$8:$B$188,$B54))</f>
        <v/>
      </c>
      <c r="E54" s="51" t="str">
        <f>IF($B54="","",SUMIFS(Daily_Log!$H$8:$H$188,Daily_Log!$B$8:$B$188,$B54))</f>
        <v/>
      </c>
      <c r="F54" s="61" t="str">
        <f>IF($B54="","",SUMIFS(Daily_Log!$I$8:$I$188,Daily_Log!$B$8:$B$188,$B54))</f>
        <v/>
      </c>
      <c r="G54" s="61" t="str">
        <f>IF($B54="","",SUMIFS(Daily_Log!$J$8:$J$188,Daily_Log!$B$8:$B$188,$B54))</f>
        <v/>
      </c>
      <c r="H54" s="61" t="str">
        <f>IF($B54="","",SUMIFS(Daily_Log!$K$8:$K$188,Daily_Log!$B$8:$B$188,$B54))</f>
        <v/>
      </c>
      <c r="J54" s="25" t="str">
        <f t="shared" si="0"/>
        <v/>
      </c>
    </row>
    <row r="55" spans="2:10" ht="22.05" customHeight="1">
      <c r="B55" s="114"/>
      <c r="C55" s="79" t="str">
        <f>IF($B55="","",COUNTIFS(Daily_Log!$B$8:$B$188,$B55))</f>
        <v/>
      </c>
      <c r="E55" s="51" t="str">
        <f>IF($B55="","",SUMIFS(Daily_Log!$H$8:$H$188,Daily_Log!$B$8:$B$188,$B55))</f>
        <v/>
      </c>
      <c r="F55" s="61" t="str">
        <f>IF($B55="","",SUMIFS(Daily_Log!$I$8:$I$188,Daily_Log!$B$8:$B$188,$B55))</f>
        <v/>
      </c>
      <c r="G55" s="61" t="str">
        <f>IF($B55="","",SUMIFS(Daily_Log!$J$8:$J$188,Daily_Log!$B$8:$B$188,$B55))</f>
        <v/>
      </c>
      <c r="H55" s="61" t="str">
        <f>IF($B55="","",SUMIFS(Daily_Log!$K$8:$K$188,Daily_Log!$B$8:$B$188,$B55))</f>
        <v/>
      </c>
      <c r="J55" s="25" t="str">
        <f t="shared" si="0"/>
        <v/>
      </c>
    </row>
    <row r="56" spans="2:10" ht="22.05" customHeight="1">
      <c r="B56" s="114"/>
      <c r="C56" s="79" t="str">
        <f>IF($B56="","",COUNTIFS(Daily_Log!$B$8:$B$188,$B56))</f>
        <v/>
      </c>
      <c r="E56" s="51" t="str">
        <f>IF($B56="","",SUMIFS(Daily_Log!$H$8:$H$188,Daily_Log!$B$8:$B$188,$B56))</f>
        <v/>
      </c>
      <c r="F56" s="61" t="str">
        <f>IF($B56="","",SUMIFS(Daily_Log!$I$8:$I$188,Daily_Log!$B$8:$B$188,$B56))</f>
        <v/>
      </c>
      <c r="G56" s="61" t="str">
        <f>IF($B56="","",SUMIFS(Daily_Log!$J$8:$J$188,Daily_Log!$B$8:$B$188,$B56))</f>
        <v/>
      </c>
      <c r="H56" s="61" t="str">
        <f>IF($B56="","",SUMIFS(Daily_Log!$K$8:$K$188,Daily_Log!$B$8:$B$188,$B56))</f>
        <v/>
      </c>
      <c r="J56" s="25" t="str">
        <f t="shared" si="0"/>
        <v/>
      </c>
    </row>
    <row r="57" spans="2:10" ht="22.05" customHeight="1">
      <c r="B57" s="114"/>
      <c r="C57" s="79" t="str">
        <f>IF($B57="","",COUNTIFS(Daily_Log!$B$8:$B$188,$B57))</f>
        <v/>
      </c>
      <c r="E57" s="51" t="str">
        <f>IF($B57="","",SUMIFS(Daily_Log!$H$8:$H$188,Daily_Log!$B$8:$B$188,$B57))</f>
        <v/>
      </c>
      <c r="F57" s="61" t="str">
        <f>IF($B57="","",SUMIFS(Daily_Log!$I$8:$I$188,Daily_Log!$B$8:$B$188,$B57))</f>
        <v/>
      </c>
      <c r="G57" s="61" t="str">
        <f>IF($B57="","",SUMIFS(Daily_Log!$J$8:$J$188,Daily_Log!$B$8:$B$188,$B57))</f>
        <v/>
      </c>
      <c r="H57" s="61" t="str">
        <f>IF($B57="","",SUMIFS(Daily_Log!$K$8:$K$188,Daily_Log!$B$8:$B$188,$B57))</f>
        <v/>
      </c>
      <c r="J57" s="25" t="str">
        <f t="shared" si="0"/>
        <v/>
      </c>
    </row>
    <row r="58" spans="2:10" ht="22.05" customHeight="1">
      <c r="B58" s="114"/>
      <c r="C58" s="79" t="str">
        <f>IF($B58="","",COUNTIFS(Daily_Log!$B$8:$B$188,$B58))</f>
        <v/>
      </c>
      <c r="E58" s="51" t="str">
        <f>IF($B58="","",SUMIFS(Daily_Log!$H$8:$H$188,Daily_Log!$B$8:$B$188,$B58))</f>
        <v/>
      </c>
      <c r="F58" s="61" t="str">
        <f>IF($B58="","",SUMIFS(Daily_Log!$I$8:$I$188,Daily_Log!$B$8:$B$188,$B58))</f>
        <v/>
      </c>
      <c r="G58" s="61" t="str">
        <f>IF($B58="","",SUMIFS(Daily_Log!$J$8:$J$188,Daily_Log!$B$8:$B$188,$B58))</f>
        <v/>
      </c>
      <c r="H58" s="61" t="str">
        <f>IF($B58="","",SUMIFS(Daily_Log!$K$8:$K$188,Daily_Log!$B$8:$B$188,$B58))</f>
        <v/>
      </c>
      <c r="J58" s="25" t="str">
        <f t="shared" si="0"/>
        <v/>
      </c>
    </row>
    <row r="59" spans="2:10" ht="22.05" customHeight="1">
      <c r="B59" s="114"/>
      <c r="C59" s="79" t="str">
        <f>IF($B59="","",COUNTIFS(Daily_Log!$B$8:$B$188,$B59))</f>
        <v/>
      </c>
      <c r="E59" s="51" t="str">
        <f>IF($B59="","",SUMIFS(Daily_Log!$H$8:$H$188,Daily_Log!$B$8:$B$188,$B59))</f>
        <v/>
      </c>
      <c r="F59" s="61" t="str">
        <f>IF($B59="","",SUMIFS(Daily_Log!$I$8:$I$188,Daily_Log!$B$8:$B$188,$B59))</f>
        <v/>
      </c>
      <c r="G59" s="61" t="str">
        <f>IF($B59="","",SUMIFS(Daily_Log!$J$8:$J$188,Daily_Log!$B$8:$B$188,$B59))</f>
        <v/>
      </c>
      <c r="H59" s="61" t="str">
        <f>IF($B59="","",SUMIFS(Daily_Log!$K$8:$K$188,Daily_Log!$B$8:$B$188,$B59))</f>
        <v/>
      </c>
      <c r="J59" s="25" t="str">
        <f t="shared" si="0"/>
        <v/>
      </c>
    </row>
    <row r="60" spans="2:10" ht="22.05" customHeight="1">
      <c r="B60" s="114"/>
      <c r="C60" s="79" t="str">
        <f>IF($B60="","",COUNTIFS(Daily_Log!$B$8:$B$188,$B60))</f>
        <v/>
      </c>
      <c r="E60" s="51" t="str">
        <f>IF($B60="","",SUMIFS(Daily_Log!$H$8:$H$188,Daily_Log!$B$8:$B$188,$B60))</f>
        <v/>
      </c>
      <c r="F60" s="61" t="str">
        <f>IF($B60="","",SUMIFS(Daily_Log!$I$8:$I$188,Daily_Log!$B$8:$B$188,$B60))</f>
        <v/>
      </c>
      <c r="G60" s="61" t="str">
        <f>IF($B60="","",SUMIFS(Daily_Log!$J$8:$J$188,Daily_Log!$B$8:$B$188,$B60))</f>
        <v/>
      </c>
      <c r="H60" s="61" t="str">
        <f>IF($B60="","",SUMIFS(Daily_Log!$K$8:$K$188,Daily_Log!$B$8:$B$188,$B60))</f>
        <v/>
      </c>
      <c r="J60" s="25" t="str">
        <f t="shared" si="0"/>
        <v/>
      </c>
    </row>
    <row r="61" spans="2:10" ht="22.05" customHeight="1">
      <c r="B61" s="114"/>
      <c r="C61" s="79" t="str">
        <f>IF($B61="","",COUNTIFS(Daily_Log!$B$8:$B$188,$B61))</f>
        <v/>
      </c>
      <c r="E61" s="51" t="str">
        <f>IF($B61="","",SUMIFS(Daily_Log!$H$8:$H$188,Daily_Log!$B$8:$B$188,$B61))</f>
        <v/>
      </c>
      <c r="F61" s="61" t="str">
        <f>IF($B61="","",SUMIFS(Daily_Log!$I$8:$I$188,Daily_Log!$B$8:$B$188,$B61))</f>
        <v/>
      </c>
      <c r="G61" s="61" t="str">
        <f>IF($B61="","",SUMIFS(Daily_Log!$J$8:$J$188,Daily_Log!$B$8:$B$188,$B61))</f>
        <v/>
      </c>
      <c r="H61" s="61" t="str">
        <f>IF($B61="","",SUMIFS(Daily_Log!$K$8:$K$188,Daily_Log!$B$8:$B$188,$B61))</f>
        <v/>
      </c>
      <c r="J61" s="25" t="str">
        <f t="shared" si="0"/>
        <v/>
      </c>
    </row>
    <row r="62" spans="2:10" ht="22.05" customHeight="1">
      <c r="B62" s="114"/>
      <c r="C62" s="79" t="str">
        <f>IF($B62="","",COUNTIFS(Daily_Log!$B$8:$B$188,$B62))</f>
        <v/>
      </c>
      <c r="E62" s="51" t="str">
        <f>IF($B62="","",SUMIFS(Daily_Log!$H$8:$H$188,Daily_Log!$B$8:$B$188,$B62))</f>
        <v/>
      </c>
      <c r="F62" s="61" t="str">
        <f>IF($B62="","",SUMIFS(Daily_Log!$I$8:$I$188,Daily_Log!$B$8:$B$188,$B62))</f>
        <v/>
      </c>
      <c r="G62" s="61" t="str">
        <f>IF($B62="","",SUMIFS(Daily_Log!$J$8:$J$188,Daily_Log!$B$8:$B$188,$B62))</f>
        <v/>
      </c>
      <c r="H62" s="61" t="str">
        <f>IF($B62="","",SUMIFS(Daily_Log!$K$8:$K$188,Daily_Log!$B$8:$B$188,$B62))</f>
        <v/>
      </c>
      <c r="J62" s="25" t="str">
        <f t="shared" si="0"/>
        <v/>
      </c>
    </row>
    <row r="63" spans="2:10" ht="22.05" customHeight="1">
      <c r="B63" s="114"/>
      <c r="C63" s="79" t="str">
        <f>IF($B63="","",COUNTIFS(Daily_Log!$B$8:$B$188,$B63))</f>
        <v/>
      </c>
      <c r="E63" s="51" t="str">
        <f>IF($B63="","",SUMIFS(Daily_Log!$H$8:$H$188,Daily_Log!$B$8:$B$188,$B63))</f>
        <v/>
      </c>
      <c r="F63" s="61" t="str">
        <f>IF($B63="","",SUMIFS(Daily_Log!$I$8:$I$188,Daily_Log!$B$8:$B$188,$B63))</f>
        <v/>
      </c>
      <c r="G63" s="61" t="str">
        <f>IF($B63="","",SUMIFS(Daily_Log!$J$8:$J$188,Daily_Log!$B$8:$B$188,$B63))</f>
        <v/>
      </c>
      <c r="H63" s="61" t="str">
        <f>IF($B63="","",SUMIFS(Daily_Log!$K$8:$K$188,Daily_Log!$B$8:$B$188,$B63))</f>
        <v/>
      </c>
      <c r="J63" s="25" t="str">
        <f t="shared" si="0"/>
        <v/>
      </c>
    </row>
    <row r="64" spans="2:10" ht="22.05" customHeight="1">
      <c r="B64" s="114"/>
      <c r="C64" s="79" t="str">
        <f>IF($B64="","",COUNTIFS(Daily_Log!$B$8:$B$188,$B64))</f>
        <v/>
      </c>
      <c r="E64" s="51" t="str">
        <f>IF($B64="","",SUMIFS(Daily_Log!$H$8:$H$188,Daily_Log!$B$8:$B$188,$B64))</f>
        <v/>
      </c>
      <c r="F64" s="61" t="str">
        <f>IF($B64="","",SUMIFS(Daily_Log!$I$8:$I$188,Daily_Log!$B$8:$B$188,$B64))</f>
        <v/>
      </c>
      <c r="G64" s="61" t="str">
        <f>IF($B64="","",SUMIFS(Daily_Log!$J$8:$J$188,Daily_Log!$B$8:$B$188,$B64))</f>
        <v/>
      </c>
      <c r="H64" s="61" t="str">
        <f>IF($B64="","",SUMIFS(Daily_Log!$K$8:$K$188,Daily_Log!$B$8:$B$188,$B64))</f>
        <v/>
      </c>
      <c r="J64" s="25" t="str">
        <f t="shared" si="0"/>
        <v/>
      </c>
    </row>
    <row r="65" spans="2:13" ht="22.05" customHeight="1">
      <c r="B65" s="114"/>
      <c r="C65" s="79" t="str">
        <f>IF($B65="","",COUNTIFS(Daily_Log!$B$8:$B$188,$B65))</f>
        <v/>
      </c>
      <c r="E65" s="51" t="str">
        <f>IF($B65="","",SUMIFS(Daily_Log!$H$8:$H$188,Daily_Log!$B$8:$B$188,$B65))</f>
        <v/>
      </c>
      <c r="F65" s="61" t="str">
        <f>IF($B65="","",SUMIFS(Daily_Log!$I$8:$I$188,Daily_Log!$B$8:$B$188,$B65))</f>
        <v/>
      </c>
      <c r="G65" s="61" t="str">
        <f>IF($B65="","",SUMIFS(Daily_Log!$J$8:$J$188,Daily_Log!$B$8:$B$188,$B65))</f>
        <v/>
      </c>
      <c r="H65" s="61" t="str">
        <f>IF($B65="","",SUMIFS(Daily_Log!$K$8:$K$188,Daily_Log!$B$8:$B$188,$B65))</f>
        <v/>
      </c>
      <c r="J65" s="25" t="str">
        <f t="shared" si="0"/>
        <v/>
      </c>
    </row>
    <row r="66" spans="2:13" ht="22.05" customHeight="1">
      <c r="B66" s="114"/>
      <c r="C66" s="79" t="str">
        <f>IF($B66="","",COUNTIFS(Daily_Log!$B$8:$B$188,$B66))</f>
        <v/>
      </c>
      <c r="E66" s="51" t="str">
        <f>IF($B66="","",SUMIFS(Daily_Log!$H$8:$H$188,Daily_Log!$B$8:$B$188,$B66))</f>
        <v/>
      </c>
      <c r="F66" s="61" t="str">
        <f>IF($B66="","",SUMIFS(Daily_Log!$I$8:$I$188,Daily_Log!$B$8:$B$188,$B66))</f>
        <v/>
      </c>
      <c r="G66" s="61" t="str">
        <f>IF($B66="","",SUMIFS(Daily_Log!$J$8:$J$188,Daily_Log!$B$8:$B$188,$B66))</f>
        <v/>
      </c>
      <c r="H66" s="61" t="str">
        <f>IF($B66="","",SUMIFS(Daily_Log!$K$8:$K$188,Daily_Log!$B$8:$B$188,$B66))</f>
        <v/>
      </c>
      <c r="J66" s="25" t="str">
        <f t="shared" si="0"/>
        <v/>
      </c>
    </row>
    <row r="67" spans="2:13" ht="22.05" customHeight="1">
      <c r="B67" s="114"/>
      <c r="C67" s="79" t="str">
        <f>IF($B67="","",COUNTIFS(Daily_Log!$B$8:$B$188,$B67))</f>
        <v/>
      </c>
      <c r="E67" s="51" t="str">
        <f>IF($B67="","",SUMIFS(Daily_Log!$H$8:$H$188,Daily_Log!$B$8:$B$188,$B67))</f>
        <v/>
      </c>
      <c r="F67" s="61" t="str">
        <f>IF($B67="","",SUMIFS(Daily_Log!$I$8:$I$188,Daily_Log!$B$8:$B$188,$B67))</f>
        <v/>
      </c>
      <c r="G67" s="61" t="str">
        <f>IF($B67="","",SUMIFS(Daily_Log!$J$8:$J$188,Daily_Log!$B$8:$B$188,$B67))</f>
        <v/>
      </c>
      <c r="H67" s="61" t="str">
        <f>IF($B67="","",SUMIFS(Daily_Log!$K$8:$K$188,Daily_Log!$B$8:$B$188,$B67))</f>
        <v/>
      </c>
      <c r="J67" s="25" t="str">
        <f t="shared" si="0"/>
        <v/>
      </c>
    </row>
    <row r="69" spans="2:13" ht="24" customHeight="1">
      <c r="B69" s="121" t="s">
        <v>1051</v>
      </c>
      <c r="C69" s="122"/>
      <c r="D69" s="122"/>
      <c r="E69" s="122"/>
      <c r="F69" s="122"/>
      <c r="G69" s="122"/>
      <c r="H69" s="122"/>
      <c r="I69" s="122"/>
      <c r="J69" s="122"/>
      <c r="K69" s="122"/>
      <c r="L69" s="122"/>
      <c r="M69" s="122"/>
    </row>
  </sheetData>
  <mergeCells count="3">
    <mergeCell ref="B4:M4"/>
    <mergeCell ref="B12:M12"/>
    <mergeCell ref="B69:M6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J21"/>
  <sheetViews>
    <sheetView showGridLines="0" workbookViewId="0">
      <pane xSplit="1" ySplit="6" topLeftCell="B7" activePane="bottomRight" state="frozen"/>
      <selection pane="topRight"/>
      <selection pane="bottomLeft"/>
      <selection pane="bottomRight"/>
    </sheetView>
  </sheetViews>
  <sheetFormatPr defaultRowHeight="14.4"/>
  <cols>
    <col min="1" max="1" width="4" customWidth="1"/>
    <col min="2" max="2" width="8" customWidth="1"/>
    <col min="3" max="3" width="30" customWidth="1"/>
    <col min="4" max="4" width="4" customWidth="1"/>
    <col min="5" max="5" width="54" customWidth="1"/>
    <col min="6" max="6" width="4" customWidth="1"/>
    <col min="7" max="7" width="24" customWidth="1"/>
    <col min="8" max="8" width="20" customWidth="1"/>
    <col min="9" max="9" width="4" customWidth="1"/>
    <col min="10" max="10" width="46" customWidth="1"/>
  </cols>
  <sheetData>
    <row r="1" spans="2:10" ht="7.95" customHeight="1"/>
    <row r="2" spans="2:10" ht="30" customHeight="1">
      <c r="B2" s="12" t="s">
        <v>1052</v>
      </c>
    </row>
    <row r="3" spans="2:10" ht="19.95" customHeight="1">
      <c r="B3" s="3" t="s">
        <v>1053</v>
      </c>
    </row>
    <row r="5" spans="2:10" ht="7.95" customHeight="1"/>
    <row r="6" spans="2:10" ht="40.049999999999997" customHeight="1">
      <c r="B6" s="8" t="s">
        <v>1054</v>
      </c>
      <c r="C6" s="8" t="s">
        <v>205</v>
      </c>
      <c r="D6" s="8"/>
      <c r="E6" s="8" t="s">
        <v>1055</v>
      </c>
      <c r="F6" s="8"/>
      <c r="G6" s="8" t="s">
        <v>1056</v>
      </c>
      <c r="H6" s="8" t="s">
        <v>21</v>
      </c>
      <c r="I6" s="8"/>
      <c r="J6" s="8" t="s">
        <v>1057</v>
      </c>
    </row>
    <row r="7" spans="2:10" ht="60" customHeight="1">
      <c r="B7" s="115">
        <v>1</v>
      </c>
      <c r="C7" s="10" t="s">
        <v>1058</v>
      </c>
      <c r="E7" s="9" t="s">
        <v>1059</v>
      </c>
      <c r="G7" s="9" t="s">
        <v>1060</v>
      </c>
      <c r="H7" s="10" t="s">
        <v>1061</v>
      </c>
      <c r="J7" s="9" t="s">
        <v>1062</v>
      </c>
    </row>
    <row r="8" spans="2:10" ht="60" customHeight="1">
      <c r="B8" s="115">
        <v>2</v>
      </c>
      <c r="C8" s="10" t="s">
        <v>1063</v>
      </c>
      <c r="E8" s="9" t="s">
        <v>1064</v>
      </c>
      <c r="G8" s="9" t="s">
        <v>1065</v>
      </c>
      <c r="H8" s="10" t="s">
        <v>1066</v>
      </c>
      <c r="J8" s="9" t="s">
        <v>1067</v>
      </c>
    </row>
    <row r="9" spans="2:10" ht="75" customHeight="1">
      <c r="B9" s="115">
        <v>3</v>
      </c>
      <c r="C9" s="10" t="s">
        <v>1068</v>
      </c>
      <c r="E9" s="9" t="s">
        <v>1069</v>
      </c>
      <c r="G9" s="9" t="s">
        <v>1070</v>
      </c>
      <c r="H9" s="10" t="s">
        <v>1071</v>
      </c>
      <c r="J9" s="9" t="s">
        <v>1072</v>
      </c>
    </row>
    <row r="10" spans="2:10" ht="75" customHeight="1">
      <c r="B10" s="115">
        <v>4</v>
      </c>
      <c r="C10" s="10" t="s">
        <v>1073</v>
      </c>
      <c r="E10" s="9" t="s">
        <v>1074</v>
      </c>
      <c r="G10" s="9" t="s">
        <v>1075</v>
      </c>
      <c r="H10" s="10" t="s">
        <v>1071</v>
      </c>
      <c r="J10" s="9" t="s">
        <v>1076</v>
      </c>
    </row>
    <row r="11" spans="2:10" ht="60" customHeight="1">
      <c r="B11" s="115">
        <v>5</v>
      </c>
      <c r="C11" s="10" t="s">
        <v>1077</v>
      </c>
      <c r="E11" s="9" t="s">
        <v>1078</v>
      </c>
      <c r="G11" s="9" t="s">
        <v>1079</v>
      </c>
      <c r="H11" s="10" t="s">
        <v>1080</v>
      </c>
      <c r="J11" s="9" t="s">
        <v>1081</v>
      </c>
    </row>
    <row r="12" spans="2:10" ht="60" customHeight="1">
      <c r="B12" s="115">
        <v>6</v>
      </c>
      <c r="C12" s="10" t="s">
        <v>1082</v>
      </c>
      <c r="E12" s="9" t="s">
        <v>1083</v>
      </c>
      <c r="G12" s="9" t="s">
        <v>1084</v>
      </c>
      <c r="H12" s="116" t="s">
        <v>1085</v>
      </c>
      <c r="J12" s="9" t="s">
        <v>1086</v>
      </c>
    </row>
    <row r="13" spans="2:10" ht="45" customHeight="1">
      <c r="B13" s="115">
        <v>7</v>
      </c>
      <c r="C13" s="10" t="s">
        <v>1087</v>
      </c>
      <c r="E13" s="9" t="s">
        <v>1088</v>
      </c>
      <c r="G13" s="9" t="s">
        <v>1089</v>
      </c>
      <c r="H13" s="10" t="s">
        <v>1080</v>
      </c>
      <c r="J13" s="9" t="s">
        <v>1090</v>
      </c>
    </row>
    <row r="14" spans="2:10" ht="45" customHeight="1">
      <c r="B14" s="115">
        <v>8</v>
      </c>
      <c r="C14" s="10" t="s">
        <v>1091</v>
      </c>
      <c r="E14" s="9" t="s">
        <v>1092</v>
      </c>
      <c r="G14" s="9" t="s">
        <v>1093</v>
      </c>
      <c r="H14" s="10" t="s">
        <v>1094</v>
      </c>
      <c r="J14" s="9" t="s">
        <v>1095</v>
      </c>
    </row>
    <row r="15" spans="2:10" ht="45" customHeight="1">
      <c r="B15" s="115">
        <v>9</v>
      </c>
      <c r="C15" s="10" t="s">
        <v>1096</v>
      </c>
      <c r="E15" s="9" t="s">
        <v>1097</v>
      </c>
      <c r="G15" s="9" t="s">
        <v>1098</v>
      </c>
      <c r="H15" s="10" t="s">
        <v>1094</v>
      </c>
      <c r="J15" s="9" t="s">
        <v>1099</v>
      </c>
    </row>
    <row r="16" spans="2:10" ht="45" customHeight="1">
      <c r="B16" s="115">
        <v>10</v>
      </c>
      <c r="C16" s="10" t="s">
        <v>1100</v>
      </c>
      <c r="E16" s="9" t="s">
        <v>1101</v>
      </c>
      <c r="G16" s="9" t="s">
        <v>1102</v>
      </c>
      <c r="H16" s="10" t="s">
        <v>1094</v>
      </c>
      <c r="J16" s="9" t="s">
        <v>1103</v>
      </c>
    </row>
    <row r="17" spans="2:10" ht="45" customHeight="1">
      <c r="B17" s="115">
        <v>11</v>
      </c>
      <c r="C17" s="10" t="s">
        <v>1104</v>
      </c>
      <c r="E17" s="9" t="s">
        <v>1105</v>
      </c>
      <c r="G17" s="9" t="s">
        <v>1106</v>
      </c>
      <c r="H17" s="10" t="s">
        <v>1107</v>
      </c>
      <c r="J17" s="9" t="s">
        <v>1108</v>
      </c>
    </row>
    <row r="18" spans="2:10" ht="60" customHeight="1">
      <c r="B18" s="115">
        <v>12</v>
      </c>
      <c r="C18" s="10" t="s">
        <v>1109</v>
      </c>
      <c r="E18" s="9" t="s">
        <v>1110</v>
      </c>
      <c r="G18" s="9" t="s">
        <v>1111</v>
      </c>
      <c r="H18" s="10" t="s">
        <v>1112</v>
      </c>
      <c r="J18" s="9" t="s">
        <v>1113</v>
      </c>
    </row>
    <row r="19" spans="2:10" ht="45" customHeight="1">
      <c r="B19" s="115">
        <v>13</v>
      </c>
      <c r="C19" s="10" t="s">
        <v>1114</v>
      </c>
      <c r="E19" s="9" t="s">
        <v>1115</v>
      </c>
      <c r="G19" s="9" t="s">
        <v>1116</v>
      </c>
      <c r="H19" s="10" t="s">
        <v>1066</v>
      </c>
      <c r="J19" s="9" t="s">
        <v>1117</v>
      </c>
    </row>
    <row r="20" spans="2:10" ht="45" customHeight="1">
      <c r="B20" s="115">
        <v>14</v>
      </c>
      <c r="C20" s="10" t="s">
        <v>1118</v>
      </c>
      <c r="E20" s="9" t="s">
        <v>1119</v>
      </c>
      <c r="G20" s="9" t="s">
        <v>1120</v>
      </c>
      <c r="H20" s="10" t="s">
        <v>1066</v>
      </c>
      <c r="J20" s="9" t="s">
        <v>1121</v>
      </c>
    </row>
    <row r="21" spans="2:10" ht="45" customHeight="1">
      <c r="B21" s="115">
        <v>15</v>
      </c>
      <c r="C21" s="10" t="s">
        <v>1122</v>
      </c>
      <c r="E21" s="9" t="s">
        <v>1123</v>
      </c>
      <c r="G21" s="9" t="s">
        <v>1124</v>
      </c>
      <c r="H21" s="10" t="s">
        <v>1094</v>
      </c>
      <c r="J21" s="9" t="s">
        <v>1125</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F21"/>
  <sheetViews>
    <sheetView showGridLines="0" workbookViewId="0">
      <pane xSplit="1" ySplit="6" topLeftCell="B7" activePane="bottomRight" state="frozen"/>
      <selection pane="topRight"/>
      <selection pane="bottomLeft"/>
      <selection pane="bottomRight"/>
    </sheetView>
  </sheetViews>
  <sheetFormatPr defaultRowHeight="14.4"/>
  <cols>
    <col min="1" max="1" width="4" customWidth="1"/>
    <col min="2" max="2" width="16" customWidth="1"/>
    <col min="3" max="3" width="34" customWidth="1"/>
    <col min="4" max="4" width="4" customWidth="1"/>
    <col min="5" max="6" width="62" customWidth="1"/>
  </cols>
  <sheetData>
    <row r="1" spans="2:6" ht="7.95" customHeight="1"/>
    <row r="2" spans="2:6" ht="30" customHeight="1">
      <c r="B2" s="12" t="s">
        <v>1126</v>
      </c>
    </row>
    <row r="3" spans="2:6" ht="19.95" customHeight="1">
      <c r="B3" s="3" t="s">
        <v>1127</v>
      </c>
    </row>
    <row r="5" spans="2:6" ht="7.95" customHeight="1"/>
    <row r="6" spans="2:6" ht="34.049999999999997" customHeight="1">
      <c r="B6" s="8" t="s">
        <v>1128</v>
      </c>
      <c r="C6" s="8" t="s">
        <v>1129</v>
      </c>
      <c r="D6" s="8"/>
      <c r="E6" s="8" t="s">
        <v>1130</v>
      </c>
      <c r="F6" s="8" t="s">
        <v>1057</v>
      </c>
    </row>
    <row r="7" spans="2:6" ht="58.05" customHeight="1">
      <c r="B7" s="117" t="s">
        <v>1131</v>
      </c>
      <c r="C7" s="9" t="s">
        <v>1132</v>
      </c>
      <c r="D7" s="9"/>
      <c r="E7" s="9" t="s">
        <v>1133</v>
      </c>
      <c r="F7" s="9" t="s">
        <v>1134</v>
      </c>
    </row>
    <row r="8" spans="2:6" ht="42" customHeight="1">
      <c r="B8" s="117" t="s">
        <v>1131</v>
      </c>
      <c r="C8" s="9" t="s">
        <v>1135</v>
      </c>
      <c r="D8" s="9"/>
      <c r="E8" s="9" t="s">
        <v>1136</v>
      </c>
      <c r="F8" s="9" t="s">
        <v>1137</v>
      </c>
    </row>
    <row r="9" spans="2:6" ht="58.05" customHeight="1">
      <c r="B9" s="117" t="s">
        <v>1131</v>
      </c>
      <c r="C9" s="9" t="s">
        <v>1138</v>
      </c>
      <c r="D9" s="9"/>
      <c r="E9" s="9" t="s">
        <v>1139</v>
      </c>
      <c r="F9" s="9" t="s">
        <v>1140</v>
      </c>
    </row>
    <row r="10" spans="2:6" ht="42" customHeight="1">
      <c r="B10" s="118" t="s">
        <v>1141</v>
      </c>
      <c r="C10" s="9" t="s">
        <v>1142</v>
      </c>
      <c r="D10" s="9"/>
      <c r="E10" s="9" t="s">
        <v>1143</v>
      </c>
      <c r="F10" s="9" t="s">
        <v>1144</v>
      </c>
    </row>
    <row r="11" spans="2:6" ht="58.05" customHeight="1">
      <c r="B11" s="118" t="s">
        <v>1141</v>
      </c>
      <c r="C11" s="9" t="s">
        <v>1145</v>
      </c>
      <c r="D11" s="9"/>
      <c r="E11" s="9" t="s">
        <v>1146</v>
      </c>
      <c r="F11" s="9" t="s">
        <v>1147</v>
      </c>
    </row>
    <row r="12" spans="2:6" ht="42" customHeight="1">
      <c r="B12" s="118" t="s">
        <v>1141</v>
      </c>
      <c r="C12" s="9" t="s">
        <v>1100</v>
      </c>
      <c r="D12" s="9"/>
      <c r="E12" s="9" t="s">
        <v>1148</v>
      </c>
      <c r="F12" s="9" t="s">
        <v>1149</v>
      </c>
    </row>
    <row r="13" spans="2:6" ht="42" customHeight="1">
      <c r="B13" s="118" t="s">
        <v>1141</v>
      </c>
      <c r="C13" s="9" t="s">
        <v>1150</v>
      </c>
      <c r="D13" s="9"/>
      <c r="E13" s="9" t="s">
        <v>1151</v>
      </c>
      <c r="F13" s="9" t="s">
        <v>1152</v>
      </c>
    </row>
    <row r="14" spans="2:6" ht="42" customHeight="1">
      <c r="B14" s="118" t="s">
        <v>1141</v>
      </c>
      <c r="C14" s="9" t="s">
        <v>1153</v>
      </c>
      <c r="D14" s="9"/>
      <c r="E14" s="9" t="s">
        <v>1154</v>
      </c>
      <c r="F14" s="9" t="s">
        <v>1155</v>
      </c>
    </row>
    <row r="15" spans="2:6" ht="42" customHeight="1">
      <c r="B15" s="119" t="s">
        <v>1156</v>
      </c>
      <c r="C15" s="9" t="s">
        <v>1157</v>
      </c>
      <c r="D15" s="9"/>
      <c r="E15" s="9" t="s">
        <v>1158</v>
      </c>
      <c r="F15" s="9" t="s">
        <v>1159</v>
      </c>
    </row>
    <row r="16" spans="2:6" ht="42" customHeight="1">
      <c r="B16" s="119" t="s">
        <v>1156</v>
      </c>
      <c r="C16" s="9" t="s">
        <v>1160</v>
      </c>
      <c r="D16" s="9"/>
      <c r="E16" s="9" t="s">
        <v>1161</v>
      </c>
      <c r="F16" s="9" t="s">
        <v>1162</v>
      </c>
    </row>
    <row r="17" spans="2:6" ht="42" customHeight="1">
      <c r="B17" s="119" t="s">
        <v>1156</v>
      </c>
      <c r="C17" s="9" t="s">
        <v>1163</v>
      </c>
      <c r="D17" s="9"/>
      <c r="E17" s="9" t="s">
        <v>1164</v>
      </c>
      <c r="F17" s="9" t="s">
        <v>1113</v>
      </c>
    </row>
    <row r="18" spans="2:6" ht="42" customHeight="1">
      <c r="B18" s="119" t="s">
        <v>1156</v>
      </c>
      <c r="C18" s="9" t="s">
        <v>1165</v>
      </c>
      <c r="D18" s="9"/>
      <c r="E18" s="9" t="s">
        <v>1166</v>
      </c>
      <c r="F18" s="9" t="s">
        <v>1167</v>
      </c>
    </row>
    <row r="19" spans="2:6" ht="42" customHeight="1">
      <c r="B19" s="119" t="s">
        <v>1168</v>
      </c>
      <c r="C19" s="9" t="s">
        <v>1169</v>
      </c>
      <c r="D19" s="9"/>
      <c r="E19" s="9" t="s">
        <v>1170</v>
      </c>
      <c r="F19" s="9" t="s">
        <v>1171</v>
      </c>
    </row>
    <row r="20" spans="2:6" ht="42" customHeight="1">
      <c r="B20" s="119" t="s">
        <v>1168</v>
      </c>
      <c r="C20" s="9" t="s">
        <v>1172</v>
      </c>
      <c r="D20" s="9"/>
      <c r="E20" s="9" t="s">
        <v>1173</v>
      </c>
      <c r="F20" s="9" t="s">
        <v>1174</v>
      </c>
    </row>
    <row r="21" spans="2:6" ht="25.95" customHeight="1">
      <c r="B21" s="119" t="s">
        <v>1168</v>
      </c>
      <c r="C21" s="9" t="s">
        <v>1175</v>
      </c>
      <c r="D21" s="9"/>
      <c r="E21" s="9" t="s">
        <v>1176</v>
      </c>
      <c r="F21" s="9" t="s">
        <v>1177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39"/>
  <sheetViews>
    <sheetView showGridLines="0" workbookViewId="0"/>
  </sheetViews>
  <sheetFormatPr defaultRowHeight="14.4"/>
  <cols>
    <col min="1" max="1" width="4" customWidth="1"/>
    <col min="2" max="2" width="30" customWidth="1"/>
    <col min="3" max="3" width="96" customWidth="1"/>
    <col min="4" max="4" width="4" customWidth="1"/>
  </cols>
  <sheetData>
    <row r="1" spans="2:3" ht="7.95" customHeight="1"/>
    <row r="2" spans="2:3" ht="30" customHeight="1">
      <c r="B2" s="12" t="s">
        <v>1178</v>
      </c>
    </row>
    <row r="3" spans="2:3" ht="19.95" customHeight="1">
      <c r="B3" s="3" t="s">
        <v>1179</v>
      </c>
    </row>
    <row r="5" spans="2:3" ht="7.95" customHeight="1"/>
    <row r="6" spans="2:3" ht="24" customHeight="1">
      <c r="B6" s="4" t="s">
        <v>1180</v>
      </c>
      <c r="C6" s="5"/>
    </row>
    <row r="7" spans="2:3" ht="30" customHeight="1">
      <c r="B7" s="8" t="s">
        <v>320</v>
      </c>
      <c r="C7" s="8" t="s">
        <v>136</v>
      </c>
    </row>
    <row r="8" spans="2:3" ht="31.95" customHeight="1">
      <c r="B8" s="120" t="s">
        <v>86</v>
      </c>
      <c r="C8" s="9" t="s">
        <v>1181</v>
      </c>
    </row>
    <row r="9" spans="2:3" ht="22.05" customHeight="1">
      <c r="B9" s="120" t="s">
        <v>401</v>
      </c>
      <c r="C9" s="9" t="s">
        <v>1182</v>
      </c>
    </row>
    <row r="10" spans="2:3" ht="22.05" customHeight="1">
      <c r="B10" s="120" t="s">
        <v>88</v>
      </c>
      <c r="C10" s="9" t="s">
        <v>1183</v>
      </c>
    </row>
    <row r="11" spans="2:3" ht="48" customHeight="1">
      <c r="B11" s="120" t="s">
        <v>1184</v>
      </c>
      <c r="C11" s="9" t="s">
        <v>1185</v>
      </c>
    </row>
    <row r="12" spans="2:3" ht="22.05" customHeight="1">
      <c r="B12" s="120" t="s">
        <v>80</v>
      </c>
      <c r="C12" s="9" t="s">
        <v>1186</v>
      </c>
    </row>
    <row r="13" spans="2:3" ht="22.05" customHeight="1">
      <c r="B13" s="120" t="s">
        <v>82</v>
      </c>
      <c r="C13" s="9" t="s">
        <v>1187</v>
      </c>
    </row>
    <row r="14" spans="2:3" ht="22.05" customHeight="1">
      <c r="B14" s="120" t="s">
        <v>84</v>
      </c>
      <c r="C14" s="9" t="s">
        <v>1188</v>
      </c>
    </row>
    <row r="15" spans="2:3" ht="22.05" customHeight="1">
      <c r="B15" s="120" t="s">
        <v>92</v>
      </c>
      <c r="C15" s="9" t="s">
        <v>1189</v>
      </c>
    </row>
    <row r="17" spans="2:3" ht="24" customHeight="1">
      <c r="B17" s="4" t="s">
        <v>1190</v>
      </c>
      <c r="C17" s="5"/>
    </row>
    <row r="18" spans="2:3" ht="30" customHeight="1">
      <c r="B18" s="8" t="s">
        <v>20</v>
      </c>
      <c r="C18" s="8" t="s">
        <v>1191</v>
      </c>
    </row>
    <row r="19" spans="2:3" ht="22.05" customHeight="1">
      <c r="B19" s="10" t="s">
        <v>41</v>
      </c>
      <c r="C19" s="9" t="s">
        <v>1192</v>
      </c>
    </row>
    <row r="20" spans="2:3" ht="31.95" customHeight="1">
      <c r="B20" s="10" t="s">
        <v>43</v>
      </c>
      <c r="C20" s="9" t="s">
        <v>1193</v>
      </c>
    </row>
    <row r="21" spans="2:3" ht="22.05" customHeight="1">
      <c r="B21" s="10" t="s">
        <v>45</v>
      </c>
      <c r="C21" s="9" t="s">
        <v>1194</v>
      </c>
    </row>
    <row r="22" spans="2:3" ht="22.05" customHeight="1">
      <c r="B22" s="10" t="s">
        <v>47</v>
      </c>
      <c r="C22" s="9" t="s">
        <v>1195</v>
      </c>
    </row>
    <row r="23" spans="2:3" ht="22.05" customHeight="1">
      <c r="B23" s="10" t="s">
        <v>1196</v>
      </c>
      <c r="C23" s="9" t="s">
        <v>1197</v>
      </c>
    </row>
    <row r="24" spans="2:3" ht="22.05" customHeight="1">
      <c r="B24" s="10" t="s">
        <v>1198</v>
      </c>
      <c r="C24" s="9" t="s">
        <v>1199</v>
      </c>
    </row>
    <row r="25" spans="2:3" ht="31.95" customHeight="1">
      <c r="B25" s="10" t="s">
        <v>1200</v>
      </c>
      <c r="C25" s="9" t="s">
        <v>1201</v>
      </c>
    </row>
    <row r="26" spans="2:3" ht="31.95" customHeight="1">
      <c r="B26" s="10" t="s">
        <v>57</v>
      </c>
      <c r="C26" s="9" t="s">
        <v>1202</v>
      </c>
    </row>
    <row r="27" spans="2:3" ht="22.05" customHeight="1">
      <c r="B27" s="10" t="s">
        <v>38</v>
      </c>
      <c r="C27" s="9" t="s">
        <v>1203</v>
      </c>
    </row>
    <row r="28" spans="2:3" ht="22.05" customHeight="1">
      <c r="B28" s="10" t="s">
        <v>60</v>
      </c>
      <c r="C28" s="9" t="s">
        <v>1204</v>
      </c>
    </row>
    <row r="29" spans="2:3" ht="22.05" customHeight="1">
      <c r="B29" s="10" t="s">
        <v>35</v>
      </c>
      <c r="C29" s="9" t="s">
        <v>1205</v>
      </c>
    </row>
    <row r="30" spans="2:3" ht="22.05" customHeight="1">
      <c r="B30" s="10" t="s">
        <v>63</v>
      </c>
      <c r="C30" s="9" t="s">
        <v>1206</v>
      </c>
    </row>
    <row r="31" spans="2:3" ht="22.05" customHeight="1">
      <c r="B31" s="10" t="s">
        <v>67</v>
      </c>
      <c r="C31" s="9" t="s">
        <v>1207</v>
      </c>
    </row>
    <row r="32" spans="2:3" ht="22.05" customHeight="1">
      <c r="B32" s="10" t="s">
        <v>75</v>
      </c>
      <c r="C32" s="9" t="s">
        <v>1208</v>
      </c>
    </row>
    <row r="34" spans="2:3" ht="24" customHeight="1">
      <c r="B34" s="4" t="s">
        <v>1209</v>
      </c>
      <c r="C34" s="5"/>
    </row>
    <row r="35" spans="2:3" ht="30" customHeight="1">
      <c r="B35" s="8" t="s">
        <v>691</v>
      </c>
      <c r="C35" s="8" t="s">
        <v>1210</v>
      </c>
    </row>
    <row r="36" spans="2:3" ht="48" customHeight="1">
      <c r="B36" s="9" t="s">
        <v>1211</v>
      </c>
      <c r="C36" s="9" t="s">
        <v>1212</v>
      </c>
    </row>
    <row r="37" spans="2:3" ht="48" customHeight="1">
      <c r="B37" s="9" t="s">
        <v>1213</v>
      </c>
      <c r="C37" s="9" t="s">
        <v>1214</v>
      </c>
    </row>
    <row r="38" spans="2:3" ht="31.95" customHeight="1">
      <c r="B38" s="9" t="s">
        <v>1215</v>
      </c>
      <c r="C38" s="9" t="s">
        <v>1216</v>
      </c>
    </row>
    <row r="39" spans="2:3" ht="31.95" customHeight="1">
      <c r="B39" s="9" t="s">
        <v>1217</v>
      </c>
      <c r="C39" s="9" t="s">
        <v>1218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Cover</vt:lpstr>
      <vt:lpstr>Dashboard</vt:lpstr>
      <vt:lpstr>Equations</vt:lpstr>
      <vt:lpstr>Inputs</vt:lpstr>
      <vt:lpstr>Advance</vt:lpstr>
      <vt:lpstr>Consumption_PL</vt:lpstr>
      <vt:lpstr>Consumption_Issues</vt:lpstr>
      <vt:lpstr>Consumption_Compare</vt:lpstr>
      <vt:lpstr>A_Scaling</vt:lpstr>
      <vt:lpstr>B_Ground_Support</vt:lpstr>
      <vt:lpstr>C_Face_Drilling</vt:lpstr>
      <vt:lpstr>D_Cable_Bolting</vt:lpstr>
      <vt:lpstr>DRM</vt:lpstr>
      <vt:lpstr>Plan_vs_Actual</vt:lpstr>
      <vt:lpstr>Unit_Cost</vt:lpstr>
      <vt:lpstr>Portal_Analysis</vt:lpstr>
      <vt:lpstr>Pareto</vt:lpstr>
      <vt:lpstr>Triangulation</vt:lpstr>
      <vt:lpstr>May_Question</vt:lpstr>
      <vt:lpstr>Charts</vt:lpstr>
      <vt:lpstr>Daily_Log</vt:lpstr>
      <vt:lpstr>Daily_Tracker</vt:lpstr>
      <vt:lpstr>Anomalies</vt:lpstr>
      <vt:lpstr>Data_Quality</vt:lpstr>
      <vt:lpstr>How_to_Read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Kavhura</dc:creator>
  <cp:lastModifiedBy>Irene Kavhura</cp:lastModifiedBy>
  <dcterms:created xsi:type="dcterms:W3CDTF">2026-09-09T14:43:09Z</dcterms:created>
  <dcterms:modified xsi:type="dcterms:W3CDTF">2026-09-11T20:27:42Z</dcterms:modified>
</cp:coreProperties>
</file>