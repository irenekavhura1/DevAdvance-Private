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10. Stores &amp; Purchasing\01. PURCHASING STORES M DRIVE FOLDER TEMPLATE\02. STOCK SHEETS\03. P&amp;L STOCKSHEET\2026\05. May 2026\2.0 EOM P&amp;L STOCKTAKE\"/>
    </mc:Choice>
  </mc:AlternateContent>
  <xr:revisionPtr revIDLastSave="0" documentId="13_ncr:1_{A0FF2343-1892-4F73-9F8F-F3082E8595A6}" xr6:coauthVersionLast="47" xr6:coauthVersionMax="47" xr10:uidLastSave="{00000000-0000-0000-0000-000000000000}"/>
  <bookViews>
    <workbookView xWindow="-108" yWindow="-108" windowWidth="23256" windowHeight="13896" firstSheet="8" activeTab="10" xr2:uid="{E69290A2-9B3A-4618-B3BD-6C38AA04F85B}"/>
  </bookViews>
  <sheets>
    <sheet name="Dec'25" sheetId="3" r:id="rId1"/>
    <sheet name="March'26 ISSUED MONTH END " sheetId="9" r:id="rId2"/>
    <sheet name="March'26 ISSUED MIDMONTH" sheetId="7" r:id="rId3"/>
    <sheet name="Jan'26" sheetId="1" r:id="rId4"/>
    <sheet name="Feb'26" sheetId="4" r:id="rId5"/>
    <sheet name="April'26" sheetId="12" r:id="rId6"/>
    <sheet name="March'26" sheetId="8" r:id="rId7"/>
    <sheet name="April'26 Issued Mid-Month" sheetId="10" r:id="rId8"/>
    <sheet name="April'26 Issued Month-End" sheetId="11" r:id="rId9"/>
    <sheet name="May'26 Issued Mid Month" sheetId="13" r:id="rId10"/>
    <sheet name="May'26 Issued Month-End  " sheetId="15" r:id="rId11"/>
  </sheets>
  <definedNames>
    <definedName name="_xlnm._FilterDatabase" localSheetId="10" hidden="1">'May''26 Issued Month-End  '!$A$1:$H$2</definedName>
    <definedName name="_xlnm.Print_Titles" localSheetId="5">'April''26'!$1:$1</definedName>
    <definedName name="_xlnm.Print_Titles" localSheetId="7">'April''26 Issued Mid-Month'!$1:$1</definedName>
    <definedName name="_xlnm.Print_Titles" localSheetId="8">'April''26 Issued Month-End'!$1:$1</definedName>
    <definedName name="_xlnm.Print_Titles" localSheetId="0">'Dec''25'!$1:$1</definedName>
    <definedName name="_xlnm.Print_Titles" localSheetId="4">'Feb''26'!$1:$1</definedName>
    <definedName name="_xlnm.Print_Titles" localSheetId="3">'Jan''26'!$1:$1</definedName>
    <definedName name="_xlnm.Print_Titles" localSheetId="6">'March''26'!$1:$1</definedName>
    <definedName name="_xlnm.Print_Titles" localSheetId="2">'March''26 ISSUED MIDMONTH'!$1:$1</definedName>
    <definedName name="_xlnm.Print_Titles" localSheetId="1">'March''26 ISSUED MONTH END '!$1:$1</definedName>
    <definedName name="_xlnm.Print_Titles" localSheetId="9">'May''26 Issued Mid Month'!$1:$1</definedName>
    <definedName name="_xlnm.Print_Titles" localSheetId="10">'May''26 Issued Month-End 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6" i="15" l="1"/>
  <c r="H95" i="13"/>
  <c r="H104" i="13"/>
  <c r="H114" i="13"/>
  <c r="H123" i="13"/>
  <c r="H70" i="13"/>
  <c r="H73" i="13"/>
  <c r="H79" i="13"/>
  <c r="H29" i="13"/>
  <c r="H30" i="13"/>
  <c r="H31" i="13"/>
  <c r="H32" i="13"/>
  <c r="H33" i="13"/>
  <c r="H34" i="13"/>
  <c r="H35" i="13"/>
  <c r="H4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4" i="13"/>
  <c r="H25" i="13"/>
  <c r="H27" i="13"/>
  <c r="H28" i="13"/>
  <c r="H8" i="13"/>
  <c r="H88" i="13"/>
  <c r="H127" i="13"/>
  <c r="H129" i="13"/>
  <c r="G8" i="13"/>
  <c r="H70" i="15"/>
  <c r="H71" i="15"/>
  <c r="H72" i="15"/>
  <c r="H31" i="15"/>
  <c r="H32" i="15"/>
  <c r="H33" i="15"/>
  <c r="H36" i="13" l="1"/>
  <c r="F137" i="15"/>
  <c r="G137" i="15"/>
  <c r="H35" i="15"/>
  <c r="H34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G36" i="15"/>
  <c r="F78" i="15"/>
  <c r="G78" i="15"/>
  <c r="E83" i="15"/>
  <c r="F83" i="15"/>
  <c r="G83" i="15"/>
  <c r="F92" i="15"/>
  <c r="G92" i="15"/>
  <c r="H92" i="15"/>
  <c r="F117" i="15"/>
  <c r="G117" i="15"/>
  <c r="F125" i="15"/>
  <c r="G125" i="15"/>
  <c r="H125" i="15"/>
  <c r="E125" i="15"/>
  <c r="H132" i="15"/>
  <c r="G132" i="15"/>
  <c r="H79" i="15"/>
  <c r="G64" i="15" l="1"/>
  <c r="F132" i="13"/>
  <c r="F117" i="13"/>
  <c r="F92" i="13"/>
  <c r="F83" i="13"/>
  <c r="F79" i="13"/>
  <c r="F78" i="13"/>
  <c r="F36" i="13"/>
  <c r="E137" i="15" l="1"/>
  <c r="E132" i="15"/>
  <c r="E117" i="15"/>
  <c r="E92" i="15"/>
  <c r="E73" i="15"/>
  <c r="H73" i="15" s="1"/>
  <c r="E69" i="15"/>
  <c r="H69" i="15" s="1"/>
  <c r="E66" i="15"/>
  <c r="H66" i="15" s="1"/>
  <c r="E78" i="15"/>
  <c r="E36" i="15"/>
  <c r="H3" i="15"/>
  <c r="H137" i="15"/>
  <c r="H136" i="15"/>
  <c r="H135" i="15"/>
  <c r="H134" i="15"/>
  <c r="H133" i="15"/>
  <c r="F132" i="15"/>
  <c r="H131" i="15"/>
  <c r="H130" i="15"/>
  <c r="H129" i="15"/>
  <c r="H128" i="15"/>
  <c r="H127" i="15"/>
  <c r="H123" i="15"/>
  <c r="H121" i="15"/>
  <c r="H120" i="15"/>
  <c r="H119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0" i="15"/>
  <c r="H89" i="15"/>
  <c r="H88" i="15"/>
  <c r="H87" i="15"/>
  <c r="H86" i="15"/>
  <c r="H85" i="15"/>
  <c r="H84" i="15"/>
  <c r="H81" i="15"/>
  <c r="H80" i="15"/>
  <c r="H77" i="15"/>
  <c r="H76" i="15"/>
  <c r="H75" i="15"/>
  <c r="H74" i="15"/>
  <c r="H68" i="15"/>
  <c r="H67" i="15"/>
  <c r="H65" i="15"/>
  <c r="H64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F36" i="15"/>
  <c r="G15" i="13"/>
  <c r="G14" i="13"/>
  <c r="G36" i="13"/>
  <c r="G4" i="13"/>
  <c r="E64" i="13"/>
  <c r="G64" i="13"/>
  <c r="H65" i="13"/>
  <c r="E66" i="13"/>
  <c r="G66" i="13"/>
  <c r="H67" i="13"/>
  <c r="H68" i="13"/>
  <c r="E69" i="13"/>
  <c r="H69" i="13" s="1"/>
  <c r="G69" i="13"/>
  <c r="H71" i="13"/>
  <c r="H72" i="13"/>
  <c r="E73" i="13"/>
  <c r="G73" i="13"/>
  <c r="H74" i="13"/>
  <c r="H75" i="13"/>
  <c r="H76" i="13"/>
  <c r="H77" i="13"/>
  <c r="E79" i="13"/>
  <c r="H80" i="13"/>
  <c r="H81" i="13"/>
  <c r="H84" i="13"/>
  <c r="H85" i="13"/>
  <c r="E86" i="13"/>
  <c r="H86" i="13"/>
  <c r="H87" i="13"/>
  <c r="E88" i="13"/>
  <c r="E92" i="13" s="1"/>
  <c r="H89" i="13"/>
  <c r="H90" i="13"/>
  <c r="G92" i="13"/>
  <c r="H93" i="13"/>
  <c r="H94" i="13"/>
  <c r="H96" i="13"/>
  <c r="H97" i="13"/>
  <c r="H98" i="13"/>
  <c r="H99" i="13"/>
  <c r="H100" i="13"/>
  <c r="H101" i="13"/>
  <c r="H102" i="13"/>
  <c r="H103" i="13"/>
  <c r="H105" i="13"/>
  <c r="H106" i="13"/>
  <c r="H107" i="13"/>
  <c r="H108" i="13"/>
  <c r="H109" i="13"/>
  <c r="H110" i="13"/>
  <c r="H111" i="13"/>
  <c r="H112" i="13"/>
  <c r="H113" i="13"/>
  <c r="H115" i="13"/>
  <c r="H116" i="13"/>
  <c r="E117" i="13"/>
  <c r="G117" i="13"/>
  <c r="H119" i="13"/>
  <c r="H120" i="13"/>
  <c r="H121" i="13"/>
  <c r="E125" i="13"/>
  <c r="G125" i="13"/>
  <c r="H126" i="13"/>
  <c r="H128" i="13"/>
  <c r="H130" i="13"/>
  <c r="H131" i="13"/>
  <c r="E132" i="13"/>
  <c r="G132" i="13"/>
  <c r="H133" i="13"/>
  <c r="H134" i="13"/>
  <c r="H135" i="13"/>
  <c r="H136" i="13"/>
  <c r="E137" i="13"/>
  <c r="G137" i="13"/>
  <c r="E36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7" i="13"/>
  <c r="H6" i="13"/>
  <c r="H5" i="13"/>
  <c r="H3" i="13"/>
  <c r="E144" i="12"/>
  <c r="E139" i="12"/>
  <c r="E132" i="12"/>
  <c r="E39" i="12"/>
  <c r="E83" i="12"/>
  <c r="E88" i="12"/>
  <c r="E100" i="12"/>
  <c r="E125" i="12"/>
  <c r="H83" i="15" l="1"/>
  <c r="H117" i="15"/>
  <c r="H78" i="15"/>
  <c r="H36" i="15"/>
  <c r="H64" i="13"/>
  <c r="H92" i="13"/>
  <c r="H117" i="13"/>
  <c r="G78" i="13"/>
  <c r="H66" i="13"/>
  <c r="H83" i="13"/>
  <c r="H137" i="13"/>
  <c r="H78" i="13"/>
  <c r="E36" i="11"/>
  <c r="E78" i="11"/>
  <c r="E83" i="11"/>
  <c r="E91" i="11"/>
  <c r="E115" i="11"/>
  <c r="E37" i="10"/>
  <c r="E79" i="10"/>
  <c r="E84" i="10"/>
  <c r="E92" i="10"/>
  <c r="E116" i="10"/>
  <c r="H99" i="11"/>
  <c r="F115" i="11"/>
  <c r="G115" i="11"/>
  <c r="I115" i="11"/>
  <c r="F91" i="11"/>
  <c r="G91" i="11"/>
  <c r="I91" i="11"/>
  <c r="F83" i="11"/>
  <c r="G83" i="11"/>
  <c r="I83" i="11"/>
  <c r="F78" i="11"/>
  <c r="G78" i="11"/>
  <c r="I78" i="11"/>
  <c r="F36" i="11"/>
  <c r="G36" i="11"/>
  <c r="H5" i="11"/>
  <c r="I17" i="7"/>
  <c r="H9" i="11"/>
  <c r="H71" i="11"/>
  <c r="H69" i="11"/>
  <c r="H32" i="11"/>
  <c r="H31" i="11"/>
  <c r="H33" i="11"/>
  <c r="H30" i="11"/>
  <c r="H3" i="11" l="1"/>
  <c r="H4" i="11"/>
  <c r="H6" i="11"/>
  <c r="H7" i="11"/>
  <c r="H8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4" i="11"/>
  <c r="H25" i="11"/>
  <c r="H26" i="11"/>
  <c r="H27" i="11"/>
  <c r="H28" i="11"/>
  <c r="H29" i="11"/>
  <c r="H34" i="11"/>
  <c r="H35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64" i="11"/>
  <c r="H65" i="11"/>
  <c r="H66" i="11"/>
  <c r="H67" i="11"/>
  <c r="H68" i="11"/>
  <c r="H70" i="11"/>
  <c r="H72" i="11"/>
  <c r="H73" i="11"/>
  <c r="H74" i="11"/>
  <c r="H75" i="11"/>
  <c r="H76" i="11"/>
  <c r="H77" i="11"/>
  <c r="H79" i="11"/>
  <c r="H80" i="11"/>
  <c r="H81" i="11"/>
  <c r="H84" i="11"/>
  <c r="H85" i="11"/>
  <c r="H86" i="11"/>
  <c r="H87" i="11"/>
  <c r="H88" i="11"/>
  <c r="H89" i="11"/>
  <c r="H92" i="11"/>
  <c r="H93" i="11"/>
  <c r="H94" i="11"/>
  <c r="H95" i="11"/>
  <c r="H96" i="11"/>
  <c r="H97" i="11"/>
  <c r="H98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 l="1"/>
  <c r="H91" i="11"/>
  <c r="H78" i="11"/>
  <c r="H83" i="11"/>
  <c r="H36" i="11"/>
  <c r="G67" i="10"/>
  <c r="G121" i="10"/>
  <c r="G120" i="10"/>
  <c r="G119" i="10"/>
  <c r="G118" i="10"/>
  <c r="G117" i="10"/>
  <c r="G122" i="10" s="1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89" i="10"/>
  <c r="G90" i="10"/>
  <c r="G83" i="10"/>
  <c r="G88" i="10"/>
  <c r="G87" i="10"/>
  <c r="G86" i="10"/>
  <c r="G85" i="10"/>
  <c r="G92" i="10" s="1"/>
  <c r="G82" i="10"/>
  <c r="G81" i="10"/>
  <c r="G80" i="10"/>
  <c r="G78" i="10"/>
  <c r="G77" i="10"/>
  <c r="G76" i="10"/>
  <c r="G75" i="10"/>
  <c r="G74" i="10"/>
  <c r="G73" i="10"/>
  <c r="G72" i="10"/>
  <c r="G71" i="10"/>
  <c r="G70" i="10"/>
  <c r="G69" i="10"/>
  <c r="G68" i="10"/>
  <c r="G66" i="10"/>
  <c r="G65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E121" i="4"/>
  <c r="E97" i="4"/>
  <c r="E85" i="4"/>
  <c r="E80" i="4"/>
  <c r="G37" i="10" l="1"/>
  <c r="G116" i="10"/>
  <c r="H151" i="9"/>
  <c r="H150" i="9"/>
  <c r="H149" i="9"/>
  <c r="H148" i="9"/>
  <c r="H147" i="9"/>
  <c r="H4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46" i="9" s="1"/>
  <c r="G36" i="9"/>
  <c r="H36" i="9"/>
  <c r="G77" i="9"/>
  <c r="H77" i="9"/>
  <c r="G82" i="9"/>
  <c r="H82" i="9"/>
  <c r="G122" i="9"/>
  <c r="H122" i="9"/>
  <c r="G146" i="9"/>
  <c r="F146" i="9"/>
  <c r="F122" i="9"/>
  <c r="F82" i="9"/>
  <c r="F77" i="9"/>
  <c r="F36" i="9"/>
  <c r="H13" i="9"/>
  <c r="E115" i="8"/>
  <c r="E91" i="8"/>
  <c r="E83" i="8"/>
  <c r="E78" i="8"/>
  <c r="E36" i="8"/>
  <c r="H87" i="9"/>
  <c r="H86" i="9"/>
  <c r="H85" i="9"/>
  <c r="H84" i="9"/>
  <c r="H83" i="9"/>
  <c r="H81" i="9"/>
  <c r="H80" i="9"/>
  <c r="H79" i="9"/>
  <c r="H78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2" i="9"/>
  <c r="H11" i="9"/>
  <c r="H10" i="9"/>
  <c r="H9" i="9"/>
  <c r="H8" i="9"/>
  <c r="H7" i="9"/>
  <c r="H6" i="9"/>
  <c r="H5" i="9"/>
  <c r="H3" i="9"/>
  <c r="H7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63" i="7"/>
  <c r="H64" i="7"/>
  <c r="H65" i="7"/>
  <c r="H66" i="7"/>
  <c r="H67" i="7"/>
  <c r="H68" i="7"/>
  <c r="H69" i="7"/>
  <c r="H70" i="7"/>
  <c r="H71" i="7"/>
  <c r="H72" i="7"/>
  <c r="H74" i="7"/>
  <c r="H75" i="7"/>
  <c r="H76" i="7"/>
  <c r="H78" i="7"/>
  <c r="H79" i="7"/>
  <c r="H80" i="7"/>
  <c r="H81" i="7"/>
  <c r="H83" i="7"/>
  <c r="H84" i="7"/>
  <c r="H85" i="7"/>
  <c r="H86" i="7"/>
  <c r="H87" i="7"/>
  <c r="H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tc={6B60FDB5-26C0-40FE-A1AF-F905C390FAFC}</author>
    <author>tc={484A824E-481E-409B-9569-89ADBFD70CC4}</author>
    <author>tc={6A7D5F86-BDB4-4F3C-A055-AB90F6158B9A}</author>
    <author>tc={DECD313E-F60C-4783-8D2C-8651969479E8}</author>
    <author>tc={2F5009A3-8799-4C5E-B321-B7BD3118EEE7}</author>
    <author>tc={8990F9AC-313D-42B8-AE14-F1EDD2BCCA61}</author>
    <author>tc={F62E6B77-301A-4AB8-8193-607B322EFD05}</author>
    <author>tc={40191BD1-E3EE-4B80-8AA0-D72FB6D909CA}</author>
    <author>tc={2201C8B3-7842-4106-94E1-2008D61B7149}</author>
  </authors>
  <commentList>
    <comment ref="B5" authorId="0" shapeId="0" xr:uid="{6B60FDB5-26C0-40FE-A1AF-F905C390FAF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6" authorId="1" shapeId="0" xr:uid="{484A824E-481E-409B-9569-89ADBFD70CC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7" authorId="2" shapeId="0" xr:uid="{6A7D5F86-BDB4-4F3C-A055-AB90F6158B9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8" authorId="3" shapeId="0" xr:uid="{DECD313E-F60C-4783-8D2C-8651969479E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0" authorId="4" shapeId="0" xr:uid="{2F5009A3-8799-4C5E-B321-B7BD3118EEE7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5" authorId="5" shapeId="0" xr:uid="{8990F9AC-313D-42B8-AE14-F1EDD2BCCA6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6" authorId="6" shapeId="0" xr:uid="{F62E6B77-301A-4AB8-8193-607B322E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7" authorId="7" shapeId="0" xr:uid="{40191BD1-E3EE-4B80-8AA0-D72FB6D909C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8" authorId="8" shapeId="0" xr:uid="{2201C8B3-7842-4106-94E1-2008D61B714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Riogen Nugurib</author>
    <author>tc={A61DC46A-F4C9-48B7-BD91-B83D21087BFB}</author>
    <author>tc={034E9883-4FDB-4564-A4C9-87D0D96DD9A2}</author>
    <author>tc={94CCE373-7D25-4D93-AEDD-0B0A3D4D6C1B}</author>
    <author>tc={08A58085-608C-4789-AF14-D72C6B221018}</author>
    <author>tc={815BD939-D72B-4737-802B-F6A519B208FE}</author>
    <author>tc={33CF3138-5689-44CF-A369-6339EF4DB681}</author>
    <author>tc={05ADF1BC-FDF3-4C0A-AAFF-F3209EC89F90}</author>
    <author>tc={F2C1C759-1224-481C-B6F3-083789F5527C}</author>
    <author>tc={A39A3A42-86AE-4B06-8896-83159B667614}</author>
    <author>Batseb Amon</author>
  </authors>
  <commentList>
    <comment ref="H3" authorId="0" shapeId="0" xr:uid="{02C96923-6C7D-480F-BE0A-3DB2FF92A26B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F5" authorId="0" shapeId="0" xr:uid="{16920E0F-3956-407E-B941-F9702C72E7FE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DELIVERED ON 13/03/2026
LIST NUMBER 1882931/1</t>
        </r>
      </text>
    </comment>
    <comment ref="F6" authorId="0" shapeId="0" xr:uid="{F05E9DC8-D1F1-4DA1-9BC2-A43909C9482E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504202</t>
        </r>
      </text>
    </comment>
    <comment ref="H7" authorId="0" shapeId="0" xr:uid="{639B5051-E440-4629-A808-D189BE397DA4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B8" authorId="1" shapeId="0" xr:uid="{A61DC46A-F4C9-48B7-BD91-B83D21087BF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8" authorId="0" shapeId="0" xr:uid="{08168914-58CC-4F45-9E7C-EEC6A6832C82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QTY125</t>
        </r>
      </text>
    </comment>
    <comment ref="B9" authorId="2" shapeId="0" xr:uid="{034E9883-4FDB-4564-A4C9-87D0D96DD9A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0" authorId="3" shapeId="0" xr:uid="{94CCE373-7D25-4D93-AEDD-0B0A3D4D6C1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10" authorId="0" shapeId="0" xr:uid="{D5173C70-C6D4-4612-9714-CCCCA0377568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B11" authorId="4" shapeId="0" xr:uid="{08A58085-608C-4789-AF14-D72C6B22101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11" authorId="0" shapeId="0" xr:uid="{8CA8AAEF-A269-45C5-ABEE-240CA2CCC2B8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H12" authorId="0" shapeId="0" xr:uid="{D47912C1-F31C-4FF7-8833-9CF4845210CA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H13" authorId="0" shapeId="0" xr:uid="{FA0545AF-E2A6-471E-AE13-144535F05DFD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QTY200</t>
        </r>
      </text>
    </comment>
    <comment ref="B14" authorId="5" shapeId="0" xr:uid="{815BD939-D72B-4737-802B-F6A519B208F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14" authorId="0" shapeId="0" xr:uid="{93661206-2DFA-4B63-B660-3704D23A297F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H15" authorId="0" shapeId="0" xr:uid="{D1B9CC01-14A7-43D7-8DA9-D529127F2C97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BROUGHT BACK FROM UNDERGROUND 
INVOICE SNAV043
QTY 35</t>
        </r>
      </text>
    </comment>
    <comment ref="H16" authorId="0" shapeId="0" xr:uid="{12131AB5-AA09-4203-AC0E-7A76142F4A49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BROUGHT BACK FROM UNDERGROUND 
INVOICE SNAV043
QTY 15</t>
        </r>
      </text>
    </comment>
    <comment ref="H17" authorId="0" shapeId="0" xr:uid="{B1CE7EED-56B8-4D49-AB4C-B2E2EF314D15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H18" authorId="0" shapeId="0" xr:uid="{ACF3A04F-E774-4D01-98C4-0E5C55FA2C0A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75</t>
        </r>
      </text>
    </comment>
    <comment ref="B19" authorId="6" shapeId="0" xr:uid="{33CF3138-5689-44CF-A369-6339EF4DB68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19" authorId="0" shapeId="0" xr:uid="{A6E0D135-5DBC-4AEC-AE2F-21F999805C2D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B20" authorId="7" shapeId="0" xr:uid="{05ADF1BC-FDF3-4C0A-AAFF-F3209EC89F9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20" authorId="0" shapeId="0" xr:uid="{5964CF95-27D1-40B6-93AA-6AFACEF99F0A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
</t>
        </r>
      </text>
    </comment>
    <comment ref="B21" authorId="8" shapeId="0" xr:uid="{F2C1C759-1224-481C-B6F3-083789F5527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21" authorId="0" shapeId="0" xr:uid="{CA66D428-2E41-47D8-97AE-B8A6EE531946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5</t>
        </r>
      </text>
    </comment>
    <comment ref="B22" authorId="9" shapeId="0" xr:uid="{A39A3A42-86AE-4B06-8896-83159B66761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22" authorId="0" shapeId="0" xr:uid="{1187C679-CE1E-4C48-9B21-75BF1E9D4989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5</t>
        </r>
      </text>
    </comment>
    <comment ref="H24" authorId="0" shapeId="0" xr:uid="{84DA31AF-2C70-4F25-8D00-FE5B3E1996C7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10</t>
        </r>
      </text>
    </comment>
    <comment ref="H25" authorId="0" shapeId="0" xr:uid="{494E3696-577F-4411-9565-0FEBFDDC2B2B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5</t>
        </r>
      </text>
    </comment>
    <comment ref="F27" authorId="0" shapeId="0" xr:uid="{4BA656B9-2FFB-4CF2-94AC-B366CA6F060C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503467</t>
        </r>
      </text>
    </comment>
    <comment ref="H32" authorId="10" shapeId="0" xr:uid="{4FDA67CC-049D-457F-BCBF-2E094A4B6791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PO504322</t>
        </r>
      </text>
    </comment>
    <comment ref="F69" authorId="0" shapeId="0" xr:uid="{A0B18398-FA68-406F-8492-EAA76BB162A1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PO503479</t>
        </r>
      </text>
    </comment>
    <comment ref="F70" authorId="0" shapeId="0" xr:uid="{E535FF44-EE17-403C-83F4-E66E0B8E9AC9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PO503479</t>
        </r>
      </text>
    </comment>
    <comment ref="F73" authorId="0" shapeId="0" xr:uid="{EC2324E4-078D-4657-9FDE-C077FB392278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503467</t>
        </r>
      </text>
    </comment>
    <comment ref="F74" authorId="0" shapeId="0" xr:uid="{CC6F9D11-ECC6-4927-80B6-EF33091D550A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503467</t>
        </r>
      </text>
    </comment>
    <comment ref="F78" authorId="0" shapeId="0" xr:uid="{27AE179E-6143-4D1E-AA19-359A3F875AFD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503474 </t>
        </r>
      </text>
    </comment>
    <comment ref="F79" authorId="0" shapeId="0" xr:uid="{DB3B1BC5-6FBB-4395-A18D-5D12A9FF7A77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503474 </t>
        </r>
      </text>
    </comment>
    <comment ref="H85" authorId="0" shapeId="0" xr:uid="{8667121C-701E-49E4-9C65-622EA100D9CD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RETURNED FROM UNDERGROUND CONTAINER</t>
        </r>
      </text>
    </comment>
    <comment ref="H87" authorId="0" shapeId="0" xr:uid="{826BC800-2BA8-42BE-A2C0-CE9868E9FEB0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One bundle was miscounted</t>
        </r>
      </text>
    </comment>
    <comment ref="H129" authorId="10" shapeId="0" xr:uid="{AD0C9ADA-5280-4EF9-B83E-DB5DB715FD05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WAS NOT COUNTED ON THE PREVIOUS MONTH STOCK COUNT.</t>
        </r>
      </text>
    </comment>
    <comment ref="H130" authorId="10" shapeId="0" xr:uid="{41BB9500-3DFE-4B95-846C-C5BDCA33290A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WAS NOT COUNTED ON THE PREVIOUS MONTH STOCK COUNT.</t>
        </r>
      </text>
    </comment>
    <comment ref="H133" authorId="10" shapeId="0" xr:uid="{6B72E2F6-EDF6-452D-8EC9-1F57F21C2F30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WAS NOT COUNTED ON THE PREVIOUS MONTH STOCK COUNT.</t>
        </r>
      </text>
    </comment>
    <comment ref="H134" authorId="10" shapeId="0" xr:uid="{31F27D99-E755-4555-BC84-C04060B46DD4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WAS NOT COUNTED ON THE PREVIOUS MONTH STOCK COUNT.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Riogen Nugurib</author>
    <author>tc={2C82FCAC-16F4-4F8E-B57B-E4E7F1D6908A}</author>
    <author>tc={9209B92B-4E94-4214-BF55-72F5A17CBA53}</author>
    <author>tc={95ADAC08-A1ED-402C-9C0E-B535429C49B3}</author>
    <author>tc={37324DDB-0CA8-4BCC-92DF-6277D6D33F9F}</author>
    <author>tc={B310F44B-77E9-470A-9FE3-30969C400A90}</author>
    <author>tc={D7A7DDD6-4CC6-4839-904C-D7E127BF1C6D}</author>
    <author>tc={2D1A4F05-F72B-4AB4-AB96-DC24BD121200}</author>
    <author>tc={BD0C9609-E9D7-4C7D-86A0-69FCA7CA11DD}</author>
    <author>tc={A96C349A-FD4F-475D-B666-8A11ADF8120E}</author>
  </authors>
  <commentList>
    <comment ref="F4" authorId="0" shapeId="0" xr:uid="{BB8CA5E8-023A-4913-B35B-E0737A550769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504202</t>
        </r>
      </text>
    </comment>
    <comment ref="F5" authorId="0" shapeId="0" xr:uid="{CD619B8B-0D62-4E28-A918-B9DCBE290409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DELIVERED ON 13/03/2026
LIST NUMBER 1882931/1</t>
        </r>
      </text>
    </comment>
    <comment ref="F6" authorId="0" shapeId="0" xr:uid="{9360C415-CC82-467B-AB72-B7EF794B2F63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504202</t>
        </r>
      </text>
    </comment>
    <comment ref="B8" authorId="1" shapeId="0" xr:uid="{2C82FCAC-16F4-4F8E-B57B-E4E7F1D6908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9" authorId="2" shapeId="0" xr:uid="{9209B92B-4E94-4214-BF55-72F5A17CBA5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0" authorId="3" shapeId="0" xr:uid="{95ADAC08-A1ED-402C-9C0E-B535429C49B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1" authorId="4" shapeId="0" xr:uid="{37324DDB-0CA8-4BCC-92DF-6277D6D33F9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3" authorId="5" shapeId="0" xr:uid="{B310F44B-77E9-470A-9FE3-30969C400A9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14" authorId="0" shapeId="0" xr:uid="{E4217C8A-92D7-4DE0-B46A-A45209D2DD6D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BROUGHT BACK FROM UNDERGROUND </t>
        </r>
      </text>
    </comment>
    <comment ref="H15" authorId="0" shapeId="0" xr:uid="{B1A2296B-BA7C-4482-9FE3-B531D8D2D17C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BROUGHT BACK FROM UNDERGROUND </t>
        </r>
      </text>
    </comment>
    <comment ref="B18" authorId="6" shapeId="0" xr:uid="{D7A7DDD6-4CC6-4839-904C-D7E127BF1C6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9" authorId="7" shapeId="0" xr:uid="{2D1A4F05-F72B-4AB4-AB96-DC24BD12120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0" authorId="8" shapeId="0" xr:uid="{BD0C9609-E9D7-4C7D-86A0-69FCA7CA11D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1" authorId="9" shapeId="0" xr:uid="{A96C349A-FD4F-475D-B666-8A11ADF8120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F26" authorId="0" shapeId="0" xr:uid="{F9F99861-133B-40E4-9B45-050F809F6E85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503467</t>
        </r>
      </text>
    </comment>
    <comment ref="F68" authorId="0" shapeId="0" xr:uid="{6FE2DB98-26AE-4067-A0E5-6E18D1ABA072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PO503479</t>
        </r>
      </text>
    </comment>
    <comment ref="F69" authorId="0" shapeId="0" xr:uid="{CA42CDAB-AFC7-4F40-87C4-9AEFE8054A82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PO503479</t>
        </r>
      </text>
    </comment>
    <comment ref="F73" authorId="0" shapeId="0" xr:uid="{5CC4228A-C472-4D66-9687-9AADC2C43A84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503467</t>
        </r>
      </text>
    </comment>
    <comment ref="F74" authorId="0" shapeId="0" xr:uid="{DDB7CD71-9913-4C7E-BEB1-3B41EAAEA928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503467</t>
        </r>
      </text>
    </comment>
    <comment ref="F78" authorId="0" shapeId="0" xr:uid="{AB6B9762-CEDE-4844-830C-0330C6F35C07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503474 </t>
        </r>
      </text>
    </comment>
    <comment ref="F79" authorId="0" shapeId="0" xr:uid="{34E5BBC9-42C7-4644-AC9B-335019217CC3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503474 </t>
        </r>
      </text>
    </comment>
    <comment ref="H85" authorId="0" shapeId="0" xr:uid="{D89C10EF-C51B-4714-A4D9-6DD5A05952F4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RETURNED FROM UNDERGROUND CONTAINER</t>
        </r>
      </text>
    </comment>
    <comment ref="H87" authorId="0" shapeId="0" xr:uid="{C40F349F-2EB4-44C8-B40D-F66A470746C0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One bundle was miscounted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tc={80E00C28-8AA1-44D8-B0C1-FDCD9F9808F3}</author>
    <author>tc={88A03C22-C373-43E3-B974-C607BF794BA3}</author>
    <author>tc={7F7CC8EF-584C-4EAA-BF87-53D117F850CA}</author>
    <author>tc={6735C35F-4D2B-437C-9EB1-E4F69668D71C}</author>
    <author>tc={567BF6AF-6CAF-411C-9225-885898304219}</author>
    <author>tc={988526E8-5012-4464-A1B5-B94EED665AE9}</author>
    <author>tc={E27527BC-25B2-45F9-8FC3-BAC7FF9E55E6}</author>
    <author>tc={E3433E5E-FB1B-49D9-9F02-589713843DF4}</author>
    <author>tc={927F8D71-FCE4-4275-80A8-EE9175E7707F}</author>
  </authors>
  <commentList>
    <comment ref="B5" authorId="0" shapeId="0" xr:uid="{80E00C28-8AA1-44D8-B0C1-FDCD9F9808F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6" authorId="1" shapeId="0" xr:uid="{88A03C22-C373-43E3-B974-C607BF794BA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7" authorId="2" shapeId="0" xr:uid="{7F7CC8EF-584C-4EAA-BF87-53D117F8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8" authorId="3" shapeId="0" xr:uid="{6735C35F-4D2B-437C-9EB1-E4F69668D71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0" authorId="4" shapeId="0" xr:uid="{567BF6AF-6CAF-411C-9225-88589830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5" authorId="5" shapeId="0" xr:uid="{988526E8-5012-4464-A1B5-B94EED665AE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6" authorId="6" shapeId="0" xr:uid="{E27527BC-25B2-45F9-8FC3-BAC7FF9E55E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7" authorId="7" shapeId="0" xr:uid="{E3433E5E-FB1B-49D9-9F02-589713843DF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8" authorId="8" shapeId="0" xr:uid="{927F8D71-FCE4-4275-80A8-EE9175E7707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tc={D502A2B5-4DEA-451B-B532-494B407DF7F0}</author>
    <author>tc={BEF059DC-2A39-4195-9CC9-882AA92DA312}</author>
    <author>tc={1260A12E-F051-415A-8F0F-4E0C91362DE6}</author>
    <author>tc={CA62F4F4-EE98-48B7-859C-8030594EB8EE}</author>
    <author>tc={4DC4AF6F-94CA-44AF-BE5B-F7474354F897}</author>
    <author>tc={728199DA-9CD0-47F7-85CF-1D2A85DD73ED}</author>
    <author>tc={DCC23B20-9931-42ED-AABC-48CA2565B58C}</author>
    <author>tc={7238F658-FA93-4260-8BC2-4356E9D3FD7B}</author>
    <author>tc={4DF33D0B-1EDD-4E21-B38A-3E39AD778205}</author>
  </authors>
  <commentList>
    <comment ref="B8" authorId="0" shapeId="0" xr:uid="{D502A2B5-4DEA-451B-B532-494B407DF7F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9" authorId="1" shapeId="0" xr:uid="{BEF059DC-2A39-4195-9CC9-882AA92DA31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0" authorId="2" shapeId="0" xr:uid="{1260A12E-F051-415A-8F0F-4E0C91362DE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1" authorId="3" shapeId="0" xr:uid="{CA62F4F4-EE98-48B7-859C-8030594EB8E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3" authorId="4" shapeId="0" xr:uid="{4DC4AF6F-94CA-44AF-BE5B-F7474354F897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9" authorId="5" shapeId="0" xr:uid="{728199DA-9CD0-47F7-85CF-1D2A85DD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0" authorId="6" shapeId="0" xr:uid="{DCC23B20-9931-42ED-AABC-48CA2565B58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1" authorId="7" shapeId="0" xr:uid="{7238F658-FA93-4260-8BC2-4356E9D3FD7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2" authorId="8" shapeId="0" xr:uid="{4DF33D0B-1EDD-4E21-B38A-3E39AD77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Batseb Amon</author>
    <author>tc={6851AD7B-9AC7-4522-8BF0-240992D60CAD}</author>
    <author>tc={14DAD769-A5E8-43A0-BA81-F5D68490A9A1}</author>
  </authors>
  <commentList>
    <comment ref="F9" authorId="0" shapeId="0" xr:uid="{17C3C671-138C-41DB-9F78-A13C92A278D1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PO502853
INVOICE NAV031
QTY 194</t>
        </r>
      </text>
    </comment>
    <comment ref="F15" authorId="0" shapeId="0" xr:uid="{C2911807-13CB-4CA9-A855-8B277EFC9C1C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INVOICE SNAV043
PO503488
24/03/2026
QTY 35</t>
        </r>
      </text>
    </comment>
    <comment ref="F30" authorId="0" shapeId="0" xr:uid="{1E0607AA-E898-49CC-98A8-5130D6C4BB4B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Received: 16/04/2026
Invoice No: NAV045
PO503631</t>
        </r>
      </text>
    </comment>
    <comment ref="F31" authorId="0" shapeId="0" xr:uid="{CF14B33E-3B73-48DF-BB89-4F69F389A35B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Received: 16/04/2026
Invoice No: NAV045
PO503631</t>
        </r>
      </text>
    </comment>
    <comment ref="F33" authorId="0" shapeId="0" xr:uid="{1E5A93EE-8E83-4F8E-BB53-3194FE6D8C8A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Received: 16/04/2026
Invoice No: NAV045
PO503631</t>
        </r>
      </text>
    </comment>
    <comment ref="F65" authorId="0" shapeId="0" xr:uid="{45C940DF-90CD-4611-A74F-AF6E67DFE051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66" authorId="0" shapeId="0" xr:uid="{5BFB919D-4CE1-4009-9388-66D299FA94D9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67" authorId="0" shapeId="0" xr:uid="{94CEBDB4-E033-4988-9C7E-55008EAA4D06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70" authorId="0" shapeId="0" xr:uid="{C4A7C352-6EFC-4936-B679-77E641679D82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86" authorId="0" shapeId="0" xr:uid="{18F1937C-D3F7-4234-8E10-05B3C6D7C0CB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87" authorId="0" shapeId="0" xr:uid="{5F1CF8FE-F5DB-42A8-8594-618F8623628F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89" authorId="0" shapeId="0" xr:uid="{31527709-55D4-4C56-8380-B40D09E2CDB0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99" authorId="1" shapeId="0" xr:uid="{6851AD7B-9AC7-4522-8BF0-240992D60CAD}">
      <text>
        <t>[Threaded comment]
Your version of Excel allows you to read this threaded comment; however, any edits to it will get removed if the file is opened in a newer version of Excel. Learn more: https://go.microsoft.com/fwlink/?linkid=870924
Comment:
    Miscounted on last stock count</t>
      </text>
    </comment>
    <comment ref="F100" authorId="2" shapeId="0" xr:uid="{14DAD769-A5E8-43A0-BA81-F5D68490A9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Miscounted on last stock count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Batseb Amon</author>
    <author>tc={00573857-1FC2-493B-B4AF-D548ED3E62F0}</author>
    <author>tc={A6B058DC-8A2E-4F81-8986-914CCCAC82E5}</author>
  </authors>
  <commentList>
    <comment ref="F5" authorId="0" shapeId="0" xr:uid="{23C549E9-7CA7-4BCE-B5F5-79AE35A6962F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PO504546
Received on: 16/04/2026
Qty: 50</t>
        </r>
      </text>
    </comment>
    <comment ref="E9" authorId="0" shapeId="0" xr:uid="{2AA8117C-3695-44E7-BD0E-99F5B0A7B62A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PO502853
INVOICE NAV031
QTY 194</t>
        </r>
      </text>
    </comment>
    <comment ref="G18" authorId="0" shapeId="0" xr:uid="{6D5C254F-EE50-4281-B66D-7A01D5E94424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Miscounted on the previous stock-count.</t>
        </r>
      </text>
    </comment>
    <comment ref="F30" authorId="0" shapeId="0" xr:uid="{9F544CE8-0311-4263-8BBF-87F33729BF62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INVOICE NAV045
PO503631
22/04/2026
</t>
        </r>
      </text>
    </comment>
    <comment ref="F31" authorId="0" shapeId="0" xr:uid="{A6D031E2-FD1E-4567-94AE-F27570A32F57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INVOICE NAV045
PO503631
22/04/2026
</t>
        </r>
      </text>
    </comment>
    <comment ref="F33" authorId="0" shapeId="0" xr:uid="{E7C5D682-505B-4008-A57E-28BB7F350438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INVOICE NAV045
PO503631
22/04/2026
</t>
        </r>
      </text>
    </comment>
    <comment ref="G64" authorId="0" shapeId="0" xr:uid="{46557CC8-436F-47A5-BF1F-F1AA6607911E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G65" authorId="0" shapeId="0" xr:uid="{60A92A4E-4CF4-4451-BECF-A5A52241848D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G66" authorId="0" shapeId="0" xr:uid="{EB29A0E6-78E1-4B33-B5E7-225E697DF9ED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69" authorId="0" shapeId="0" xr:uid="{07FB13A2-D9A7-4258-8246-0B775AA8E218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G85" authorId="0" shapeId="0" xr:uid="{79D87464-C764-4FBD-B7B4-2E018D42E86E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G86" authorId="0" shapeId="0" xr:uid="{3772DA91-C691-4374-BDC0-47586DA2F890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G88" authorId="0" shapeId="0" xr:uid="{1476C2F7-2885-4952-AC92-5EE1E21F7EED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G94" authorId="1" shapeId="0" xr:uid="{00573857-1FC2-493B-B4AF-D548ED3E62F0}">
      <text>
        <t>[Threaded comment]
Your version of Excel allows you to read this threaded comment; however, any edits to it will get removed if the file is opened in a newer version of Excel. Learn more: https://go.microsoft.com/fwlink/?linkid=870924
Comment:
    Miscounted on last stock count</t>
      </text>
    </comment>
    <comment ref="G99" authorId="2" shapeId="0" xr:uid="{A6B058DC-8A2E-4F81-8986-914CCCAC82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Miscounted on last stock count </t>
      </text>
    </comment>
    <comment ref="I99" authorId="0" shapeId="0" xr:uid="{8A73F3D1-688A-4A0E-9FC9-E138D193FF0D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ISSUED OUT.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Riogen Nugurib</author>
    <author>Batseb Amon</author>
    <author>tc={C63DC88B-640D-4AFA-9231-3FE78B43F68A}</author>
    <author>tc={DC0702BF-31F2-4E1A-B042-C5159EC2E914}</author>
    <author>tc={14EA81D4-3690-4569-AF87-C7165FCB128E}</author>
    <author>tc={6E88EFD6-DABD-4307-B3C8-92FB7B134376}</author>
    <author>tc={B30210CE-E5DE-4D63-87AF-EA73F3818E55}</author>
    <author>tc={B0B0A2F0-83DB-48ED-AE86-A9FEB5E8043C}</author>
    <author>tc={E03675B7-A6FD-4062-9B9B-2F7591104AAD}</author>
    <author>tc={64B76D0B-3730-4DEB-99B0-1E26E715261A}</author>
    <author>tc={55A63532-5D41-4AF7-9EC0-4F10AAB66174}</author>
    <author>tc={39A4335D-9412-4607-B7A8-DB567902ABC3}</author>
    <author>tc={D9935398-938F-4F6C-835B-161016D2568A}</author>
    <author>tc={0C8371C5-27A1-4C78-AD8E-2EAC3B697DB8}</author>
    <author>tc={A86E233E-A879-4CCA-B2A4-0CD99A6F7E38}</author>
    <author>tc={75FE5BA2-341C-4361-A2D7-33FCB8D859C4}</author>
  </authors>
  <commentList>
    <comment ref="F4" authorId="0" shapeId="0" xr:uid="{0BCA8864-C9C1-49E3-92A8-3F3D92B73DD4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20 
(30x PO504773)
15/05/2026
</t>
        </r>
      </text>
    </comment>
    <comment ref="F5" authorId="0" shapeId="0" xr:uid="{A8EB956E-188F-4A13-88EC-19205883B38C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30
15/05/2026
</t>
        </r>
      </text>
    </comment>
    <comment ref="F8" authorId="0" shapeId="0" xr:uid="{F21610CF-B72B-4B9F-99AB-F4BC9CE137C7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50
15/05/2026
</t>
        </r>
      </text>
    </comment>
    <comment ref="E9" authorId="1" shapeId="0" xr:uid="{7DBFD652-5598-4D70-8B95-E60B02197D84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PO502853
INVOICE NAV031
QTY 194</t>
        </r>
      </text>
    </comment>
    <comment ref="F13" authorId="0" shapeId="0" xr:uid="{4EA1FE61-12A5-47EE-92E7-02BF4BAB5320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40
15/05/2026
</t>
        </r>
      </text>
    </comment>
    <comment ref="F14" authorId="0" shapeId="0" xr:uid="{B7709165-E407-4359-BD2E-AD4612E323EC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100
15/05/2026
</t>
        </r>
      </text>
    </comment>
    <comment ref="F15" authorId="0" shapeId="0" xr:uid="{A6C85050-AEFD-4401-84EE-E28AC922A5D8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30
15/05/2026
</t>
        </r>
      </text>
    </comment>
    <comment ref="F33" authorId="0" shapeId="0" xr:uid="{D3A32106-8270-4185-8F87-58CD5C58F3F2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50X RECEIVED
PO504535
18/05/2026</t>
        </r>
      </text>
    </comment>
    <comment ref="F34" authorId="0" shapeId="0" xr:uid="{B429EC99-A7EE-470A-AB60-0812800D97EB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50X RECEIVED
PO504535
18/05/2026</t>
        </r>
      </text>
    </comment>
    <comment ref="F35" authorId="0" shapeId="0" xr:uid="{6E95BDCE-0BD9-4A22-B2DF-B35EE551FE76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150X RECEIVED
PO504535
18/05/2026</t>
        </r>
      </text>
    </comment>
    <comment ref="E64" authorId="2" shapeId="0" xr:uid="{C63DC88B-640D-4AFA-9231-3FE78B43F6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=150
</t>
      </text>
    </comment>
    <comment ref="E66" authorId="3" shapeId="0" xr:uid="{DC0702BF-31F2-4E1A-B042-C5159EC2E9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=(+300)
</t>
      </text>
    </comment>
    <comment ref="G66" authorId="4" shapeId="0" xr:uid="{14EA81D4-3690-4569-AF87-C7165FCB12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amended to include what was at portal =(+19)
</t>
      </text>
    </comment>
    <comment ref="E69" authorId="5" shapeId="0" xr:uid="{6E88EFD6-DABD-4307-B3C8-92FB7B1343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=(+293)
</t>
      </text>
    </comment>
    <comment ref="G69" authorId="6" shapeId="0" xr:uid="{B30210CE-E5DE-4D63-87AF-EA73F3818E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at portals was not added on  to the overall stock
</t>
      </text>
    </comment>
    <comment ref="E70" authorId="7" shapeId="0" xr:uid="{B0B0A2F0-83DB-48ED-AE86-A9FEB5E8043C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portal= (+888)</t>
      </text>
    </comment>
    <comment ref="H70" authorId="8" shapeId="0" xr:uid="{E03675B7-A6FD-4062-9B9B-2F7591104A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at portals was not added on  to the overall stock
</t>
      </text>
    </comment>
    <comment ref="E73" authorId="9" shapeId="0" xr:uid="{64B76D0B-3730-4DEB-99B0-1E26E71526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=(+587)
</t>
      </text>
    </comment>
    <comment ref="G73" authorId="10" shapeId="0" xr:uid="{55A63532-5D41-4AF7-9EC0-4F10AAB661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at portals was not added on  to the overall stock
</t>
      </text>
    </comment>
    <comment ref="E74" authorId="11" shapeId="0" xr:uid="{39A4335D-9412-4607-B7A8-DB567902ABC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=(+543)</t>
      </text>
    </comment>
    <comment ref="F79" authorId="0" shapeId="0" xr:uid="{92E1D586-12B5-4BD9-A28C-CFF2E59F5175}">
      <text>
        <r>
          <rPr>
            <b/>
            <sz val="10"/>
            <color indexed="81"/>
            <rFont val="Tahoma"/>
            <charset val="1"/>
          </rPr>
          <t>Riogen Nugurib:</t>
        </r>
        <r>
          <rPr>
            <sz val="10"/>
            <color indexed="81"/>
            <rFont val="Tahoma"/>
            <charset val="1"/>
          </rPr>
          <t xml:space="preserve">
PO504585
1575 X RECEIVED
15 May 2026</t>
        </r>
      </text>
    </comment>
    <comment ref="E86" authorId="12" shapeId="0" xr:uid="{D9935398-938F-4F6C-835B-161016D2568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=(+300)</t>
      </text>
    </comment>
    <comment ref="G86" authorId="13" shapeId="0" xr:uid="{0C8371C5-27A1-4C78-AD8E-2EAC3B697D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at portals was not added on  to the overall stock
</t>
      </text>
    </comment>
    <comment ref="E88" authorId="14" shapeId="0" xr:uid="{A86E233E-A879-4CCA-B2A4-0CD99A6F7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=27</t>
      </text>
    </comment>
    <comment ref="G88" authorId="15" shapeId="0" xr:uid="{75FE5BA2-341C-4361-A2D7-33FCB8D859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at portals was not added on  to the overall stock
</t>
      </text>
    </comment>
    <comment ref="F126" authorId="0" shapeId="0" xr:uid="{C212565A-1F52-490D-BEB4-CDFC832818BC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10X RECEIVED
PO504491</t>
        </r>
      </text>
    </comment>
    <comment ref="F127" authorId="0" shapeId="0" xr:uid="{F1C93EDF-A3D7-4574-AC96-58F9A641B796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15X RECEIVED
PO504491</t>
        </r>
      </text>
    </comment>
    <comment ref="F128" authorId="0" shapeId="0" xr:uid="{AA9BFB24-655F-4F7F-9705-88F6B8752780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20X RECEIVED
PO504491</t>
        </r>
      </text>
    </comment>
    <comment ref="F129" authorId="0" shapeId="0" xr:uid="{A0BF83F5-945D-41D9-97CA-2BE039D4945A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20X RECEIVED
PO504491</t>
        </r>
      </text>
    </comment>
    <comment ref="G129" authorId="0" shapeId="0" xr:uid="{CF5B14BD-D413-47A5-B9C7-0F5FB2FD812F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20X RECEIVED
PO504491</t>
        </r>
      </text>
    </comment>
    <comment ref="H129" authorId="0" shapeId="0" xr:uid="{A1A6FD62-4E30-4218-B973-9039811F538F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26X OLD STOCK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Riogen Nugurib</author>
  </authors>
  <commentList>
    <comment ref="F4" authorId="0" shapeId="0" xr:uid="{27FA0DB4-F453-4883-9163-54861C58E643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20 
(30x PO504773)
15/05/2026
</t>
        </r>
      </text>
    </comment>
    <comment ref="F5" authorId="0" shapeId="0" xr:uid="{27B782DB-255E-48CC-8E4F-FE70A11F9FCA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30
15/05/2026
</t>
        </r>
      </text>
    </comment>
    <comment ref="F8" authorId="0" shapeId="0" xr:uid="{55200885-8A5F-48D9-93FD-538409E597AC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50
15/05/2026
</t>
        </r>
      </text>
    </comment>
    <comment ref="F13" authorId="0" shapeId="0" xr:uid="{0932C28C-BABA-4ED3-A79A-844F67567CAF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40
15/05/2026
</t>
        </r>
      </text>
    </comment>
    <comment ref="F14" authorId="0" shapeId="0" xr:uid="{CB99C087-07F5-4069-9C3D-71073C1D6100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100
15/05/2026
</t>
        </r>
      </text>
    </comment>
    <comment ref="F15" authorId="0" shapeId="0" xr:uid="{B0D9F31D-BAF8-4122-84E1-B45059601507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30
15/05/2026
</t>
        </r>
      </text>
    </comment>
    <comment ref="F33" authorId="0" shapeId="0" xr:uid="{31E4D0EB-1841-47AA-94DA-0CD86B5CA50C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50X RECEIVED
PO504535
18/05/2026</t>
        </r>
      </text>
    </comment>
    <comment ref="F34" authorId="0" shapeId="0" xr:uid="{98E0BF35-6E7C-4816-9568-07937289FBCC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50X RECEIVED
PO504535
18/05/2026</t>
        </r>
      </text>
    </comment>
    <comment ref="F35" authorId="0" shapeId="0" xr:uid="{73B86A9F-D71E-4247-B9F3-5805F4A52FE3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150X RECEIVED
PO504535
18/05/2026</t>
        </r>
      </text>
    </comment>
    <comment ref="F79" authorId="0" shapeId="0" xr:uid="{1E62D771-64E1-458A-AC1C-8CDB4C0B3DDF}">
      <text>
        <r>
          <rPr>
            <b/>
            <sz val="10"/>
            <color indexed="81"/>
            <rFont val="Tahoma"/>
            <charset val="1"/>
          </rPr>
          <t>Riogen Nugurib:</t>
        </r>
        <r>
          <rPr>
            <sz val="10"/>
            <color indexed="81"/>
            <rFont val="Tahoma"/>
            <charset val="1"/>
          </rPr>
          <t xml:space="preserve">
PO504585
2100 X RECEIVED
15 May 2026
21 May 2026</t>
        </r>
      </text>
    </comment>
    <comment ref="F126" authorId="0" shapeId="0" xr:uid="{9F2E2621-A38C-44A2-BF84-43FA98BFAA0D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10X RECEIVED
PO504491</t>
        </r>
      </text>
    </comment>
    <comment ref="F127" authorId="0" shapeId="0" xr:uid="{3AA575FD-B9F5-4AC3-8349-3D2591CED092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15X RECEIVED
PO504491</t>
        </r>
      </text>
    </comment>
    <comment ref="F128" authorId="0" shapeId="0" xr:uid="{D9C68A9B-DAB9-402F-AA0A-AA62660E5B71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20X RECEIVED
PO504491</t>
        </r>
      </text>
    </comment>
    <comment ref="F129" authorId="0" shapeId="0" xr:uid="{8539A628-0D36-4FEB-AF34-3D89C8E58F22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20X RECEIVED
PO504491</t>
        </r>
      </text>
    </comment>
  </commentList>
</comments>
</file>

<file path=xl/sharedStrings.xml><?xml version="1.0" encoding="utf-8"?>
<sst xmlns="http://schemas.openxmlformats.org/spreadsheetml/2006/main" count="4370" uniqueCount="265">
  <si>
    <t>Supplier</t>
  </si>
  <si>
    <t>Supplier Code</t>
  </si>
  <si>
    <t>Description</t>
  </si>
  <si>
    <t>UOM</t>
  </si>
  <si>
    <t>SANDVIK</t>
  </si>
  <si>
    <t>7304-7669-01</t>
  </si>
  <si>
    <t>SHANK T38 RD520/525 D45 L525</t>
  </si>
  <si>
    <t>EACH</t>
  </si>
  <si>
    <t>7314-3652</t>
  </si>
  <si>
    <t>COUPLING SLEEVE T38/T38</t>
  </si>
  <si>
    <t>7580-5243A-S70</t>
  </si>
  <si>
    <t>A340X43MM BUTTON BIT</t>
  </si>
  <si>
    <t>7580-5345A-R48</t>
  </si>
  <si>
    <t>A340X45MM BUTTON BIT</t>
  </si>
  <si>
    <t>7580-5148A-S81</t>
  </si>
  <si>
    <t>A340X48MM TC BUTTON BIT</t>
  </si>
  <si>
    <t>7580-4651A-S70</t>
  </si>
  <si>
    <t>A340X51MM RETRAC BIT</t>
  </si>
  <si>
    <t>7580-5602P-S70</t>
  </si>
  <si>
    <t xml:space="preserve">REAMING BIT A340 102MM          </t>
  </si>
  <si>
    <t>7514-1664-S70</t>
  </si>
  <si>
    <t>T38X64MM BUTTON BIT</t>
  </si>
  <si>
    <t>7324-8031-20</t>
  </si>
  <si>
    <t xml:space="preserve">DRIFTER ROD T38 H35 A340 L=309  </t>
  </si>
  <si>
    <t>7324-8037-20</t>
  </si>
  <si>
    <t xml:space="preserve">DRIFTER ROD T38 H35 A340 L=370  </t>
  </si>
  <si>
    <t>7324-8043-20</t>
  </si>
  <si>
    <t xml:space="preserve">DRIFTER ROD T38 H35 A340 L=430  </t>
  </si>
  <si>
    <t>7324-7949-20</t>
  </si>
  <si>
    <t>DRIFTER ROD T38 R39 A340 L=491</t>
  </si>
  <si>
    <t>7324-4731-85</t>
  </si>
  <si>
    <t xml:space="preserve">MF ROD T38 R39 L=3050MM         </t>
  </si>
  <si>
    <t>7324-4331C-30</t>
  </si>
  <si>
    <t>T38 EXTENSION ROUND ROD L3050MM</t>
  </si>
  <si>
    <t>7324-4309C-30</t>
  </si>
  <si>
    <t>EXTENSION ROD T38 R39 L = 915M</t>
  </si>
  <si>
    <t>7324-4709C-20</t>
  </si>
  <si>
    <t xml:space="preserve">MF ROD T38 R39 L=915MM          </t>
  </si>
  <si>
    <t>7979-2630</t>
  </si>
  <si>
    <t>T38 DOLLY 47MM</t>
  </si>
  <si>
    <t>7979-2626</t>
  </si>
  <si>
    <t>T38 DOLLY 39MM</t>
  </si>
  <si>
    <t>DSI</t>
  </si>
  <si>
    <t>BDT38-900</t>
  </si>
  <si>
    <t xml:space="preserve">MD BOLT DRIVER 900MM ""T"" THREA  </t>
  </si>
  <si>
    <t>BDT45-900</t>
  </si>
  <si>
    <t>MD BOLT DRIVER 900MM T45</t>
  </si>
  <si>
    <t>MASPRO</t>
  </si>
  <si>
    <t>M2000354</t>
  </si>
  <si>
    <t>BOLTING CENTRALISER DIA 70MM FRONT</t>
  </si>
  <si>
    <t>M2000353</t>
  </si>
  <si>
    <t>BOLTING CENTRALISER DIA 70MM BACK</t>
  </si>
  <si>
    <t>M33191234</t>
  </si>
  <si>
    <t>BOLTING CENTRALISER DIA 66MM</t>
  </si>
  <si>
    <t>M33191232</t>
  </si>
  <si>
    <t>BORING CENTRALISER DIA 48MM</t>
  </si>
  <si>
    <t>M33191231</t>
  </si>
  <si>
    <t xml:space="preserve">BORING CENTRALISER DIA 41MM      </t>
  </si>
  <si>
    <t>RD927 SHANK 65MM ST58</t>
  </si>
  <si>
    <t xml:space="preserve">DRILL TUBE ST58 L=1830MM        </t>
  </si>
  <si>
    <t>75288489R70</t>
  </si>
  <si>
    <t xml:space="preserve">TUBE BIT ST58 89MM XDC R65 RET  </t>
  </si>
  <si>
    <t>75287389R65</t>
  </si>
  <si>
    <t xml:space="preserve">TUBE BIT ST58 89MM XDC R65 RETRAC     </t>
  </si>
  <si>
    <t>75288402R65</t>
  </si>
  <si>
    <t xml:space="preserve">TUBE BIT ST58 102 MM XDC        </t>
  </si>
  <si>
    <t>75287302R70</t>
  </si>
  <si>
    <t>TUBE BIT ST58 102MM XDC GUIDE</t>
  </si>
  <si>
    <t>75285652S81</t>
  </si>
  <si>
    <t>REAMING BIT ST58 152MM</t>
  </si>
  <si>
    <t>75285652S65</t>
  </si>
  <si>
    <t>75285604S65</t>
  </si>
  <si>
    <t>REAMING BIT ST58 204MM</t>
  </si>
  <si>
    <t xml:space="preserve">AUXILARY TOOL ST58 FISH SLEEVE  </t>
  </si>
  <si>
    <t>FISHING PIKE ST58</t>
  </si>
  <si>
    <t>7528-4915-S70</t>
  </si>
  <si>
    <t>GUIDE BIT ST58 115MM</t>
  </si>
  <si>
    <t>65MM SHANK T45</t>
  </si>
  <si>
    <t>7515-1870-S70</t>
  </si>
  <si>
    <t>70MM BIT</t>
  </si>
  <si>
    <t>73257718C20</t>
  </si>
  <si>
    <t>1.8M MF ROD T45</t>
  </si>
  <si>
    <t>7528-8589-S81</t>
  </si>
  <si>
    <t>TUBE BIT ST58 89MM GC81</t>
  </si>
  <si>
    <t xml:space="preserve">SHANK ST58 HL1500/LH/S D80 L63  </t>
  </si>
  <si>
    <t>75297302R65</t>
  </si>
  <si>
    <t xml:space="preserve">TUBE BIT ST68 102MM XDC GUIDE   </t>
  </si>
  <si>
    <t xml:space="preserve">FISHING SLEEVE ST58             </t>
  </si>
  <si>
    <t>FB39090GWA</t>
  </si>
  <si>
    <t xml:space="preserve">FRICTION BOLT 39 X 900 GAL WA   </t>
  </si>
  <si>
    <t>D1515441GWA</t>
  </si>
  <si>
    <t xml:space="preserve">PLATE DOME 150X150X4 41H GALV   </t>
  </si>
  <si>
    <t>FB47090GWA</t>
  </si>
  <si>
    <t xml:space="preserve">FRICTION BOLT 47 X 900 GALV WA  </t>
  </si>
  <si>
    <t>PRING47CTDWA</t>
  </si>
  <si>
    <t xml:space="preserve">PULL RING CAST 47MM WA          </t>
  </si>
  <si>
    <t>TONRY</t>
  </si>
  <si>
    <t>FB47-2400G</t>
  </si>
  <si>
    <t xml:space="preserve">FRICTION BOLT 47 X 2400 GALV    </t>
  </si>
  <si>
    <t>CBP328154-47G</t>
  </si>
  <si>
    <t xml:space="preserve">D/FLY 300X280 GALV              </t>
  </si>
  <si>
    <t>BMG2024S</t>
  </si>
  <si>
    <t xml:space="preserve">MD BOLT 2.4M LONG GALVANIZED    </t>
  </si>
  <si>
    <t>BPG3002806</t>
  </si>
  <si>
    <t xml:space="preserve">COMBI PLATE 300X280X6MM GALVAN  </t>
  </si>
  <si>
    <t>BCG</t>
  </si>
  <si>
    <t xml:space="preserve">PULL TEST RINGS (COLLARS)       </t>
  </si>
  <si>
    <t>WIREFORCE</t>
  </si>
  <si>
    <t>MESH2.4X4.5</t>
  </si>
  <si>
    <t>MESH - 2.40 X 4.50 M - GALV</t>
  </si>
  <si>
    <t>MESH2.4X4.5 - NON-GALV</t>
  </si>
  <si>
    <t>MESH - 2.40 X 4.50 M - NON-GALV</t>
  </si>
  <si>
    <t>DM100180040025M</t>
  </si>
  <si>
    <t>1800 X 100 X 4MM X 25M ROLL FULLY GALV</t>
  </si>
  <si>
    <t>ROLL</t>
  </si>
  <si>
    <t>CBD1B100DC05WA</t>
  </si>
  <si>
    <t xml:space="preserve">CBOLT (TS BULB) - 15.2MM - 10M  </t>
  </si>
  <si>
    <t>BLW15003RWA</t>
  </si>
  <si>
    <t xml:space="preserve">BARREL &amp; 3 PIECE WEDGE ANCHOR   </t>
  </si>
  <si>
    <t>FCB20203H222WA</t>
  </si>
  <si>
    <t xml:space="preserve">PLATE FLAT 200X200X12MM 2X 22D  </t>
  </si>
  <si>
    <t>CBD1B045DC05WA</t>
  </si>
  <si>
    <t xml:space="preserve">CBOLT (TS BULB) - 15.2MM - 4.5M   </t>
  </si>
  <si>
    <t>CBS1B060SC05WA</t>
  </si>
  <si>
    <t xml:space="preserve">CBOLT (TS BULB) - 15.2MM - 6M   </t>
  </si>
  <si>
    <t>CLEMCORP</t>
  </si>
  <si>
    <t>VSD1220X05</t>
  </si>
  <si>
    <t xml:space="preserve">TYPHOON 300 1220 X 5M           </t>
  </si>
  <si>
    <t>VSD1220X10</t>
  </si>
  <si>
    <t xml:space="preserve">TYPHOON 300 1220 X10M           </t>
  </si>
  <si>
    <t>VSD1220X20</t>
  </si>
  <si>
    <t xml:space="preserve">TYPHOON 300 1220 X 20M          </t>
  </si>
  <si>
    <t>VSF1220T</t>
  </si>
  <si>
    <t xml:space="preserve">TYPHOON 300 1200 T              </t>
  </si>
  <si>
    <t>VSF1400T</t>
  </si>
  <si>
    <t xml:space="preserve">TYPHOON 300 1400 T              </t>
  </si>
  <si>
    <t>VSD1400X05</t>
  </si>
  <si>
    <t xml:space="preserve">TYPHOON 300 1400 X 5M           </t>
  </si>
  <si>
    <t>VSD1400X10</t>
  </si>
  <si>
    <t xml:space="preserve">TYPHOON 300 1400 X10M           </t>
  </si>
  <si>
    <t>VSD1400X20</t>
  </si>
  <si>
    <t xml:space="preserve">TYPHOON 300 1400 X 20M          </t>
  </si>
  <si>
    <t>VSF1400-1220</t>
  </si>
  <si>
    <t>TYPHOON 300 REDUCER 1400 X 1220</t>
  </si>
  <si>
    <t>VATWINE</t>
  </si>
  <si>
    <t xml:space="preserve">TWINE FOR VENT BAG              </t>
  </si>
  <si>
    <t>VA-NEEDLE</t>
  </si>
  <si>
    <t xml:space="preserve">VENT NEEDLE                     </t>
  </si>
  <si>
    <t>VSF1400-J</t>
  </si>
  <si>
    <t>TYPHOON 300 SILVER 1400MM JUNC</t>
  </si>
  <si>
    <t>VSF1220Y</t>
  </si>
  <si>
    <t xml:space="preserve">TYPHOON 300 1200 Y           </t>
  </si>
  <si>
    <t>VSF1400Y</t>
  </si>
  <si>
    <t xml:space="preserve">TYPHOON 300 1400 Y          </t>
  </si>
  <si>
    <t>VST1045X05</t>
  </si>
  <si>
    <t xml:space="preserve">TYPHOON 300 SILVER TWIN DUCT 1045MM (1400) X 05M </t>
  </si>
  <si>
    <t>VST1045X10</t>
  </si>
  <si>
    <t xml:space="preserve">TYPHOON 300 SILVER TWIN DUCT 1045MM (1400) X 10M </t>
  </si>
  <si>
    <t>VST1045X20</t>
  </si>
  <si>
    <t xml:space="preserve">TYPHOON 300 SILVER TWIN DUCT 1045MM (1400) X 20M </t>
  </si>
  <si>
    <t>VST1045-J</t>
  </si>
  <si>
    <t>TYPHOON 300 SILVER TWIN DUCT 1045MM ( 1400) JUNCTION</t>
  </si>
  <si>
    <t>VSTF1045-B90</t>
  </si>
  <si>
    <t>TYPHOON 300 SILVER TWIN DUCT 1045MM 90 DEGREE BEND</t>
  </si>
  <si>
    <t>VSTF1045-B45</t>
  </si>
  <si>
    <t>TYPHOON 300 SILVER TWIN DUCT 1045MM 45 DEGREE BEND</t>
  </si>
  <si>
    <t>VST-1400-1045</t>
  </si>
  <si>
    <t>VENT TRANS 1400 &gt; 1045 TWINDUCT</t>
  </si>
  <si>
    <t>TYPHOON 300 SILVER CONCERTINA</t>
  </si>
  <si>
    <t>VSJ1220-J</t>
  </si>
  <si>
    <t>TYPHOON 300 JUNCTION PIECE 122</t>
  </si>
  <si>
    <t>EXPERT MIN</t>
  </si>
  <si>
    <t>JET10AFPFB</t>
  </si>
  <si>
    <t>CHRYSO JET AF 1000 LTR ACCELERANT</t>
  </si>
  <si>
    <t>LTR</t>
  </si>
  <si>
    <t>MASTERS</t>
  </si>
  <si>
    <t xml:space="preserve">MASTERROC SA167                 </t>
  </si>
  <si>
    <t>IBC</t>
  </si>
  <si>
    <t xml:space="preserve">MASTER GLENIUM SKY 8700         </t>
  </si>
  <si>
    <t xml:space="preserve">MASTERROC HCA 20                </t>
  </si>
  <si>
    <t xml:space="preserve">CONCRETE POLY FIBRE - 65MM      </t>
  </si>
  <si>
    <t>KG</t>
  </si>
  <si>
    <t>DEC</t>
  </si>
  <si>
    <t>COUNT</t>
  </si>
  <si>
    <t>JAN'26</t>
  </si>
  <si>
    <t>BOLTING CENTRALISER DIA 66MM (GUIDE PIECE)</t>
  </si>
  <si>
    <t xml:space="preserve">D/FLY 300X280 GALV             Sandvik P/no: DF3STDD15449GWA </t>
  </si>
  <si>
    <t>FEB'26</t>
  </si>
  <si>
    <t>D2024004423D001</t>
  </si>
  <si>
    <t>REBAR D20 2.4M INCLUSIVE OF NUTS AND PLATES</t>
  </si>
  <si>
    <t>End FEB'26</t>
  </si>
  <si>
    <t>COUNT 14 March '26</t>
  </si>
  <si>
    <t xml:space="preserve"> </t>
  </si>
  <si>
    <t>7314-6261</t>
  </si>
  <si>
    <t>COUPLING SLEEVE T38/T45</t>
  </si>
  <si>
    <t>305-7669-01</t>
  </si>
  <si>
    <t>SHANK T45 RD520/525 D25 L525</t>
  </si>
  <si>
    <t>7335-4401</t>
  </si>
  <si>
    <t>BIT ADAPTOR T45/T38M</t>
  </si>
  <si>
    <t xml:space="preserve">DF3STDD15449GWA </t>
  </si>
  <si>
    <t xml:space="preserve">D/FLY 300X280 GALV             </t>
  </si>
  <si>
    <t>PLATE COMBI 300X280 FSCP3281504 GALV</t>
  </si>
  <si>
    <t>FRICTION STABILISER BOLT 47X2400M HDG FS47-2400G GALV</t>
  </si>
  <si>
    <t>USAGE'26</t>
  </si>
  <si>
    <t>7580-6045-F49</t>
  </si>
  <si>
    <t>SPEEDY BIT A340X45MM XT49</t>
  </si>
  <si>
    <t>7305-7669-01</t>
  </si>
  <si>
    <t>SHANK T45 RD520/525 D45 L525</t>
  </si>
  <si>
    <t>FRICTION BOLT 39 X 900 GAL WA   Sandvik:FBJ39090GWA</t>
  </si>
  <si>
    <t>FRICTION BOLT 47 X 900 GALV WA  Sandvik:FBJ47090GWA</t>
  </si>
  <si>
    <t>USAGE '26</t>
  </si>
  <si>
    <t>MARCH' 26</t>
  </si>
  <si>
    <t>COUNT 30 March '26</t>
  </si>
  <si>
    <t xml:space="preserve">D/FLY 300X280 GALV  Sandvik P/no: DF3STDD15449GWA           </t>
  </si>
  <si>
    <t>FS47-2400G</t>
  </si>
  <si>
    <t>CB328154-47G</t>
  </si>
  <si>
    <t>FS47-2400G GALV</t>
  </si>
  <si>
    <t>FRICTION STABILISER BOLT 47X2400 HDG GALV</t>
  </si>
  <si>
    <t>FSCP3281504 GALV</t>
  </si>
  <si>
    <t>PLATE COMBI 300X280</t>
  </si>
  <si>
    <t xml:space="preserve">CBOLT (TS BULB) - 15.2MM - 6.5M   </t>
  </si>
  <si>
    <t>CBD1B065DC05WA</t>
  </si>
  <si>
    <t>Qty - Portals</t>
  </si>
  <si>
    <t>Qty Received</t>
  </si>
  <si>
    <t>April' 26</t>
  </si>
  <si>
    <t>ASES324/435WA</t>
  </si>
  <si>
    <t>SHELL</t>
  </si>
  <si>
    <t>BORING CENTRALISER DIA 48MM (GUIDE PIECE)</t>
  </si>
  <si>
    <t xml:space="preserve">BORING CENTRALISER DIA 41MM (GUIDE PIECE)   </t>
  </si>
  <si>
    <t>VSF1220J</t>
  </si>
  <si>
    <t xml:space="preserve">TYPHOON 300 1220MM JUNCTION CAR        </t>
  </si>
  <si>
    <t>CEMENT</t>
  </si>
  <si>
    <t>C0000093</t>
  </si>
  <si>
    <t>CEMENT CEMII 42.5N HIGH STRENGTH 50KG (40BAGS P/PALLET)</t>
  </si>
  <si>
    <t>NPC</t>
  </si>
  <si>
    <t>15MM CL.6 LDPE POLY AGRO 100M</t>
  </si>
  <si>
    <t>20MM POLY PN12.5 PE100 SDR13.6</t>
  </si>
  <si>
    <t>25mm POLY PN12.5 PE100 SDR13.6</t>
  </si>
  <si>
    <t>40MM CL.6 LDPE POLY AGRO 100M</t>
  </si>
  <si>
    <t>170-AG15+100C6,01</t>
  </si>
  <si>
    <t>195-20PN12+PE100</t>
  </si>
  <si>
    <t>170-AG40+100C6,01</t>
  </si>
  <si>
    <t>195-25PN125+PE100</t>
  </si>
  <si>
    <t>MINING</t>
  </si>
  <si>
    <t>PLATE COMBI 300X280 FSCP3281504 GALV  (300pp)</t>
  </si>
  <si>
    <t>D/FLY 300X280 GALV      Sandvik P/no: DF3STDD15449GWA (300pp)</t>
  </si>
  <si>
    <t>FRICTION BOLT 39 X 900 GAL WA   Sandvik:FBJ39090GWA (150pp)</t>
  </si>
  <si>
    <t>FRICTION BOLT 47 X 900 GALV WA  Sandvik:FBJ47090GWA (150pp)</t>
  </si>
  <si>
    <t>PLATE DOME 150X150X4 41H GALV   (1200pp)</t>
  </si>
  <si>
    <r>
      <t xml:space="preserve">MD BOLT 2.4M LONG GALVANIZED    </t>
    </r>
    <r>
      <rPr>
        <b/>
        <sz val="12"/>
        <rFont val="Aptos Narrow"/>
        <family val="2"/>
        <scheme val="minor"/>
      </rPr>
      <t>(120pp)</t>
    </r>
  </si>
  <si>
    <r>
      <t xml:space="preserve">COMBI PLATE 300X280X6MM GALVAN  </t>
    </r>
    <r>
      <rPr>
        <b/>
        <sz val="12"/>
        <rFont val="Aptos Narrow"/>
        <family val="2"/>
        <scheme val="minor"/>
      </rPr>
      <t>(240pb)</t>
    </r>
  </si>
  <si>
    <r>
      <t xml:space="preserve">PULL TEST RINGS (COLLARS)      </t>
    </r>
    <r>
      <rPr>
        <b/>
        <sz val="12"/>
        <rFont val="Aptos Narrow"/>
        <family val="2"/>
        <scheme val="minor"/>
      </rPr>
      <t>(50pb)</t>
    </r>
  </si>
  <si>
    <r>
      <t xml:space="preserve">MESH - 2.40 X 4.50 M - GALV </t>
    </r>
    <r>
      <rPr>
        <b/>
        <sz val="12"/>
        <rFont val="Aptos Narrow"/>
        <family val="2"/>
        <scheme val="minor"/>
      </rPr>
      <t>(25pp)</t>
    </r>
  </si>
  <si>
    <r>
      <t xml:space="preserve">MESH - 2.40 X 4.50 M - NON-GALV </t>
    </r>
    <r>
      <rPr>
        <b/>
        <sz val="12"/>
        <rFont val="Aptos Narrow"/>
        <family val="2"/>
        <scheme val="minor"/>
      </rPr>
      <t>(25pp)</t>
    </r>
  </si>
  <si>
    <r>
      <t xml:space="preserve">BARREL &amp; 3 PIECE WEDGE ANCHOR   </t>
    </r>
    <r>
      <rPr>
        <b/>
        <sz val="12"/>
        <rFont val="Aptos Narrow"/>
        <family val="2"/>
        <scheme val="minor"/>
      </rPr>
      <t>(50p/bucket)</t>
    </r>
  </si>
  <si>
    <r>
      <t xml:space="preserve">CBOLT (TS BULB) - 15.2MM - 4.5M   </t>
    </r>
    <r>
      <rPr>
        <b/>
        <sz val="12"/>
        <rFont val="Aptos Narrow"/>
        <family val="2"/>
        <scheme val="minor"/>
      </rPr>
      <t>(50pp)</t>
    </r>
  </si>
  <si>
    <r>
      <t xml:space="preserve">CBOLT (TS BULB) - 15.2MM - 6M   </t>
    </r>
    <r>
      <rPr>
        <b/>
        <sz val="12"/>
        <rFont val="Aptos Narrow"/>
        <family val="2"/>
        <scheme val="minor"/>
      </rPr>
      <t>(50pp)</t>
    </r>
  </si>
  <si>
    <r>
      <t xml:space="preserve">PAINT MINE MARK </t>
    </r>
    <r>
      <rPr>
        <b/>
        <sz val="12"/>
        <rFont val="Aptos Narrow"/>
        <family val="2"/>
        <scheme val="minor"/>
      </rPr>
      <t>RED</t>
    </r>
    <r>
      <rPr>
        <sz val="12"/>
        <rFont val="Aptos Narrow"/>
        <family val="2"/>
        <scheme val="minor"/>
      </rPr>
      <t xml:space="preserve"> 350G TRIGGER </t>
    </r>
    <r>
      <rPr>
        <b/>
        <sz val="12"/>
        <rFont val="Aptos Narrow"/>
        <family val="2"/>
        <scheme val="minor"/>
      </rPr>
      <t>(12X P/BOX)</t>
    </r>
  </si>
  <si>
    <r>
      <t xml:space="preserve">PAINT MINE MARK </t>
    </r>
    <r>
      <rPr>
        <b/>
        <sz val="12"/>
        <rFont val="Aptos Narrow"/>
        <family val="2"/>
        <scheme val="minor"/>
      </rPr>
      <t>BLACK</t>
    </r>
    <r>
      <rPr>
        <sz val="12"/>
        <rFont val="Aptos Narrow"/>
        <family val="2"/>
        <scheme val="minor"/>
      </rPr>
      <t xml:space="preserve"> 350G TRIGGER </t>
    </r>
    <r>
      <rPr>
        <b/>
        <sz val="12"/>
        <rFont val="Aptos Narrow"/>
        <family val="2"/>
        <scheme val="minor"/>
      </rPr>
      <t>(12X P/BOX)</t>
    </r>
  </si>
  <si>
    <r>
      <t xml:space="preserve">PAINT MINE MARK </t>
    </r>
    <r>
      <rPr>
        <b/>
        <sz val="12"/>
        <rFont val="Aptos Narrow"/>
        <family val="2"/>
        <scheme val="minor"/>
      </rPr>
      <t>YELLOW</t>
    </r>
    <r>
      <rPr>
        <sz val="12"/>
        <rFont val="Aptos Narrow"/>
        <family val="2"/>
        <scheme val="minor"/>
      </rPr>
      <t xml:space="preserve"> 350G TRIGGER </t>
    </r>
    <r>
      <rPr>
        <b/>
        <sz val="12"/>
        <rFont val="Aptos Narrow"/>
        <family val="2"/>
        <scheme val="minor"/>
      </rPr>
      <t>(12X P/BOX)</t>
    </r>
  </si>
  <si>
    <r>
      <t xml:space="preserve">PAINT MINE MARK </t>
    </r>
    <r>
      <rPr>
        <b/>
        <sz val="12"/>
        <rFont val="Aptos Narrow"/>
        <family val="2"/>
        <scheme val="minor"/>
      </rPr>
      <t>WHITE</t>
    </r>
    <r>
      <rPr>
        <sz val="12"/>
        <rFont val="Aptos Narrow"/>
        <family val="2"/>
        <scheme val="minor"/>
      </rPr>
      <t xml:space="preserve"> 350G TRIGGER </t>
    </r>
    <r>
      <rPr>
        <b/>
        <sz val="12"/>
        <rFont val="Aptos Narrow"/>
        <family val="2"/>
        <scheme val="minor"/>
      </rPr>
      <t>(12X P/BOX)</t>
    </r>
  </si>
  <si>
    <t>110MM</t>
  </si>
  <si>
    <t>63MM</t>
  </si>
  <si>
    <t>63MM POLY AGRO 100M</t>
  </si>
  <si>
    <t>110MM POLY AGRO 100M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</si>
</sst>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2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9" tint="0.39997558519241921"/>
      <name val="Aptos Narrow"/>
      <family val="2"/>
      <scheme val="minor"/>
    </font>
    <font>
      <b/>
      <i/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indexed="81"/>
      <name val="Tahoma"/>
      <charset val="1"/>
    </font>
    <font>
      <b/>
      <sz val="10"/>
      <color indexed="81"/>
      <name val="Tahoma"/>
      <charset val="1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2"/>
      <color theme="9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7" fillId="0" borderId="0"/>
    <xf numFmtId="0" fontId="7" fillId="7" borderId="13" applyNumberFormat="0" applyFont="0" applyAlignment="0" applyProtection="0"/>
  </cellStyleXfs>
  <cellXfs count="165"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3" fillId="4" borderId="3" xfId="0" applyFont="1" applyFill="1" applyBorder="1" applyAlignment="1">
      <alignment horizontal="center"/>
    </xf>
    <xf numFmtId="1" fontId="4" fillId="4" borderId="3" xfId="1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3" fontId="3" fillId="4" borderId="7" xfId="1" applyNumberFormat="1" applyFont="1" applyFill="1" applyBorder="1" applyAlignment="1">
      <alignment horizontal="center" vertical="center"/>
    </xf>
    <xf numFmtId="3" fontId="3" fillId="4" borderId="8" xfId="1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vertical="center"/>
    </xf>
    <xf numFmtId="3" fontId="3" fillId="6" borderId="10" xfId="1" applyNumberFormat="1" applyFont="1" applyFill="1" applyBorder="1" applyAlignment="1">
      <alignment horizontal="center" vertical="center"/>
    </xf>
    <xf numFmtId="3" fontId="3" fillId="4" borderId="6" xfId="1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3" fontId="3" fillId="4" borderId="2" xfId="1" applyNumberFormat="1" applyFont="1" applyFill="1" applyBorder="1" applyAlignment="1">
      <alignment horizontal="center" vertical="center"/>
    </xf>
    <xf numFmtId="3" fontId="3" fillId="4" borderId="11" xfId="1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vertical="center"/>
    </xf>
    <xf numFmtId="1" fontId="5" fillId="8" borderId="5" xfId="1" applyNumberFormat="1" applyFont="1" applyFill="1" applyBorder="1" applyAlignment="1">
      <alignment horizontal="center" vertical="center"/>
    </xf>
    <xf numFmtId="1" fontId="3" fillId="8" borderId="5" xfId="1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vertical="center"/>
    </xf>
    <xf numFmtId="1" fontId="6" fillId="8" borderId="5" xfId="1" applyNumberFormat="1" applyFont="1" applyFill="1" applyBorder="1" applyAlignment="1">
      <alignment horizontal="center" vertical="center"/>
    </xf>
    <xf numFmtId="3" fontId="3" fillId="8" borderId="5" xfId="1" applyNumberFormat="1" applyFont="1" applyFill="1" applyBorder="1" applyAlignment="1">
      <alignment horizontal="center" vertical="center"/>
    </xf>
    <xf numFmtId="0" fontId="0" fillId="8" borderId="0" xfId="0" applyFill="1"/>
    <xf numFmtId="3" fontId="3" fillId="8" borderId="9" xfId="1" applyNumberFormat="1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vertical="center"/>
    </xf>
    <xf numFmtId="3" fontId="3" fillId="8" borderId="10" xfId="1" applyNumberFormat="1" applyFont="1" applyFill="1" applyBorder="1" applyAlignment="1">
      <alignment horizontal="center" vertical="center"/>
    </xf>
    <xf numFmtId="3" fontId="3" fillId="8" borderId="4" xfId="1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vertical="center"/>
    </xf>
    <xf numFmtId="3" fontId="3" fillId="8" borderId="12" xfId="3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8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vertical="center"/>
    </xf>
    <xf numFmtId="3" fontId="3" fillId="8" borderId="6" xfId="1" applyNumberFormat="1" applyFont="1" applyFill="1" applyBorder="1" applyAlignment="1">
      <alignment horizontal="center" vertical="center"/>
    </xf>
    <xf numFmtId="3" fontId="3" fillId="8" borderId="7" xfId="1" applyNumberFormat="1" applyFont="1" applyFill="1" applyBorder="1" applyAlignment="1">
      <alignment horizontal="center" vertical="center"/>
    </xf>
    <xf numFmtId="3" fontId="3" fillId="8" borderId="8" xfId="1" applyNumberFormat="1" applyFont="1" applyFill="1" applyBorder="1" applyAlignment="1">
      <alignment horizontal="center" vertical="center"/>
    </xf>
    <xf numFmtId="0" fontId="0" fillId="8" borderId="12" xfId="0" applyFill="1" applyBorder="1"/>
    <xf numFmtId="0" fontId="0" fillId="8" borderId="5" xfId="0" applyFill="1" applyBorder="1"/>
    <xf numFmtId="1" fontId="3" fillId="8" borderId="15" xfId="1" applyNumberFormat="1" applyFont="1" applyFill="1" applyBorder="1" applyAlignment="1">
      <alignment horizontal="center" vertical="center"/>
    </xf>
    <xf numFmtId="1" fontId="3" fillId="8" borderId="9" xfId="1" applyNumberFormat="1" applyFont="1" applyFill="1" applyBorder="1" applyAlignment="1">
      <alignment horizontal="center" vertical="center"/>
    </xf>
    <xf numFmtId="1" fontId="3" fillId="8" borderId="14" xfId="1" applyNumberFormat="1" applyFont="1" applyFill="1" applyBorder="1" applyAlignment="1">
      <alignment horizontal="center" vertical="center"/>
    </xf>
    <xf numFmtId="3" fontId="3" fillId="8" borderId="2" xfId="1" applyNumberFormat="1" applyFont="1" applyFill="1" applyBorder="1" applyAlignment="1">
      <alignment horizontal="center" vertical="center"/>
    </xf>
    <xf numFmtId="1" fontId="5" fillId="8" borderId="12" xfId="1" applyNumberFormat="1" applyFont="1" applyFill="1" applyBorder="1" applyAlignment="1">
      <alignment horizontal="center" vertical="center"/>
    </xf>
    <xf numFmtId="1" fontId="6" fillId="8" borderId="12" xfId="1" applyNumberFormat="1" applyFont="1" applyFill="1" applyBorder="1" applyAlignment="1">
      <alignment horizontal="center" vertical="center"/>
    </xf>
    <xf numFmtId="3" fontId="3" fillId="8" borderId="12" xfId="1" applyNumberFormat="1" applyFont="1" applyFill="1" applyBorder="1" applyAlignment="1">
      <alignment horizontal="center" vertical="center"/>
    </xf>
    <xf numFmtId="1" fontId="3" fillId="8" borderId="4" xfId="1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13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vertical="center"/>
    </xf>
    <xf numFmtId="3" fontId="3" fillId="9" borderId="5" xfId="1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1" fontId="15" fillId="4" borderId="3" xfId="1" applyNumberFormat="1" applyFont="1" applyFill="1" applyBorder="1" applyAlignment="1">
      <alignment horizontal="center"/>
    </xf>
    <xf numFmtId="1" fontId="15" fillId="8" borderId="5" xfId="1" applyNumberFormat="1" applyFont="1" applyFill="1" applyBorder="1" applyAlignment="1">
      <alignment horizontal="center" vertical="center"/>
    </xf>
    <xf numFmtId="3" fontId="15" fillId="8" borderId="5" xfId="1" applyNumberFormat="1" applyFont="1" applyFill="1" applyBorder="1" applyAlignment="1">
      <alignment horizontal="center" vertical="center"/>
    </xf>
    <xf numFmtId="1" fontId="15" fillId="8" borderId="12" xfId="1" applyNumberFormat="1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3" fontId="15" fillId="8" borderId="9" xfId="1" applyNumberFormat="1" applyFont="1" applyFill="1" applyBorder="1" applyAlignment="1">
      <alignment horizontal="center" vertical="center"/>
    </xf>
    <xf numFmtId="3" fontId="15" fillId="8" borderId="10" xfId="1" applyNumberFormat="1" applyFont="1" applyFill="1" applyBorder="1" applyAlignment="1">
      <alignment horizontal="center" vertical="center"/>
    </xf>
    <xf numFmtId="3" fontId="15" fillId="8" borderId="6" xfId="1" applyNumberFormat="1" applyFont="1" applyFill="1" applyBorder="1" applyAlignment="1">
      <alignment horizontal="center" vertical="center"/>
    </xf>
    <xf numFmtId="3" fontId="15" fillId="8" borderId="12" xfId="1" applyNumberFormat="1" applyFont="1" applyFill="1" applyBorder="1" applyAlignment="1">
      <alignment horizontal="center" vertical="center"/>
    </xf>
    <xf numFmtId="3" fontId="15" fillId="8" borderId="4" xfId="1" applyNumberFormat="1" applyFont="1" applyFill="1" applyBorder="1" applyAlignment="1">
      <alignment horizontal="center" vertical="center"/>
    </xf>
    <xf numFmtId="3" fontId="15" fillId="8" borderId="12" xfId="3" applyNumberFormat="1" applyFont="1" applyFill="1" applyBorder="1" applyAlignment="1">
      <alignment horizontal="center" vertical="center"/>
    </xf>
    <xf numFmtId="3" fontId="15" fillId="8" borderId="8" xfId="1" applyNumberFormat="1" applyFont="1" applyFill="1" applyBorder="1" applyAlignment="1">
      <alignment horizontal="center" vertical="center"/>
    </xf>
    <xf numFmtId="3" fontId="15" fillId="6" borderId="10" xfId="1" applyNumberFormat="1" applyFont="1" applyFill="1" applyBorder="1" applyAlignment="1">
      <alignment horizontal="center" vertical="center"/>
    </xf>
    <xf numFmtId="0" fontId="16" fillId="0" borderId="0" xfId="0" applyFont="1"/>
    <xf numFmtId="3" fontId="3" fillId="8" borderId="19" xfId="1" applyNumberFormat="1" applyFont="1" applyFill="1" applyBorder="1" applyAlignment="1">
      <alignment horizontal="center" vertical="center"/>
    </xf>
    <xf numFmtId="3" fontId="3" fillId="8" borderId="15" xfId="1" applyNumberFormat="1" applyFont="1" applyFill="1" applyBorder="1" applyAlignment="1">
      <alignment horizontal="center" vertical="center"/>
    </xf>
    <xf numFmtId="3" fontId="3" fillId="8" borderId="17" xfId="1" applyNumberFormat="1" applyFont="1" applyFill="1" applyBorder="1" applyAlignment="1">
      <alignment horizontal="center" vertical="center"/>
    </xf>
    <xf numFmtId="3" fontId="3" fillId="8" borderId="20" xfId="1" applyNumberFormat="1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3" fontId="3" fillId="6" borderId="20" xfId="1" applyNumberFormat="1" applyFont="1" applyFill="1" applyBorder="1" applyAlignment="1">
      <alignment horizontal="center" vertical="center"/>
    </xf>
    <xf numFmtId="0" fontId="0" fillId="0" borderId="5" xfId="0" applyBorder="1"/>
    <xf numFmtId="0" fontId="3" fillId="8" borderId="21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0" fillId="0" borderId="20" xfId="0" applyBorder="1"/>
    <xf numFmtId="0" fontId="0" fillId="0" borderId="10" xfId="0" applyBorder="1"/>
    <xf numFmtId="1" fontId="4" fillId="4" borderId="3" xfId="1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" fontId="6" fillId="8" borderId="15" xfId="1" applyNumberFormat="1" applyFont="1" applyFill="1" applyBorder="1" applyAlignment="1">
      <alignment horizontal="center" vertical="center"/>
    </xf>
    <xf numFmtId="1" fontId="5" fillId="8" borderId="15" xfId="1" applyNumberFormat="1" applyFont="1" applyFill="1" applyBorder="1" applyAlignment="1">
      <alignment horizontal="center" vertical="center"/>
    </xf>
    <xf numFmtId="1" fontId="6" fillId="8" borderId="23" xfId="1" applyNumberFormat="1" applyFont="1" applyFill="1" applyBorder="1" applyAlignment="1">
      <alignment horizontal="center" vertical="center"/>
    </xf>
    <xf numFmtId="3" fontId="3" fillId="8" borderId="23" xfId="1" applyNumberFormat="1" applyFont="1" applyFill="1" applyBorder="1" applyAlignment="1">
      <alignment horizontal="center" vertical="center"/>
    </xf>
    <xf numFmtId="3" fontId="3" fillId="8" borderId="23" xfId="3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1" fontId="4" fillId="4" borderId="5" xfId="1" applyNumberFormat="1" applyFont="1" applyFill="1" applyBorder="1" applyAlignment="1">
      <alignment horizontal="center"/>
    </xf>
    <xf numFmtId="3" fontId="3" fillId="4" borderId="5" xfId="1" applyNumberFormat="1" applyFont="1" applyFill="1" applyBorder="1" applyAlignment="1">
      <alignment horizontal="center" vertical="center"/>
    </xf>
    <xf numFmtId="3" fontId="3" fillId="6" borderId="5" xfId="1" applyNumberFormat="1" applyFont="1" applyFill="1" applyBorder="1" applyAlignment="1">
      <alignment horizontal="center" vertical="center"/>
    </xf>
    <xf numFmtId="0" fontId="0" fillId="4" borderId="5" xfId="0" applyFill="1" applyBorder="1"/>
    <xf numFmtId="0" fontId="0" fillId="6" borderId="5" xfId="0" applyFill="1" applyBorder="1"/>
    <xf numFmtId="0" fontId="0" fillId="8" borderId="9" xfId="0" applyFill="1" applyBorder="1"/>
    <xf numFmtId="1" fontId="3" fillId="8" borderId="12" xfId="1" applyNumberFormat="1" applyFont="1" applyFill="1" applyBorder="1" applyAlignment="1">
      <alignment horizontal="center" vertical="center"/>
    </xf>
    <xf numFmtId="3" fontId="3" fillId="8" borderId="18" xfId="1" applyNumberFormat="1" applyFont="1" applyFill="1" applyBorder="1" applyAlignment="1">
      <alignment horizontal="center" vertical="center"/>
    </xf>
    <xf numFmtId="0" fontId="0" fillId="8" borderId="4" xfId="0" applyFill="1" applyBorder="1"/>
    <xf numFmtId="3" fontId="3" fillId="8" borderId="24" xfId="1" applyNumberFormat="1" applyFont="1" applyFill="1" applyBorder="1" applyAlignment="1">
      <alignment horizontal="center" vertical="center"/>
    </xf>
    <xf numFmtId="1" fontId="3" fillId="8" borderId="10" xfId="1" applyNumberFormat="1" applyFont="1" applyFill="1" applyBorder="1" applyAlignment="1">
      <alignment horizontal="center" vertical="center"/>
    </xf>
    <xf numFmtId="0" fontId="0" fillId="8" borderId="10" xfId="0" applyFill="1" applyBorder="1"/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3" fontId="3" fillId="8" borderId="0" xfId="1" applyNumberFormat="1" applyFont="1" applyFill="1" applyBorder="1" applyAlignment="1">
      <alignment horizontal="center" vertical="center"/>
    </xf>
    <xf numFmtId="3" fontId="15" fillId="8" borderId="0" xfId="1" applyNumberFormat="1" applyFont="1" applyFill="1" applyBorder="1" applyAlignment="1">
      <alignment horizontal="center" vertical="center"/>
    </xf>
    <xf numFmtId="1" fontId="3" fillId="8" borderId="25" xfId="1" applyNumberFormat="1" applyFont="1" applyFill="1" applyBorder="1" applyAlignment="1">
      <alignment horizontal="center" vertical="center"/>
    </xf>
    <xf numFmtId="0" fontId="0" fillId="8" borderId="25" xfId="0" applyFill="1" applyBorder="1"/>
    <xf numFmtId="0" fontId="0" fillId="0" borderId="12" xfId="0" applyBorder="1"/>
    <xf numFmtId="0" fontId="3" fillId="4" borderId="18" xfId="0" applyFont="1" applyFill="1" applyBorder="1" applyAlignment="1">
      <alignment horizontal="center" vertical="center"/>
    </xf>
    <xf numFmtId="3" fontId="3" fillId="4" borderId="3" xfId="1" applyNumberFormat="1" applyFont="1" applyFill="1" applyBorder="1" applyAlignment="1">
      <alignment horizontal="center" vertical="center"/>
    </xf>
    <xf numFmtId="3" fontId="15" fillId="4" borderId="3" xfId="1" applyNumberFormat="1" applyFont="1" applyFill="1" applyBorder="1" applyAlignment="1">
      <alignment horizontal="center" vertical="center"/>
    </xf>
    <xf numFmtId="0" fontId="0" fillId="4" borderId="26" xfId="0" applyFill="1" applyBorder="1"/>
    <xf numFmtId="16" fontId="8" fillId="3" borderId="2" xfId="0" applyNumberFormat="1" applyFont="1" applyFill="1" applyBorder="1" applyAlignment="1">
      <alignment horizontal="center" vertical="center" wrapText="1"/>
    </xf>
    <xf numFmtId="16" fontId="8" fillId="3" borderId="11" xfId="0" applyNumberFormat="1" applyFont="1" applyFill="1" applyBorder="1" applyAlignment="1">
      <alignment horizontal="center" vertical="center" wrapText="1"/>
    </xf>
    <xf numFmtId="16" fontId="17" fillId="3" borderId="5" xfId="0" applyNumberFormat="1" applyFont="1" applyFill="1" applyBorder="1" applyAlignment="1">
      <alignment vertical="center" wrapText="1"/>
    </xf>
    <xf numFmtId="3" fontId="0" fillId="8" borderId="0" xfId="0" applyNumberFormat="1" applyFill="1"/>
    <xf numFmtId="3" fontId="18" fillId="8" borderId="5" xfId="1" applyNumberFormat="1" applyFont="1" applyFill="1" applyBorder="1" applyAlignment="1">
      <alignment horizontal="center" vertical="center"/>
    </xf>
    <xf numFmtId="3" fontId="19" fillId="8" borderId="15" xfId="1" applyNumberFormat="1" applyFont="1" applyFill="1" applyBorder="1" applyAlignment="1">
      <alignment horizontal="center" vertical="center"/>
    </xf>
    <xf numFmtId="0" fontId="0" fillId="0" borderId="15" xfId="0" applyBorder="1"/>
    <xf numFmtId="0" fontId="16" fillId="0" borderId="5" xfId="0" applyFont="1" applyBorder="1"/>
    <xf numFmtId="0" fontId="20" fillId="8" borderId="5" xfId="0" applyFont="1" applyFill="1" applyBorder="1" applyAlignment="1">
      <alignment vertical="center"/>
    </xf>
    <xf numFmtId="0" fontId="3" fillId="8" borderId="3" xfId="0" applyFont="1" applyFill="1" applyBorder="1" applyAlignment="1">
      <alignment horizontal="center" vertical="center"/>
    </xf>
    <xf numFmtId="3" fontId="3" fillId="8" borderId="3" xfId="1" applyNumberFormat="1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vertical="center"/>
    </xf>
    <xf numFmtId="3" fontId="3" fillId="8" borderId="16" xfId="1" applyNumberFormat="1" applyFont="1" applyFill="1" applyBorder="1" applyAlignment="1">
      <alignment horizontal="center" vertical="center"/>
    </xf>
    <xf numFmtId="0" fontId="3" fillId="8" borderId="27" xfId="0" applyFont="1" applyFill="1" applyBorder="1" applyAlignment="1">
      <alignment horizontal="center" vertical="center"/>
    </xf>
    <xf numFmtId="3" fontId="3" fillId="8" borderId="27" xfId="1" applyNumberFormat="1" applyFont="1" applyFill="1" applyBorder="1" applyAlignment="1">
      <alignment horizontal="center" vertical="center"/>
    </xf>
    <xf numFmtId="0" fontId="21" fillId="8" borderId="0" xfId="0" applyFont="1" applyFill="1"/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vertical="center"/>
    </xf>
    <xf numFmtId="3" fontId="3" fillId="4" borderId="10" xfId="1" applyNumberFormat="1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vertical="center"/>
    </xf>
    <xf numFmtId="3" fontId="18" fillId="4" borderId="5" xfId="1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3" fillId="8" borderId="27" xfId="0" applyFont="1" applyFill="1" applyBorder="1" applyAlignment="1">
      <alignment vertical="center"/>
    </xf>
    <xf numFmtId="3" fontId="15" fillId="8" borderId="15" xfId="1" applyNumberFormat="1" applyFont="1" applyFill="1" applyBorder="1" applyAlignment="1">
      <alignment horizontal="center" vertical="center"/>
    </xf>
    <xf numFmtId="0" fontId="21" fillId="4" borderId="5" xfId="0" applyFont="1" applyFill="1" applyBorder="1"/>
    <xf numFmtId="0" fontId="0" fillId="8" borderId="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8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3" fontId="6" fillId="8" borderId="5" xfId="1" applyNumberFormat="1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/>
    </xf>
    <xf numFmtId="0" fontId="24" fillId="8" borderId="5" xfId="0" applyFont="1" applyFill="1" applyBorder="1" applyAlignment="1">
      <alignment horizontal="center"/>
    </xf>
    <xf numFmtId="0" fontId="25" fillId="8" borderId="5" xfId="0" applyFont="1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25" fillId="4" borderId="5" xfId="0" applyFont="1" applyFill="1" applyBorder="1" applyAlignment="1">
      <alignment horizontal="center"/>
    </xf>
    <xf numFmtId="0" fontId="26" fillId="8" borderId="0" xfId="0" applyFont="1" applyFill="1"/>
    <xf numFmtId="3" fontId="0" fillId="8" borderId="5" xfId="0" applyNumberFormat="1" applyFill="1" applyBorder="1" applyAlignment="1">
      <alignment horizontal="center"/>
    </xf>
    <xf numFmtId="3" fontId="27" fillId="8" borderId="4" xfId="1" applyNumberFormat="1" applyFont="1" applyFill="1" applyBorder="1" applyAlignment="1">
      <alignment horizontal="center" vertical="center"/>
    </xf>
    <xf numFmtId="3" fontId="27" fillId="8" borderId="5" xfId="1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center" vertical="center"/>
    </xf>
  </cellXfs>
  <cellStyles count="4">
    <cellStyle name="Input" xfId="1" builtinId="20"/>
    <cellStyle name="Normal" xfId="0" builtinId="0"/>
    <cellStyle name="Normal 10" xfId="2" xr:uid="{26532895-F341-4A2C-A527-816AA168163B}"/>
    <cellStyle name="Note 3 2 2" xfId="3" xr:uid="{CA1EB92D-3E34-4E70-A4C3-5C94FFA821F7}"/>
  </cellStyles>
  <dxfs count="12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a Hango" id="{54C5DE3D-AA4E-4536-A2E8-3D63EFE96022}" userId="S::Anna.Hango@byrnecut.com.au::24e82202-457b-4869-bbe6-e74ec23149ad" providerId="AD"/>
  <person displayName="Riogen Nugurib" id="{E1217D57-41FA-45FF-B902-5D11A377C344}" userId="S::Riogen.Nugurib@byrnecut.com.au::1cc40e4d-6b35-439e-8c53-b7eb1e273704" providerId="AD"/>
  <person displayName="Daryl Christensen" id="{773D1968-F440-42E3-BAE8-78B79E5946FC}" userId="S::Daryl.Christensen@byrnecut.com.au::f5edda99-0b0d-4a02-be1d-95de52084a9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11-30T10:23:43.14" personId="{773D1968-F440-42E3-BAE8-78B79E5946FC}" id="{6B60FDB5-26C0-40FE-A1AF-F905C390FAFC}">
    <text>New part number</text>
  </threadedComment>
  <threadedComment ref="B6" dT="2025-11-30T10:23:43.14" personId="{773D1968-F440-42E3-BAE8-78B79E5946FC}" id="{484A824E-481E-409B-9569-89ADBFD70CC4}">
    <text>New part number</text>
  </threadedComment>
  <threadedComment ref="B7" dT="2025-11-30T10:23:43.14" personId="{773D1968-F440-42E3-BAE8-78B79E5946FC}" id="{6A7D5F86-BDB4-4F3C-A055-AB90F6158B9A}">
    <text>New part number</text>
  </threadedComment>
  <threadedComment ref="B8" dT="2025-11-30T10:23:43.14" personId="{773D1968-F440-42E3-BAE8-78B79E5946FC}" id="{DECD313E-F60C-4783-8D2C-8651969479E8}">
    <text>New part number</text>
  </threadedComment>
  <threadedComment ref="B10" dT="2025-11-30T10:23:43.14" personId="{773D1968-F440-42E3-BAE8-78B79E5946FC}" id="{2F5009A3-8799-4C5E-B321-B7BD3118EEE7}">
    <text>New part number</text>
  </threadedComment>
  <threadedComment ref="B15" dT="2025-11-30T10:23:43.14" personId="{773D1968-F440-42E3-BAE8-78B79E5946FC}" id="{8990F9AC-313D-42B8-AE14-F1EDD2BCCA61}">
    <text>New part number</text>
  </threadedComment>
  <threadedComment ref="B16" dT="2025-11-30T10:23:43.14" personId="{773D1968-F440-42E3-BAE8-78B79E5946FC}" id="{F62E6B77-301A-4AB8-8193-607B322EFD05}">
    <text>New part number</text>
  </threadedComment>
  <threadedComment ref="B17" dT="2025-11-30T10:23:43.14" personId="{773D1968-F440-42E3-BAE8-78B79E5946FC}" id="{40191BD1-E3EE-4B80-8AA0-D72FB6D909CA}">
    <text>New part number</text>
  </threadedComment>
  <threadedComment ref="B18" dT="2025-11-30T10:23:43.14" personId="{773D1968-F440-42E3-BAE8-78B79E5946FC}" id="{2201C8B3-7842-4106-94E1-2008D61B7149}">
    <text>New part number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8" dT="2025-11-30T10:23:43.14" personId="{773D1968-F440-42E3-BAE8-78B79E5946FC}" id="{A61DC46A-F4C9-48B7-BD91-B83D21087BFB}">
    <text>New part number</text>
  </threadedComment>
  <threadedComment ref="B9" dT="2025-11-30T10:23:43.14" personId="{773D1968-F440-42E3-BAE8-78B79E5946FC}" id="{034E9883-4FDB-4564-A4C9-87D0D96DD9A2}">
    <text>New part number</text>
  </threadedComment>
  <threadedComment ref="B10" dT="2025-11-30T10:23:43.14" personId="{773D1968-F440-42E3-BAE8-78B79E5946FC}" id="{94CCE373-7D25-4D93-AEDD-0B0A3D4D6C1B}">
    <text>New part number</text>
  </threadedComment>
  <threadedComment ref="B11" dT="2025-11-30T10:23:43.14" personId="{773D1968-F440-42E3-BAE8-78B79E5946FC}" id="{08A58085-608C-4789-AF14-D72C6B221018}">
    <text>New part number</text>
  </threadedComment>
  <threadedComment ref="B14" dT="2025-11-30T10:23:43.14" personId="{773D1968-F440-42E3-BAE8-78B79E5946FC}" id="{815BD939-D72B-4737-802B-F6A519B208FE}">
    <text>New part number</text>
  </threadedComment>
  <threadedComment ref="B19" dT="2025-11-30T10:23:43.14" personId="{773D1968-F440-42E3-BAE8-78B79E5946FC}" id="{33CF3138-5689-44CF-A369-6339EF4DB681}">
    <text>New part number</text>
  </threadedComment>
  <threadedComment ref="B20" dT="2025-11-30T10:23:43.14" personId="{773D1968-F440-42E3-BAE8-78B79E5946FC}" id="{05ADF1BC-FDF3-4C0A-AAFF-F3209EC89F90}">
    <text>New part number</text>
  </threadedComment>
  <threadedComment ref="B21" dT="2025-11-30T10:23:43.14" personId="{773D1968-F440-42E3-BAE8-78B79E5946FC}" id="{F2C1C759-1224-481C-B6F3-083789F5527C}">
    <text>New part number</text>
  </threadedComment>
  <threadedComment ref="B22" dT="2025-11-30T10:23:43.14" personId="{773D1968-F440-42E3-BAE8-78B79E5946FC}" id="{A39A3A42-86AE-4B06-8896-83159B667614}">
    <text>New part number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8" dT="2025-11-30T10:23:43.14" personId="{773D1968-F440-42E3-BAE8-78B79E5946FC}" id="{2C82FCAC-16F4-4F8E-B57B-E4E7F1D6908A}">
    <text>New part number</text>
  </threadedComment>
  <threadedComment ref="B9" dT="2025-11-30T10:23:43.14" personId="{773D1968-F440-42E3-BAE8-78B79E5946FC}" id="{9209B92B-4E94-4214-BF55-72F5A17CBA53}">
    <text>New part number</text>
  </threadedComment>
  <threadedComment ref="B10" dT="2025-11-30T10:23:43.14" personId="{773D1968-F440-42E3-BAE8-78B79E5946FC}" id="{95ADAC08-A1ED-402C-9C0E-B535429C49B3}">
    <text>New part number</text>
  </threadedComment>
  <threadedComment ref="B11" dT="2025-11-30T10:23:43.14" personId="{773D1968-F440-42E3-BAE8-78B79E5946FC}" id="{37324DDB-0CA8-4BCC-92DF-6277D6D33F9F}">
    <text>New part number</text>
  </threadedComment>
  <threadedComment ref="B13" dT="2025-11-30T10:23:43.14" personId="{773D1968-F440-42E3-BAE8-78B79E5946FC}" id="{B310F44B-77E9-470A-9FE3-30969C400A90}">
    <text>New part number</text>
  </threadedComment>
  <threadedComment ref="B18" dT="2025-11-30T10:23:43.14" personId="{773D1968-F440-42E3-BAE8-78B79E5946FC}" id="{D7A7DDD6-4CC6-4839-904C-D7E127BF1C6D}">
    <text>New part number</text>
  </threadedComment>
  <threadedComment ref="B19" dT="2025-11-30T10:23:43.14" personId="{773D1968-F440-42E3-BAE8-78B79E5946FC}" id="{2D1A4F05-F72B-4AB4-AB96-DC24BD121200}">
    <text>New part number</text>
  </threadedComment>
  <threadedComment ref="B20" dT="2025-11-30T10:23:43.14" personId="{773D1968-F440-42E3-BAE8-78B79E5946FC}" id="{BD0C9609-E9D7-4C7D-86A0-69FCA7CA11DD}">
    <text>New part number</text>
  </threadedComment>
  <threadedComment ref="B21" dT="2025-11-30T10:23:43.14" personId="{773D1968-F440-42E3-BAE8-78B79E5946FC}" id="{A96C349A-FD4F-475D-B666-8A11ADF8120E}">
    <text>New part number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5" dT="2025-11-30T10:23:43.14" personId="{773D1968-F440-42E3-BAE8-78B79E5946FC}" id="{80E00C28-8AA1-44D8-B0C1-FDCD9F9808F3}">
    <text>New part number</text>
  </threadedComment>
  <threadedComment ref="B6" dT="2025-11-30T10:23:43.14" personId="{773D1968-F440-42E3-BAE8-78B79E5946FC}" id="{88A03C22-C373-43E3-B974-C607BF794BA3}">
    <text>New part number</text>
  </threadedComment>
  <threadedComment ref="B7" dT="2025-11-30T10:23:43.14" personId="{773D1968-F440-42E3-BAE8-78B79E5946FC}" id="{7F7CC8EF-584C-4EAA-BF87-53D117F850CA}">
    <text>New part number</text>
  </threadedComment>
  <threadedComment ref="B8" dT="2025-11-30T10:23:43.14" personId="{773D1968-F440-42E3-BAE8-78B79E5946FC}" id="{6735C35F-4D2B-437C-9EB1-E4F69668D71C}">
    <text>New part number</text>
  </threadedComment>
  <threadedComment ref="B10" dT="2025-11-30T10:23:43.14" personId="{773D1968-F440-42E3-BAE8-78B79E5946FC}" id="{567BF6AF-6CAF-411C-9225-885898304219}">
    <text>New part number</text>
  </threadedComment>
  <threadedComment ref="B15" dT="2025-11-30T10:23:43.14" personId="{773D1968-F440-42E3-BAE8-78B79E5946FC}" id="{988526E8-5012-4464-A1B5-B94EED665AE9}">
    <text>New part number</text>
  </threadedComment>
  <threadedComment ref="B16" dT="2025-11-30T10:23:43.14" personId="{773D1968-F440-42E3-BAE8-78B79E5946FC}" id="{E27527BC-25B2-45F9-8FC3-BAC7FF9E55E6}">
    <text>New part number</text>
  </threadedComment>
  <threadedComment ref="B17" dT="2025-11-30T10:23:43.14" personId="{773D1968-F440-42E3-BAE8-78B79E5946FC}" id="{E3433E5E-FB1B-49D9-9F02-589713843DF4}">
    <text>New part number</text>
  </threadedComment>
  <threadedComment ref="B18" dT="2025-11-30T10:23:43.14" personId="{773D1968-F440-42E3-BAE8-78B79E5946FC}" id="{927F8D71-FCE4-4275-80A8-EE9175E7707F}">
    <text>New part number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8" dT="2025-11-30T10:23:43.14" personId="{773D1968-F440-42E3-BAE8-78B79E5946FC}" id="{D502A2B5-4DEA-451B-B532-494B407DF7F0}">
    <text>New part number</text>
  </threadedComment>
  <threadedComment ref="B9" dT="2025-11-30T10:23:43.14" personId="{773D1968-F440-42E3-BAE8-78B79E5946FC}" id="{BEF059DC-2A39-4195-9CC9-882AA92DA312}">
    <text>New part number</text>
  </threadedComment>
  <threadedComment ref="B10" dT="2025-11-30T10:23:43.14" personId="{773D1968-F440-42E3-BAE8-78B79E5946FC}" id="{1260A12E-F051-415A-8F0F-4E0C91362DE6}">
    <text>New part number</text>
  </threadedComment>
  <threadedComment ref="B11" dT="2025-11-30T10:23:43.14" personId="{773D1968-F440-42E3-BAE8-78B79E5946FC}" id="{CA62F4F4-EE98-48B7-859C-8030594EB8EE}">
    <text>New part number</text>
  </threadedComment>
  <threadedComment ref="B13" dT="2025-11-30T10:23:43.14" personId="{773D1968-F440-42E3-BAE8-78B79E5946FC}" id="{4DC4AF6F-94CA-44AF-BE5B-F7474354F897}">
    <text>New part number</text>
  </threadedComment>
  <threadedComment ref="B19" dT="2025-11-30T10:23:43.14" personId="{773D1968-F440-42E3-BAE8-78B79E5946FC}" id="{728199DA-9CD0-47F7-85CF-1D2A85DD73ED}">
    <text>New part number</text>
  </threadedComment>
  <threadedComment ref="B20" dT="2025-11-30T10:23:43.14" personId="{773D1968-F440-42E3-BAE8-78B79E5946FC}" id="{DCC23B20-9931-42ED-AABC-48CA2565B58C}">
    <text>New part number</text>
  </threadedComment>
  <threadedComment ref="B21" dT="2025-11-30T10:23:43.14" personId="{773D1968-F440-42E3-BAE8-78B79E5946FC}" id="{7238F658-FA93-4260-8BC2-4356E9D3FD7B}">
    <text>New part number</text>
  </threadedComment>
  <threadedComment ref="B22" dT="2025-11-30T10:23:43.14" personId="{773D1968-F440-42E3-BAE8-78B79E5946FC}" id="{4DF33D0B-1EDD-4E21-B38A-3E39AD778205}">
    <text>New part number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99" dT="2026-04-14T16:00:33.95" personId="{54C5DE3D-AA4E-4536-A2E8-3D63EFE96022}" id="{6851AD7B-9AC7-4522-8BF0-240992D60CAD}">
    <text>Miscounted on last stock count</text>
  </threadedComment>
  <threadedComment ref="F100" dT="2026-04-14T16:02:19.33" personId="{54C5DE3D-AA4E-4536-A2E8-3D63EFE96022}" id="{14DAD769-A5E8-43A0-BA81-F5D68490A9A1}">
    <text xml:space="preserve">Miscounted on last stock count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94" dT="2026-04-14T16:00:33.95" personId="{54C5DE3D-AA4E-4536-A2E8-3D63EFE96022}" id="{00573857-1FC2-493B-B4AF-D548ED3E62F0}">
    <text>Miscounted on last stock count</text>
  </threadedComment>
  <threadedComment ref="G99" dT="2026-04-14T16:02:19.33" personId="{54C5DE3D-AA4E-4536-A2E8-3D63EFE96022}" id="{A6B058DC-8A2E-4F81-8986-914CCCAC82E5}">
    <text xml:space="preserve">Miscounted on last stock count 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64" dT="2026-05-15T15:10:57.00" personId="{E1217D57-41FA-45FF-B902-5D11A377C344}" id="{C63DC88B-640D-4AFA-9231-3FE78B43F68A}">
    <text xml:space="preserve">count amended to include those that were at portal =150
</text>
  </threadedComment>
  <threadedComment ref="E66" dT="2026-05-15T15:07:39.70" personId="{E1217D57-41FA-45FF-B902-5D11A377C344}" id="{DC0702BF-31F2-4E1A-B042-C5159EC2E914}">
    <text xml:space="preserve">count amended to include those that were at portal =(+300)
</text>
  </threadedComment>
  <threadedComment ref="G66" dT="2026-05-15T15:09:24.67" personId="{E1217D57-41FA-45FF-B902-5D11A377C344}" id="{14EA81D4-3690-4569-AF87-C7165FCB128E}">
    <text xml:space="preserve">Count amended to include what was at portal =(+19)
</text>
  </threadedComment>
  <threadedComment ref="E69" dT="2026-05-15T15:13:20.42" personId="{E1217D57-41FA-45FF-B902-5D11A377C344}" id="{6E88EFD6-DABD-4307-B3C8-92FB7B134376}">
    <text xml:space="preserve">count amended to include those that were at portal =(+293)
</text>
  </threadedComment>
  <threadedComment ref="G69" dT="2026-05-15T15:13:50.41" personId="{E1217D57-41FA-45FF-B902-5D11A377C344}" id="{B30210CE-E5DE-4D63-87AF-EA73F3818E55}">
    <text xml:space="preserve">count at portals was not added on  to the overall stock
</text>
  </threadedComment>
  <threadedComment ref="E70" dT="2026-05-15T15:06:17.14" personId="{E1217D57-41FA-45FF-B902-5D11A377C344}" id="{B0B0A2F0-83DB-48ED-AE86-A9FEB5E8043C}">
    <text>Count amended to include those that were at portal= (+888)</text>
  </threadedComment>
  <threadedComment ref="H70" dT="2026-05-15T15:04:47.07" personId="{E1217D57-41FA-45FF-B902-5D11A377C344}" id="{E03675B7-A6FD-4062-9B9B-2F7591104AAD}">
    <text xml:space="preserve">Count at portals was not added on  to the overall stock
</text>
  </threadedComment>
  <threadedComment ref="E73" dT="2026-05-15T15:15:40.11" personId="{E1217D57-41FA-45FF-B902-5D11A377C344}" id="{64B76D0B-3730-4DEB-99B0-1E26E715261A}">
    <text xml:space="preserve">count amended to include those that were at portal =(+587)
</text>
  </threadedComment>
  <threadedComment ref="G73" dT="2026-05-15T15:16:41.26" personId="{E1217D57-41FA-45FF-B902-5D11A377C344}" id="{55A63532-5D41-4AF7-9EC0-4F10AAB66174}">
    <text xml:space="preserve">count at portals was not added on  to the overall stock
</text>
  </threadedComment>
  <threadedComment ref="E74" dT="2026-05-15T15:40:14.59" personId="{E1217D57-41FA-45FF-B902-5D11A377C344}" id="{39A4335D-9412-4607-B7A8-DB567902ABC3}">
    <text>count amended to include those that were at portal =(+543)</text>
  </threadedComment>
  <threadedComment ref="E86" dT="2026-05-15T15:51:28.77" personId="{E1217D57-41FA-45FF-B902-5D11A377C344}" id="{D9935398-938F-4F6C-835B-161016D2568A}">
    <text>count amended to include those that were at portal =(+300)</text>
  </threadedComment>
  <threadedComment ref="G86" dT="2026-05-15T15:53:25.43" personId="{E1217D57-41FA-45FF-B902-5D11A377C344}" id="{0C8371C5-27A1-4C78-AD8E-2EAC3B697DB8}">
    <text xml:space="preserve">count at portals was not added on  to the overall stock
</text>
  </threadedComment>
  <threadedComment ref="E88" dT="2026-05-15T15:54:24.37" personId="{E1217D57-41FA-45FF-B902-5D11A377C344}" id="{A86E233E-A879-4CCA-B2A4-0CD99A6F7E38}">
    <text>count amended to include those that were at portal =27</text>
  </threadedComment>
  <threadedComment ref="G88" dT="2026-05-15T16:15:23.76" personId="{E1217D57-41FA-45FF-B902-5D11A377C344}" id="{75FE5BA2-341C-4361-A2D7-33FCB8D859C4}">
    <text xml:space="preserve">count at portals was not added on  to the overall stock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55F9-EEE6-42E4-85CA-9A50DC364292}">
  <dimension ref="A1:F125"/>
  <sheetViews>
    <sheetView topLeftCell="A86" workbookViewId="0">
      <selection activeCell="E103" sqref="E103"/>
    </sheetView>
  </sheetViews>
  <sheetFormatPr defaultRowHeight="14.4" x14ac:dyDescent="0.3"/>
  <cols>
    <col min="1" max="1" width="12" bestFit="1" customWidth="1"/>
    <col min="2" max="2" width="24.5546875" bestFit="1" customWidth="1"/>
    <col min="3" max="3" width="61.109375" customWidth="1"/>
    <col min="4" max="4" width="6.109375" bestFit="1" customWidth="1"/>
    <col min="5" max="5" width="9.88671875" customWidth="1"/>
    <col min="6" max="6" width="14.5546875" customWidth="1"/>
  </cols>
  <sheetData>
    <row r="1" spans="1:6" s="36" customFormat="1" ht="25.65" customHeight="1" thickBot="1" x14ac:dyDescent="0.35">
      <c r="A1" s="35" t="s">
        <v>0</v>
      </c>
      <c r="B1" s="35" t="s">
        <v>1</v>
      </c>
      <c r="C1" s="35" t="s">
        <v>2</v>
      </c>
      <c r="D1" s="35" t="s">
        <v>3</v>
      </c>
      <c r="E1" s="35" t="s">
        <v>182</v>
      </c>
      <c r="F1" s="35" t="s">
        <v>183</v>
      </c>
    </row>
    <row r="2" spans="1:6" ht="16.2" thickBot="1" x14ac:dyDescent="0.35">
      <c r="A2" s="1"/>
      <c r="B2" s="1"/>
      <c r="C2" s="2"/>
      <c r="D2" s="3"/>
      <c r="E2" s="4"/>
      <c r="F2" s="4"/>
    </row>
    <row r="3" spans="1:6" ht="13.65" customHeight="1" x14ac:dyDescent="0.3">
      <c r="A3" s="16" t="s">
        <v>4</v>
      </c>
      <c r="B3" s="16" t="s">
        <v>5</v>
      </c>
      <c r="C3" s="17" t="s">
        <v>6</v>
      </c>
      <c r="D3" s="16" t="s">
        <v>7</v>
      </c>
      <c r="E3" s="19">
        <v>46</v>
      </c>
      <c r="F3" s="19"/>
    </row>
    <row r="4" spans="1:6" ht="13.65" customHeight="1" x14ac:dyDescent="0.3">
      <c r="A4" s="20" t="s">
        <v>4</v>
      </c>
      <c r="B4" s="20" t="s">
        <v>8</v>
      </c>
      <c r="C4" s="21" t="s">
        <v>9</v>
      </c>
      <c r="D4" s="20" t="s">
        <v>7</v>
      </c>
      <c r="E4" s="22">
        <v>44</v>
      </c>
      <c r="F4" s="22"/>
    </row>
    <row r="5" spans="1:6" ht="13.65" customHeight="1" x14ac:dyDescent="0.3">
      <c r="A5" s="20" t="s">
        <v>4</v>
      </c>
      <c r="B5" s="20" t="s">
        <v>10</v>
      </c>
      <c r="C5" s="21" t="s">
        <v>11</v>
      </c>
      <c r="D5" s="20" t="s">
        <v>7</v>
      </c>
      <c r="E5" s="22">
        <v>236</v>
      </c>
      <c r="F5" s="22"/>
    </row>
    <row r="6" spans="1:6" ht="13.65" customHeight="1" x14ac:dyDescent="0.3">
      <c r="A6" s="20" t="s">
        <v>4</v>
      </c>
      <c r="B6" s="20" t="s">
        <v>12</v>
      </c>
      <c r="C6" s="21" t="s">
        <v>13</v>
      </c>
      <c r="D6" s="20" t="s">
        <v>7</v>
      </c>
      <c r="E6" s="22">
        <v>296</v>
      </c>
      <c r="F6" s="22"/>
    </row>
    <row r="7" spans="1:6" ht="13.65" customHeight="1" x14ac:dyDescent="0.3">
      <c r="A7" s="20" t="s">
        <v>4</v>
      </c>
      <c r="B7" s="20" t="s">
        <v>14</v>
      </c>
      <c r="C7" s="21" t="s">
        <v>15</v>
      </c>
      <c r="D7" s="20" t="s">
        <v>7</v>
      </c>
      <c r="E7" s="22">
        <v>40</v>
      </c>
      <c r="F7" s="22"/>
    </row>
    <row r="8" spans="1:6" ht="13.65" customHeight="1" x14ac:dyDescent="0.3">
      <c r="A8" s="20" t="s">
        <v>4</v>
      </c>
      <c r="B8" s="20" t="s">
        <v>16</v>
      </c>
      <c r="C8" s="21" t="s">
        <v>17</v>
      </c>
      <c r="D8" s="20" t="s">
        <v>7</v>
      </c>
      <c r="E8" s="22">
        <v>49</v>
      </c>
      <c r="F8" s="22"/>
    </row>
    <row r="9" spans="1:6" ht="13.65" customHeight="1" x14ac:dyDescent="0.3">
      <c r="A9" s="20" t="s">
        <v>4</v>
      </c>
      <c r="B9" s="20" t="s">
        <v>18</v>
      </c>
      <c r="C9" s="21" t="s">
        <v>19</v>
      </c>
      <c r="D9" s="20" t="s">
        <v>7</v>
      </c>
      <c r="E9" s="18">
        <v>44</v>
      </c>
      <c r="F9" s="18"/>
    </row>
    <row r="10" spans="1:6" ht="13.65" customHeight="1" x14ac:dyDescent="0.3">
      <c r="A10" s="20" t="s">
        <v>4</v>
      </c>
      <c r="B10" s="20" t="s">
        <v>20</v>
      </c>
      <c r="C10" s="21" t="s">
        <v>21</v>
      </c>
      <c r="D10" s="20" t="s">
        <v>7</v>
      </c>
      <c r="E10" s="18">
        <v>45</v>
      </c>
      <c r="F10" s="18"/>
    </row>
    <row r="11" spans="1:6" ht="13.65" customHeight="1" x14ac:dyDescent="0.3">
      <c r="A11" s="20" t="s">
        <v>4</v>
      </c>
      <c r="B11" s="20" t="s">
        <v>22</v>
      </c>
      <c r="C11" s="21" t="s">
        <v>23</v>
      </c>
      <c r="D11" s="20" t="s">
        <v>7</v>
      </c>
      <c r="E11" s="18">
        <v>75</v>
      </c>
      <c r="F11" s="22"/>
    </row>
    <row r="12" spans="1:6" ht="13.65" customHeight="1" x14ac:dyDescent="0.3">
      <c r="A12" s="20" t="s">
        <v>4</v>
      </c>
      <c r="B12" s="20" t="s">
        <v>24</v>
      </c>
      <c r="C12" s="21" t="s">
        <v>25</v>
      </c>
      <c r="D12" s="20" t="s">
        <v>7</v>
      </c>
      <c r="E12" s="18">
        <v>25</v>
      </c>
      <c r="F12" s="22"/>
    </row>
    <row r="13" spans="1:6" ht="13.65" customHeight="1" x14ac:dyDescent="0.3">
      <c r="A13" s="20" t="s">
        <v>4</v>
      </c>
      <c r="B13" s="20" t="s">
        <v>26</v>
      </c>
      <c r="C13" s="21" t="s">
        <v>27</v>
      </c>
      <c r="D13" s="20" t="s">
        <v>7</v>
      </c>
      <c r="E13" s="22">
        <v>50</v>
      </c>
      <c r="F13" s="22"/>
    </row>
    <row r="14" spans="1:6" ht="13.65" customHeight="1" x14ac:dyDescent="0.3">
      <c r="A14" s="20" t="s">
        <v>4</v>
      </c>
      <c r="B14" s="20" t="s">
        <v>28</v>
      </c>
      <c r="C14" s="21" t="s">
        <v>29</v>
      </c>
      <c r="D14" s="20" t="s">
        <v>7</v>
      </c>
      <c r="E14" s="22">
        <v>149</v>
      </c>
      <c r="F14" s="22"/>
    </row>
    <row r="15" spans="1:6" ht="13.65" customHeight="1" x14ac:dyDescent="0.3">
      <c r="A15" s="20" t="s">
        <v>4</v>
      </c>
      <c r="B15" s="20" t="s">
        <v>30</v>
      </c>
      <c r="C15" s="21" t="s">
        <v>31</v>
      </c>
      <c r="D15" s="20" t="s">
        <v>7</v>
      </c>
      <c r="E15" s="19">
        <v>47</v>
      </c>
      <c r="F15" s="19"/>
    </row>
    <row r="16" spans="1:6" ht="13.65" customHeight="1" x14ac:dyDescent="0.3">
      <c r="A16" s="20" t="s">
        <v>4</v>
      </c>
      <c r="B16" s="20" t="s">
        <v>32</v>
      </c>
      <c r="C16" s="21" t="s">
        <v>33</v>
      </c>
      <c r="D16" s="20" t="s">
        <v>7</v>
      </c>
      <c r="E16" s="19">
        <v>30</v>
      </c>
      <c r="F16" s="19"/>
    </row>
    <row r="17" spans="1:6" ht="13.65" customHeight="1" x14ac:dyDescent="0.3">
      <c r="A17" s="20" t="s">
        <v>4</v>
      </c>
      <c r="B17" s="20" t="s">
        <v>34</v>
      </c>
      <c r="C17" s="21" t="s">
        <v>35</v>
      </c>
      <c r="D17" s="20" t="s">
        <v>7</v>
      </c>
      <c r="E17" s="19">
        <v>4</v>
      </c>
      <c r="F17" s="19"/>
    </row>
    <row r="18" spans="1:6" ht="13.65" customHeight="1" x14ac:dyDescent="0.3">
      <c r="A18" s="20" t="s">
        <v>4</v>
      </c>
      <c r="B18" s="20" t="s">
        <v>36</v>
      </c>
      <c r="C18" s="21" t="s">
        <v>37</v>
      </c>
      <c r="D18" s="20" t="s">
        <v>7</v>
      </c>
      <c r="E18" s="19">
        <v>4</v>
      </c>
      <c r="F18" s="19"/>
    </row>
    <row r="19" spans="1:6" ht="13.65" customHeight="1" x14ac:dyDescent="0.3">
      <c r="A19" s="20"/>
      <c r="B19" s="20"/>
      <c r="C19" s="21"/>
      <c r="D19" s="20"/>
      <c r="E19" s="23"/>
      <c r="F19" s="23"/>
    </row>
    <row r="20" spans="1:6" ht="13.65" customHeight="1" x14ac:dyDescent="0.3">
      <c r="A20" s="20" t="s">
        <v>4</v>
      </c>
      <c r="B20" s="20" t="s">
        <v>38</v>
      </c>
      <c r="C20" s="21" t="s">
        <v>39</v>
      </c>
      <c r="D20" s="20" t="s">
        <v>7</v>
      </c>
      <c r="E20" s="23">
        <v>40</v>
      </c>
      <c r="F20" s="23"/>
    </row>
    <row r="21" spans="1:6" ht="13.65" customHeight="1" x14ac:dyDescent="0.3">
      <c r="A21" s="20" t="s">
        <v>4</v>
      </c>
      <c r="B21" s="20" t="s">
        <v>40</v>
      </c>
      <c r="C21" s="21" t="s">
        <v>41</v>
      </c>
      <c r="D21" s="20" t="s">
        <v>7</v>
      </c>
      <c r="E21" s="23">
        <v>3</v>
      </c>
      <c r="F21" s="23"/>
    </row>
    <row r="22" spans="1:6" ht="13.65" customHeight="1" x14ac:dyDescent="0.3">
      <c r="A22" s="20"/>
      <c r="B22" s="20"/>
      <c r="C22" s="21"/>
      <c r="D22" s="20"/>
      <c r="E22" s="23"/>
      <c r="F22" s="23"/>
    </row>
    <row r="23" spans="1:6" ht="13.65" customHeight="1" x14ac:dyDescent="0.3">
      <c r="A23" s="20" t="s">
        <v>42</v>
      </c>
      <c r="B23" s="20" t="s">
        <v>43</v>
      </c>
      <c r="C23" s="21" t="s">
        <v>44</v>
      </c>
      <c r="D23" s="20" t="s">
        <v>7</v>
      </c>
      <c r="E23" s="23"/>
      <c r="F23" s="23"/>
    </row>
    <row r="24" spans="1:6" ht="13.65" customHeight="1" x14ac:dyDescent="0.3">
      <c r="A24" s="20" t="s">
        <v>42</v>
      </c>
      <c r="B24" s="20" t="s">
        <v>45</v>
      </c>
      <c r="C24" s="21" t="s">
        <v>46</v>
      </c>
      <c r="D24" s="20" t="s">
        <v>7</v>
      </c>
      <c r="E24" s="23"/>
      <c r="F24" s="23"/>
    </row>
    <row r="25" spans="1:6" ht="13.65" customHeight="1" x14ac:dyDescent="0.3">
      <c r="A25" s="20"/>
      <c r="B25" s="20"/>
      <c r="C25" s="21"/>
      <c r="D25" s="20"/>
      <c r="E25" s="23"/>
      <c r="F25" s="23"/>
    </row>
    <row r="26" spans="1:6" ht="13.65" customHeight="1" x14ac:dyDescent="0.3">
      <c r="A26" s="20" t="s">
        <v>47</v>
      </c>
      <c r="B26" s="20" t="s">
        <v>48</v>
      </c>
      <c r="C26" s="21" t="s">
        <v>49</v>
      </c>
      <c r="D26" s="20" t="s">
        <v>7</v>
      </c>
      <c r="E26" s="23"/>
      <c r="F26" s="23"/>
    </row>
    <row r="27" spans="1:6" ht="13.65" customHeight="1" x14ac:dyDescent="0.3">
      <c r="A27" s="20" t="s">
        <v>47</v>
      </c>
      <c r="B27" s="20" t="s">
        <v>50</v>
      </c>
      <c r="C27" s="21" t="s">
        <v>51</v>
      </c>
      <c r="D27" s="20" t="s">
        <v>7</v>
      </c>
      <c r="E27" s="23"/>
      <c r="F27" s="23"/>
    </row>
    <row r="28" spans="1:6" ht="13.65" customHeight="1" x14ac:dyDescent="0.3">
      <c r="A28" s="20" t="s">
        <v>47</v>
      </c>
      <c r="B28" s="20" t="s">
        <v>52</v>
      </c>
      <c r="C28" s="21" t="s">
        <v>53</v>
      </c>
      <c r="D28" s="20" t="s">
        <v>7</v>
      </c>
      <c r="E28" s="23"/>
      <c r="F28" s="23"/>
    </row>
    <row r="29" spans="1:6" ht="13.65" customHeight="1" x14ac:dyDescent="0.3">
      <c r="A29" s="20" t="s">
        <v>47</v>
      </c>
      <c r="B29" s="20" t="s">
        <v>54</v>
      </c>
      <c r="C29" s="21" t="s">
        <v>55</v>
      </c>
      <c r="D29" s="20" t="s">
        <v>7</v>
      </c>
      <c r="E29" s="23"/>
      <c r="F29" s="23"/>
    </row>
    <row r="30" spans="1:6" ht="13.65" customHeight="1" x14ac:dyDescent="0.3">
      <c r="A30" s="20" t="s">
        <v>47</v>
      </c>
      <c r="B30" s="20" t="s">
        <v>56</v>
      </c>
      <c r="C30" s="21" t="s">
        <v>57</v>
      </c>
      <c r="D30" s="20" t="s">
        <v>7</v>
      </c>
      <c r="E30" s="23"/>
      <c r="F30" s="23"/>
    </row>
    <row r="31" spans="1:6" ht="13.65" customHeight="1" x14ac:dyDescent="0.3">
      <c r="A31" s="20"/>
      <c r="B31" s="20"/>
      <c r="C31" s="21"/>
      <c r="D31" s="20"/>
      <c r="E31" s="23"/>
      <c r="F31" s="23"/>
    </row>
    <row r="32" spans="1:6" ht="13.65" customHeight="1" x14ac:dyDescent="0.3">
      <c r="A32" s="20"/>
      <c r="B32" s="20"/>
      <c r="C32" s="21"/>
      <c r="D32" s="20"/>
      <c r="E32" s="23"/>
      <c r="F32" s="23"/>
    </row>
    <row r="33" spans="1:6" ht="13.65" customHeight="1" thickBot="1" x14ac:dyDescent="0.35">
      <c r="A33" s="5"/>
      <c r="B33" s="5"/>
      <c r="C33" s="6"/>
      <c r="D33" s="5"/>
      <c r="E33" s="7">
        <v>1255</v>
      </c>
      <c r="F33" s="8"/>
    </row>
    <row r="34" spans="1:6" s="24" customFormat="1" ht="13.65" customHeight="1" x14ac:dyDescent="0.3">
      <c r="A34" s="16" t="s">
        <v>4</v>
      </c>
      <c r="B34" s="16">
        <v>7358771515</v>
      </c>
      <c r="C34" s="17" t="s">
        <v>58</v>
      </c>
      <c r="D34" s="16" t="s">
        <v>7</v>
      </c>
      <c r="E34" s="20"/>
      <c r="F34" s="20"/>
    </row>
    <row r="35" spans="1:6" s="24" customFormat="1" ht="13.65" customHeight="1" x14ac:dyDescent="0.3">
      <c r="A35" s="20" t="s">
        <v>4</v>
      </c>
      <c r="B35" s="20">
        <v>7378761826</v>
      </c>
      <c r="C35" s="21" t="s">
        <v>59</v>
      </c>
      <c r="D35" s="20" t="s">
        <v>7</v>
      </c>
      <c r="E35" s="23"/>
      <c r="F35" s="23"/>
    </row>
    <row r="36" spans="1:6" s="24" customFormat="1" ht="13.65" customHeight="1" x14ac:dyDescent="0.3">
      <c r="A36" s="20" t="s">
        <v>4</v>
      </c>
      <c r="B36" s="20" t="s">
        <v>60</v>
      </c>
      <c r="C36" s="21" t="s">
        <v>61</v>
      </c>
      <c r="D36" s="20" t="s">
        <v>7</v>
      </c>
      <c r="E36" s="23"/>
      <c r="F36" s="23"/>
    </row>
    <row r="37" spans="1:6" s="24" customFormat="1" ht="13.65" customHeight="1" x14ac:dyDescent="0.3">
      <c r="A37" s="20" t="s">
        <v>4</v>
      </c>
      <c r="B37" s="20" t="s">
        <v>62</v>
      </c>
      <c r="C37" s="21" t="s">
        <v>63</v>
      </c>
      <c r="D37" s="20" t="s">
        <v>7</v>
      </c>
      <c r="E37" s="23"/>
      <c r="F37" s="23"/>
    </row>
    <row r="38" spans="1:6" s="24" customFormat="1" ht="13.65" customHeight="1" x14ac:dyDescent="0.3">
      <c r="A38" s="20" t="s">
        <v>4</v>
      </c>
      <c r="B38" s="20" t="s">
        <v>64</v>
      </c>
      <c r="C38" s="21" t="s">
        <v>65</v>
      </c>
      <c r="D38" s="20" t="s">
        <v>7</v>
      </c>
      <c r="E38" s="23"/>
      <c r="F38" s="23"/>
    </row>
    <row r="39" spans="1:6" s="24" customFormat="1" ht="13.65" customHeight="1" x14ac:dyDescent="0.3">
      <c r="A39" s="20" t="s">
        <v>4</v>
      </c>
      <c r="B39" s="20" t="s">
        <v>66</v>
      </c>
      <c r="C39" s="21" t="s">
        <v>67</v>
      </c>
      <c r="D39" s="20" t="s">
        <v>7</v>
      </c>
      <c r="E39" s="23"/>
      <c r="F39" s="23"/>
    </row>
    <row r="40" spans="1:6" s="24" customFormat="1" ht="13.65" customHeight="1" x14ac:dyDescent="0.3">
      <c r="A40" s="20" t="s">
        <v>4</v>
      </c>
      <c r="B40" s="20" t="s">
        <v>68</v>
      </c>
      <c r="C40" s="21" t="s">
        <v>69</v>
      </c>
      <c r="D40" s="20" t="s">
        <v>7</v>
      </c>
      <c r="E40" s="23"/>
      <c r="F40" s="23"/>
    </row>
    <row r="41" spans="1:6" s="24" customFormat="1" ht="13.65" customHeight="1" x14ac:dyDescent="0.3">
      <c r="A41" s="20" t="s">
        <v>4</v>
      </c>
      <c r="B41" s="20" t="s">
        <v>70</v>
      </c>
      <c r="C41" s="21" t="s">
        <v>69</v>
      </c>
      <c r="D41" s="20" t="s">
        <v>7</v>
      </c>
      <c r="E41" s="23"/>
      <c r="F41" s="23"/>
    </row>
    <row r="42" spans="1:6" s="24" customFormat="1" ht="13.65" customHeight="1" x14ac:dyDescent="0.3">
      <c r="A42" s="20" t="s">
        <v>4</v>
      </c>
      <c r="B42" s="20" t="s">
        <v>71</v>
      </c>
      <c r="C42" s="21" t="s">
        <v>72</v>
      </c>
      <c r="D42" s="20" t="s">
        <v>7</v>
      </c>
      <c r="E42" s="23"/>
      <c r="F42" s="23"/>
    </row>
    <row r="43" spans="1:6" s="24" customFormat="1" ht="13.65" customHeight="1" x14ac:dyDescent="0.3">
      <c r="A43" s="20" t="s">
        <v>4</v>
      </c>
      <c r="B43" s="20">
        <v>7951697</v>
      </c>
      <c r="C43" s="21" t="s">
        <v>73</v>
      </c>
      <c r="D43" s="20" t="s">
        <v>7</v>
      </c>
      <c r="E43" s="23"/>
      <c r="F43" s="23"/>
    </row>
    <row r="44" spans="1:6" s="24" customFormat="1" ht="13.65" customHeight="1" x14ac:dyDescent="0.3">
      <c r="A44" s="20" t="s">
        <v>4</v>
      </c>
      <c r="B44" s="20">
        <v>7952606</v>
      </c>
      <c r="C44" s="21" t="s">
        <v>74</v>
      </c>
      <c r="D44" s="20" t="s">
        <v>7</v>
      </c>
      <c r="E44" s="23"/>
      <c r="F44" s="23"/>
    </row>
    <row r="45" spans="1:6" s="24" customFormat="1" ht="13.65" customHeight="1" x14ac:dyDescent="0.3">
      <c r="A45" s="20" t="s">
        <v>4</v>
      </c>
      <c r="B45" s="20" t="s">
        <v>75</v>
      </c>
      <c r="C45" s="21" t="s">
        <v>76</v>
      </c>
      <c r="D45" s="20" t="s">
        <v>7</v>
      </c>
      <c r="E45" s="23"/>
      <c r="F45" s="23"/>
    </row>
    <row r="46" spans="1:6" s="24" customFormat="1" ht="13.65" customHeight="1" x14ac:dyDescent="0.3">
      <c r="A46" s="20"/>
      <c r="B46" s="20"/>
      <c r="C46" s="21"/>
      <c r="D46" s="20"/>
      <c r="E46" s="23"/>
      <c r="F46" s="23"/>
    </row>
    <row r="47" spans="1:6" s="24" customFormat="1" ht="13.65" customHeight="1" x14ac:dyDescent="0.3">
      <c r="A47" s="20" t="s">
        <v>4</v>
      </c>
      <c r="B47" s="20">
        <v>7305771415</v>
      </c>
      <c r="C47" s="21" t="s">
        <v>77</v>
      </c>
      <c r="D47" s="20" t="s">
        <v>7</v>
      </c>
      <c r="E47" s="23"/>
      <c r="F47" s="23"/>
    </row>
    <row r="48" spans="1:6" s="24" customFormat="1" ht="13.65" customHeight="1" x14ac:dyDescent="0.3">
      <c r="A48" s="20" t="s">
        <v>4</v>
      </c>
      <c r="B48" s="20" t="s">
        <v>78</v>
      </c>
      <c r="C48" s="21" t="s">
        <v>79</v>
      </c>
      <c r="D48" s="20" t="s">
        <v>7</v>
      </c>
      <c r="E48" s="23"/>
      <c r="F48" s="23"/>
    </row>
    <row r="49" spans="1:6" s="24" customFormat="1" ht="13.65" customHeight="1" x14ac:dyDescent="0.3">
      <c r="A49" s="20" t="s">
        <v>4</v>
      </c>
      <c r="B49" s="20" t="s">
        <v>80</v>
      </c>
      <c r="C49" s="21" t="s">
        <v>81</v>
      </c>
      <c r="D49" s="20" t="s">
        <v>7</v>
      </c>
      <c r="E49" s="23"/>
      <c r="F49" s="23"/>
    </row>
    <row r="50" spans="1:6" s="24" customFormat="1" ht="13.65" customHeight="1" x14ac:dyDescent="0.3">
      <c r="A50" s="20"/>
      <c r="B50" s="20"/>
      <c r="C50" s="21"/>
      <c r="D50" s="20"/>
      <c r="E50" s="23"/>
      <c r="F50" s="23"/>
    </row>
    <row r="51" spans="1:6" s="24" customFormat="1" ht="13.65" customHeight="1" x14ac:dyDescent="0.3">
      <c r="A51" s="20" t="s">
        <v>4</v>
      </c>
      <c r="B51" s="20" t="s">
        <v>82</v>
      </c>
      <c r="C51" s="21" t="s">
        <v>83</v>
      </c>
      <c r="D51" s="20" t="s">
        <v>7</v>
      </c>
      <c r="E51" s="23"/>
      <c r="F51" s="23"/>
    </row>
    <row r="52" spans="1:6" s="24" customFormat="1" ht="13.65" customHeight="1" x14ac:dyDescent="0.3">
      <c r="A52" s="20"/>
      <c r="B52" s="20"/>
      <c r="C52" s="21"/>
      <c r="D52" s="20"/>
      <c r="E52" s="23"/>
      <c r="F52" s="23"/>
    </row>
    <row r="53" spans="1:6" s="24" customFormat="1" ht="13.65" customHeight="1" x14ac:dyDescent="0.3">
      <c r="A53" s="26" t="s">
        <v>4</v>
      </c>
      <c r="B53" s="26">
        <v>7328602001</v>
      </c>
      <c r="C53" s="27" t="s">
        <v>84</v>
      </c>
      <c r="D53" s="26" t="s">
        <v>7</v>
      </c>
      <c r="E53" s="25"/>
      <c r="F53" s="25"/>
    </row>
    <row r="54" spans="1:6" s="24" customFormat="1" ht="13.65" customHeight="1" x14ac:dyDescent="0.3">
      <c r="A54" s="20" t="s">
        <v>4</v>
      </c>
      <c r="B54" s="20" t="s">
        <v>85</v>
      </c>
      <c r="C54" s="21" t="s">
        <v>86</v>
      </c>
      <c r="D54" s="20" t="s">
        <v>7</v>
      </c>
      <c r="E54" s="23"/>
      <c r="F54" s="23"/>
    </row>
    <row r="55" spans="1:6" s="24" customFormat="1" ht="13.65" customHeight="1" x14ac:dyDescent="0.3">
      <c r="A55" s="20" t="s">
        <v>4</v>
      </c>
      <c r="B55" s="20">
        <v>7951698</v>
      </c>
      <c r="C55" s="21" t="s">
        <v>87</v>
      </c>
      <c r="D55" s="20" t="s">
        <v>7</v>
      </c>
      <c r="E55" s="23"/>
      <c r="F55" s="23"/>
    </row>
    <row r="56" spans="1:6" s="24" customFormat="1" ht="13.65" customHeight="1" thickBot="1" x14ac:dyDescent="0.35">
      <c r="A56" s="28"/>
      <c r="B56" s="28"/>
      <c r="C56" s="29"/>
      <c r="D56" s="28"/>
      <c r="E56" s="30"/>
      <c r="F56" s="30"/>
    </row>
    <row r="57" spans="1:6" s="24" customFormat="1" ht="13.65" customHeight="1" thickBot="1" x14ac:dyDescent="0.35">
      <c r="A57" s="37"/>
      <c r="B57" s="37"/>
      <c r="C57" s="38"/>
      <c r="D57" s="37"/>
      <c r="E57" s="39"/>
      <c r="F57" s="39"/>
    </row>
    <row r="58" spans="1:6" s="24" customFormat="1" ht="13.65" customHeight="1" thickBot="1" x14ac:dyDescent="0.35">
      <c r="A58" s="37"/>
      <c r="B58" s="37"/>
      <c r="C58" s="38"/>
      <c r="D58" s="37"/>
      <c r="E58" s="39"/>
      <c r="F58" s="39"/>
    </row>
    <row r="59" spans="1:6" s="24" customFormat="1" ht="13.65" customHeight="1" thickBot="1" x14ac:dyDescent="0.35">
      <c r="A59" s="37"/>
      <c r="B59" s="37"/>
      <c r="C59" s="38"/>
      <c r="D59" s="37"/>
      <c r="E59" s="39"/>
      <c r="F59" s="39"/>
    </row>
    <row r="60" spans="1:6" s="24" customFormat="1" ht="13.65" customHeight="1" thickBot="1" x14ac:dyDescent="0.35">
      <c r="A60" s="37"/>
      <c r="B60" s="37"/>
      <c r="C60" s="38"/>
      <c r="D60" s="37"/>
      <c r="E60" s="39"/>
      <c r="F60" s="39"/>
    </row>
    <row r="61" spans="1:6" s="24" customFormat="1" ht="13.65" customHeight="1" thickBot="1" x14ac:dyDescent="0.35">
      <c r="A61" s="37"/>
      <c r="B61" s="37"/>
      <c r="C61" s="38"/>
      <c r="D61" s="37"/>
      <c r="E61" s="39"/>
      <c r="F61" s="39"/>
    </row>
    <row r="62" spans="1:6" s="24" customFormat="1" ht="13.65" customHeight="1" thickBot="1" x14ac:dyDescent="0.35">
      <c r="A62" s="37"/>
      <c r="B62" s="37"/>
      <c r="C62" s="38"/>
      <c r="D62" s="37"/>
      <c r="E62" s="39"/>
      <c r="F62" s="39"/>
    </row>
    <row r="63" spans="1:6" s="24" customFormat="1" ht="13.65" customHeight="1" thickBot="1" x14ac:dyDescent="0.35">
      <c r="A63" s="37"/>
      <c r="B63" s="37"/>
      <c r="C63" s="38"/>
      <c r="D63" s="37"/>
      <c r="E63" s="39"/>
      <c r="F63" s="39"/>
    </row>
    <row r="64" spans="1:6" ht="13.65" customHeight="1" thickBot="1" x14ac:dyDescent="0.35">
      <c r="A64" s="5"/>
      <c r="B64" s="5"/>
      <c r="C64" s="6"/>
      <c r="D64" s="5"/>
      <c r="E64" s="12">
        <v>0</v>
      </c>
      <c r="F64" s="12"/>
    </row>
    <row r="65" spans="1:6" s="24" customFormat="1" ht="13.65" customHeight="1" x14ac:dyDescent="0.3">
      <c r="A65" s="16" t="s">
        <v>42</v>
      </c>
      <c r="B65" s="16" t="s">
        <v>88</v>
      </c>
      <c r="C65" s="17" t="s">
        <v>89</v>
      </c>
      <c r="D65" s="16" t="s">
        <v>7</v>
      </c>
      <c r="E65" s="31">
        <v>1190</v>
      </c>
      <c r="F65" s="31"/>
    </row>
    <row r="66" spans="1:6" s="24" customFormat="1" ht="13.65" customHeight="1" x14ac:dyDescent="0.3">
      <c r="A66" s="20" t="s">
        <v>42</v>
      </c>
      <c r="B66" s="20" t="s">
        <v>90</v>
      </c>
      <c r="C66" s="21" t="s">
        <v>91</v>
      </c>
      <c r="D66" s="20" t="s">
        <v>7</v>
      </c>
      <c r="E66" s="23">
        <v>1190</v>
      </c>
      <c r="F66" s="23"/>
    </row>
    <row r="67" spans="1:6" s="24" customFormat="1" ht="13.65" customHeight="1" x14ac:dyDescent="0.3">
      <c r="A67" s="20" t="s">
        <v>42</v>
      </c>
      <c r="B67" s="20" t="s">
        <v>92</v>
      </c>
      <c r="C67" s="21" t="s">
        <v>93</v>
      </c>
      <c r="D67" s="20" t="s">
        <v>7</v>
      </c>
      <c r="E67" s="23">
        <v>2050</v>
      </c>
      <c r="F67" s="23"/>
    </row>
    <row r="68" spans="1:6" s="24" customFormat="1" ht="13.65" customHeight="1" x14ac:dyDescent="0.3">
      <c r="A68" s="20" t="s">
        <v>42</v>
      </c>
      <c r="B68" s="20" t="s">
        <v>94</v>
      </c>
      <c r="C68" s="21" t="s">
        <v>95</v>
      </c>
      <c r="D68" s="20" t="s">
        <v>7</v>
      </c>
      <c r="E68" s="23"/>
      <c r="F68" s="23"/>
    </row>
    <row r="69" spans="1:6" s="24" customFormat="1" ht="13.65" customHeight="1" x14ac:dyDescent="0.3">
      <c r="A69" s="20" t="s">
        <v>96</v>
      </c>
      <c r="B69" s="20" t="s">
        <v>97</v>
      </c>
      <c r="C69" s="21" t="s">
        <v>98</v>
      </c>
      <c r="D69" s="20" t="s">
        <v>7</v>
      </c>
      <c r="E69" s="23">
        <v>525</v>
      </c>
      <c r="F69" s="23"/>
    </row>
    <row r="70" spans="1:6" s="24" customFormat="1" ht="13.65" customHeight="1" x14ac:dyDescent="0.3">
      <c r="A70" s="20" t="s">
        <v>96</v>
      </c>
      <c r="B70" s="20" t="s">
        <v>99</v>
      </c>
      <c r="C70" s="21" t="s">
        <v>100</v>
      </c>
      <c r="D70" s="20" t="s">
        <v>7</v>
      </c>
      <c r="E70" s="23">
        <v>2550</v>
      </c>
      <c r="F70" s="23"/>
    </row>
    <row r="71" spans="1:6" s="24" customFormat="1" ht="13.65" customHeight="1" x14ac:dyDescent="0.3">
      <c r="A71" s="20"/>
      <c r="B71" s="20"/>
      <c r="C71" s="21"/>
      <c r="D71" s="20"/>
      <c r="E71" s="23"/>
      <c r="F71" s="23"/>
    </row>
    <row r="72" spans="1:6" s="24" customFormat="1" ht="13.65" customHeight="1" x14ac:dyDescent="0.3">
      <c r="A72" s="20" t="s">
        <v>4</v>
      </c>
      <c r="B72" s="20" t="s">
        <v>101</v>
      </c>
      <c r="C72" s="21" t="s">
        <v>102</v>
      </c>
      <c r="D72" s="20" t="s">
        <v>7</v>
      </c>
      <c r="E72" s="23">
        <v>12532</v>
      </c>
      <c r="F72" s="23"/>
    </row>
    <row r="73" spans="1:6" s="24" customFormat="1" ht="13.65" customHeight="1" x14ac:dyDescent="0.3">
      <c r="A73" s="20" t="s">
        <v>4</v>
      </c>
      <c r="B73" s="20" t="s">
        <v>103</v>
      </c>
      <c r="C73" s="21" t="s">
        <v>104</v>
      </c>
      <c r="D73" s="20" t="s">
        <v>7</v>
      </c>
      <c r="E73" s="23">
        <v>12480</v>
      </c>
      <c r="F73" s="23"/>
    </row>
    <row r="74" spans="1:6" s="24" customFormat="1" ht="13.65" customHeight="1" x14ac:dyDescent="0.3">
      <c r="A74" s="20" t="s">
        <v>4</v>
      </c>
      <c r="B74" s="20" t="s">
        <v>105</v>
      </c>
      <c r="C74" s="21" t="s">
        <v>106</v>
      </c>
      <c r="D74" s="20" t="s">
        <v>7</v>
      </c>
      <c r="E74" s="23">
        <v>950</v>
      </c>
      <c r="F74" s="23"/>
    </row>
    <row r="75" spans="1:6" s="24" customFormat="1" ht="13.65" customHeight="1" thickBot="1" x14ac:dyDescent="0.35">
      <c r="A75" s="28"/>
      <c r="B75" s="28"/>
      <c r="C75" s="29"/>
      <c r="D75" s="28"/>
      <c r="E75" s="30"/>
      <c r="F75" s="30"/>
    </row>
    <row r="76" spans="1:6" ht="13.65" customHeight="1" thickBot="1" x14ac:dyDescent="0.35">
      <c r="A76" s="5"/>
      <c r="B76" s="5"/>
      <c r="C76" s="6"/>
      <c r="D76" s="5"/>
      <c r="E76" s="7">
        <v>33467</v>
      </c>
      <c r="F76" s="8"/>
    </row>
    <row r="77" spans="1:6" s="24" customFormat="1" ht="13.65" customHeight="1" x14ac:dyDescent="0.3">
      <c r="A77" s="16" t="s">
        <v>107</v>
      </c>
      <c r="B77" s="16" t="s">
        <v>108</v>
      </c>
      <c r="C77" s="17" t="s">
        <v>109</v>
      </c>
      <c r="D77" s="16" t="s">
        <v>7</v>
      </c>
      <c r="E77" s="31">
        <v>1504</v>
      </c>
      <c r="F77" s="31"/>
    </row>
    <row r="78" spans="1:6" s="24" customFormat="1" ht="13.65" customHeight="1" x14ac:dyDescent="0.3">
      <c r="A78" s="26" t="s">
        <v>107</v>
      </c>
      <c r="B78" s="26" t="s">
        <v>110</v>
      </c>
      <c r="C78" s="27" t="s">
        <v>111</v>
      </c>
      <c r="D78" s="26" t="s">
        <v>7</v>
      </c>
      <c r="E78" s="25">
        <v>250</v>
      </c>
      <c r="F78" s="25"/>
    </row>
    <row r="79" spans="1:6" s="24" customFormat="1" ht="13.65" customHeight="1" x14ac:dyDescent="0.3">
      <c r="A79" s="26" t="s">
        <v>107</v>
      </c>
      <c r="B79" s="26" t="s">
        <v>112</v>
      </c>
      <c r="C79" s="27" t="s">
        <v>113</v>
      </c>
      <c r="D79" s="26" t="s">
        <v>114</v>
      </c>
      <c r="E79" s="25">
        <v>20</v>
      </c>
      <c r="F79" s="25"/>
    </row>
    <row r="80" spans="1:6" s="24" customFormat="1" ht="13.65" customHeight="1" thickBot="1" x14ac:dyDescent="0.35">
      <c r="A80" s="26"/>
      <c r="B80" s="26"/>
      <c r="C80" s="27"/>
      <c r="D80" s="26"/>
      <c r="E80" s="25"/>
      <c r="F80" s="25"/>
    </row>
    <row r="81" spans="1:6" ht="13.65" customHeight="1" thickBot="1" x14ac:dyDescent="0.35">
      <c r="A81" s="1"/>
      <c r="B81" s="1"/>
      <c r="C81" s="13"/>
      <c r="D81" s="13"/>
      <c r="E81" s="14">
        <v>1774</v>
      </c>
      <c r="F81" s="15"/>
    </row>
    <row r="82" spans="1:6" s="24" customFormat="1" ht="13.65" customHeight="1" x14ac:dyDescent="0.3">
      <c r="A82" s="32" t="s">
        <v>42</v>
      </c>
      <c r="B82" s="32" t="s">
        <v>115</v>
      </c>
      <c r="C82" s="33" t="s">
        <v>116</v>
      </c>
      <c r="D82" s="32" t="s">
        <v>7</v>
      </c>
      <c r="E82" s="34"/>
      <c r="F82" s="34"/>
    </row>
    <row r="83" spans="1:6" s="24" customFormat="1" ht="13.65" customHeight="1" x14ac:dyDescent="0.3">
      <c r="A83" s="20" t="s">
        <v>42</v>
      </c>
      <c r="B83" s="20" t="s">
        <v>117</v>
      </c>
      <c r="C83" s="21" t="s">
        <v>118</v>
      </c>
      <c r="D83" s="20" t="s">
        <v>7</v>
      </c>
      <c r="E83" s="23">
        <v>1400</v>
      </c>
      <c r="F83" s="23"/>
    </row>
    <row r="84" spans="1:6" s="24" customFormat="1" ht="13.65" customHeight="1" x14ac:dyDescent="0.3">
      <c r="A84" s="20" t="s">
        <v>42</v>
      </c>
      <c r="B84" s="20" t="s">
        <v>119</v>
      </c>
      <c r="C84" s="21" t="s">
        <v>120</v>
      </c>
      <c r="D84" s="20" t="s">
        <v>7</v>
      </c>
      <c r="E84" s="23">
        <v>1168</v>
      </c>
      <c r="F84" s="23"/>
    </row>
    <row r="85" spans="1:6" s="24" customFormat="1" ht="13.65" customHeight="1" x14ac:dyDescent="0.3">
      <c r="A85" s="20" t="s">
        <v>42</v>
      </c>
      <c r="B85" s="20" t="s">
        <v>121</v>
      </c>
      <c r="C85" s="21" t="s">
        <v>122</v>
      </c>
      <c r="D85" s="20" t="s">
        <v>7</v>
      </c>
      <c r="E85" s="23">
        <v>400</v>
      </c>
      <c r="F85" s="23"/>
    </row>
    <row r="86" spans="1:6" s="24" customFormat="1" ht="13.65" customHeight="1" x14ac:dyDescent="0.3">
      <c r="A86" s="20" t="s">
        <v>42</v>
      </c>
      <c r="B86" s="20" t="s">
        <v>123</v>
      </c>
      <c r="C86" s="21" t="s">
        <v>124</v>
      </c>
      <c r="D86" s="20" t="s">
        <v>7</v>
      </c>
      <c r="E86" s="23">
        <v>760</v>
      </c>
      <c r="F86" s="23"/>
    </row>
    <row r="87" spans="1:6" s="24" customFormat="1" ht="13.65" customHeight="1" thickBot="1" x14ac:dyDescent="0.35">
      <c r="A87" s="28"/>
      <c r="B87" s="28"/>
      <c r="C87" s="29"/>
      <c r="D87" s="28"/>
      <c r="E87" s="30"/>
      <c r="F87" s="30"/>
    </row>
    <row r="88" spans="1:6" s="24" customFormat="1" ht="13.65" customHeight="1" thickBot="1" x14ac:dyDescent="0.35">
      <c r="A88" s="37"/>
      <c r="B88" s="37"/>
      <c r="C88" s="38"/>
      <c r="D88" s="37"/>
      <c r="E88" s="40"/>
      <c r="F88" s="41"/>
    </row>
    <row r="89" spans="1:6" s="24" customFormat="1" ht="13.65" customHeight="1" thickBot="1" x14ac:dyDescent="0.35">
      <c r="A89" s="37"/>
      <c r="B89" s="37"/>
      <c r="C89" s="38"/>
      <c r="D89" s="37"/>
      <c r="E89" s="40"/>
      <c r="F89" s="41"/>
    </row>
    <row r="90" spans="1:6" s="24" customFormat="1" ht="13.65" customHeight="1" thickBot="1" x14ac:dyDescent="0.35">
      <c r="A90" s="37"/>
      <c r="B90" s="37"/>
      <c r="C90" s="38"/>
      <c r="D90" s="37"/>
      <c r="E90" s="40"/>
      <c r="F90" s="41"/>
    </row>
    <row r="91" spans="1:6" s="24" customFormat="1" ht="13.65" customHeight="1" thickBot="1" x14ac:dyDescent="0.35">
      <c r="A91" s="37"/>
      <c r="B91" s="37"/>
      <c r="C91" s="38"/>
      <c r="D91" s="37"/>
      <c r="E91" s="40"/>
      <c r="F91" s="41"/>
    </row>
    <row r="92" spans="1:6" s="24" customFormat="1" ht="13.65" customHeight="1" thickBot="1" x14ac:dyDescent="0.35">
      <c r="A92" s="37"/>
      <c r="B92" s="37"/>
      <c r="C92" s="38"/>
      <c r="D92" s="37"/>
      <c r="E92" s="40"/>
      <c r="F92" s="41"/>
    </row>
    <row r="93" spans="1:6" s="24" customFormat="1" ht="13.65" customHeight="1" thickBot="1" x14ac:dyDescent="0.35">
      <c r="A93" s="37"/>
      <c r="B93" s="37"/>
      <c r="C93" s="38"/>
      <c r="D93" s="37"/>
      <c r="E93" s="40"/>
      <c r="F93" s="41"/>
    </row>
    <row r="94" spans="1:6" s="24" customFormat="1" ht="13.65" customHeight="1" thickBot="1" x14ac:dyDescent="0.35">
      <c r="A94" s="37"/>
      <c r="B94" s="37"/>
      <c r="C94" s="38"/>
      <c r="D94" s="37"/>
      <c r="E94" s="40"/>
      <c r="F94" s="41"/>
    </row>
    <row r="95" spans="1:6" ht="13.65" customHeight="1" thickBot="1" x14ac:dyDescent="0.35">
      <c r="A95" s="5"/>
      <c r="B95" s="5"/>
      <c r="C95" s="6"/>
      <c r="D95" s="5"/>
      <c r="E95" s="7">
        <v>3728</v>
      </c>
      <c r="F95" s="8"/>
    </row>
    <row r="96" spans="1:6" s="24" customFormat="1" ht="13.65" customHeight="1" x14ac:dyDescent="0.3">
      <c r="A96" s="16" t="s">
        <v>125</v>
      </c>
      <c r="B96" s="16" t="s">
        <v>126</v>
      </c>
      <c r="C96" s="17" t="s">
        <v>127</v>
      </c>
      <c r="D96" s="16" t="s">
        <v>7</v>
      </c>
      <c r="E96" s="31">
        <v>20</v>
      </c>
      <c r="F96" s="31"/>
    </row>
    <row r="97" spans="1:6" s="24" customFormat="1" ht="13.65" customHeight="1" x14ac:dyDescent="0.3">
      <c r="A97" s="20" t="s">
        <v>125</v>
      </c>
      <c r="B97" s="20" t="s">
        <v>128</v>
      </c>
      <c r="C97" s="21" t="s">
        <v>129</v>
      </c>
      <c r="D97" s="20" t="s">
        <v>7</v>
      </c>
      <c r="E97" s="23">
        <v>25</v>
      </c>
      <c r="F97" s="23"/>
    </row>
    <row r="98" spans="1:6" s="24" customFormat="1" ht="13.65" customHeight="1" x14ac:dyDescent="0.3">
      <c r="A98" s="20" t="s">
        <v>125</v>
      </c>
      <c r="B98" s="20" t="s">
        <v>130</v>
      </c>
      <c r="C98" s="21" t="s">
        <v>131</v>
      </c>
      <c r="D98" s="20" t="s">
        <v>7</v>
      </c>
      <c r="E98" s="23">
        <v>50</v>
      </c>
      <c r="F98" s="23"/>
    </row>
    <row r="99" spans="1:6" s="24" customFormat="1" ht="13.65" customHeight="1" x14ac:dyDescent="0.3">
      <c r="A99" s="20" t="s">
        <v>125</v>
      </c>
      <c r="B99" s="20" t="s">
        <v>132</v>
      </c>
      <c r="C99" s="21" t="s">
        <v>133</v>
      </c>
      <c r="D99" s="20" t="s">
        <v>7</v>
      </c>
      <c r="E99" s="23">
        <v>10</v>
      </c>
      <c r="F99" s="23"/>
    </row>
    <row r="100" spans="1:6" s="24" customFormat="1" ht="13.65" customHeight="1" x14ac:dyDescent="0.3">
      <c r="A100" s="20" t="s">
        <v>125</v>
      </c>
      <c r="B100" s="20" t="s">
        <v>134</v>
      </c>
      <c r="C100" s="21" t="s">
        <v>135</v>
      </c>
      <c r="D100" s="20" t="s">
        <v>7</v>
      </c>
      <c r="E100" s="23">
        <v>10</v>
      </c>
      <c r="F100" s="23"/>
    </row>
    <row r="101" spans="1:6" s="24" customFormat="1" ht="13.65" customHeight="1" x14ac:dyDescent="0.3">
      <c r="A101" s="20" t="s">
        <v>125</v>
      </c>
      <c r="B101" s="20" t="s">
        <v>136</v>
      </c>
      <c r="C101" s="21" t="s">
        <v>137</v>
      </c>
      <c r="D101" s="20" t="s">
        <v>7</v>
      </c>
      <c r="E101" s="23">
        <v>30</v>
      </c>
      <c r="F101" s="23"/>
    </row>
    <row r="102" spans="1:6" s="24" customFormat="1" ht="13.65" customHeight="1" x14ac:dyDescent="0.3">
      <c r="A102" s="20" t="s">
        <v>125</v>
      </c>
      <c r="B102" s="20" t="s">
        <v>138</v>
      </c>
      <c r="C102" s="21" t="s">
        <v>139</v>
      </c>
      <c r="D102" s="20" t="s">
        <v>7</v>
      </c>
      <c r="E102" s="23">
        <v>60</v>
      </c>
      <c r="F102" s="23"/>
    </row>
    <row r="103" spans="1:6" s="24" customFormat="1" ht="13.65" customHeight="1" x14ac:dyDescent="0.3">
      <c r="A103" s="20" t="s">
        <v>125</v>
      </c>
      <c r="B103" s="20" t="s">
        <v>140</v>
      </c>
      <c r="C103" s="21" t="s">
        <v>141</v>
      </c>
      <c r="D103" s="20" t="s">
        <v>7</v>
      </c>
      <c r="E103" s="23">
        <v>120</v>
      </c>
      <c r="F103" s="23"/>
    </row>
    <row r="104" spans="1:6" s="24" customFormat="1" ht="13.65" customHeight="1" x14ac:dyDescent="0.3">
      <c r="A104" s="20" t="s">
        <v>125</v>
      </c>
      <c r="B104" s="20" t="s">
        <v>142</v>
      </c>
      <c r="C104" s="21" t="s">
        <v>143</v>
      </c>
      <c r="D104" s="20" t="s">
        <v>7</v>
      </c>
      <c r="E104" s="23">
        <v>10</v>
      </c>
      <c r="F104" s="23"/>
    </row>
    <row r="105" spans="1:6" s="24" customFormat="1" ht="13.65" customHeight="1" x14ac:dyDescent="0.3">
      <c r="A105" s="20" t="s">
        <v>125</v>
      </c>
      <c r="B105" s="20" t="s">
        <v>144</v>
      </c>
      <c r="C105" s="21" t="s">
        <v>145</v>
      </c>
      <c r="D105" s="20" t="s">
        <v>7</v>
      </c>
      <c r="E105" s="23">
        <v>10</v>
      </c>
      <c r="F105" s="23"/>
    </row>
    <row r="106" spans="1:6" s="24" customFormat="1" ht="13.65" customHeight="1" x14ac:dyDescent="0.3">
      <c r="A106" s="20" t="s">
        <v>125</v>
      </c>
      <c r="B106" s="20" t="s">
        <v>146</v>
      </c>
      <c r="C106" s="21" t="s">
        <v>147</v>
      </c>
      <c r="D106" s="20" t="s">
        <v>7</v>
      </c>
      <c r="E106" s="23">
        <v>20</v>
      </c>
      <c r="F106" s="23"/>
    </row>
    <row r="107" spans="1:6" s="24" customFormat="1" ht="13.65" customHeight="1" x14ac:dyDescent="0.3">
      <c r="A107" s="20" t="s">
        <v>125</v>
      </c>
      <c r="B107" s="20" t="s">
        <v>148</v>
      </c>
      <c r="C107" s="21" t="s">
        <v>149</v>
      </c>
      <c r="D107" s="20" t="s">
        <v>7</v>
      </c>
      <c r="E107" s="23">
        <v>10</v>
      </c>
      <c r="F107" s="23"/>
    </row>
    <row r="108" spans="1:6" s="24" customFormat="1" ht="13.65" customHeight="1" x14ac:dyDescent="0.3">
      <c r="A108" s="20" t="s">
        <v>125</v>
      </c>
      <c r="B108" s="20" t="s">
        <v>150</v>
      </c>
      <c r="C108" s="21" t="s">
        <v>151</v>
      </c>
      <c r="D108" s="20" t="s">
        <v>7</v>
      </c>
      <c r="E108" s="23"/>
      <c r="F108" s="23"/>
    </row>
    <row r="109" spans="1:6" s="24" customFormat="1" ht="13.65" customHeight="1" x14ac:dyDescent="0.3">
      <c r="A109" s="20" t="s">
        <v>125</v>
      </c>
      <c r="B109" s="20" t="s">
        <v>152</v>
      </c>
      <c r="C109" s="21" t="s">
        <v>153</v>
      </c>
      <c r="D109" s="20" t="s">
        <v>7</v>
      </c>
      <c r="E109" s="23"/>
      <c r="F109" s="23"/>
    </row>
    <row r="110" spans="1:6" s="24" customFormat="1" ht="13.65" customHeight="1" x14ac:dyDescent="0.3">
      <c r="A110" s="20" t="s">
        <v>125</v>
      </c>
      <c r="B110" s="20" t="s">
        <v>154</v>
      </c>
      <c r="C110" s="21" t="s">
        <v>155</v>
      </c>
      <c r="D110" s="20" t="s">
        <v>7</v>
      </c>
      <c r="E110" s="23"/>
      <c r="F110" s="23"/>
    </row>
    <row r="111" spans="1:6" s="24" customFormat="1" ht="13.65" customHeight="1" x14ac:dyDescent="0.3">
      <c r="A111" s="20" t="s">
        <v>125</v>
      </c>
      <c r="B111" s="20" t="s">
        <v>156</v>
      </c>
      <c r="C111" s="21" t="s">
        <v>157</v>
      </c>
      <c r="D111" s="20" t="s">
        <v>7</v>
      </c>
      <c r="E111" s="23"/>
      <c r="F111" s="23"/>
    </row>
    <row r="112" spans="1:6" s="24" customFormat="1" ht="13.65" customHeight="1" x14ac:dyDescent="0.3">
      <c r="A112" s="20" t="s">
        <v>125</v>
      </c>
      <c r="B112" s="20" t="s">
        <v>158</v>
      </c>
      <c r="C112" s="21" t="s">
        <v>159</v>
      </c>
      <c r="D112" s="20" t="s">
        <v>7</v>
      </c>
      <c r="E112" s="23"/>
      <c r="F112" s="23"/>
    </row>
    <row r="113" spans="1:6" s="24" customFormat="1" ht="13.65" customHeight="1" x14ac:dyDescent="0.3">
      <c r="A113" s="20" t="s">
        <v>125</v>
      </c>
      <c r="B113" s="20" t="s">
        <v>160</v>
      </c>
      <c r="C113" s="21" t="s">
        <v>161</v>
      </c>
      <c r="D113" s="20" t="s">
        <v>7</v>
      </c>
      <c r="E113" s="23"/>
      <c r="F113" s="23"/>
    </row>
    <row r="114" spans="1:6" s="24" customFormat="1" ht="13.65" customHeight="1" x14ac:dyDescent="0.3">
      <c r="A114" s="20" t="s">
        <v>125</v>
      </c>
      <c r="B114" s="20" t="s">
        <v>162</v>
      </c>
      <c r="C114" s="21" t="s">
        <v>163</v>
      </c>
      <c r="D114" s="20" t="s">
        <v>7</v>
      </c>
      <c r="E114" s="23"/>
      <c r="F114" s="23"/>
    </row>
    <row r="115" spans="1:6" s="24" customFormat="1" ht="13.65" customHeight="1" x14ac:dyDescent="0.3">
      <c r="A115" s="20" t="s">
        <v>125</v>
      </c>
      <c r="B115" s="20" t="s">
        <v>164</v>
      </c>
      <c r="C115" s="21" t="s">
        <v>165</v>
      </c>
      <c r="D115" s="20" t="s">
        <v>7</v>
      </c>
      <c r="E115" s="23"/>
      <c r="F115" s="23"/>
    </row>
    <row r="116" spans="1:6" s="24" customFormat="1" ht="13.65" customHeight="1" x14ac:dyDescent="0.3">
      <c r="A116" s="20" t="s">
        <v>125</v>
      </c>
      <c r="B116" s="20" t="s">
        <v>166</v>
      </c>
      <c r="C116" s="21" t="s">
        <v>167</v>
      </c>
      <c r="D116" s="20" t="s">
        <v>7</v>
      </c>
      <c r="E116" s="23"/>
      <c r="F116" s="23"/>
    </row>
    <row r="117" spans="1:6" s="24" customFormat="1" ht="13.65" customHeight="1" x14ac:dyDescent="0.3">
      <c r="A117" s="20" t="s">
        <v>125</v>
      </c>
      <c r="B117" s="26">
        <v>2502535</v>
      </c>
      <c r="C117" s="27" t="s">
        <v>168</v>
      </c>
      <c r="D117" s="20" t="s">
        <v>7</v>
      </c>
      <c r="E117" s="25"/>
      <c r="F117" s="25"/>
    </row>
    <row r="118" spans="1:6" s="24" customFormat="1" ht="13.65" customHeight="1" thickBot="1" x14ac:dyDescent="0.35">
      <c r="A118" s="20" t="s">
        <v>125</v>
      </c>
      <c r="B118" s="28" t="s">
        <v>169</v>
      </c>
      <c r="C118" s="29" t="s">
        <v>170</v>
      </c>
      <c r="D118" s="20" t="s">
        <v>7</v>
      </c>
      <c r="E118" s="30">
        <v>10</v>
      </c>
      <c r="F118" s="30"/>
    </row>
    <row r="119" spans="1:6" ht="13.65" customHeight="1" thickBot="1" x14ac:dyDescent="0.35">
      <c r="A119" s="1"/>
      <c r="B119" s="1"/>
      <c r="C119" s="13"/>
      <c r="D119" s="1"/>
      <c r="E119" s="14">
        <v>385</v>
      </c>
      <c r="F119" s="15"/>
    </row>
    <row r="120" spans="1:6" s="24" customFormat="1" ht="13.65" customHeight="1" x14ac:dyDescent="0.3">
      <c r="A120" s="16" t="s">
        <v>171</v>
      </c>
      <c r="B120" s="16" t="s">
        <v>172</v>
      </c>
      <c r="C120" s="17" t="s">
        <v>173</v>
      </c>
      <c r="D120" s="16" t="s">
        <v>174</v>
      </c>
      <c r="E120" s="31"/>
      <c r="F120" s="31"/>
    </row>
    <row r="121" spans="1:6" s="24" customFormat="1" ht="13.65" customHeight="1" x14ac:dyDescent="0.3">
      <c r="A121" s="20" t="s">
        <v>175</v>
      </c>
      <c r="B121" s="20">
        <v>50736306</v>
      </c>
      <c r="C121" s="21" t="s">
        <v>176</v>
      </c>
      <c r="D121" s="20" t="s">
        <v>177</v>
      </c>
      <c r="E121" s="23"/>
      <c r="F121" s="23"/>
    </row>
    <row r="122" spans="1:6" s="24" customFormat="1" ht="13.65" customHeight="1" x14ac:dyDescent="0.3">
      <c r="A122" s="20" t="s">
        <v>175</v>
      </c>
      <c r="B122" s="20">
        <v>56553321</v>
      </c>
      <c r="C122" s="21" t="s">
        <v>178</v>
      </c>
      <c r="D122" s="20" t="s">
        <v>177</v>
      </c>
      <c r="E122" s="20"/>
      <c r="F122" s="20"/>
    </row>
    <row r="123" spans="1:6" s="24" customFormat="1" ht="13.65" customHeight="1" x14ac:dyDescent="0.3">
      <c r="A123" s="20" t="s">
        <v>175</v>
      </c>
      <c r="B123" s="20">
        <v>51715481</v>
      </c>
      <c r="C123" s="21" t="s">
        <v>179</v>
      </c>
      <c r="D123" s="20" t="s">
        <v>177</v>
      </c>
      <c r="E123" s="23"/>
      <c r="F123" s="23"/>
    </row>
    <row r="124" spans="1:6" s="24" customFormat="1" ht="13.65" customHeight="1" x14ac:dyDescent="0.3">
      <c r="A124" s="20" t="s">
        <v>175</v>
      </c>
      <c r="B124" s="20">
        <v>486308</v>
      </c>
      <c r="C124" s="21" t="s">
        <v>180</v>
      </c>
      <c r="D124" s="20" t="s">
        <v>181</v>
      </c>
      <c r="E124" s="23"/>
      <c r="F124" s="23"/>
    </row>
    <row r="125" spans="1:6" ht="13.65" customHeight="1" thickBot="1" x14ac:dyDescent="0.35">
      <c r="A125" s="9"/>
      <c r="B125" s="9"/>
      <c r="C125" s="10"/>
      <c r="D125" s="9"/>
      <c r="E125" s="11"/>
      <c r="F125" s="11"/>
    </row>
  </sheetData>
  <protectedRanges>
    <protectedRange sqref="E2:F2 F76" name="Range2"/>
    <protectedRange sqref="E2:F2 F76" name="Range1"/>
    <protectedRange sqref="E1:F1" name="Range2_1"/>
    <protectedRange sqref="E1:F1" name="Range1_1"/>
    <protectedRange sqref="E76 E33:F33" name="Range2_3"/>
    <protectedRange sqref="E76 E33:F33" name="Range1_3"/>
  </protectedRanges>
  <conditionalFormatting sqref="C19:C20">
    <cfRule type="duplicateValues" dxfId="127" priority="4"/>
  </conditionalFormatting>
  <conditionalFormatting sqref="C22">
    <cfRule type="duplicateValues" dxfId="126" priority="3"/>
  </conditionalFormatting>
  <conditionalFormatting sqref="C25">
    <cfRule type="duplicateValues" dxfId="125" priority="5"/>
  </conditionalFormatting>
  <conditionalFormatting sqref="C26 C21 C23:C24 C3:C18">
    <cfRule type="duplicateValues" dxfId="124" priority="9"/>
  </conditionalFormatting>
  <conditionalFormatting sqref="C27:C31">
    <cfRule type="duplicateValues" dxfId="123" priority="8"/>
  </conditionalFormatting>
  <conditionalFormatting sqref="C32">
    <cfRule type="duplicateValues" dxfId="122" priority="6"/>
  </conditionalFormatting>
  <conditionalFormatting sqref="E2:F33">
    <cfRule type="cellIs" dxfId="121" priority="2" stopIfTrue="1" operator="lessThan">
      <formula>0</formula>
    </cfRule>
  </conditionalFormatting>
  <conditionalFormatting sqref="E35:F121">
    <cfRule type="cellIs" dxfId="120" priority="7" stopIfTrue="1" operator="lessThan">
      <formula>0</formula>
    </cfRule>
  </conditionalFormatting>
  <conditionalFormatting sqref="E123:F125">
    <cfRule type="cellIs" dxfId="119" priority="1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463D-F6CF-40F5-A5DE-D8418BFF4304}">
  <dimension ref="A1:I152"/>
  <sheetViews>
    <sheetView topLeftCell="A82" zoomScale="90" zoomScaleNormal="90" workbookViewId="0">
      <selection activeCell="H129" sqref="H129"/>
    </sheetView>
  </sheetViews>
  <sheetFormatPr defaultRowHeight="14.4" x14ac:dyDescent="0.3"/>
  <cols>
    <col min="1" max="1" width="12" bestFit="1" customWidth="1"/>
    <col min="2" max="2" width="24.5546875" bestFit="1" customWidth="1"/>
    <col min="3" max="3" width="61.109375" customWidth="1"/>
    <col min="4" max="4" width="6.109375" bestFit="1" customWidth="1"/>
    <col min="5" max="5" width="9.88671875" customWidth="1"/>
    <col min="6" max="6" width="14.5546875" customWidth="1"/>
    <col min="7" max="7" width="9.88671875" hidden="1" customWidth="1"/>
    <col min="8" max="8" width="9.88671875" customWidth="1"/>
  </cols>
  <sheetData>
    <row r="1" spans="1:8" s="36" customFormat="1" ht="32.25" customHeight="1" thickBot="1" x14ac:dyDescent="0.35">
      <c r="A1" s="35" t="s">
        <v>0</v>
      </c>
      <c r="B1" s="35" t="s">
        <v>1</v>
      </c>
      <c r="C1" s="35" t="s">
        <v>2</v>
      </c>
      <c r="D1" s="35" t="s">
        <v>3</v>
      </c>
      <c r="E1" s="35" t="s">
        <v>190</v>
      </c>
      <c r="F1" s="35" t="s">
        <v>212</v>
      </c>
      <c r="G1" s="35"/>
      <c r="H1" s="35" t="s">
        <v>210</v>
      </c>
    </row>
    <row r="2" spans="1:8" ht="10.5" customHeight="1" thickBot="1" x14ac:dyDescent="0.35">
      <c r="A2" s="1"/>
      <c r="B2" s="1"/>
      <c r="C2" s="2"/>
      <c r="D2" s="3"/>
      <c r="E2" s="4"/>
      <c r="F2" s="4"/>
      <c r="G2" s="4"/>
      <c r="H2" s="4"/>
    </row>
    <row r="3" spans="1:8" ht="13.65" customHeight="1" x14ac:dyDescent="0.3">
      <c r="A3" s="16" t="s">
        <v>4</v>
      </c>
      <c r="B3" s="16" t="s">
        <v>5</v>
      </c>
      <c r="C3" s="17" t="s">
        <v>6</v>
      </c>
      <c r="D3" s="16" t="s">
        <v>7</v>
      </c>
      <c r="E3" s="51">
        <v>11</v>
      </c>
      <c r="F3" s="51">
        <v>28</v>
      </c>
      <c r="G3" s="51"/>
      <c r="H3" s="51">
        <f>E3-F3</f>
        <v>-17</v>
      </c>
    </row>
    <row r="4" spans="1:8" ht="13.65" customHeight="1" x14ac:dyDescent="0.3">
      <c r="A4" s="20" t="s">
        <v>4</v>
      </c>
      <c r="B4" s="20" t="s">
        <v>206</v>
      </c>
      <c r="C4" s="21" t="s">
        <v>207</v>
      </c>
      <c r="D4" s="20" t="s">
        <v>7</v>
      </c>
      <c r="E4" s="23">
        <v>0</v>
      </c>
      <c r="F4" s="23">
        <v>22</v>
      </c>
      <c r="H4" s="52">
        <f t="shared" ref="H4" si="0">E4-F4</f>
        <v>-22</v>
      </c>
    </row>
    <row r="5" spans="1:8" s="24" customFormat="1" ht="13.65" customHeight="1" x14ac:dyDescent="0.3">
      <c r="A5" s="20" t="s">
        <v>4</v>
      </c>
      <c r="B5" s="20" t="s">
        <v>197</v>
      </c>
      <c r="C5" s="21" t="s">
        <v>198</v>
      </c>
      <c r="D5" s="20" t="s">
        <v>7</v>
      </c>
      <c r="E5" s="23">
        <v>0</v>
      </c>
      <c r="F5" s="23">
        <v>11</v>
      </c>
      <c r="G5" s="19"/>
      <c r="H5" s="19">
        <f t="shared" ref="H5:H68" si="1">E5-F5</f>
        <v>-11</v>
      </c>
    </row>
    <row r="6" spans="1:8" ht="13.65" customHeight="1" x14ac:dyDescent="0.3">
      <c r="A6" s="20" t="s">
        <v>4</v>
      </c>
      <c r="B6" s="20" t="s">
        <v>193</v>
      </c>
      <c r="C6" s="21" t="s">
        <v>194</v>
      </c>
      <c r="D6" s="20" t="s">
        <v>7</v>
      </c>
      <c r="E6" s="23">
        <v>0</v>
      </c>
      <c r="F6" s="23">
        <v>0</v>
      </c>
      <c r="G6" s="19"/>
      <c r="H6" s="19">
        <f t="shared" si="1"/>
        <v>0</v>
      </c>
    </row>
    <row r="7" spans="1:8" ht="13.65" customHeight="1" x14ac:dyDescent="0.3">
      <c r="A7" s="20" t="s">
        <v>4</v>
      </c>
      <c r="B7" s="20" t="s">
        <v>8</v>
      </c>
      <c r="C7" s="21" t="s">
        <v>9</v>
      </c>
      <c r="D7" s="20" t="s">
        <v>7</v>
      </c>
      <c r="E7" s="22">
        <v>30</v>
      </c>
      <c r="F7" s="22">
        <v>75</v>
      </c>
      <c r="G7" s="19"/>
      <c r="H7" s="19">
        <f t="shared" si="1"/>
        <v>-45</v>
      </c>
    </row>
    <row r="8" spans="1:8" ht="13.65" customHeight="1" x14ac:dyDescent="0.3">
      <c r="A8" s="20" t="s">
        <v>4</v>
      </c>
      <c r="B8" s="20" t="s">
        <v>10</v>
      </c>
      <c r="C8" s="21" t="s">
        <v>11</v>
      </c>
      <c r="D8" s="20" t="s">
        <v>7</v>
      </c>
      <c r="E8" s="22">
        <v>177</v>
      </c>
      <c r="F8" s="22">
        <v>215</v>
      </c>
      <c r="G8" s="19"/>
      <c r="H8" s="19">
        <f t="shared" si="1"/>
        <v>-38</v>
      </c>
    </row>
    <row r="9" spans="1:8" ht="13.65" customHeight="1" x14ac:dyDescent="0.3">
      <c r="A9" s="20" t="s">
        <v>4</v>
      </c>
      <c r="B9" s="20" t="s">
        <v>12</v>
      </c>
      <c r="C9" s="21" t="s">
        <v>13</v>
      </c>
      <c r="D9" s="20" t="s">
        <v>7</v>
      </c>
      <c r="E9" s="22">
        <v>246</v>
      </c>
      <c r="F9" s="22">
        <v>185</v>
      </c>
      <c r="G9" s="19"/>
      <c r="H9" s="19">
        <f t="shared" si="1"/>
        <v>61</v>
      </c>
    </row>
    <row r="10" spans="1:8" ht="13.65" customHeight="1" x14ac:dyDescent="0.3">
      <c r="A10" s="20" t="s">
        <v>4</v>
      </c>
      <c r="B10" s="20" t="s">
        <v>14</v>
      </c>
      <c r="C10" s="21" t="s">
        <v>15</v>
      </c>
      <c r="D10" s="20" t="s">
        <v>7</v>
      </c>
      <c r="E10" s="22">
        <v>10</v>
      </c>
      <c r="F10" s="22">
        <v>15</v>
      </c>
      <c r="G10" s="19"/>
      <c r="H10" s="19">
        <f t="shared" si="1"/>
        <v>-5</v>
      </c>
    </row>
    <row r="11" spans="1:8" ht="13.65" customHeight="1" x14ac:dyDescent="0.3">
      <c r="A11" s="20" t="s">
        <v>4</v>
      </c>
      <c r="B11" s="20" t="s">
        <v>16</v>
      </c>
      <c r="C11" s="21" t="s">
        <v>17</v>
      </c>
      <c r="D11" s="20" t="s">
        <v>7</v>
      </c>
      <c r="E11" s="22">
        <v>45</v>
      </c>
      <c r="F11" s="22">
        <v>70</v>
      </c>
      <c r="G11" s="19"/>
      <c r="H11" s="19">
        <f t="shared" si="1"/>
        <v>-25</v>
      </c>
    </row>
    <row r="12" spans="1:8" ht="13.65" customHeight="1" x14ac:dyDescent="0.3">
      <c r="A12" s="20" t="s">
        <v>4</v>
      </c>
      <c r="B12" s="20" t="s">
        <v>18</v>
      </c>
      <c r="C12" s="21" t="s">
        <v>19</v>
      </c>
      <c r="D12" s="20" t="s">
        <v>7</v>
      </c>
      <c r="E12" s="18">
        <v>39</v>
      </c>
      <c r="F12" s="18">
        <v>57</v>
      </c>
      <c r="G12" s="19"/>
      <c r="H12" s="19">
        <f t="shared" si="1"/>
        <v>-18</v>
      </c>
    </row>
    <row r="13" spans="1:8" s="24" customFormat="1" ht="13.65" customHeight="1" x14ac:dyDescent="0.3">
      <c r="A13" s="20" t="s">
        <v>4</v>
      </c>
      <c r="B13" s="20" t="s">
        <v>204</v>
      </c>
      <c r="C13" s="21" t="s">
        <v>205</v>
      </c>
      <c r="D13" s="20" t="s">
        <v>7</v>
      </c>
      <c r="E13" s="23">
        <v>0</v>
      </c>
      <c r="F13" s="23">
        <v>41</v>
      </c>
      <c r="H13" s="53">
        <f t="shared" si="1"/>
        <v>-41</v>
      </c>
    </row>
    <row r="14" spans="1:8" ht="13.65" customHeight="1" x14ac:dyDescent="0.3">
      <c r="A14" s="20" t="s">
        <v>4</v>
      </c>
      <c r="B14" s="20" t="s">
        <v>20</v>
      </c>
      <c r="C14" s="21" t="s">
        <v>21</v>
      </c>
      <c r="D14" s="20" t="s">
        <v>7</v>
      </c>
      <c r="E14" s="18">
        <v>26</v>
      </c>
      <c r="F14" s="18">
        <v>200</v>
      </c>
      <c r="G14" s="19"/>
      <c r="H14" s="19">
        <f t="shared" si="1"/>
        <v>-174</v>
      </c>
    </row>
    <row r="15" spans="1:8" ht="13.65" customHeight="1" x14ac:dyDescent="0.3">
      <c r="A15" s="20" t="s">
        <v>4</v>
      </c>
      <c r="B15" s="20" t="s">
        <v>22</v>
      </c>
      <c r="C15" s="21" t="s">
        <v>23</v>
      </c>
      <c r="D15" s="20" t="s">
        <v>7</v>
      </c>
      <c r="E15" s="18">
        <v>52</v>
      </c>
      <c r="F15" s="22">
        <v>61</v>
      </c>
      <c r="G15" s="19"/>
      <c r="H15" s="19">
        <f t="shared" si="1"/>
        <v>-9</v>
      </c>
    </row>
    <row r="16" spans="1:8" ht="13.65" customHeight="1" x14ac:dyDescent="0.3">
      <c r="A16" s="20" t="s">
        <v>4</v>
      </c>
      <c r="B16" s="20" t="s">
        <v>24</v>
      </c>
      <c r="C16" s="21" t="s">
        <v>25</v>
      </c>
      <c r="D16" s="20" t="s">
        <v>7</v>
      </c>
      <c r="E16" s="18">
        <v>15</v>
      </c>
      <c r="F16" s="22">
        <v>30</v>
      </c>
      <c r="G16" s="19"/>
      <c r="H16" s="19">
        <f t="shared" si="1"/>
        <v>-15</v>
      </c>
    </row>
    <row r="17" spans="1:8" ht="13.65" customHeight="1" x14ac:dyDescent="0.3">
      <c r="A17" s="20" t="s">
        <v>4</v>
      </c>
      <c r="B17" s="20" t="s">
        <v>26</v>
      </c>
      <c r="C17" s="21" t="s">
        <v>27</v>
      </c>
      <c r="D17" s="20" t="s">
        <v>7</v>
      </c>
      <c r="E17" s="22">
        <v>50</v>
      </c>
      <c r="F17" s="22">
        <v>75</v>
      </c>
      <c r="G17" s="19"/>
      <c r="H17" s="19">
        <f t="shared" si="1"/>
        <v>-25</v>
      </c>
    </row>
    <row r="18" spans="1:8" ht="13.65" customHeight="1" x14ac:dyDescent="0.3">
      <c r="A18" s="20" t="s">
        <v>4</v>
      </c>
      <c r="B18" s="20" t="s">
        <v>28</v>
      </c>
      <c r="C18" s="21" t="s">
        <v>29</v>
      </c>
      <c r="D18" s="20" t="s">
        <v>7</v>
      </c>
      <c r="E18" s="22">
        <v>141</v>
      </c>
      <c r="F18" s="22">
        <v>211</v>
      </c>
      <c r="G18" s="19"/>
      <c r="H18" s="19">
        <f t="shared" si="1"/>
        <v>-70</v>
      </c>
    </row>
    <row r="19" spans="1:8" ht="13.65" customHeight="1" x14ac:dyDescent="0.3">
      <c r="A19" s="20" t="s">
        <v>4</v>
      </c>
      <c r="B19" s="20" t="s">
        <v>30</v>
      </c>
      <c r="C19" s="21" t="s">
        <v>31</v>
      </c>
      <c r="D19" s="20" t="s">
        <v>7</v>
      </c>
      <c r="E19" s="19">
        <v>42</v>
      </c>
      <c r="F19" s="19">
        <v>66</v>
      </c>
      <c r="G19" s="19"/>
      <c r="H19" s="19">
        <f t="shared" si="1"/>
        <v>-24</v>
      </c>
    </row>
    <row r="20" spans="1:8" ht="13.65" customHeight="1" x14ac:dyDescent="0.3">
      <c r="A20" s="20" t="s">
        <v>4</v>
      </c>
      <c r="B20" s="20" t="s">
        <v>32</v>
      </c>
      <c r="C20" s="21" t="s">
        <v>33</v>
      </c>
      <c r="D20" s="20" t="s">
        <v>7</v>
      </c>
      <c r="E20" s="19">
        <v>32</v>
      </c>
      <c r="F20" s="19">
        <v>49</v>
      </c>
      <c r="G20" s="19"/>
      <c r="H20" s="19">
        <f t="shared" si="1"/>
        <v>-17</v>
      </c>
    </row>
    <row r="21" spans="1:8" ht="13.65" customHeight="1" x14ac:dyDescent="0.3">
      <c r="A21" s="20" t="s">
        <v>4</v>
      </c>
      <c r="B21" s="20" t="s">
        <v>34</v>
      </c>
      <c r="C21" s="21" t="s">
        <v>35</v>
      </c>
      <c r="D21" s="20" t="s">
        <v>7</v>
      </c>
      <c r="E21" s="19">
        <v>3</v>
      </c>
      <c r="F21" s="19">
        <v>7</v>
      </c>
      <c r="G21" s="19"/>
      <c r="H21" s="19">
        <f t="shared" si="1"/>
        <v>-4</v>
      </c>
    </row>
    <row r="22" spans="1:8" ht="13.65" customHeight="1" x14ac:dyDescent="0.3">
      <c r="A22" s="20" t="s">
        <v>4</v>
      </c>
      <c r="B22" s="20" t="s">
        <v>36</v>
      </c>
      <c r="C22" s="21" t="s">
        <v>37</v>
      </c>
      <c r="D22" s="20" t="s">
        <v>7</v>
      </c>
      <c r="E22" s="19">
        <v>3</v>
      </c>
      <c r="F22" s="19">
        <v>7</v>
      </c>
      <c r="G22" s="19"/>
      <c r="H22" s="19">
        <f t="shared" si="1"/>
        <v>-4</v>
      </c>
    </row>
    <row r="23" spans="1:8" ht="13.65" customHeight="1" x14ac:dyDescent="0.3">
      <c r="A23" s="20"/>
      <c r="B23" s="20"/>
      <c r="C23" s="21"/>
      <c r="D23" s="20"/>
      <c r="E23" s="23"/>
      <c r="F23" s="23"/>
      <c r="G23" s="19"/>
      <c r="H23" s="19">
        <f t="shared" si="1"/>
        <v>0</v>
      </c>
    </row>
    <row r="24" spans="1:8" ht="13.65" customHeight="1" x14ac:dyDescent="0.3">
      <c r="A24" s="20" t="s">
        <v>4</v>
      </c>
      <c r="B24" s="20" t="s">
        <v>38</v>
      </c>
      <c r="C24" s="21" t="s">
        <v>39</v>
      </c>
      <c r="D24" s="20" t="s">
        <v>7</v>
      </c>
      <c r="E24" s="23">
        <v>38</v>
      </c>
      <c r="F24" s="23">
        <v>47</v>
      </c>
      <c r="G24" s="19"/>
      <c r="H24" s="19">
        <f t="shared" si="1"/>
        <v>-9</v>
      </c>
    </row>
    <row r="25" spans="1:8" ht="13.65" customHeight="1" x14ac:dyDescent="0.3">
      <c r="A25" s="20" t="s">
        <v>4</v>
      </c>
      <c r="B25" s="20" t="s">
        <v>40</v>
      </c>
      <c r="C25" s="21" t="s">
        <v>41</v>
      </c>
      <c r="D25" s="20" t="s">
        <v>7</v>
      </c>
      <c r="E25" s="23">
        <v>2</v>
      </c>
      <c r="F25" s="23">
        <v>7</v>
      </c>
      <c r="G25" s="19"/>
      <c r="H25" s="19">
        <f t="shared" si="1"/>
        <v>-5</v>
      </c>
    </row>
    <row r="26" spans="1:8" s="24" customFormat="1" ht="13.65" customHeight="1" x14ac:dyDescent="0.3">
      <c r="A26" s="20"/>
      <c r="B26" s="20"/>
      <c r="C26" s="21"/>
      <c r="D26" s="20"/>
      <c r="E26" s="23"/>
      <c r="F26" s="23"/>
      <c r="G26" s="19"/>
      <c r="H26" s="19">
        <f t="shared" si="1"/>
        <v>0</v>
      </c>
    </row>
    <row r="27" spans="1:8" ht="13.65" customHeight="1" x14ac:dyDescent="0.3">
      <c r="A27" s="20" t="s">
        <v>42</v>
      </c>
      <c r="B27" s="20" t="s">
        <v>43</v>
      </c>
      <c r="C27" s="21" t="s">
        <v>44</v>
      </c>
      <c r="D27" s="20" t="s">
        <v>7</v>
      </c>
      <c r="E27" s="23">
        <v>22</v>
      </c>
      <c r="F27" s="23">
        <v>32</v>
      </c>
      <c r="G27" s="19"/>
      <c r="H27" s="19">
        <f t="shared" si="1"/>
        <v>-10</v>
      </c>
    </row>
    <row r="28" spans="1:8" ht="13.65" customHeight="1" x14ac:dyDescent="0.3">
      <c r="A28" s="20" t="s">
        <v>42</v>
      </c>
      <c r="B28" s="20" t="s">
        <v>45</v>
      </c>
      <c r="C28" s="21" t="s">
        <v>46</v>
      </c>
      <c r="D28" s="20" t="s">
        <v>7</v>
      </c>
      <c r="E28" s="23">
        <v>0</v>
      </c>
      <c r="F28" s="23">
        <v>0</v>
      </c>
      <c r="G28" s="19"/>
      <c r="H28" s="19">
        <f t="shared" si="1"/>
        <v>0</v>
      </c>
    </row>
    <row r="29" spans="1:8" ht="13.65" customHeight="1" x14ac:dyDescent="0.3">
      <c r="A29" s="20"/>
      <c r="B29" s="20"/>
      <c r="C29" s="21"/>
      <c r="D29" s="20"/>
      <c r="E29" s="23"/>
      <c r="F29" s="23"/>
      <c r="G29" s="19"/>
      <c r="H29" s="19">
        <f t="shared" si="1"/>
        <v>0</v>
      </c>
    </row>
    <row r="30" spans="1:8" ht="13.65" customHeight="1" x14ac:dyDescent="0.3">
      <c r="A30" s="20" t="s">
        <v>47</v>
      </c>
      <c r="B30" s="20" t="s">
        <v>48</v>
      </c>
      <c r="C30" s="21" t="s">
        <v>49</v>
      </c>
      <c r="D30" s="20" t="s">
        <v>7</v>
      </c>
      <c r="E30" s="23">
        <v>0</v>
      </c>
      <c r="F30" s="23">
        <v>0</v>
      </c>
      <c r="G30" s="19"/>
      <c r="H30" s="19">
        <f t="shared" si="1"/>
        <v>0</v>
      </c>
    </row>
    <row r="31" spans="1:8" ht="13.65" customHeight="1" x14ac:dyDescent="0.3">
      <c r="A31" s="20" t="s">
        <v>47</v>
      </c>
      <c r="B31" s="20" t="s">
        <v>50</v>
      </c>
      <c r="C31" s="21" t="s">
        <v>51</v>
      </c>
      <c r="D31" s="20" t="s">
        <v>7</v>
      </c>
      <c r="E31" s="23">
        <v>0</v>
      </c>
      <c r="F31" s="23">
        <v>0</v>
      </c>
      <c r="G31" s="19"/>
      <c r="H31" s="19">
        <f t="shared" si="1"/>
        <v>0</v>
      </c>
    </row>
    <row r="32" spans="1:8" ht="13.65" customHeight="1" x14ac:dyDescent="0.3">
      <c r="A32" s="20" t="s">
        <v>47</v>
      </c>
      <c r="B32" s="20" t="s">
        <v>52</v>
      </c>
      <c r="C32" s="21" t="s">
        <v>185</v>
      </c>
      <c r="D32" s="20" t="s">
        <v>7</v>
      </c>
      <c r="E32" s="23">
        <v>6</v>
      </c>
      <c r="F32" s="23">
        <v>42</v>
      </c>
      <c r="G32" s="19"/>
      <c r="H32" s="19">
        <f t="shared" si="1"/>
        <v>-36</v>
      </c>
    </row>
    <row r="33" spans="1:8" ht="13.65" customHeight="1" x14ac:dyDescent="0.3">
      <c r="A33" s="20" t="s">
        <v>47</v>
      </c>
      <c r="B33" s="20" t="s">
        <v>54</v>
      </c>
      <c r="C33" s="21" t="s">
        <v>55</v>
      </c>
      <c r="D33" s="20" t="s">
        <v>7</v>
      </c>
      <c r="E33" s="23">
        <v>46</v>
      </c>
      <c r="F33" s="23">
        <v>45</v>
      </c>
      <c r="G33" s="19"/>
      <c r="H33" s="19">
        <f t="shared" si="1"/>
        <v>1</v>
      </c>
    </row>
    <row r="34" spans="1:8" ht="13.65" customHeight="1" x14ac:dyDescent="0.3">
      <c r="A34" s="20" t="s">
        <v>47</v>
      </c>
      <c r="B34" s="20" t="s">
        <v>56</v>
      </c>
      <c r="C34" s="21" t="s">
        <v>57</v>
      </c>
      <c r="D34" s="20" t="s">
        <v>7</v>
      </c>
      <c r="E34" s="23">
        <v>44</v>
      </c>
      <c r="F34" s="23">
        <v>41</v>
      </c>
      <c r="G34" s="19"/>
      <c r="H34" s="19">
        <f t="shared" si="1"/>
        <v>3</v>
      </c>
    </row>
    <row r="35" spans="1:8" ht="13.65" customHeight="1" x14ac:dyDescent="0.3">
      <c r="A35" s="20"/>
      <c r="B35" s="20"/>
      <c r="C35" s="21"/>
      <c r="D35" s="20"/>
      <c r="E35" s="23"/>
      <c r="F35" s="23"/>
      <c r="G35" s="19"/>
      <c r="H35" s="19"/>
    </row>
    <row r="36" spans="1:8" ht="13.65" customHeight="1" thickBot="1" x14ac:dyDescent="0.35">
      <c r="A36" s="5"/>
      <c r="B36" s="5"/>
      <c r="C36" s="6"/>
      <c r="D36" s="5"/>
      <c r="E36" s="7">
        <v>1068</v>
      </c>
      <c r="F36" s="8">
        <f>SUM(F3:F35)</f>
        <v>1639</v>
      </c>
      <c r="G36" s="8">
        <f t="shared" ref="G36:H36" si="2">SUM(G3:G35)</f>
        <v>0</v>
      </c>
      <c r="H36" s="8">
        <f t="shared" si="2"/>
        <v>-559</v>
      </c>
    </row>
    <row r="37" spans="1:8" s="24" customFormat="1" ht="13.65" customHeight="1" x14ac:dyDescent="0.3">
      <c r="A37" s="16" t="s">
        <v>4</v>
      </c>
      <c r="B37" s="16">
        <v>7358771515</v>
      </c>
      <c r="C37" s="17" t="s">
        <v>58</v>
      </c>
      <c r="D37" s="16" t="s">
        <v>7</v>
      </c>
      <c r="E37" s="20">
        <v>0</v>
      </c>
      <c r="F37" s="20">
        <v>0</v>
      </c>
      <c r="G37" s="19"/>
      <c r="H37" s="19">
        <f t="shared" si="1"/>
        <v>0</v>
      </c>
    </row>
    <row r="38" spans="1:8" s="24" customFormat="1" ht="13.65" customHeight="1" x14ac:dyDescent="0.3">
      <c r="A38" s="20" t="s">
        <v>4</v>
      </c>
      <c r="B38" s="20">
        <v>7378761826</v>
      </c>
      <c r="C38" s="21" t="s">
        <v>59</v>
      </c>
      <c r="D38" s="20" t="s">
        <v>7</v>
      </c>
      <c r="E38" s="23">
        <v>0</v>
      </c>
      <c r="F38" s="23">
        <v>0</v>
      </c>
      <c r="G38" s="19"/>
      <c r="H38" s="19">
        <f t="shared" si="1"/>
        <v>0</v>
      </c>
    </row>
    <row r="39" spans="1:8" s="24" customFormat="1" ht="13.65" customHeight="1" x14ac:dyDescent="0.3">
      <c r="A39" s="20" t="s">
        <v>4</v>
      </c>
      <c r="B39" s="20" t="s">
        <v>60</v>
      </c>
      <c r="C39" s="21" t="s">
        <v>61</v>
      </c>
      <c r="D39" s="20" t="s">
        <v>7</v>
      </c>
      <c r="E39" s="23">
        <v>0</v>
      </c>
      <c r="F39" s="23">
        <v>0</v>
      </c>
      <c r="G39" s="19"/>
      <c r="H39" s="19">
        <f t="shared" si="1"/>
        <v>0</v>
      </c>
    </row>
    <row r="40" spans="1:8" s="24" customFormat="1" ht="13.65" customHeight="1" x14ac:dyDescent="0.3">
      <c r="A40" s="20" t="s">
        <v>4</v>
      </c>
      <c r="B40" s="20" t="s">
        <v>62</v>
      </c>
      <c r="C40" s="21" t="s">
        <v>63</v>
      </c>
      <c r="D40" s="20" t="s">
        <v>7</v>
      </c>
      <c r="E40" s="23">
        <v>0</v>
      </c>
      <c r="F40" s="23">
        <v>0</v>
      </c>
      <c r="G40" s="19"/>
      <c r="H40" s="19">
        <f t="shared" si="1"/>
        <v>0</v>
      </c>
    </row>
    <row r="41" spans="1:8" s="24" customFormat="1" ht="13.65" customHeight="1" x14ac:dyDescent="0.3">
      <c r="A41" s="20" t="s">
        <v>4</v>
      </c>
      <c r="B41" s="20" t="s">
        <v>64</v>
      </c>
      <c r="C41" s="21" t="s">
        <v>65</v>
      </c>
      <c r="D41" s="20" t="s">
        <v>7</v>
      </c>
      <c r="E41" s="23">
        <v>0</v>
      </c>
      <c r="F41" s="23">
        <v>0</v>
      </c>
      <c r="G41" s="19"/>
      <c r="H41" s="19">
        <f t="shared" si="1"/>
        <v>0</v>
      </c>
    </row>
    <row r="42" spans="1:8" s="24" customFormat="1" ht="13.65" customHeight="1" x14ac:dyDescent="0.3">
      <c r="A42" s="20" t="s">
        <v>4</v>
      </c>
      <c r="B42" s="20" t="s">
        <v>66</v>
      </c>
      <c r="C42" s="21" t="s">
        <v>67</v>
      </c>
      <c r="D42" s="20" t="s">
        <v>7</v>
      </c>
      <c r="E42" s="23">
        <v>0</v>
      </c>
      <c r="F42" s="23">
        <v>0</v>
      </c>
      <c r="G42" s="19"/>
      <c r="H42" s="19">
        <f t="shared" si="1"/>
        <v>0</v>
      </c>
    </row>
    <row r="43" spans="1:8" s="24" customFormat="1" ht="13.65" customHeight="1" x14ac:dyDescent="0.3">
      <c r="A43" s="20" t="s">
        <v>4</v>
      </c>
      <c r="B43" s="20" t="s">
        <v>68</v>
      </c>
      <c r="C43" s="21" t="s">
        <v>69</v>
      </c>
      <c r="D43" s="20" t="s">
        <v>7</v>
      </c>
      <c r="E43" s="23">
        <v>0</v>
      </c>
      <c r="F43" s="23">
        <v>0</v>
      </c>
      <c r="G43" s="19"/>
      <c r="H43" s="19">
        <f t="shared" si="1"/>
        <v>0</v>
      </c>
    </row>
    <row r="44" spans="1:8" s="24" customFormat="1" ht="13.65" customHeight="1" x14ac:dyDescent="0.3">
      <c r="A44" s="20" t="s">
        <v>4</v>
      </c>
      <c r="B44" s="20" t="s">
        <v>70</v>
      </c>
      <c r="C44" s="21" t="s">
        <v>69</v>
      </c>
      <c r="D44" s="20" t="s">
        <v>7</v>
      </c>
      <c r="E44" s="23">
        <v>0</v>
      </c>
      <c r="F44" s="23">
        <v>0</v>
      </c>
      <c r="G44" s="19"/>
      <c r="H44" s="19">
        <f t="shared" si="1"/>
        <v>0</v>
      </c>
    </row>
    <row r="45" spans="1:8" s="24" customFormat="1" ht="13.65" customHeight="1" x14ac:dyDescent="0.3">
      <c r="A45" s="20" t="s">
        <v>4</v>
      </c>
      <c r="B45" s="20" t="s">
        <v>71</v>
      </c>
      <c r="C45" s="21" t="s">
        <v>72</v>
      </c>
      <c r="D45" s="20" t="s">
        <v>7</v>
      </c>
      <c r="E45" s="23">
        <v>0</v>
      </c>
      <c r="F45" s="23">
        <v>0</v>
      </c>
      <c r="G45" s="19"/>
      <c r="H45" s="19">
        <f t="shared" si="1"/>
        <v>0</v>
      </c>
    </row>
    <row r="46" spans="1:8" s="24" customFormat="1" ht="13.65" customHeight="1" x14ac:dyDescent="0.3">
      <c r="A46" s="20" t="s">
        <v>4</v>
      </c>
      <c r="B46" s="20">
        <v>7951697</v>
      </c>
      <c r="C46" s="21" t="s">
        <v>73</v>
      </c>
      <c r="D46" s="20" t="s">
        <v>7</v>
      </c>
      <c r="E46" s="23">
        <v>0</v>
      </c>
      <c r="F46" s="23">
        <v>0</v>
      </c>
      <c r="G46" s="19"/>
      <c r="H46" s="19">
        <f t="shared" si="1"/>
        <v>0</v>
      </c>
    </row>
    <row r="47" spans="1:8" s="24" customFormat="1" ht="13.65" customHeight="1" x14ac:dyDescent="0.3">
      <c r="A47" s="20" t="s">
        <v>4</v>
      </c>
      <c r="B47" s="20">
        <v>7952606</v>
      </c>
      <c r="C47" s="21" t="s">
        <v>74</v>
      </c>
      <c r="D47" s="20" t="s">
        <v>7</v>
      </c>
      <c r="E47" s="23">
        <v>0</v>
      </c>
      <c r="F47" s="23">
        <v>0</v>
      </c>
      <c r="G47" s="19"/>
      <c r="H47" s="19">
        <f t="shared" si="1"/>
        <v>0</v>
      </c>
    </row>
    <row r="48" spans="1:8" s="24" customFormat="1" ht="13.65" customHeight="1" x14ac:dyDescent="0.3">
      <c r="A48" s="20" t="s">
        <v>4</v>
      </c>
      <c r="B48" s="20" t="s">
        <v>75</v>
      </c>
      <c r="C48" s="21" t="s">
        <v>76</v>
      </c>
      <c r="D48" s="20" t="s">
        <v>7</v>
      </c>
      <c r="E48" s="23">
        <v>0</v>
      </c>
      <c r="F48" s="23">
        <v>0</v>
      </c>
      <c r="G48" s="19"/>
      <c r="H48" s="19">
        <f t="shared" si="1"/>
        <v>0</v>
      </c>
    </row>
    <row r="49" spans="1:8" s="24" customFormat="1" ht="13.65" customHeight="1" x14ac:dyDescent="0.3">
      <c r="A49" s="20"/>
      <c r="B49" s="20"/>
      <c r="C49" s="21"/>
      <c r="D49" s="20"/>
      <c r="E49" s="23"/>
      <c r="F49" s="23"/>
      <c r="G49" s="19"/>
      <c r="H49" s="19">
        <f t="shared" si="1"/>
        <v>0</v>
      </c>
    </row>
    <row r="50" spans="1:8" s="24" customFormat="1" ht="13.65" customHeight="1" x14ac:dyDescent="0.3">
      <c r="A50" s="20" t="s">
        <v>4</v>
      </c>
      <c r="B50" s="20">
        <v>7305771415</v>
      </c>
      <c r="C50" s="21" t="s">
        <v>77</v>
      </c>
      <c r="D50" s="20" t="s">
        <v>7</v>
      </c>
      <c r="E50" s="23">
        <v>0</v>
      </c>
      <c r="F50" s="23">
        <v>0</v>
      </c>
      <c r="G50" s="19"/>
      <c r="H50" s="19">
        <f t="shared" si="1"/>
        <v>0</v>
      </c>
    </row>
    <row r="51" spans="1:8" s="24" customFormat="1" ht="13.65" customHeight="1" x14ac:dyDescent="0.3">
      <c r="A51" s="20" t="s">
        <v>4</v>
      </c>
      <c r="B51" s="20" t="s">
        <v>78</v>
      </c>
      <c r="C51" s="21" t="s">
        <v>79</v>
      </c>
      <c r="D51" s="20" t="s">
        <v>7</v>
      </c>
      <c r="E51" s="23">
        <v>0</v>
      </c>
      <c r="F51" s="23">
        <v>0</v>
      </c>
      <c r="G51" s="19"/>
      <c r="H51" s="19">
        <f t="shared" si="1"/>
        <v>0</v>
      </c>
    </row>
    <row r="52" spans="1:8" s="24" customFormat="1" ht="13.65" customHeight="1" x14ac:dyDescent="0.3">
      <c r="A52" s="20" t="s">
        <v>4</v>
      </c>
      <c r="B52" s="20" t="s">
        <v>80</v>
      </c>
      <c r="C52" s="21" t="s">
        <v>81</v>
      </c>
      <c r="D52" s="20" t="s">
        <v>7</v>
      </c>
      <c r="E52" s="23">
        <v>0</v>
      </c>
      <c r="F52" s="23">
        <v>0</v>
      </c>
      <c r="G52" s="19"/>
      <c r="H52" s="19">
        <f t="shared" si="1"/>
        <v>0</v>
      </c>
    </row>
    <row r="53" spans="1:8" s="24" customFormat="1" ht="13.65" customHeight="1" x14ac:dyDescent="0.3">
      <c r="A53" s="20"/>
      <c r="B53" s="20"/>
      <c r="C53" s="21"/>
      <c r="D53" s="20"/>
      <c r="E53" s="23"/>
      <c r="F53" s="23"/>
      <c r="G53" s="19"/>
      <c r="H53" s="19">
        <f t="shared" si="1"/>
        <v>0</v>
      </c>
    </row>
    <row r="54" spans="1:8" s="24" customFormat="1" ht="13.65" customHeight="1" x14ac:dyDescent="0.3">
      <c r="A54" s="20" t="s">
        <v>4</v>
      </c>
      <c r="B54" s="20" t="s">
        <v>82</v>
      </c>
      <c r="C54" s="21" t="s">
        <v>83</v>
      </c>
      <c r="D54" s="20" t="s">
        <v>7</v>
      </c>
      <c r="E54" s="23">
        <v>0</v>
      </c>
      <c r="F54" s="23">
        <v>0</v>
      </c>
      <c r="G54" s="19"/>
      <c r="H54" s="19">
        <f t="shared" si="1"/>
        <v>0</v>
      </c>
    </row>
    <row r="55" spans="1:8" s="24" customFormat="1" ht="13.65" customHeight="1" x14ac:dyDescent="0.3">
      <c r="A55" s="20"/>
      <c r="B55" s="20"/>
      <c r="C55" s="21"/>
      <c r="D55" s="20"/>
      <c r="E55" s="23"/>
      <c r="F55" s="23"/>
      <c r="G55" s="19"/>
      <c r="H55" s="19">
        <f t="shared" si="1"/>
        <v>0</v>
      </c>
    </row>
    <row r="56" spans="1:8" s="24" customFormat="1" ht="13.65" customHeight="1" x14ac:dyDescent="0.3">
      <c r="A56" s="26" t="s">
        <v>4</v>
      </c>
      <c r="B56" s="26">
        <v>7328602001</v>
      </c>
      <c r="C56" s="27" t="s">
        <v>84</v>
      </c>
      <c r="D56" s="26" t="s">
        <v>7</v>
      </c>
      <c r="E56" s="25">
        <v>0</v>
      </c>
      <c r="F56" s="25">
        <v>0</v>
      </c>
      <c r="G56" s="19"/>
      <c r="H56" s="19">
        <f t="shared" si="1"/>
        <v>0</v>
      </c>
    </row>
    <row r="57" spans="1:8" s="24" customFormat="1" ht="13.65" customHeight="1" x14ac:dyDescent="0.3">
      <c r="A57" s="20" t="s">
        <v>4</v>
      </c>
      <c r="B57" s="20" t="s">
        <v>85</v>
      </c>
      <c r="C57" s="21" t="s">
        <v>86</v>
      </c>
      <c r="D57" s="20" t="s">
        <v>7</v>
      </c>
      <c r="E57" s="23">
        <v>0</v>
      </c>
      <c r="F57" s="23">
        <v>0</v>
      </c>
      <c r="G57" s="19"/>
      <c r="H57" s="19">
        <f t="shared" si="1"/>
        <v>0</v>
      </c>
    </row>
    <row r="58" spans="1:8" s="24" customFormat="1" ht="13.65" customHeight="1" x14ac:dyDescent="0.3">
      <c r="A58" s="20" t="s">
        <v>4</v>
      </c>
      <c r="B58" s="20">
        <v>7951698</v>
      </c>
      <c r="C58" s="21" t="s">
        <v>87</v>
      </c>
      <c r="D58" s="20" t="s">
        <v>7</v>
      </c>
      <c r="E58" s="23">
        <v>0</v>
      </c>
      <c r="F58" s="23">
        <v>0</v>
      </c>
      <c r="G58" s="19"/>
      <c r="H58" s="19">
        <f t="shared" si="1"/>
        <v>0</v>
      </c>
    </row>
    <row r="59" spans="1:8" s="24" customFormat="1" ht="13.65" customHeight="1" thickBot="1" x14ac:dyDescent="0.35">
      <c r="A59" s="28"/>
      <c r="B59" s="28"/>
      <c r="C59" s="29"/>
      <c r="D59" s="28"/>
      <c r="E59" s="30"/>
      <c r="F59" s="30"/>
      <c r="G59" s="19"/>
      <c r="H59" s="45"/>
    </row>
    <row r="60" spans="1:8" s="24" customFormat="1" ht="13.65" customHeight="1" thickBot="1" x14ac:dyDescent="0.35">
      <c r="A60" s="37"/>
      <c r="B60" s="37"/>
      <c r="C60" s="38"/>
      <c r="D60" s="37"/>
      <c r="E60" s="39"/>
      <c r="F60" s="47"/>
      <c r="G60" s="44"/>
      <c r="H60" s="46"/>
    </row>
    <row r="61" spans="1:8" s="24" customFormat="1" ht="13.65" customHeight="1" thickBot="1" x14ac:dyDescent="0.35">
      <c r="A61" s="37"/>
      <c r="B61" s="37"/>
      <c r="C61" s="38"/>
      <c r="D61" s="37"/>
      <c r="E61" s="39"/>
      <c r="F61" s="39"/>
      <c r="G61" s="44"/>
      <c r="H61" s="46"/>
    </row>
    <row r="62" spans="1:8" s="24" customFormat="1" ht="13.65" customHeight="1" thickBot="1" x14ac:dyDescent="0.35">
      <c r="A62" s="37"/>
      <c r="B62" s="37"/>
      <c r="C62" s="38"/>
      <c r="D62" s="37"/>
      <c r="E62" s="39"/>
      <c r="F62" s="39"/>
      <c r="G62" s="44"/>
      <c r="H62" s="46"/>
    </row>
    <row r="63" spans="1:8" ht="13.65" customHeight="1" thickBot="1" x14ac:dyDescent="0.35">
      <c r="A63" s="5"/>
      <c r="B63" s="5"/>
      <c r="C63" s="6"/>
      <c r="D63" s="5"/>
      <c r="E63" s="12"/>
      <c r="F63" s="12"/>
      <c r="G63" s="19"/>
      <c r="H63" s="12"/>
    </row>
    <row r="64" spans="1:8" s="24" customFormat="1" ht="13.65" customHeight="1" x14ac:dyDescent="0.3">
      <c r="A64" s="16" t="s">
        <v>42</v>
      </c>
      <c r="B64" s="16" t="s">
        <v>88</v>
      </c>
      <c r="C64" s="17" t="s">
        <v>89</v>
      </c>
      <c r="D64" s="16" t="s">
        <v>7</v>
      </c>
      <c r="E64" s="31">
        <v>1095</v>
      </c>
      <c r="F64" s="31">
        <v>1092</v>
      </c>
      <c r="G64" s="19"/>
      <c r="H64" s="19">
        <f t="shared" si="1"/>
        <v>3</v>
      </c>
    </row>
    <row r="65" spans="1:9" s="24" customFormat="1" ht="13.65" customHeight="1" x14ac:dyDescent="0.3">
      <c r="A65" s="20" t="s">
        <v>42</v>
      </c>
      <c r="B65" s="20" t="s">
        <v>90</v>
      </c>
      <c r="C65" s="21" t="s">
        <v>91</v>
      </c>
      <c r="D65" s="20" t="s">
        <v>7</v>
      </c>
      <c r="E65" s="23">
        <v>1041</v>
      </c>
      <c r="F65" s="23">
        <v>1037</v>
      </c>
      <c r="G65" s="19"/>
      <c r="H65" s="19">
        <f t="shared" si="1"/>
        <v>4</v>
      </c>
    </row>
    <row r="66" spans="1:9" s="24" customFormat="1" ht="13.65" customHeight="1" x14ac:dyDescent="0.3">
      <c r="A66" s="20" t="s">
        <v>42</v>
      </c>
      <c r="B66" s="20" t="s">
        <v>92</v>
      </c>
      <c r="C66" s="21" t="s">
        <v>93</v>
      </c>
      <c r="D66" s="20" t="s">
        <v>7</v>
      </c>
      <c r="E66" s="23">
        <v>1720</v>
      </c>
      <c r="F66" s="23">
        <v>1512</v>
      </c>
      <c r="G66" s="19"/>
      <c r="H66" s="19">
        <f t="shared" si="1"/>
        <v>208</v>
      </c>
    </row>
    <row r="67" spans="1:9" s="24" customFormat="1" ht="13.65" customHeight="1" x14ac:dyDescent="0.3">
      <c r="A67" s="20" t="s">
        <v>42</v>
      </c>
      <c r="B67" s="20" t="s">
        <v>94</v>
      </c>
      <c r="C67" s="21" t="s">
        <v>95</v>
      </c>
      <c r="D67" s="20" t="s">
        <v>7</v>
      </c>
      <c r="E67" s="23">
        <v>0</v>
      </c>
      <c r="F67" s="23">
        <v>0</v>
      </c>
      <c r="G67" s="19"/>
      <c r="H67" s="19">
        <f t="shared" si="1"/>
        <v>0</v>
      </c>
    </row>
    <row r="68" spans="1:9" s="24" customFormat="1" ht="13.65" customHeight="1" x14ac:dyDescent="0.3">
      <c r="A68" s="20" t="s">
        <v>96</v>
      </c>
      <c r="B68" s="20" t="s">
        <v>99</v>
      </c>
      <c r="C68" s="21" t="s">
        <v>213</v>
      </c>
      <c r="D68" s="20" t="s">
        <v>7</v>
      </c>
      <c r="E68" s="23">
        <v>1800</v>
      </c>
      <c r="F68" s="23">
        <v>775</v>
      </c>
      <c r="G68" s="19"/>
      <c r="H68" s="19">
        <f t="shared" si="1"/>
        <v>1025</v>
      </c>
    </row>
    <row r="69" spans="1:9" s="24" customFormat="1" ht="14.1" customHeight="1" x14ac:dyDescent="0.3">
      <c r="A69" s="20" t="s">
        <v>96</v>
      </c>
      <c r="B69" s="20">
        <v>503479</v>
      </c>
      <c r="C69" s="21" t="s">
        <v>202</v>
      </c>
      <c r="D69" s="20" t="s">
        <v>7</v>
      </c>
      <c r="E69" s="23">
        <v>0</v>
      </c>
      <c r="F69" s="23">
        <v>1188</v>
      </c>
      <c r="G69" s="19"/>
      <c r="H69" s="19">
        <f t="shared" ref="H69:H87" si="3">E69-F69</f>
        <v>-1188</v>
      </c>
    </row>
    <row r="70" spans="1:9" s="24" customFormat="1" ht="14.1" customHeight="1" x14ac:dyDescent="0.3">
      <c r="A70" s="20" t="s">
        <v>96</v>
      </c>
      <c r="B70" s="20">
        <v>503479</v>
      </c>
      <c r="C70" s="43" t="s">
        <v>201</v>
      </c>
      <c r="D70" s="20" t="s">
        <v>7</v>
      </c>
      <c r="E70" s="23">
        <v>0</v>
      </c>
      <c r="F70" s="23">
        <v>2400</v>
      </c>
      <c r="G70" s="19"/>
      <c r="H70" s="19">
        <f t="shared" si="3"/>
        <v>-2400</v>
      </c>
    </row>
    <row r="71" spans="1:9" s="24" customFormat="1" ht="14.1" customHeight="1" x14ac:dyDescent="0.3">
      <c r="A71" s="20"/>
      <c r="B71" s="20"/>
      <c r="C71" s="42"/>
      <c r="D71" s="20"/>
      <c r="E71" s="23"/>
      <c r="F71" s="23"/>
      <c r="G71" s="19"/>
      <c r="H71" s="19">
        <f t="shared" si="3"/>
        <v>0</v>
      </c>
    </row>
    <row r="72" spans="1:9" s="24" customFormat="1" ht="14.1" customHeight="1" x14ac:dyDescent="0.3">
      <c r="A72" s="20"/>
      <c r="B72" s="20"/>
      <c r="D72" s="20"/>
      <c r="E72" s="23"/>
      <c r="F72" s="23"/>
      <c r="G72" s="19"/>
      <c r="H72" s="19">
        <f t="shared" si="3"/>
        <v>0</v>
      </c>
    </row>
    <row r="73" spans="1:9" s="24" customFormat="1" ht="13.65" customHeight="1" x14ac:dyDescent="0.3">
      <c r="A73" s="20" t="s">
        <v>4</v>
      </c>
      <c r="B73" s="20" t="s">
        <v>101</v>
      </c>
      <c r="C73" s="21" t="s">
        <v>102</v>
      </c>
      <c r="D73" s="20" t="s">
        <v>7</v>
      </c>
      <c r="E73" s="23">
        <v>11160</v>
      </c>
      <c r="F73" s="23">
        <v>13498</v>
      </c>
      <c r="G73" s="19"/>
      <c r="H73" s="19">
        <f>E73-F73</f>
        <v>-2338</v>
      </c>
    </row>
    <row r="74" spans="1:9" s="24" customFormat="1" ht="13.65" customHeight="1" x14ac:dyDescent="0.3">
      <c r="A74" s="20" t="s">
        <v>4</v>
      </c>
      <c r="B74" s="20" t="s">
        <v>103</v>
      </c>
      <c r="C74" s="21" t="s">
        <v>104</v>
      </c>
      <c r="D74" s="20" t="s">
        <v>7</v>
      </c>
      <c r="E74" s="23">
        <v>11327</v>
      </c>
      <c r="F74" s="23">
        <v>13447</v>
      </c>
      <c r="G74" s="19"/>
      <c r="H74" s="19">
        <f t="shared" si="3"/>
        <v>-2120</v>
      </c>
    </row>
    <row r="75" spans="1:9" s="24" customFormat="1" ht="13.65" customHeight="1" x14ac:dyDescent="0.3">
      <c r="A75" s="20" t="s">
        <v>4</v>
      </c>
      <c r="B75" s="20" t="s">
        <v>105</v>
      </c>
      <c r="C75" s="21" t="s">
        <v>106</v>
      </c>
      <c r="D75" s="20" t="s">
        <v>7</v>
      </c>
      <c r="E75" s="23">
        <v>750</v>
      </c>
      <c r="F75" s="23">
        <v>750</v>
      </c>
      <c r="G75" s="19"/>
      <c r="H75" s="19">
        <f t="shared" si="3"/>
        <v>0</v>
      </c>
    </row>
    <row r="76" spans="1:9" s="24" customFormat="1" ht="13.65" customHeight="1" thickBot="1" x14ac:dyDescent="0.35">
      <c r="A76" s="28" t="s">
        <v>4</v>
      </c>
      <c r="B76" s="28" t="s">
        <v>188</v>
      </c>
      <c r="C76" s="29" t="s">
        <v>189</v>
      </c>
      <c r="D76" s="28" t="s">
        <v>7</v>
      </c>
      <c r="E76" s="30">
        <v>200</v>
      </c>
      <c r="F76" s="30">
        <v>0</v>
      </c>
      <c r="G76" s="19"/>
      <c r="H76" s="19">
        <f t="shared" si="3"/>
        <v>200</v>
      </c>
    </row>
    <row r="77" spans="1:9" ht="13.65" customHeight="1" thickBot="1" x14ac:dyDescent="0.35">
      <c r="A77" s="5"/>
      <c r="B77" s="5"/>
      <c r="C77" s="6"/>
      <c r="D77" s="5"/>
      <c r="E77" s="7">
        <v>29093</v>
      </c>
      <c r="F77" s="8">
        <f>SUM(F64:F76)</f>
        <v>35699</v>
      </c>
      <c r="G77" s="8">
        <f t="shared" ref="G77:H77" si="4">SUM(G64:G76)</f>
        <v>0</v>
      </c>
      <c r="H77" s="8">
        <f t="shared" si="4"/>
        <v>-6606</v>
      </c>
    </row>
    <row r="78" spans="1:9" s="24" customFormat="1" ht="13.65" customHeight="1" x14ac:dyDescent="0.3">
      <c r="A78" s="16" t="s">
        <v>107</v>
      </c>
      <c r="B78" s="16" t="s">
        <v>108</v>
      </c>
      <c r="C78" s="17" t="s">
        <v>109</v>
      </c>
      <c r="D78" s="16" t="s">
        <v>7</v>
      </c>
      <c r="E78" s="31">
        <v>1670</v>
      </c>
      <c r="F78" s="31">
        <v>2235</v>
      </c>
      <c r="G78" s="19"/>
      <c r="H78" s="19">
        <f t="shared" si="3"/>
        <v>-565</v>
      </c>
    </row>
    <row r="79" spans="1:9" s="24" customFormat="1" ht="13.65" customHeight="1" x14ac:dyDescent="0.3">
      <c r="A79" s="26" t="s">
        <v>107</v>
      </c>
      <c r="B79" s="26" t="s">
        <v>110</v>
      </c>
      <c r="C79" s="27" t="s">
        <v>111</v>
      </c>
      <c r="D79" s="26" t="s">
        <v>7</v>
      </c>
      <c r="E79" s="25">
        <v>249</v>
      </c>
      <c r="F79" s="25">
        <v>298</v>
      </c>
      <c r="G79" s="19"/>
      <c r="H79" s="19">
        <f t="shared" si="3"/>
        <v>-49</v>
      </c>
    </row>
    <row r="80" spans="1:9" s="24" customFormat="1" ht="13.65" customHeight="1" x14ac:dyDescent="0.3">
      <c r="A80" s="26" t="s">
        <v>107</v>
      </c>
      <c r="B80" s="26" t="s">
        <v>112</v>
      </c>
      <c r="C80" s="27" t="s">
        <v>113</v>
      </c>
      <c r="D80" s="26" t="s">
        <v>114</v>
      </c>
      <c r="E80" s="25">
        <v>0</v>
      </c>
      <c r="F80" s="25">
        <v>0</v>
      </c>
      <c r="G80" s="19"/>
      <c r="H80" s="19">
        <f t="shared" si="3"/>
        <v>0</v>
      </c>
      <c r="I80" s="24" t="s">
        <v>192</v>
      </c>
    </row>
    <row r="81" spans="1:8" s="24" customFormat="1" ht="13.65" customHeight="1" thickBot="1" x14ac:dyDescent="0.35">
      <c r="A81" s="26"/>
      <c r="B81" s="26"/>
      <c r="C81" s="27"/>
      <c r="D81" s="26"/>
      <c r="E81" s="25"/>
      <c r="F81" s="25"/>
      <c r="G81" s="19"/>
      <c r="H81" s="19">
        <f t="shared" si="3"/>
        <v>0</v>
      </c>
    </row>
    <row r="82" spans="1:8" ht="13.65" customHeight="1" thickBot="1" x14ac:dyDescent="0.35">
      <c r="A82" s="1"/>
      <c r="B82" s="1"/>
      <c r="C82" s="13"/>
      <c r="D82" s="13"/>
      <c r="E82" s="14">
        <v>1919</v>
      </c>
      <c r="F82" s="15">
        <f>SUM(F78:F81)</f>
        <v>2533</v>
      </c>
      <c r="G82" s="15">
        <f t="shared" ref="G82:H82" si="5">SUM(G78:G81)</f>
        <v>0</v>
      </c>
      <c r="H82" s="15">
        <f t="shared" si="5"/>
        <v>-614</v>
      </c>
    </row>
    <row r="83" spans="1:8" s="24" customFormat="1" ht="13.65" customHeight="1" x14ac:dyDescent="0.3">
      <c r="A83" s="32" t="s">
        <v>42</v>
      </c>
      <c r="B83" s="32" t="s">
        <v>115</v>
      </c>
      <c r="C83" s="33" t="s">
        <v>116</v>
      </c>
      <c r="D83" s="32" t="s">
        <v>7</v>
      </c>
      <c r="E83" s="34">
        <v>0</v>
      </c>
      <c r="F83" s="34">
        <v>0</v>
      </c>
      <c r="G83" s="19"/>
      <c r="H83" s="19">
        <f t="shared" si="3"/>
        <v>0</v>
      </c>
    </row>
    <row r="84" spans="1:8" s="24" customFormat="1" ht="13.65" customHeight="1" x14ac:dyDescent="0.3">
      <c r="A84" s="20" t="s">
        <v>42</v>
      </c>
      <c r="B84" s="20" t="s">
        <v>117</v>
      </c>
      <c r="C84" s="21" t="s">
        <v>118</v>
      </c>
      <c r="D84" s="20" t="s">
        <v>7</v>
      </c>
      <c r="E84" s="23">
        <v>900</v>
      </c>
      <c r="F84" s="23">
        <v>900</v>
      </c>
      <c r="G84" s="19"/>
      <c r="H84" s="19">
        <f t="shared" si="3"/>
        <v>0</v>
      </c>
    </row>
    <row r="85" spans="1:8" s="24" customFormat="1" ht="13.65" customHeight="1" x14ac:dyDescent="0.3">
      <c r="A85" s="20" t="s">
        <v>42</v>
      </c>
      <c r="B85" s="20" t="s">
        <v>119</v>
      </c>
      <c r="C85" s="21" t="s">
        <v>120</v>
      </c>
      <c r="D85" s="20" t="s">
        <v>7</v>
      </c>
      <c r="E85" s="23">
        <v>900</v>
      </c>
      <c r="F85" s="23">
        <v>1104</v>
      </c>
      <c r="G85" s="19"/>
      <c r="H85" s="19">
        <f t="shared" si="3"/>
        <v>-204</v>
      </c>
    </row>
    <row r="86" spans="1:8" s="24" customFormat="1" ht="13.65" customHeight="1" x14ac:dyDescent="0.3">
      <c r="A86" s="20" t="s">
        <v>42</v>
      </c>
      <c r="B86" s="20" t="s">
        <v>121</v>
      </c>
      <c r="C86" s="21" t="s">
        <v>122</v>
      </c>
      <c r="D86" s="20" t="s">
        <v>7</v>
      </c>
      <c r="E86" s="23">
        <v>400</v>
      </c>
      <c r="F86" s="23">
        <v>0</v>
      </c>
      <c r="G86" s="19"/>
      <c r="H86" s="19">
        <f t="shared" si="3"/>
        <v>400</v>
      </c>
    </row>
    <row r="87" spans="1:8" s="24" customFormat="1" ht="13.65" customHeight="1" x14ac:dyDescent="0.3">
      <c r="A87" s="20" t="s">
        <v>42</v>
      </c>
      <c r="B87" s="20" t="s">
        <v>123</v>
      </c>
      <c r="C87" s="21" t="s">
        <v>124</v>
      </c>
      <c r="D87" s="20" t="s">
        <v>7</v>
      </c>
      <c r="E87" s="23">
        <v>700</v>
      </c>
      <c r="F87" s="23">
        <v>0</v>
      </c>
      <c r="G87" s="19"/>
      <c r="H87" s="19">
        <f t="shared" si="3"/>
        <v>700</v>
      </c>
    </row>
    <row r="88" spans="1:8" s="24" customFormat="1" ht="13.65" customHeight="1" thickBot="1" x14ac:dyDescent="0.35">
      <c r="A88" s="28"/>
      <c r="B88" s="28"/>
      <c r="C88" s="29"/>
      <c r="D88" s="28"/>
      <c r="E88" s="30"/>
      <c r="F88" s="30"/>
      <c r="G88" s="19"/>
      <c r="H88" s="30"/>
    </row>
    <row r="89" spans="1:8" s="24" customFormat="1" ht="13.65" hidden="1" customHeight="1" thickBot="1" x14ac:dyDescent="0.35">
      <c r="A89" s="37"/>
      <c r="B89" s="37"/>
      <c r="C89" s="38"/>
      <c r="D89" s="37"/>
      <c r="E89" s="40"/>
      <c r="F89" s="41"/>
      <c r="G89" s="19"/>
      <c r="H89" s="40"/>
    </row>
    <row r="90" spans="1:8" s="24" customFormat="1" ht="13.65" hidden="1" customHeight="1" thickBot="1" x14ac:dyDescent="0.35">
      <c r="A90" s="37"/>
      <c r="B90" s="37"/>
      <c r="C90" s="38"/>
      <c r="D90" s="37"/>
      <c r="E90" s="40"/>
      <c r="F90" s="41"/>
      <c r="G90" s="19"/>
      <c r="H90" s="40"/>
    </row>
    <row r="91" spans="1:8" ht="13.65" hidden="1" customHeight="1" thickBot="1" x14ac:dyDescent="0.35">
      <c r="A91" s="5"/>
      <c r="B91" s="5"/>
      <c r="C91" s="6"/>
      <c r="D91" s="5"/>
      <c r="E91" s="7">
        <v>900</v>
      </c>
      <c r="F91" s="8"/>
      <c r="G91" s="19"/>
      <c r="H91" s="7">
        <v>900</v>
      </c>
    </row>
    <row r="92" spans="1:8" s="24" customFormat="1" ht="13.65" hidden="1" customHeight="1" x14ac:dyDescent="0.3">
      <c r="A92" s="16" t="s">
        <v>125</v>
      </c>
      <c r="B92" s="16" t="s">
        <v>126</v>
      </c>
      <c r="C92" s="17" t="s">
        <v>127</v>
      </c>
      <c r="D92" s="16" t="s">
        <v>7</v>
      </c>
      <c r="E92" s="31">
        <v>20</v>
      </c>
      <c r="F92" s="31"/>
      <c r="G92" s="19"/>
      <c r="H92" s="31">
        <v>20</v>
      </c>
    </row>
    <row r="93" spans="1:8" s="24" customFormat="1" ht="13.65" hidden="1" customHeight="1" x14ac:dyDescent="0.3">
      <c r="A93" s="20" t="s">
        <v>125</v>
      </c>
      <c r="B93" s="20" t="s">
        <v>128</v>
      </c>
      <c r="C93" s="21" t="s">
        <v>129</v>
      </c>
      <c r="D93" s="20" t="s">
        <v>7</v>
      </c>
      <c r="E93" s="23">
        <v>25</v>
      </c>
      <c r="F93" s="23"/>
      <c r="G93" s="19"/>
      <c r="H93" s="23">
        <v>25</v>
      </c>
    </row>
    <row r="94" spans="1:8" s="24" customFormat="1" ht="13.65" hidden="1" customHeight="1" x14ac:dyDescent="0.3">
      <c r="A94" s="20" t="s">
        <v>125</v>
      </c>
      <c r="B94" s="20" t="s">
        <v>130</v>
      </c>
      <c r="C94" s="21" t="s">
        <v>131</v>
      </c>
      <c r="D94" s="20" t="s">
        <v>7</v>
      </c>
      <c r="E94" s="23">
        <v>32</v>
      </c>
      <c r="F94" s="23"/>
      <c r="G94" s="19"/>
      <c r="H94" s="23">
        <v>32</v>
      </c>
    </row>
    <row r="95" spans="1:8" s="24" customFormat="1" ht="13.65" hidden="1" customHeight="1" x14ac:dyDescent="0.3">
      <c r="A95" s="20" t="s">
        <v>125</v>
      </c>
      <c r="B95" s="20" t="s">
        <v>132</v>
      </c>
      <c r="C95" s="21" t="s">
        <v>133</v>
      </c>
      <c r="D95" s="20" t="s">
        <v>7</v>
      </c>
      <c r="E95" s="23">
        <v>10</v>
      </c>
      <c r="F95" s="23"/>
      <c r="G95" s="19"/>
      <c r="H95" s="23">
        <v>10</v>
      </c>
    </row>
    <row r="96" spans="1:8" s="24" customFormat="1" ht="13.65" hidden="1" customHeight="1" x14ac:dyDescent="0.3">
      <c r="A96" s="20" t="s">
        <v>125</v>
      </c>
      <c r="B96" s="20" t="s">
        <v>134</v>
      </c>
      <c r="C96" s="21" t="s">
        <v>135</v>
      </c>
      <c r="D96" s="20" t="s">
        <v>7</v>
      </c>
      <c r="E96" s="23">
        <v>7</v>
      </c>
      <c r="F96" s="23"/>
      <c r="G96" s="19"/>
      <c r="H96" s="23">
        <v>7</v>
      </c>
    </row>
    <row r="97" spans="1:8" s="24" customFormat="1" ht="13.65" hidden="1" customHeight="1" x14ac:dyDescent="0.3">
      <c r="A97" s="20" t="s">
        <v>125</v>
      </c>
      <c r="B97" s="20" t="s">
        <v>136</v>
      </c>
      <c r="C97" s="21" t="s">
        <v>137</v>
      </c>
      <c r="D97" s="20" t="s">
        <v>7</v>
      </c>
      <c r="E97" s="23">
        <v>27</v>
      </c>
      <c r="F97" s="23"/>
      <c r="G97" s="19"/>
      <c r="H97" s="23">
        <v>27</v>
      </c>
    </row>
    <row r="98" spans="1:8" s="24" customFormat="1" ht="13.65" hidden="1" customHeight="1" x14ac:dyDescent="0.3">
      <c r="A98" s="20" t="s">
        <v>125</v>
      </c>
      <c r="B98" s="20" t="s">
        <v>138</v>
      </c>
      <c r="C98" s="21" t="s">
        <v>139</v>
      </c>
      <c r="D98" s="20" t="s">
        <v>7</v>
      </c>
      <c r="E98" s="23">
        <v>4</v>
      </c>
      <c r="F98" s="23"/>
      <c r="G98" s="19"/>
      <c r="H98" s="23">
        <v>4</v>
      </c>
    </row>
    <row r="99" spans="1:8" s="24" customFormat="1" ht="13.65" hidden="1" customHeight="1" x14ac:dyDescent="0.3">
      <c r="A99" s="20" t="s">
        <v>125</v>
      </c>
      <c r="B99" s="20" t="s">
        <v>140</v>
      </c>
      <c r="C99" s="21" t="s">
        <v>141</v>
      </c>
      <c r="D99" s="20" t="s">
        <v>7</v>
      </c>
      <c r="E99" s="23">
        <v>32</v>
      </c>
      <c r="F99" s="23"/>
      <c r="G99" s="19"/>
      <c r="H99" s="23">
        <v>32</v>
      </c>
    </row>
    <row r="100" spans="1:8" s="24" customFormat="1" ht="13.65" hidden="1" customHeight="1" x14ac:dyDescent="0.3">
      <c r="A100" s="20" t="s">
        <v>125</v>
      </c>
      <c r="B100" s="20" t="s">
        <v>142</v>
      </c>
      <c r="C100" s="21" t="s">
        <v>143</v>
      </c>
      <c r="D100" s="20" t="s">
        <v>7</v>
      </c>
      <c r="E100" s="23">
        <v>10</v>
      </c>
      <c r="F100" s="23"/>
      <c r="G100" s="19"/>
      <c r="H100" s="23">
        <v>10</v>
      </c>
    </row>
    <row r="101" spans="1:8" s="24" customFormat="1" ht="13.65" hidden="1" customHeight="1" x14ac:dyDescent="0.3">
      <c r="A101" s="20" t="s">
        <v>125</v>
      </c>
      <c r="B101" s="20" t="s">
        <v>144</v>
      </c>
      <c r="C101" s="21" t="s">
        <v>145</v>
      </c>
      <c r="D101" s="20" t="s">
        <v>7</v>
      </c>
      <c r="E101" s="23">
        <v>10</v>
      </c>
      <c r="F101" s="23"/>
      <c r="G101" s="19"/>
      <c r="H101" s="23">
        <v>10</v>
      </c>
    </row>
    <row r="102" spans="1:8" s="24" customFormat="1" ht="13.65" hidden="1" customHeight="1" x14ac:dyDescent="0.3">
      <c r="A102" s="20" t="s">
        <v>125</v>
      </c>
      <c r="B102" s="20" t="s">
        <v>146</v>
      </c>
      <c r="C102" s="21" t="s">
        <v>147</v>
      </c>
      <c r="D102" s="20" t="s">
        <v>7</v>
      </c>
      <c r="E102" s="23">
        <v>10</v>
      </c>
      <c r="F102" s="23"/>
      <c r="G102" s="19"/>
      <c r="H102" s="23">
        <v>10</v>
      </c>
    </row>
    <row r="103" spans="1:8" s="24" customFormat="1" ht="13.65" hidden="1" customHeight="1" x14ac:dyDescent="0.3">
      <c r="A103" s="20" t="s">
        <v>125</v>
      </c>
      <c r="B103" s="20" t="s">
        <v>148</v>
      </c>
      <c r="C103" s="21" t="s">
        <v>149</v>
      </c>
      <c r="D103" s="20" t="s">
        <v>7</v>
      </c>
      <c r="E103" s="23">
        <v>0</v>
      </c>
      <c r="F103" s="23"/>
      <c r="G103" s="19"/>
      <c r="H103" s="23">
        <v>0</v>
      </c>
    </row>
    <row r="104" spans="1:8" s="24" customFormat="1" ht="13.65" hidden="1" customHeight="1" x14ac:dyDescent="0.3">
      <c r="A104" s="20" t="s">
        <v>125</v>
      </c>
      <c r="B104" s="20" t="s">
        <v>150</v>
      </c>
      <c r="C104" s="21" t="s">
        <v>151</v>
      </c>
      <c r="D104" s="20" t="s">
        <v>7</v>
      </c>
      <c r="E104" s="23">
        <v>0</v>
      </c>
      <c r="F104" s="23"/>
      <c r="G104" s="19"/>
      <c r="H104" s="23">
        <v>0</v>
      </c>
    </row>
    <row r="105" spans="1:8" s="24" customFormat="1" ht="13.65" hidden="1" customHeight="1" x14ac:dyDescent="0.3">
      <c r="A105" s="20" t="s">
        <v>125</v>
      </c>
      <c r="B105" s="20" t="s">
        <v>152</v>
      </c>
      <c r="C105" s="21" t="s">
        <v>153</v>
      </c>
      <c r="D105" s="20" t="s">
        <v>7</v>
      </c>
      <c r="E105" s="23">
        <v>0</v>
      </c>
      <c r="F105" s="23"/>
      <c r="G105" s="19"/>
      <c r="H105" s="23">
        <v>0</v>
      </c>
    </row>
    <row r="106" spans="1:8" s="24" customFormat="1" ht="13.65" hidden="1" customHeight="1" x14ac:dyDescent="0.3">
      <c r="A106" s="20" t="s">
        <v>125</v>
      </c>
      <c r="B106" s="20" t="s">
        <v>154</v>
      </c>
      <c r="C106" s="21" t="s">
        <v>155</v>
      </c>
      <c r="D106" s="20" t="s">
        <v>7</v>
      </c>
      <c r="E106" s="23">
        <v>0</v>
      </c>
      <c r="F106" s="23"/>
      <c r="G106" s="19"/>
      <c r="H106" s="23">
        <v>0</v>
      </c>
    </row>
    <row r="107" spans="1:8" s="24" customFormat="1" ht="13.65" hidden="1" customHeight="1" x14ac:dyDescent="0.3">
      <c r="A107" s="20" t="s">
        <v>125</v>
      </c>
      <c r="B107" s="20" t="s">
        <v>156</v>
      </c>
      <c r="C107" s="21" t="s">
        <v>157</v>
      </c>
      <c r="D107" s="20" t="s">
        <v>7</v>
      </c>
      <c r="E107" s="23">
        <v>0</v>
      </c>
      <c r="F107" s="23"/>
      <c r="G107" s="19"/>
      <c r="H107" s="23">
        <v>0</v>
      </c>
    </row>
    <row r="108" spans="1:8" s="24" customFormat="1" ht="13.65" hidden="1" customHeight="1" x14ac:dyDescent="0.3">
      <c r="A108" s="20" t="s">
        <v>125</v>
      </c>
      <c r="B108" s="20" t="s">
        <v>158</v>
      </c>
      <c r="C108" s="21" t="s">
        <v>159</v>
      </c>
      <c r="D108" s="20" t="s">
        <v>7</v>
      </c>
      <c r="E108" s="23">
        <v>0</v>
      </c>
      <c r="F108" s="23"/>
      <c r="G108" s="19"/>
      <c r="H108" s="23">
        <v>0</v>
      </c>
    </row>
    <row r="109" spans="1:8" s="24" customFormat="1" ht="13.65" hidden="1" customHeight="1" x14ac:dyDescent="0.3">
      <c r="A109" s="20" t="s">
        <v>125</v>
      </c>
      <c r="B109" s="20" t="s">
        <v>160</v>
      </c>
      <c r="C109" s="21" t="s">
        <v>161</v>
      </c>
      <c r="D109" s="20" t="s">
        <v>7</v>
      </c>
      <c r="E109" s="23">
        <v>0</v>
      </c>
      <c r="F109" s="23"/>
      <c r="G109" s="19"/>
      <c r="H109" s="23">
        <v>0</v>
      </c>
    </row>
    <row r="110" spans="1:8" s="24" customFormat="1" ht="13.65" hidden="1" customHeight="1" x14ac:dyDescent="0.3">
      <c r="A110" s="20" t="s">
        <v>125</v>
      </c>
      <c r="B110" s="20" t="s">
        <v>162</v>
      </c>
      <c r="C110" s="21" t="s">
        <v>163</v>
      </c>
      <c r="D110" s="20" t="s">
        <v>7</v>
      </c>
      <c r="E110" s="23">
        <v>0</v>
      </c>
      <c r="F110" s="23"/>
      <c r="G110" s="19"/>
      <c r="H110" s="23">
        <v>0</v>
      </c>
    </row>
    <row r="111" spans="1:8" s="24" customFormat="1" ht="13.65" hidden="1" customHeight="1" x14ac:dyDescent="0.3">
      <c r="A111" s="20" t="s">
        <v>125</v>
      </c>
      <c r="B111" s="20" t="s">
        <v>164</v>
      </c>
      <c r="C111" s="21" t="s">
        <v>165</v>
      </c>
      <c r="D111" s="20" t="s">
        <v>7</v>
      </c>
      <c r="E111" s="23">
        <v>0</v>
      </c>
      <c r="F111" s="23"/>
      <c r="G111" s="19"/>
      <c r="H111" s="23">
        <v>0</v>
      </c>
    </row>
    <row r="112" spans="1:8" s="24" customFormat="1" ht="13.65" hidden="1" customHeight="1" x14ac:dyDescent="0.3">
      <c r="A112" s="20" t="s">
        <v>125</v>
      </c>
      <c r="B112" s="20" t="s">
        <v>166</v>
      </c>
      <c r="C112" s="21" t="s">
        <v>167</v>
      </c>
      <c r="D112" s="20" t="s">
        <v>7</v>
      </c>
      <c r="E112" s="23">
        <v>0</v>
      </c>
      <c r="F112" s="23"/>
      <c r="G112" s="19"/>
      <c r="H112" s="23">
        <v>0</v>
      </c>
    </row>
    <row r="113" spans="1:8" s="24" customFormat="1" ht="13.65" hidden="1" customHeight="1" x14ac:dyDescent="0.3">
      <c r="A113" s="20" t="s">
        <v>125</v>
      </c>
      <c r="B113" s="26">
        <v>2502535</v>
      </c>
      <c r="C113" s="27" t="s">
        <v>168</v>
      </c>
      <c r="D113" s="20" t="s">
        <v>7</v>
      </c>
      <c r="E113" s="25">
        <v>0</v>
      </c>
      <c r="F113" s="25"/>
      <c r="G113" s="19"/>
      <c r="H113" s="25">
        <v>0</v>
      </c>
    </row>
    <row r="114" spans="1:8" s="24" customFormat="1" ht="13.65" hidden="1" customHeight="1" thickBot="1" x14ac:dyDescent="0.35">
      <c r="A114" s="20" t="s">
        <v>125</v>
      </c>
      <c r="B114" s="28" t="s">
        <v>169</v>
      </c>
      <c r="C114" s="29" t="s">
        <v>170</v>
      </c>
      <c r="D114" s="20" t="s">
        <v>7</v>
      </c>
      <c r="E114" s="30">
        <v>10</v>
      </c>
      <c r="F114" s="30"/>
      <c r="G114" s="19"/>
      <c r="H114" s="30">
        <v>10</v>
      </c>
    </row>
    <row r="115" spans="1:8" ht="13.65" hidden="1" customHeight="1" thickBot="1" x14ac:dyDescent="0.35">
      <c r="A115" s="1"/>
      <c r="B115" s="1"/>
      <c r="C115" s="13"/>
      <c r="D115" s="1"/>
      <c r="E115" s="14">
        <v>197</v>
      </c>
      <c r="F115" s="15"/>
      <c r="G115" s="19"/>
      <c r="H115" s="14">
        <v>197</v>
      </c>
    </row>
    <row r="116" spans="1:8" s="24" customFormat="1" ht="13.65" hidden="1" customHeight="1" x14ac:dyDescent="0.3">
      <c r="A116" s="16" t="s">
        <v>171</v>
      </c>
      <c r="B116" s="16" t="s">
        <v>172</v>
      </c>
      <c r="C116" s="17" t="s">
        <v>173</v>
      </c>
      <c r="D116" s="16" t="s">
        <v>174</v>
      </c>
      <c r="E116" s="31">
        <v>0</v>
      </c>
      <c r="F116" s="31"/>
      <c r="G116" s="19"/>
      <c r="H116" s="31">
        <v>0</v>
      </c>
    </row>
    <row r="117" spans="1:8" s="24" customFormat="1" ht="13.65" hidden="1" customHeight="1" x14ac:dyDescent="0.3">
      <c r="A117" s="20" t="s">
        <v>175</v>
      </c>
      <c r="B117" s="20">
        <v>50736306</v>
      </c>
      <c r="C117" s="21" t="s">
        <v>176</v>
      </c>
      <c r="D117" s="20" t="s">
        <v>177</v>
      </c>
      <c r="E117" s="23">
        <v>0</v>
      </c>
      <c r="F117" s="23"/>
      <c r="G117" s="19"/>
      <c r="H117" s="23">
        <v>0</v>
      </c>
    </row>
    <row r="118" spans="1:8" s="24" customFormat="1" ht="13.65" hidden="1" customHeight="1" x14ac:dyDescent="0.3">
      <c r="A118" s="20" t="s">
        <v>175</v>
      </c>
      <c r="B118" s="20">
        <v>56553321</v>
      </c>
      <c r="C118" s="21" t="s">
        <v>178</v>
      </c>
      <c r="D118" s="20" t="s">
        <v>177</v>
      </c>
      <c r="E118" s="20">
        <v>0</v>
      </c>
      <c r="F118" s="20"/>
      <c r="G118" s="19"/>
      <c r="H118" s="20">
        <v>0</v>
      </c>
    </row>
    <row r="119" spans="1:8" s="24" customFormat="1" ht="13.65" hidden="1" customHeight="1" x14ac:dyDescent="0.3">
      <c r="A119" s="20" t="s">
        <v>175</v>
      </c>
      <c r="B119" s="20">
        <v>51715481</v>
      </c>
      <c r="C119" s="21" t="s">
        <v>179</v>
      </c>
      <c r="D119" s="20" t="s">
        <v>177</v>
      </c>
      <c r="E119" s="23">
        <v>0</v>
      </c>
      <c r="F119" s="23"/>
      <c r="G119" s="19"/>
      <c r="H119" s="23">
        <v>0</v>
      </c>
    </row>
    <row r="120" spans="1:8" s="24" customFormat="1" ht="13.65" hidden="1" customHeight="1" x14ac:dyDescent="0.3">
      <c r="A120" s="20" t="s">
        <v>175</v>
      </c>
      <c r="B120" s="20">
        <v>486308</v>
      </c>
      <c r="C120" s="21" t="s">
        <v>180</v>
      </c>
      <c r="D120" s="20" t="s">
        <v>181</v>
      </c>
      <c r="E120" s="23">
        <v>0</v>
      </c>
      <c r="F120" s="23"/>
      <c r="G120" s="19"/>
      <c r="H120" s="23">
        <v>0</v>
      </c>
    </row>
    <row r="121" spans="1:8" ht="13.65" hidden="1" customHeight="1" thickBot="1" x14ac:dyDescent="0.35">
      <c r="A121" s="9"/>
      <c r="B121" s="9"/>
      <c r="C121" s="10"/>
      <c r="D121" s="9"/>
      <c r="E121" s="11">
        <v>0</v>
      </c>
      <c r="F121" s="11"/>
      <c r="G121" s="11"/>
      <c r="H121" s="11">
        <v>0</v>
      </c>
    </row>
    <row r="122" spans="1:8" ht="16.2" thickBot="1" x14ac:dyDescent="0.35">
      <c r="A122" s="5"/>
      <c r="B122" s="5"/>
      <c r="C122" s="6"/>
      <c r="D122" s="5"/>
      <c r="E122" s="7">
        <v>900</v>
      </c>
      <c r="F122" s="8">
        <f>SUM(F83:F88)</f>
        <v>2004</v>
      </c>
      <c r="G122" s="8">
        <f t="shared" ref="G122:H122" si="6">SUM(G83:G88)</f>
        <v>0</v>
      </c>
      <c r="H122" s="8">
        <f t="shared" si="6"/>
        <v>896</v>
      </c>
    </row>
    <row r="123" spans="1:8" ht="15.6" x14ac:dyDescent="0.3">
      <c r="A123" s="16" t="s">
        <v>125</v>
      </c>
      <c r="B123" s="16" t="s">
        <v>126</v>
      </c>
      <c r="C123" s="17" t="s">
        <v>127</v>
      </c>
      <c r="D123" s="16" t="s">
        <v>7</v>
      </c>
      <c r="E123" s="31">
        <v>20</v>
      </c>
      <c r="F123" s="31">
        <v>19</v>
      </c>
      <c r="H123" s="31">
        <f t="shared" ref="H123:H151" si="7">E123-F123</f>
        <v>1</v>
      </c>
    </row>
    <row r="124" spans="1:8" ht="15.6" x14ac:dyDescent="0.3">
      <c r="A124" s="20" t="s">
        <v>125</v>
      </c>
      <c r="B124" s="20" t="s">
        <v>128</v>
      </c>
      <c r="C124" s="21" t="s">
        <v>129</v>
      </c>
      <c r="D124" s="20" t="s">
        <v>7</v>
      </c>
      <c r="E124" s="23">
        <v>25</v>
      </c>
      <c r="F124" s="23">
        <v>19</v>
      </c>
      <c r="H124" s="23">
        <f t="shared" si="7"/>
        <v>6</v>
      </c>
    </row>
    <row r="125" spans="1:8" ht="15.6" x14ac:dyDescent="0.3">
      <c r="A125" s="20" t="s">
        <v>125</v>
      </c>
      <c r="B125" s="20" t="s">
        <v>130</v>
      </c>
      <c r="C125" s="21" t="s">
        <v>131</v>
      </c>
      <c r="D125" s="20" t="s">
        <v>7</v>
      </c>
      <c r="E125" s="23">
        <v>32</v>
      </c>
      <c r="F125" s="23">
        <v>26</v>
      </c>
      <c r="H125" s="23">
        <f t="shared" si="7"/>
        <v>6</v>
      </c>
    </row>
    <row r="126" spans="1:8" ht="15.6" x14ac:dyDescent="0.3">
      <c r="A126" s="20" t="s">
        <v>125</v>
      </c>
      <c r="B126" s="20" t="s">
        <v>132</v>
      </c>
      <c r="C126" s="21" t="s">
        <v>133</v>
      </c>
      <c r="D126" s="20" t="s">
        <v>7</v>
      </c>
      <c r="E126" s="23">
        <v>10</v>
      </c>
      <c r="F126" s="23">
        <v>10</v>
      </c>
      <c r="H126" s="23">
        <f t="shared" si="7"/>
        <v>0</v>
      </c>
    </row>
    <row r="127" spans="1:8" ht="15.6" x14ac:dyDescent="0.3">
      <c r="A127" s="20" t="s">
        <v>125</v>
      </c>
      <c r="B127" s="20" t="s">
        <v>134</v>
      </c>
      <c r="C127" s="21" t="s">
        <v>135</v>
      </c>
      <c r="D127" s="20" t="s">
        <v>7</v>
      </c>
      <c r="E127" s="23">
        <v>7</v>
      </c>
      <c r="F127" s="23">
        <v>7</v>
      </c>
      <c r="H127" s="23">
        <f t="shared" si="7"/>
        <v>0</v>
      </c>
    </row>
    <row r="128" spans="1:8" ht="15.6" x14ac:dyDescent="0.3">
      <c r="A128" s="20" t="s">
        <v>125</v>
      </c>
      <c r="B128" s="20" t="s">
        <v>136</v>
      </c>
      <c r="C128" s="21" t="s">
        <v>137</v>
      </c>
      <c r="D128" s="20" t="s">
        <v>7</v>
      </c>
      <c r="E128" s="23">
        <v>27</v>
      </c>
      <c r="F128" s="23">
        <v>20</v>
      </c>
      <c r="H128" s="23">
        <f t="shared" si="7"/>
        <v>7</v>
      </c>
    </row>
    <row r="129" spans="1:8" ht="15.6" x14ac:dyDescent="0.3">
      <c r="A129" s="20" t="s">
        <v>125</v>
      </c>
      <c r="B129" s="20" t="s">
        <v>138</v>
      </c>
      <c r="C129" s="21" t="s">
        <v>139</v>
      </c>
      <c r="D129" s="20" t="s">
        <v>7</v>
      </c>
      <c r="E129" s="23">
        <v>4</v>
      </c>
      <c r="F129" s="23">
        <v>32</v>
      </c>
      <c r="H129" s="23">
        <f t="shared" si="7"/>
        <v>-28</v>
      </c>
    </row>
    <row r="130" spans="1:8" ht="15.6" x14ac:dyDescent="0.3">
      <c r="A130" s="20" t="s">
        <v>125</v>
      </c>
      <c r="B130" s="20" t="s">
        <v>140</v>
      </c>
      <c r="C130" s="21" t="s">
        <v>141</v>
      </c>
      <c r="D130" s="20" t="s">
        <v>7</v>
      </c>
      <c r="E130" s="23">
        <v>32</v>
      </c>
      <c r="F130" s="23">
        <v>68</v>
      </c>
      <c r="H130" s="23">
        <f t="shared" si="7"/>
        <v>-36</v>
      </c>
    </row>
    <row r="131" spans="1:8" ht="15.6" x14ac:dyDescent="0.3">
      <c r="A131" s="20" t="s">
        <v>125</v>
      </c>
      <c r="B131" s="20" t="s">
        <v>142</v>
      </c>
      <c r="C131" s="21" t="s">
        <v>143</v>
      </c>
      <c r="D131" s="20" t="s">
        <v>7</v>
      </c>
      <c r="E131" s="23">
        <v>10</v>
      </c>
      <c r="F131" s="23">
        <v>10</v>
      </c>
      <c r="H131" s="23">
        <f t="shared" si="7"/>
        <v>0</v>
      </c>
    </row>
    <row r="132" spans="1:8" ht="15.6" x14ac:dyDescent="0.3">
      <c r="A132" s="20" t="s">
        <v>125</v>
      </c>
      <c r="B132" s="20" t="s">
        <v>144</v>
      </c>
      <c r="C132" s="21" t="s">
        <v>145</v>
      </c>
      <c r="D132" s="20" t="s">
        <v>7</v>
      </c>
      <c r="E132" s="23">
        <v>10</v>
      </c>
      <c r="F132" s="23">
        <v>10</v>
      </c>
      <c r="H132" s="23">
        <f t="shared" si="7"/>
        <v>0</v>
      </c>
    </row>
    <row r="133" spans="1:8" ht="15.6" x14ac:dyDescent="0.3">
      <c r="A133" s="20" t="s">
        <v>125</v>
      </c>
      <c r="B133" s="20" t="s">
        <v>146</v>
      </c>
      <c r="C133" s="21" t="s">
        <v>147</v>
      </c>
      <c r="D133" s="20" t="s">
        <v>7</v>
      </c>
      <c r="E133" s="23">
        <v>10</v>
      </c>
      <c r="F133" s="23">
        <v>20</v>
      </c>
      <c r="H133" s="23">
        <f t="shared" si="7"/>
        <v>-10</v>
      </c>
    </row>
    <row r="134" spans="1:8" ht="15.6" x14ac:dyDescent="0.3">
      <c r="A134" s="20" t="s">
        <v>125</v>
      </c>
      <c r="B134" s="20" t="s">
        <v>148</v>
      </c>
      <c r="C134" s="21" t="s">
        <v>149</v>
      </c>
      <c r="D134" s="20" t="s">
        <v>7</v>
      </c>
      <c r="E134" s="23">
        <v>0</v>
      </c>
      <c r="F134" s="23">
        <v>10</v>
      </c>
      <c r="H134" s="23">
        <f t="shared" si="7"/>
        <v>-10</v>
      </c>
    </row>
    <row r="135" spans="1:8" ht="15.6" x14ac:dyDescent="0.3">
      <c r="A135" s="20" t="s">
        <v>125</v>
      </c>
      <c r="B135" s="20" t="s">
        <v>150</v>
      </c>
      <c r="C135" s="21" t="s">
        <v>151</v>
      </c>
      <c r="D135" s="20" t="s">
        <v>7</v>
      </c>
      <c r="E135" s="23">
        <v>0</v>
      </c>
      <c r="F135" s="23">
        <v>0</v>
      </c>
      <c r="H135" s="23">
        <f t="shared" si="7"/>
        <v>0</v>
      </c>
    </row>
    <row r="136" spans="1:8" ht="15.6" x14ac:dyDescent="0.3">
      <c r="A136" s="20" t="s">
        <v>125</v>
      </c>
      <c r="B136" s="20" t="s">
        <v>152</v>
      </c>
      <c r="C136" s="21" t="s">
        <v>153</v>
      </c>
      <c r="D136" s="20" t="s">
        <v>7</v>
      </c>
      <c r="E136" s="23">
        <v>0</v>
      </c>
      <c r="F136" s="23">
        <v>0</v>
      </c>
      <c r="H136" s="23">
        <f t="shared" si="7"/>
        <v>0</v>
      </c>
    </row>
    <row r="137" spans="1:8" ht="15.6" x14ac:dyDescent="0.3">
      <c r="A137" s="20" t="s">
        <v>125</v>
      </c>
      <c r="B137" s="20" t="s">
        <v>154</v>
      </c>
      <c r="C137" s="21" t="s">
        <v>155</v>
      </c>
      <c r="D137" s="20" t="s">
        <v>7</v>
      </c>
      <c r="E137" s="23">
        <v>0</v>
      </c>
      <c r="F137" s="23">
        <v>0</v>
      </c>
      <c r="H137" s="23">
        <f t="shared" si="7"/>
        <v>0</v>
      </c>
    </row>
    <row r="138" spans="1:8" ht="15.6" x14ac:dyDescent="0.3">
      <c r="A138" s="20" t="s">
        <v>125</v>
      </c>
      <c r="B138" s="20" t="s">
        <v>156</v>
      </c>
      <c r="C138" s="21" t="s">
        <v>157</v>
      </c>
      <c r="D138" s="20" t="s">
        <v>7</v>
      </c>
      <c r="E138" s="23">
        <v>0</v>
      </c>
      <c r="F138" s="23">
        <v>0</v>
      </c>
      <c r="H138" s="23">
        <f t="shared" si="7"/>
        <v>0</v>
      </c>
    </row>
    <row r="139" spans="1:8" ht="15.6" x14ac:dyDescent="0.3">
      <c r="A139" s="20" t="s">
        <v>125</v>
      </c>
      <c r="B139" s="20" t="s">
        <v>158</v>
      </c>
      <c r="C139" s="21" t="s">
        <v>159</v>
      </c>
      <c r="D139" s="20" t="s">
        <v>7</v>
      </c>
      <c r="E139" s="23">
        <v>0</v>
      </c>
      <c r="F139" s="23">
        <v>0</v>
      </c>
      <c r="H139" s="23">
        <f t="shared" si="7"/>
        <v>0</v>
      </c>
    </row>
    <row r="140" spans="1:8" ht="15.6" x14ac:dyDescent="0.3">
      <c r="A140" s="20" t="s">
        <v>125</v>
      </c>
      <c r="B140" s="20" t="s">
        <v>160</v>
      </c>
      <c r="C140" s="21" t="s">
        <v>161</v>
      </c>
      <c r="D140" s="20" t="s">
        <v>7</v>
      </c>
      <c r="E140" s="23">
        <v>0</v>
      </c>
      <c r="F140" s="23">
        <v>0</v>
      </c>
      <c r="H140" s="23">
        <f t="shared" si="7"/>
        <v>0</v>
      </c>
    </row>
    <row r="141" spans="1:8" ht="15.6" x14ac:dyDescent="0.3">
      <c r="A141" s="20" t="s">
        <v>125</v>
      </c>
      <c r="B141" s="20" t="s">
        <v>162</v>
      </c>
      <c r="C141" s="21" t="s">
        <v>163</v>
      </c>
      <c r="D141" s="20" t="s">
        <v>7</v>
      </c>
      <c r="E141" s="23">
        <v>0</v>
      </c>
      <c r="F141" s="23">
        <v>0</v>
      </c>
      <c r="H141" s="23">
        <f t="shared" si="7"/>
        <v>0</v>
      </c>
    </row>
    <row r="142" spans="1:8" ht="15.6" x14ac:dyDescent="0.3">
      <c r="A142" s="20" t="s">
        <v>125</v>
      </c>
      <c r="B142" s="20" t="s">
        <v>164</v>
      </c>
      <c r="C142" s="21" t="s">
        <v>165</v>
      </c>
      <c r="D142" s="20" t="s">
        <v>7</v>
      </c>
      <c r="E142" s="23">
        <v>0</v>
      </c>
      <c r="F142" s="23">
        <v>0</v>
      </c>
      <c r="H142" s="23">
        <f t="shared" si="7"/>
        <v>0</v>
      </c>
    </row>
    <row r="143" spans="1:8" ht="15.6" x14ac:dyDescent="0.3">
      <c r="A143" s="20" t="s">
        <v>125</v>
      </c>
      <c r="B143" s="20" t="s">
        <v>166</v>
      </c>
      <c r="C143" s="21" t="s">
        <v>167</v>
      </c>
      <c r="D143" s="20" t="s">
        <v>7</v>
      </c>
      <c r="E143" s="23">
        <v>0</v>
      </c>
      <c r="F143" s="23">
        <v>0</v>
      </c>
      <c r="H143" s="23">
        <f t="shared" si="7"/>
        <v>0</v>
      </c>
    </row>
    <row r="144" spans="1:8" ht="15.6" x14ac:dyDescent="0.3">
      <c r="A144" s="20" t="s">
        <v>125</v>
      </c>
      <c r="B144" s="26">
        <v>2502535</v>
      </c>
      <c r="C144" s="27" t="s">
        <v>168</v>
      </c>
      <c r="D144" s="20" t="s">
        <v>7</v>
      </c>
      <c r="E144" s="25">
        <v>0</v>
      </c>
      <c r="F144" s="25">
        <v>0</v>
      </c>
      <c r="H144" s="25">
        <f t="shared" si="7"/>
        <v>0</v>
      </c>
    </row>
    <row r="145" spans="1:8" ht="16.2" thickBot="1" x14ac:dyDescent="0.35">
      <c r="A145" s="20" t="s">
        <v>125</v>
      </c>
      <c r="B145" s="28" t="s">
        <v>169</v>
      </c>
      <c r="C145" s="29" t="s">
        <v>170</v>
      </c>
      <c r="D145" s="20" t="s">
        <v>7</v>
      </c>
      <c r="E145" s="30">
        <v>10</v>
      </c>
      <c r="F145" s="30">
        <v>7</v>
      </c>
      <c r="H145" s="30">
        <f t="shared" si="7"/>
        <v>3</v>
      </c>
    </row>
    <row r="146" spans="1:8" ht="16.2" thickBot="1" x14ac:dyDescent="0.35">
      <c r="A146" s="1"/>
      <c r="B146" s="1"/>
      <c r="C146" s="13"/>
      <c r="D146" s="1"/>
      <c r="E146" s="14">
        <v>197</v>
      </c>
      <c r="F146" s="15">
        <f>SUM(F123:F145)</f>
        <v>258</v>
      </c>
      <c r="G146" s="15">
        <f t="shared" ref="G146:H146" si="8">SUM(G123:G145)</f>
        <v>0</v>
      </c>
      <c r="H146" s="15">
        <f t="shared" si="8"/>
        <v>-61</v>
      </c>
    </row>
    <row r="147" spans="1:8" ht="15.6" x14ac:dyDescent="0.3">
      <c r="A147" s="16" t="s">
        <v>171</v>
      </c>
      <c r="B147" s="16" t="s">
        <v>172</v>
      </c>
      <c r="C147" s="17" t="s">
        <v>173</v>
      </c>
      <c r="D147" s="16" t="s">
        <v>174</v>
      </c>
      <c r="E147" s="31">
        <v>0</v>
      </c>
      <c r="F147" s="31">
        <v>0</v>
      </c>
      <c r="H147" s="31">
        <f t="shared" si="7"/>
        <v>0</v>
      </c>
    </row>
    <row r="148" spans="1:8" ht="15.6" x14ac:dyDescent="0.3">
      <c r="A148" s="20" t="s">
        <v>175</v>
      </c>
      <c r="B148" s="20">
        <v>50736306</v>
      </c>
      <c r="C148" s="21" t="s">
        <v>176</v>
      </c>
      <c r="D148" s="20" t="s">
        <v>177</v>
      </c>
      <c r="E148" s="23">
        <v>0</v>
      </c>
      <c r="F148" s="23">
        <v>0</v>
      </c>
      <c r="H148" s="23">
        <f t="shared" si="7"/>
        <v>0</v>
      </c>
    </row>
    <row r="149" spans="1:8" ht="15.6" x14ac:dyDescent="0.3">
      <c r="A149" s="20" t="s">
        <v>175</v>
      </c>
      <c r="B149" s="20">
        <v>56553321</v>
      </c>
      <c r="C149" s="21" t="s">
        <v>178</v>
      </c>
      <c r="D149" s="20" t="s">
        <v>177</v>
      </c>
      <c r="E149" s="20">
        <v>0</v>
      </c>
      <c r="F149" s="20">
        <v>0</v>
      </c>
      <c r="H149" s="20">
        <f t="shared" si="7"/>
        <v>0</v>
      </c>
    </row>
    <row r="150" spans="1:8" ht="15.6" x14ac:dyDescent="0.3">
      <c r="A150" s="20" t="s">
        <v>175</v>
      </c>
      <c r="B150" s="20">
        <v>51715481</v>
      </c>
      <c r="C150" s="21" t="s">
        <v>179</v>
      </c>
      <c r="D150" s="20" t="s">
        <v>177</v>
      </c>
      <c r="E150" s="23">
        <v>0</v>
      </c>
      <c r="F150" s="23">
        <v>0</v>
      </c>
      <c r="H150" s="23">
        <f t="shared" si="7"/>
        <v>0</v>
      </c>
    </row>
    <row r="151" spans="1:8" ht="15.6" x14ac:dyDescent="0.3">
      <c r="A151" s="20" t="s">
        <v>175</v>
      </c>
      <c r="B151" s="20">
        <v>486308</v>
      </c>
      <c r="C151" s="21" t="s">
        <v>180</v>
      </c>
      <c r="D151" s="20" t="s">
        <v>181</v>
      </c>
      <c r="E151" s="23">
        <v>0</v>
      </c>
      <c r="F151" s="23">
        <v>0</v>
      </c>
      <c r="H151" s="23">
        <f t="shared" si="7"/>
        <v>0</v>
      </c>
    </row>
    <row r="152" spans="1:8" ht="16.2" thickBot="1" x14ac:dyDescent="0.35">
      <c r="A152" s="9"/>
      <c r="B152" s="9"/>
      <c r="C152" s="10"/>
      <c r="D152" s="9"/>
      <c r="E152" s="11">
        <v>0</v>
      </c>
      <c r="F152" s="11">
        <v>0</v>
      </c>
      <c r="H152" s="11"/>
    </row>
  </sheetData>
  <protectedRanges>
    <protectedRange sqref="E2:H2 F77:H77" name="Range2"/>
    <protectedRange sqref="E2:H2 F77:H77" name="Range1"/>
    <protectedRange sqref="E1:H1" name="Range2_1"/>
    <protectedRange sqref="E1:H1" name="Range1_1"/>
    <protectedRange sqref="E77 E36:H36" name="Range2_3"/>
    <protectedRange sqref="E77 E36:H36" name="Range1_3"/>
  </protectedRanges>
  <conditionalFormatting sqref="C4">
    <cfRule type="duplicateValues" dxfId="118" priority="7"/>
  </conditionalFormatting>
  <conditionalFormatting sqref="C23">
    <cfRule type="duplicateValues" dxfId="117" priority="8"/>
  </conditionalFormatting>
  <conditionalFormatting sqref="C24 C6">
    <cfRule type="duplicateValues" dxfId="116" priority="15"/>
  </conditionalFormatting>
  <conditionalFormatting sqref="C29">
    <cfRule type="duplicateValues" dxfId="115" priority="12"/>
  </conditionalFormatting>
  <conditionalFormatting sqref="C30 C25 C3 C7:C12 C27:C28 C14:C22">
    <cfRule type="duplicateValues" dxfId="114" priority="14"/>
  </conditionalFormatting>
  <conditionalFormatting sqref="C31:C35">
    <cfRule type="duplicateValues" dxfId="113" priority="13"/>
  </conditionalFormatting>
  <conditionalFormatting sqref="E4:F4 E5:H12 H14:H35 H37:H76 G77:H82 H83:H117">
    <cfRule type="cellIs" dxfId="112" priority="6" stopIfTrue="1" operator="lessThan">
      <formula>0</formula>
    </cfRule>
  </conditionalFormatting>
  <conditionalFormatting sqref="E13:F13">
    <cfRule type="cellIs" dxfId="111" priority="5" stopIfTrue="1" operator="lessThan">
      <formula>0</formula>
    </cfRule>
  </conditionalFormatting>
  <conditionalFormatting sqref="E119:F120 H119:H121 E121:G121">
    <cfRule type="cellIs" dxfId="110" priority="9" stopIfTrue="1" operator="lessThan">
      <formula>0</formula>
    </cfRule>
  </conditionalFormatting>
  <conditionalFormatting sqref="E150:F152">
    <cfRule type="cellIs" dxfId="109" priority="3" stopIfTrue="1" operator="lessThan">
      <formula>0</formula>
    </cfRule>
  </conditionalFormatting>
  <conditionalFormatting sqref="E2:H3 E14:G26 G27:G35 E27:F36 G36:H36 G37:G54 E38:F54 E55:G70 G71:G76 E71:F117 G83:G120">
    <cfRule type="cellIs" dxfId="108" priority="10" stopIfTrue="1" operator="lessThan">
      <formula>0</formula>
    </cfRule>
  </conditionalFormatting>
  <conditionalFormatting sqref="G122:H122 E122:F148 G146:H146">
    <cfRule type="cellIs" dxfId="107" priority="4" stopIfTrue="1" operator="lessThan">
      <formula>0</formula>
    </cfRule>
  </conditionalFormatting>
  <conditionalFormatting sqref="H123:H145 H147:H148">
    <cfRule type="cellIs" dxfId="106" priority="2" stopIfTrue="1" operator="lessThan">
      <formula>0</formula>
    </cfRule>
  </conditionalFormatting>
  <conditionalFormatting sqref="H150:H152">
    <cfRule type="cellIs" dxfId="105" priority="1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13AE-7513-42C2-9E18-B9DCD5B62F77}">
  <dimension ref="A1:I121"/>
  <sheetViews>
    <sheetView zoomScale="90" zoomScaleNormal="90" workbookViewId="0">
      <selection activeCell="I18" sqref="I18"/>
    </sheetView>
  </sheetViews>
  <sheetFormatPr defaultRowHeight="14.4" x14ac:dyDescent="0.3"/>
  <cols>
    <col min="1" max="1" width="12" bestFit="1" customWidth="1"/>
    <col min="2" max="2" width="24.5546875" bestFit="1" customWidth="1"/>
    <col min="3" max="3" width="61.109375" customWidth="1"/>
    <col min="4" max="4" width="6.109375" bestFit="1" customWidth="1"/>
    <col min="5" max="5" width="9.88671875" customWidth="1"/>
    <col min="6" max="6" width="14.5546875" customWidth="1"/>
    <col min="7" max="7" width="9.88671875" hidden="1" customWidth="1"/>
    <col min="8" max="8" width="9.88671875" customWidth="1"/>
  </cols>
  <sheetData>
    <row r="1" spans="1:8" s="36" customFormat="1" ht="25.65" customHeight="1" thickBot="1" x14ac:dyDescent="0.35">
      <c r="A1" s="35" t="s">
        <v>0</v>
      </c>
      <c r="B1" s="35" t="s">
        <v>1</v>
      </c>
      <c r="C1" s="35" t="s">
        <v>2</v>
      </c>
      <c r="D1" s="35" t="s">
        <v>3</v>
      </c>
      <c r="E1" s="35" t="s">
        <v>190</v>
      </c>
      <c r="F1" s="35" t="s">
        <v>191</v>
      </c>
      <c r="G1" s="35"/>
      <c r="H1" s="35" t="s">
        <v>203</v>
      </c>
    </row>
    <row r="2" spans="1:8" ht="16.2" thickBot="1" x14ac:dyDescent="0.35">
      <c r="A2" s="1"/>
      <c r="B2" s="1"/>
      <c r="C2" s="2"/>
      <c r="D2" s="3"/>
      <c r="E2" s="4"/>
      <c r="F2" s="4"/>
      <c r="G2" s="4"/>
      <c r="H2" s="4"/>
    </row>
    <row r="3" spans="1:8" ht="13.65" customHeight="1" x14ac:dyDescent="0.3">
      <c r="A3" s="16" t="s">
        <v>4</v>
      </c>
      <c r="B3" s="16" t="s">
        <v>5</v>
      </c>
      <c r="C3" s="17" t="s">
        <v>6</v>
      </c>
      <c r="D3" s="16" t="s">
        <v>7</v>
      </c>
      <c r="E3" s="19">
        <v>11</v>
      </c>
      <c r="F3" s="19">
        <v>3</v>
      </c>
      <c r="G3" s="19"/>
      <c r="H3" s="19">
        <f>E3-F3</f>
        <v>8</v>
      </c>
    </row>
    <row r="4" spans="1:8" ht="13.65" customHeight="1" x14ac:dyDescent="0.3">
      <c r="A4" s="20" t="s">
        <v>4</v>
      </c>
      <c r="B4" s="20" t="s">
        <v>195</v>
      </c>
      <c r="C4" s="21" t="s">
        <v>196</v>
      </c>
      <c r="D4" s="20" t="s">
        <v>7</v>
      </c>
      <c r="E4" s="23">
        <v>0</v>
      </c>
      <c r="F4" s="23">
        <v>24</v>
      </c>
      <c r="G4" s="19"/>
      <c r="H4" s="19">
        <f t="shared" ref="H4:H67" si="0">E4-F4</f>
        <v>-24</v>
      </c>
    </row>
    <row r="5" spans="1:8" s="24" customFormat="1" ht="13.65" customHeight="1" x14ac:dyDescent="0.3">
      <c r="A5" s="20" t="s">
        <v>4</v>
      </c>
      <c r="B5" s="20" t="s">
        <v>197</v>
      </c>
      <c r="C5" s="21" t="s">
        <v>198</v>
      </c>
      <c r="D5" s="20" t="s">
        <v>7</v>
      </c>
      <c r="E5" s="23">
        <v>0</v>
      </c>
      <c r="F5" s="23">
        <v>16</v>
      </c>
      <c r="G5" s="19"/>
      <c r="H5" s="19">
        <f t="shared" si="0"/>
        <v>-16</v>
      </c>
    </row>
    <row r="6" spans="1:8" ht="13.65" customHeight="1" x14ac:dyDescent="0.3">
      <c r="A6" s="20" t="s">
        <v>4</v>
      </c>
      <c r="B6" s="20" t="s">
        <v>193</v>
      </c>
      <c r="C6" s="21" t="s">
        <v>194</v>
      </c>
      <c r="D6" s="20" t="s">
        <v>7</v>
      </c>
      <c r="E6" s="23">
        <v>0</v>
      </c>
      <c r="F6" s="23">
        <v>23</v>
      </c>
      <c r="G6" s="19"/>
      <c r="H6" s="19">
        <f t="shared" si="0"/>
        <v>-23</v>
      </c>
    </row>
    <row r="7" spans="1:8" ht="13.65" customHeight="1" x14ac:dyDescent="0.3">
      <c r="A7" s="20" t="s">
        <v>4</v>
      </c>
      <c r="B7" s="20" t="s">
        <v>8</v>
      </c>
      <c r="C7" s="21" t="s">
        <v>9</v>
      </c>
      <c r="D7" s="20" t="s">
        <v>7</v>
      </c>
      <c r="E7" s="22">
        <v>30</v>
      </c>
      <c r="F7" s="22">
        <v>30</v>
      </c>
      <c r="G7" s="19"/>
      <c r="H7" s="19">
        <f t="shared" si="0"/>
        <v>0</v>
      </c>
    </row>
    <row r="8" spans="1:8" ht="13.65" customHeight="1" x14ac:dyDescent="0.3">
      <c r="A8" s="20" t="s">
        <v>4</v>
      </c>
      <c r="B8" s="20" t="s">
        <v>10</v>
      </c>
      <c r="C8" s="21" t="s">
        <v>11</v>
      </c>
      <c r="D8" s="20" t="s">
        <v>7</v>
      </c>
      <c r="E8" s="22">
        <v>177</v>
      </c>
      <c r="F8" s="22">
        <v>140</v>
      </c>
      <c r="G8" s="19"/>
      <c r="H8" s="19">
        <f t="shared" si="0"/>
        <v>37</v>
      </c>
    </row>
    <row r="9" spans="1:8" ht="13.65" customHeight="1" x14ac:dyDescent="0.3">
      <c r="A9" s="20" t="s">
        <v>4</v>
      </c>
      <c r="B9" s="20" t="s">
        <v>12</v>
      </c>
      <c r="C9" s="21" t="s">
        <v>13</v>
      </c>
      <c r="D9" s="20" t="s">
        <v>7</v>
      </c>
      <c r="E9" s="22">
        <v>246</v>
      </c>
      <c r="F9" s="22">
        <v>216</v>
      </c>
      <c r="G9" s="19"/>
      <c r="H9" s="19">
        <f t="shared" si="0"/>
        <v>30</v>
      </c>
    </row>
    <row r="10" spans="1:8" ht="13.65" customHeight="1" x14ac:dyDescent="0.3">
      <c r="A10" s="20" t="s">
        <v>4</v>
      </c>
      <c r="B10" s="20" t="s">
        <v>14</v>
      </c>
      <c r="C10" s="21" t="s">
        <v>15</v>
      </c>
      <c r="D10" s="20" t="s">
        <v>7</v>
      </c>
      <c r="E10" s="22">
        <v>10</v>
      </c>
      <c r="F10" s="22">
        <v>0</v>
      </c>
      <c r="G10" s="19"/>
      <c r="H10" s="19">
        <f t="shared" si="0"/>
        <v>10</v>
      </c>
    </row>
    <row r="11" spans="1:8" ht="13.65" customHeight="1" x14ac:dyDescent="0.3">
      <c r="A11" s="20" t="s">
        <v>4</v>
      </c>
      <c r="B11" s="20" t="s">
        <v>16</v>
      </c>
      <c r="C11" s="21" t="s">
        <v>17</v>
      </c>
      <c r="D11" s="20" t="s">
        <v>7</v>
      </c>
      <c r="E11" s="22">
        <v>45</v>
      </c>
      <c r="F11" s="22">
        <v>45</v>
      </c>
      <c r="G11" s="19"/>
      <c r="H11" s="19">
        <f t="shared" si="0"/>
        <v>0</v>
      </c>
    </row>
    <row r="12" spans="1:8" ht="13.65" customHeight="1" x14ac:dyDescent="0.3">
      <c r="A12" s="20" t="s">
        <v>4</v>
      </c>
      <c r="B12" s="20" t="s">
        <v>18</v>
      </c>
      <c r="C12" s="21" t="s">
        <v>19</v>
      </c>
      <c r="D12" s="20" t="s">
        <v>7</v>
      </c>
      <c r="E12" s="18">
        <v>39</v>
      </c>
      <c r="F12" s="18">
        <v>36</v>
      </c>
      <c r="G12" s="19"/>
      <c r="H12" s="19">
        <f t="shared" si="0"/>
        <v>3</v>
      </c>
    </row>
    <row r="13" spans="1:8" ht="13.65" customHeight="1" x14ac:dyDescent="0.3">
      <c r="A13" s="20" t="s">
        <v>4</v>
      </c>
      <c r="B13" s="20" t="s">
        <v>20</v>
      </c>
      <c r="C13" s="21" t="s">
        <v>21</v>
      </c>
      <c r="D13" s="20" t="s">
        <v>7</v>
      </c>
      <c r="E13" s="18">
        <v>26</v>
      </c>
      <c r="F13" s="18">
        <v>21</v>
      </c>
      <c r="G13" s="19"/>
      <c r="H13" s="19">
        <f t="shared" si="0"/>
        <v>5</v>
      </c>
    </row>
    <row r="14" spans="1:8" ht="13.65" customHeight="1" x14ac:dyDescent="0.3">
      <c r="A14" s="20" t="s">
        <v>4</v>
      </c>
      <c r="B14" s="20" t="s">
        <v>22</v>
      </c>
      <c r="C14" s="21" t="s">
        <v>23</v>
      </c>
      <c r="D14" s="20" t="s">
        <v>7</v>
      </c>
      <c r="E14" s="18">
        <v>52</v>
      </c>
      <c r="F14" s="22">
        <v>59</v>
      </c>
      <c r="G14" s="19"/>
      <c r="H14" s="19">
        <f t="shared" si="0"/>
        <v>-7</v>
      </c>
    </row>
    <row r="15" spans="1:8" ht="13.65" customHeight="1" x14ac:dyDescent="0.3">
      <c r="A15" s="20" t="s">
        <v>4</v>
      </c>
      <c r="B15" s="20" t="s">
        <v>24</v>
      </c>
      <c r="C15" s="21" t="s">
        <v>25</v>
      </c>
      <c r="D15" s="20" t="s">
        <v>7</v>
      </c>
      <c r="E15" s="18">
        <v>15</v>
      </c>
      <c r="F15" s="22">
        <v>18</v>
      </c>
      <c r="G15" s="19"/>
      <c r="H15" s="19">
        <f t="shared" si="0"/>
        <v>-3</v>
      </c>
    </row>
    <row r="16" spans="1:8" ht="13.65" customHeight="1" x14ac:dyDescent="0.3">
      <c r="A16" s="20" t="s">
        <v>4</v>
      </c>
      <c r="B16" s="20" t="s">
        <v>26</v>
      </c>
      <c r="C16" s="21" t="s">
        <v>27</v>
      </c>
      <c r="D16" s="20" t="s">
        <v>7</v>
      </c>
      <c r="E16" s="22">
        <v>50</v>
      </c>
      <c r="F16" s="22">
        <v>50</v>
      </c>
      <c r="G16" s="19"/>
      <c r="H16" s="19">
        <f t="shared" si="0"/>
        <v>0</v>
      </c>
    </row>
    <row r="17" spans="1:9" ht="13.65" customHeight="1" x14ac:dyDescent="0.3">
      <c r="A17" s="20" t="s">
        <v>4</v>
      </c>
      <c r="B17" s="20" t="s">
        <v>28</v>
      </c>
      <c r="C17" s="21" t="s">
        <v>29</v>
      </c>
      <c r="D17" s="20" t="s">
        <v>7</v>
      </c>
      <c r="E17" s="22">
        <v>141</v>
      </c>
      <c r="F17" s="22">
        <v>138</v>
      </c>
      <c r="G17" s="19"/>
      <c r="H17" s="19">
        <f t="shared" si="0"/>
        <v>3</v>
      </c>
      <c r="I17">
        <f>138+75</f>
        <v>213</v>
      </c>
    </row>
    <row r="18" spans="1:9" ht="13.65" customHeight="1" x14ac:dyDescent="0.3">
      <c r="A18" s="20" t="s">
        <v>4</v>
      </c>
      <c r="B18" s="20" t="s">
        <v>30</v>
      </c>
      <c r="C18" s="21" t="s">
        <v>31</v>
      </c>
      <c r="D18" s="20" t="s">
        <v>7</v>
      </c>
      <c r="E18" s="19">
        <v>42</v>
      </c>
      <c r="F18" s="19">
        <v>41</v>
      </c>
      <c r="G18" s="19"/>
      <c r="H18" s="19">
        <f t="shared" si="0"/>
        <v>1</v>
      </c>
    </row>
    <row r="19" spans="1:9" ht="13.65" customHeight="1" x14ac:dyDescent="0.3">
      <c r="A19" s="20" t="s">
        <v>4</v>
      </c>
      <c r="B19" s="20" t="s">
        <v>32</v>
      </c>
      <c r="C19" s="21" t="s">
        <v>33</v>
      </c>
      <c r="D19" s="20" t="s">
        <v>7</v>
      </c>
      <c r="E19" s="19">
        <v>32</v>
      </c>
      <c r="F19" s="19">
        <v>28</v>
      </c>
      <c r="G19" s="19"/>
      <c r="H19" s="19">
        <f t="shared" si="0"/>
        <v>4</v>
      </c>
    </row>
    <row r="20" spans="1:9" ht="13.65" customHeight="1" x14ac:dyDescent="0.3">
      <c r="A20" s="20" t="s">
        <v>4</v>
      </c>
      <c r="B20" s="20" t="s">
        <v>34</v>
      </c>
      <c r="C20" s="21" t="s">
        <v>35</v>
      </c>
      <c r="D20" s="20" t="s">
        <v>7</v>
      </c>
      <c r="E20" s="19">
        <v>3</v>
      </c>
      <c r="F20" s="19">
        <v>3</v>
      </c>
      <c r="G20" s="19"/>
      <c r="H20" s="19">
        <f t="shared" si="0"/>
        <v>0</v>
      </c>
    </row>
    <row r="21" spans="1:9" ht="13.65" customHeight="1" x14ac:dyDescent="0.3">
      <c r="A21" s="20" t="s">
        <v>4</v>
      </c>
      <c r="B21" s="20" t="s">
        <v>36</v>
      </c>
      <c r="C21" s="21" t="s">
        <v>37</v>
      </c>
      <c r="D21" s="20" t="s">
        <v>7</v>
      </c>
      <c r="E21" s="19">
        <v>3</v>
      </c>
      <c r="F21" s="19">
        <v>2</v>
      </c>
      <c r="G21" s="19"/>
      <c r="H21" s="19">
        <f t="shared" si="0"/>
        <v>1</v>
      </c>
    </row>
    <row r="22" spans="1:9" ht="13.65" customHeight="1" x14ac:dyDescent="0.3">
      <c r="A22" s="20"/>
      <c r="B22" s="20"/>
      <c r="C22" s="21"/>
      <c r="D22" s="20"/>
      <c r="E22" s="23"/>
      <c r="F22" s="23"/>
      <c r="G22" s="19"/>
      <c r="H22" s="19">
        <f t="shared" si="0"/>
        <v>0</v>
      </c>
    </row>
    <row r="23" spans="1:9" ht="13.65" customHeight="1" x14ac:dyDescent="0.3">
      <c r="A23" s="20" t="s">
        <v>4</v>
      </c>
      <c r="B23" s="20" t="s">
        <v>38</v>
      </c>
      <c r="C23" s="21" t="s">
        <v>39</v>
      </c>
      <c r="D23" s="20" t="s">
        <v>7</v>
      </c>
      <c r="E23" s="23">
        <v>38</v>
      </c>
      <c r="F23" s="23">
        <v>38</v>
      </c>
      <c r="G23" s="19"/>
      <c r="H23" s="19">
        <f t="shared" si="0"/>
        <v>0</v>
      </c>
    </row>
    <row r="24" spans="1:9" ht="13.65" customHeight="1" x14ac:dyDescent="0.3">
      <c r="A24" s="20" t="s">
        <v>4</v>
      </c>
      <c r="B24" s="20" t="s">
        <v>40</v>
      </c>
      <c r="C24" s="21" t="s">
        <v>41</v>
      </c>
      <c r="D24" s="20" t="s">
        <v>7</v>
      </c>
      <c r="E24" s="23">
        <v>2</v>
      </c>
      <c r="F24" s="23">
        <v>2</v>
      </c>
      <c r="G24" s="19"/>
      <c r="H24" s="19">
        <f t="shared" si="0"/>
        <v>0</v>
      </c>
    </row>
    <row r="25" spans="1:9" s="24" customFormat="1" ht="13.65" customHeight="1" x14ac:dyDescent="0.3">
      <c r="A25" s="20"/>
      <c r="B25" s="20"/>
      <c r="C25" s="21"/>
      <c r="D25" s="20"/>
      <c r="E25" s="23"/>
      <c r="F25" s="23"/>
      <c r="G25" s="19"/>
      <c r="H25" s="19">
        <f t="shared" si="0"/>
        <v>0</v>
      </c>
    </row>
    <row r="26" spans="1:9" ht="13.65" customHeight="1" x14ac:dyDescent="0.3">
      <c r="A26" s="20" t="s">
        <v>42</v>
      </c>
      <c r="B26" s="20" t="s">
        <v>43</v>
      </c>
      <c r="C26" s="21" t="s">
        <v>44</v>
      </c>
      <c r="D26" s="20" t="s">
        <v>7</v>
      </c>
      <c r="E26" s="23">
        <v>22</v>
      </c>
      <c r="F26" s="23">
        <v>34</v>
      </c>
      <c r="G26" s="19"/>
      <c r="H26" s="19">
        <f t="shared" si="0"/>
        <v>-12</v>
      </c>
    </row>
    <row r="27" spans="1:9" ht="13.65" customHeight="1" x14ac:dyDescent="0.3">
      <c r="A27" s="20" t="s">
        <v>42</v>
      </c>
      <c r="B27" s="20" t="s">
        <v>45</v>
      </c>
      <c r="C27" s="21" t="s">
        <v>46</v>
      </c>
      <c r="D27" s="20" t="s">
        <v>7</v>
      </c>
      <c r="E27" s="23">
        <v>0</v>
      </c>
      <c r="F27" s="23">
        <v>0</v>
      </c>
      <c r="G27" s="19"/>
      <c r="H27" s="19">
        <f t="shared" si="0"/>
        <v>0</v>
      </c>
    </row>
    <row r="28" spans="1:9" ht="13.65" customHeight="1" x14ac:dyDescent="0.3">
      <c r="A28" s="20"/>
      <c r="B28" s="20"/>
      <c r="C28" s="21"/>
      <c r="D28" s="20"/>
      <c r="E28" s="23"/>
      <c r="F28" s="23"/>
      <c r="G28" s="19"/>
      <c r="H28" s="19">
        <f t="shared" si="0"/>
        <v>0</v>
      </c>
    </row>
    <row r="29" spans="1:9" ht="13.65" customHeight="1" x14ac:dyDescent="0.3">
      <c r="A29" s="20" t="s">
        <v>47</v>
      </c>
      <c r="B29" s="20" t="s">
        <v>48</v>
      </c>
      <c r="C29" s="21" t="s">
        <v>49</v>
      </c>
      <c r="D29" s="20" t="s">
        <v>7</v>
      </c>
      <c r="E29" s="23">
        <v>0</v>
      </c>
      <c r="F29" s="23">
        <v>0</v>
      </c>
      <c r="G29" s="19"/>
      <c r="H29" s="19">
        <f t="shared" si="0"/>
        <v>0</v>
      </c>
    </row>
    <row r="30" spans="1:9" ht="13.65" customHeight="1" x14ac:dyDescent="0.3">
      <c r="A30" s="20" t="s">
        <v>47</v>
      </c>
      <c r="B30" s="20" t="s">
        <v>50</v>
      </c>
      <c r="C30" s="21" t="s">
        <v>51</v>
      </c>
      <c r="D30" s="20" t="s">
        <v>7</v>
      </c>
      <c r="E30" s="23">
        <v>0</v>
      </c>
      <c r="F30" s="23">
        <v>0</v>
      </c>
      <c r="G30" s="19"/>
      <c r="H30" s="19">
        <f t="shared" si="0"/>
        <v>0</v>
      </c>
    </row>
    <row r="31" spans="1:9" ht="13.65" customHeight="1" x14ac:dyDescent="0.3">
      <c r="A31" s="20" t="s">
        <v>47</v>
      </c>
      <c r="B31" s="20" t="s">
        <v>52</v>
      </c>
      <c r="C31" s="21" t="s">
        <v>185</v>
      </c>
      <c r="D31" s="20" t="s">
        <v>7</v>
      </c>
      <c r="E31" s="23">
        <v>6</v>
      </c>
      <c r="F31" s="23">
        <v>0</v>
      </c>
      <c r="G31" s="19"/>
      <c r="H31" s="19">
        <f t="shared" si="0"/>
        <v>6</v>
      </c>
    </row>
    <row r="32" spans="1:9" ht="13.65" customHeight="1" x14ac:dyDescent="0.3">
      <c r="A32" s="20" t="s">
        <v>47</v>
      </c>
      <c r="B32" s="20" t="s">
        <v>54</v>
      </c>
      <c r="C32" s="21" t="s">
        <v>55</v>
      </c>
      <c r="D32" s="20" t="s">
        <v>7</v>
      </c>
      <c r="E32" s="23">
        <v>46</v>
      </c>
      <c r="F32" s="23">
        <v>45</v>
      </c>
      <c r="G32" s="19"/>
      <c r="H32" s="19">
        <f t="shared" si="0"/>
        <v>1</v>
      </c>
    </row>
    <row r="33" spans="1:8" ht="13.65" customHeight="1" x14ac:dyDescent="0.3">
      <c r="A33" s="20" t="s">
        <v>47</v>
      </c>
      <c r="B33" s="20" t="s">
        <v>56</v>
      </c>
      <c r="C33" s="21" t="s">
        <v>57</v>
      </c>
      <c r="D33" s="20" t="s">
        <v>7</v>
      </c>
      <c r="E33" s="23">
        <v>44</v>
      </c>
      <c r="F33" s="23">
        <v>41</v>
      </c>
      <c r="G33" s="19"/>
      <c r="H33" s="19">
        <f t="shared" si="0"/>
        <v>3</v>
      </c>
    </row>
    <row r="34" spans="1:8" ht="13.65" customHeight="1" x14ac:dyDescent="0.3">
      <c r="A34" s="20"/>
      <c r="B34" s="20"/>
      <c r="C34" s="21"/>
      <c r="D34" s="20"/>
      <c r="E34" s="23"/>
      <c r="F34" s="23"/>
      <c r="G34" s="19"/>
      <c r="H34" s="19"/>
    </row>
    <row r="35" spans="1:8" ht="13.65" customHeight="1" thickBot="1" x14ac:dyDescent="0.35">
      <c r="A35" s="5"/>
      <c r="B35" s="5"/>
      <c r="C35" s="6"/>
      <c r="D35" s="5"/>
      <c r="E35" s="7">
        <v>1068</v>
      </c>
      <c r="F35" s="8"/>
      <c r="G35" s="19"/>
      <c r="H35" s="12"/>
    </row>
    <row r="36" spans="1:8" s="24" customFormat="1" ht="13.65" customHeight="1" x14ac:dyDescent="0.3">
      <c r="A36" s="16" t="s">
        <v>4</v>
      </c>
      <c r="B36" s="16">
        <v>7358771515</v>
      </c>
      <c r="C36" s="17" t="s">
        <v>58</v>
      </c>
      <c r="D36" s="16" t="s">
        <v>7</v>
      </c>
      <c r="E36" s="20">
        <v>0</v>
      </c>
      <c r="F36" s="20">
        <v>0</v>
      </c>
      <c r="G36" s="19"/>
      <c r="H36" s="19">
        <f t="shared" si="0"/>
        <v>0</v>
      </c>
    </row>
    <row r="37" spans="1:8" s="24" customFormat="1" ht="13.65" customHeight="1" x14ac:dyDescent="0.3">
      <c r="A37" s="20" t="s">
        <v>4</v>
      </c>
      <c r="B37" s="20">
        <v>7378761826</v>
      </c>
      <c r="C37" s="21" t="s">
        <v>59</v>
      </c>
      <c r="D37" s="20" t="s">
        <v>7</v>
      </c>
      <c r="E37" s="23">
        <v>0</v>
      </c>
      <c r="F37" s="23">
        <v>0</v>
      </c>
      <c r="G37" s="19"/>
      <c r="H37" s="19">
        <f t="shared" si="0"/>
        <v>0</v>
      </c>
    </row>
    <row r="38" spans="1:8" s="24" customFormat="1" ht="13.65" customHeight="1" x14ac:dyDescent="0.3">
      <c r="A38" s="20" t="s">
        <v>4</v>
      </c>
      <c r="B38" s="20" t="s">
        <v>60</v>
      </c>
      <c r="C38" s="21" t="s">
        <v>61</v>
      </c>
      <c r="D38" s="20" t="s">
        <v>7</v>
      </c>
      <c r="E38" s="23">
        <v>0</v>
      </c>
      <c r="F38" s="23">
        <v>0</v>
      </c>
      <c r="G38" s="19"/>
      <c r="H38" s="19">
        <f t="shared" si="0"/>
        <v>0</v>
      </c>
    </row>
    <row r="39" spans="1:8" s="24" customFormat="1" ht="13.65" customHeight="1" x14ac:dyDescent="0.3">
      <c r="A39" s="20" t="s">
        <v>4</v>
      </c>
      <c r="B39" s="20" t="s">
        <v>62</v>
      </c>
      <c r="C39" s="21" t="s">
        <v>63</v>
      </c>
      <c r="D39" s="20" t="s">
        <v>7</v>
      </c>
      <c r="E39" s="23">
        <v>0</v>
      </c>
      <c r="F39" s="23">
        <v>0</v>
      </c>
      <c r="G39" s="19"/>
      <c r="H39" s="19">
        <f t="shared" si="0"/>
        <v>0</v>
      </c>
    </row>
    <row r="40" spans="1:8" s="24" customFormat="1" ht="13.65" customHeight="1" x14ac:dyDescent="0.3">
      <c r="A40" s="20" t="s">
        <v>4</v>
      </c>
      <c r="B40" s="20" t="s">
        <v>64</v>
      </c>
      <c r="C40" s="21" t="s">
        <v>65</v>
      </c>
      <c r="D40" s="20" t="s">
        <v>7</v>
      </c>
      <c r="E40" s="23">
        <v>0</v>
      </c>
      <c r="F40" s="23">
        <v>0</v>
      </c>
      <c r="G40" s="19"/>
      <c r="H40" s="19">
        <f t="shared" si="0"/>
        <v>0</v>
      </c>
    </row>
    <row r="41" spans="1:8" s="24" customFormat="1" ht="13.65" customHeight="1" x14ac:dyDescent="0.3">
      <c r="A41" s="20" t="s">
        <v>4</v>
      </c>
      <c r="B41" s="20" t="s">
        <v>66</v>
      </c>
      <c r="C41" s="21" t="s">
        <v>67</v>
      </c>
      <c r="D41" s="20" t="s">
        <v>7</v>
      </c>
      <c r="E41" s="23">
        <v>0</v>
      </c>
      <c r="F41" s="23">
        <v>0</v>
      </c>
      <c r="G41" s="19"/>
      <c r="H41" s="19">
        <f t="shared" si="0"/>
        <v>0</v>
      </c>
    </row>
    <row r="42" spans="1:8" s="24" customFormat="1" ht="13.65" customHeight="1" x14ac:dyDescent="0.3">
      <c r="A42" s="20" t="s">
        <v>4</v>
      </c>
      <c r="B42" s="20" t="s">
        <v>68</v>
      </c>
      <c r="C42" s="21" t="s">
        <v>69</v>
      </c>
      <c r="D42" s="20" t="s">
        <v>7</v>
      </c>
      <c r="E42" s="23">
        <v>0</v>
      </c>
      <c r="F42" s="23">
        <v>0</v>
      </c>
      <c r="G42" s="19"/>
      <c r="H42" s="19">
        <f t="shared" si="0"/>
        <v>0</v>
      </c>
    </row>
    <row r="43" spans="1:8" s="24" customFormat="1" ht="13.65" customHeight="1" x14ac:dyDescent="0.3">
      <c r="A43" s="20" t="s">
        <v>4</v>
      </c>
      <c r="B43" s="20" t="s">
        <v>70</v>
      </c>
      <c r="C43" s="21" t="s">
        <v>69</v>
      </c>
      <c r="D43" s="20" t="s">
        <v>7</v>
      </c>
      <c r="E43" s="23">
        <v>0</v>
      </c>
      <c r="F43" s="23">
        <v>0</v>
      </c>
      <c r="G43" s="19"/>
      <c r="H43" s="19">
        <f t="shared" si="0"/>
        <v>0</v>
      </c>
    </row>
    <row r="44" spans="1:8" s="24" customFormat="1" ht="13.65" customHeight="1" x14ac:dyDescent="0.3">
      <c r="A44" s="20" t="s">
        <v>4</v>
      </c>
      <c r="B44" s="20" t="s">
        <v>71</v>
      </c>
      <c r="C44" s="21" t="s">
        <v>72</v>
      </c>
      <c r="D44" s="20" t="s">
        <v>7</v>
      </c>
      <c r="E44" s="23">
        <v>0</v>
      </c>
      <c r="F44" s="23">
        <v>0</v>
      </c>
      <c r="G44" s="19"/>
      <c r="H44" s="19">
        <f t="shared" si="0"/>
        <v>0</v>
      </c>
    </row>
    <row r="45" spans="1:8" s="24" customFormat="1" ht="13.65" customHeight="1" x14ac:dyDescent="0.3">
      <c r="A45" s="20" t="s">
        <v>4</v>
      </c>
      <c r="B45" s="20">
        <v>7951697</v>
      </c>
      <c r="C45" s="21" t="s">
        <v>73</v>
      </c>
      <c r="D45" s="20" t="s">
        <v>7</v>
      </c>
      <c r="E45" s="23">
        <v>0</v>
      </c>
      <c r="F45" s="23">
        <v>0</v>
      </c>
      <c r="G45" s="19"/>
      <c r="H45" s="19">
        <f t="shared" si="0"/>
        <v>0</v>
      </c>
    </row>
    <row r="46" spans="1:8" s="24" customFormat="1" ht="13.65" customHeight="1" x14ac:dyDescent="0.3">
      <c r="A46" s="20" t="s">
        <v>4</v>
      </c>
      <c r="B46" s="20">
        <v>7952606</v>
      </c>
      <c r="C46" s="21" t="s">
        <v>74</v>
      </c>
      <c r="D46" s="20" t="s">
        <v>7</v>
      </c>
      <c r="E46" s="23">
        <v>0</v>
      </c>
      <c r="F46" s="23">
        <v>0</v>
      </c>
      <c r="G46" s="19"/>
      <c r="H46" s="19">
        <f t="shared" si="0"/>
        <v>0</v>
      </c>
    </row>
    <row r="47" spans="1:8" s="24" customFormat="1" ht="13.65" customHeight="1" x14ac:dyDescent="0.3">
      <c r="A47" s="20" t="s">
        <v>4</v>
      </c>
      <c r="B47" s="20" t="s">
        <v>75</v>
      </c>
      <c r="C47" s="21" t="s">
        <v>76</v>
      </c>
      <c r="D47" s="20" t="s">
        <v>7</v>
      </c>
      <c r="E47" s="23">
        <v>0</v>
      </c>
      <c r="F47" s="23">
        <v>0</v>
      </c>
      <c r="G47" s="19"/>
      <c r="H47" s="19">
        <f t="shared" si="0"/>
        <v>0</v>
      </c>
    </row>
    <row r="48" spans="1:8" s="24" customFormat="1" ht="13.65" customHeight="1" x14ac:dyDescent="0.3">
      <c r="A48" s="20"/>
      <c r="B48" s="20"/>
      <c r="C48" s="21"/>
      <c r="D48" s="20"/>
      <c r="E48" s="23"/>
      <c r="F48" s="23"/>
      <c r="G48" s="19"/>
      <c r="H48" s="19">
        <f t="shared" si="0"/>
        <v>0</v>
      </c>
    </row>
    <row r="49" spans="1:8" s="24" customFormat="1" ht="13.65" customHeight="1" x14ac:dyDescent="0.3">
      <c r="A49" s="20" t="s">
        <v>4</v>
      </c>
      <c r="B49" s="20">
        <v>7305771415</v>
      </c>
      <c r="C49" s="21" t="s">
        <v>77</v>
      </c>
      <c r="D49" s="20" t="s">
        <v>7</v>
      </c>
      <c r="E49" s="23">
        <v>0</v>
      </c>
      <c r="F49" s="23">
        <v>0</v>
      </c>
      <c r="G49" s="19"/>
      <c r="H49" s="19">
        <f t="shared" si="0"/>
        <v>0</v>
      </c>
    </row>
    <row r="50" spans="1:8" s="24" customFormat="1" ht="13.65" customHeight="1" x14ac:dyDescent="0.3">
      <c r="A50" s="20" t="s">
        <v>4</v>
      </c>
      <c r="B50" s="20" t="s">
        <v>78</v>
      </c>
      <c r="C50" s="21" t="s">
        <v>79</v>
      </c>
      <c r="D50" s="20" t="s">
        <v>7</v>
      </c>
      <c r="E50" s="23">
        <v>0</v>
      </c>
      <c r="F50" s="23">
        <v>0</v>
      </c>
      <c r="G50" s="19"/>
      <c r="H50" s="19">
        <f t="shared" si="0"/>
        <v>0</v>
      </c>
    </row>
    <row r="51" spans="1:8" s="24" customFormat="1" ht="13.65" customHeight="1" x14ac:dyDescent="0.3">
      <c r="A51" s="20" t="s">
        <v>4</v>
      </c>
      <c r="B51" s="20" t="s">
        <v>80</v>
      </c>
      <c r="C51" s="21" t="s">
        <v>81</v>
      </c>
      <c r="D51" s="20" t="s">
        <v>7</v>
      </c>
      <c r="E51" s="23">
        <v>0</v>
      </c>
      <c r="F51" s="23">
        <v>0</v>
      </c>
      <c r="G51" s="19"/>
      <c r="H51" s="19">
        <f t="shared" si="0"/>
        <v>0</v>
      </c>
    </row>
    <row r="52" spans="1:8" s="24" customFormat="1" ht="13.65" customHeight="1" x14ac:dyDescent="0.3">
      <c r="A52" s="20"/>
      <c r="B52" s="20"/>
      <c r="C52" s="21"/>
      <c r="D52" s="20"/>
      <c r="E52" s="23"/>
      <c r="F52" s="23"/>
      <c r="G52" s="19"/>
      <c r="H52" s="19">
        <f t="shared" si="0"/>
        <v>0</v>
      </c>
    </row>
    <row r="53" spans="1:8" s="24" customFormat="1" ht="13.65" customHeight="1" x14ac:dyDescent="0.3">
      <c r="A53" s="20" t="s">
        <v>4</v>
      </c>
      <c r="B53" s="20" t="s">
        <v>82</v>
      </c>
      <c r="C53" s="21" t="s">
        <v>83</v>
      </c>
      <c r="D53" s="20" t="s">
        <v>7</v>
      </c>
      <c r="E53" s="23">
        <v>0</v>
      </c>
      <c r="F53" s="23">
        <v>0</v>
      </c>
      <c r="G53" s="19"/>
      <c r="H53" s="19">
        <f t="shared" si="0"/>
        <v>0</v>
      </c>
    </row>
    <row r="54" spans="1:8" s="24" customFormat="1" ht="13.65" customHeight="1" x14ac:dyDescent="0.3">
      <c r="A54" s="20"/>
      <c r="B54" s="20"/>
      <c r="C54" s="21"/>
      <c r="D54" s="20"/>
      <c r="E54" s="23"/>
      <c r="F54" s="23"/>
      <c r="G54" s="19"/>
      <c r="H54" s="19">
        <f t="shared" si="0"/>
        <v>0</v>
      </c>
    </row>
    <row r="55" spans="1:8" s="24" customFormat="1" ht="13.65" customHeight="1" x14ac:dyDescent="0.3">
      <c r="A55" s="26" t="s">
        <v>4</v>
      </c>
      <c r="B55" s="26">
        <v>7328602001</v>
      </c>
      <c r="C55" s="27" t="s">
        <v>84</v>
      </c>
      <c r="D55" s="26" t="s">
        <v>7</v>
      </c>
      <c r="E55" s="25">
        <v>0</v>
      </c>
      <c r="F55" s="25">
        <v>0</v>
      </c>
      <c r="G55" s="19"/>
      <c r="H55" s="19">
        <f t="shared" si="0"/>
        <v>0</v>
      </c>
    </row>
    <row r="56" spans="1:8" s="24" customFormat="1" ht="13.65" customHeight="1" x14ac:dyDescent="0.3">
      <c r="A56" s="20" t="s">
        <v>4</v>
      </c>
      <c r="B56" s="20" t="s">
        <v>85</v>
      </c>
      <c r="C56" s="21" t="s">
        <v>86</v>
      </c>
      <c r="D56" s="20" t="s">
        <v>7</v>
      </c>
      <c r="E56" s="23">
        <v>0</v>
      </c>
      <c r="F56" s="23">
        <v>0</v>
      </c>
      <c r="G56" s="19"/>
      <c r="H56" s="19">
        <f t="shared" si="0"/>
        <v>0</v>
      </c>
    </row>
    <row r="57" spans="1:8" s="24" customFormat="1" ht="13.65" customHeight="1" x14ac:dyDescent="0.3">
      <c r="A57" s="20" t="s">
        <v>4</v>
      </c>
      <c r="B57" s="20">
        <v>7951698</v>
      </c>
      <c r="C57" s="21" t="s">
        <v>87</v>
      </c>
      <c r="D57" s="20" t="s">
        <v>7</v>
      </c>
      <c r="E57" s="23">
        <v>0</v>
      </c>
      <c r="F57" s="23">
        <v>0</v>
      </c>
      <c r="G57" s="19"/>
      <c r="H57" s="19">
        <f t="shared" si="0"/>
        <v>0</v>
      </c>
    </row>
    <row r="58" spans="1:8" s="24" customFormat="1" ht="13.65" customHeight="1" thickBot="1" x14ac:dyDescent="0.35">
      <c r="A58" s="28"/>
      <c r="B58" s="28"/>
      <c r="C58" s="29"/>
      <c r="D58" s="28"/>
      <c r="E58" s="30"/>
      <c r="F58" s="30"/>
      <c r="G58" s="19"/>
      <c r="H58" s="45"/>
    </row>
    <row r="59" spans="1:8" s="24" customFormat="1" ht="13.65" customHeight="1" thickBot="1" x14ac:dyDescent="0.35">
      <c r="A59" s="37"/>
      <c r="B59" s="37"/>
      <c r="C59" s="38"/>
      <c r="D59" s="37"/>
      <c r="E59" s="39"/>
      <c r="F59" s="47"/>
      <c r="G59" s="44"/>
      <c r="H59" s="46"/>
    </row>
    <row r="60" spans="1:8" s="24" customFormat="1" ht="13.65" customHeight="1" thickBot="1" x14ac:dyDescent="0.35">
      <c r="A60" s="37"/>
      <c r="B60" s="37"/>
      <c r="C60" s="38"/>
      <c r="D60" s="37"/>
      <c r="E60" s="39"/>
      <c r="F60" s="39"/>
      <c r="G60" s="44"/>
      <c r="H60" s="46"/>
    </row>
    <row r="61" spans="1:8" s="24" customFormat="1" ht="13.65" customHeight="1" thickBot="1" x14ac:dyDescent="0.35">
      <c r="A61" s="37"/>
      <c r="B61" s="37"/>
      <c r="C61" s="38"/>
      <c r="D61" s="37"/>
      <c r="E61" s="39"/>
      <c r="F61" s="39"/>
      <c r="G61" s="44"/>
      <c r="H61" s="46"/>
    </row>
    <row r="62" spans="1:8" ht="13.65" customHeight="1" thickBot="1" x14ac:dyDescent="0.35">
      <c r="A62" s="5"/>
      <c r="B62" s="5"/>
      <c r="C62" s="6"/>
      <c r="D62" s="5"/>
      <c r="E62" s="12"/>
      <c r="F62" s="12"/>
      <c r="G62" s="19"/>
      <c r="H62" s="12"/>
    </row>
    <row r="63" spans="1:8" s="24" customFormat="1" ht="13.65" customHeight="1" x14ac:dyDescent="0.3">
      <c r="A63" s="16" t="s">
        <v>42</v>
      </c>
      <c r="B63" s="16" t="s">
        <v>88</v>
      </c>
      <c r="C63" s="17" t="s">
        <v>89</v>
      </c>
      <c r="D63" s="16" t="s">
        <v>7</v>
      </c>
      <c r="E63" s="31">
        <v>1095</v>
      </c>
      <c r="F63" s="31">
        <v>1080</v>
      </c>
      <c r="G63" s="19"/>
      <c r="H63" s="19">
        <f t="shared" si="0"/>
        <v>15</v>
      </c>
    </row>
    <row r="64" spans="1:8" s="24" customFormat="1" ht="13.65" customHeight="1" x14ac:dyDescent="0.3">
      <c r="A64" s="20" t="s">
        <v>42</v>
      </c>
      <c r="B64" s="20" t="s">
        <v>90</v>
      </c>
      <c r="C64" s="21" t="s">
        <v>91</v>
      </c>
      <c r="D64" s="20" t="s">
        <v>7</v>
      </c>
      <c r="E64" s="23">
        <v>1041</v>
      </c>
      <c r="F64" s="23">
        <v>1041</v>
      </c>
      <c r="G64" s="19"/>
      <c r="H64" s="19">
        <f t="shared" si="0"/>
        <v>0</v>
      </c>
    </row>
    <row r="65" spans="1:9" s="24" customFormat="1" ht="13.65" customHeight="1" x14ac:dyDescent="0.3">
      <c r="A65" s="20" t="s">
        <v>42</v>
      </c>
      <c r="B65" s="20" t="s">
        <v>92</v>
      </c>
      <c r="C65" s="21" t="s">
        <v>93</v>
      </c>
      <c r="D65" s="20" t="s">
        <v>7</v>
      </c>
      <c r="E65" s="23">
        <v>1720</v>
      </c>
      <c r="F65" s="23">
        <v>1682</v>
      </c>
      <c r="G65" s="19"/>
      <c r="H65" s="19">
        <f t="shared" si="0"/>
        <v>38</v>
      </c>
    </row>
    <row r="66" spans="1:9" s="24" customFormat="1" ht="13.65" customHeight="1" x14ac:dyDescent="0.3">
      <c r="A66" s="20" t="s">
        <v>42</v>
      </c>
      <c r="B66" s="20" t="s">
        <v>94</v>
      </c>
      <c r="C66" s="21" t="s">
        <v>95</v>
      </c>
      <c r="D66" s="20" t="s">
        <v>7</v>
      </c>
      <c r="E66" s="23">
        <v>0</v>
      </c>
      <c r="F66" s="23">
        <v>0</v>
      </c>
      <c r="G66" s="19"/>
      <c r="H66" s="19">
        <f t="shared" si="0"/>
        <v>0</v>
      </c>
    </row>
    <row r="67" spans="1:9" s="24" customFormat="1" ht="13.65" customHeight="1" x14ac:dyDescent="0.3">
      <c r="A67" s="20" t="s">
        <v>96</v>
      </c>
      <c r="B67" s="20" t="s">
        <v>99</v>
      </c>
      <c r="C67" s="21" t="s">
        <v>200</v>
      </c>
      <c r="D67" s="20" t="s">
        <v>7</v>
      </c>
      <c r="E67" s="23">
        <v>0</v>
      </c>
      <c r="F67" s="23">
        <v>0</v>
      </c>
      <c r="G67" s="19"/>
      <c r="H67" s="19">
        <f t="shared" si="0"/>
        <v>0</v>
      </c>
    </row>
    <row r="68" spans="1:9" s="24" customFormat="1" ht="14.1" customHeight="1" x14ac:dyDescent="0.3">
      <c r="A68" s="20" t="s">
        <v>96</v>
      </c>
      <c r="B68" s="20">
        <v>503479</v>
      </c>
      <c r="C68" s="21" t="s">
        <v>202</v>
      </c>
      <c r="D68" s="20" t="s">
        <v>7</v>
      </c>
      <c r="E68" s="23">
        <v>0</v>
      </c>
      <c r="F68" s="23">
        <v>1200</v>
      </c>
      <c r="G68" s="19"/>
      <c r="H68" s="19">
        <f t="shared" ref="H68:H87" si="1">E68-F68</f>
        <v>-1200</v>
      </c>
    </row>
    <row r="69" spans="1:9" s="24" customFormat="1" ht="14.1" customHeight="1" x14ac:dyDescent="0.3">
      <c r="A69" s="20" t="s">
        <v>96</v>
      </c>
      <c r="B69" s="20">
        <v>503479</v>
      </c>
      <c r="C69" s="43" t="s">
        <v>201</v>
      </c>
      <c r="D69" s="20" t="s">
        <v>7</v>
      </c>
      <c r="E69" s="23">
        <v>0</v>
      </c>
      <c r="F69" s="23">
        <v>2400</v>
      </c>
      <c r="G69" s="19"/>
      <c r="H69" s="19">
        <f t="shared" si="1"/>
        <v>-2400</v>
      </c>
    </row>
    <row r="70" spans="1:9" s="24" customFormat="1" ht="14.1" customHeight="1" x14ac:dyDescent="0.3">
      <c r="A70" s="20" t="s">
        <v>4</v>
      </c>
      <c r="B70" s="20" t="s">
        <v>199</v>
      </c>
      <c r="C70" s="21" t="s">
        <v>200</v>
      </c>
      <c r="D70" s="20" t="s">
        <v>7</v>
      </c>
      <c r="E70" s="23">
        <v>1800</v>
      </c>
      <c r="F70" s="23">
        <v>750</v>
      </c>
      <c r="G70" s="19"/>
      <c r="H70" s="19">
        <f t="shared" si="1"/>
        <v>1050</v>
      </c>
    </row>
    <row r="71" spans="1:9" s="24" customFormat="1" ht="14.1" customHeight="1" x14ac:dyDescent="0.3">
      <c r="A71" s="20"/>
      <c r="B71" s="20"/>
      <c r="C71" s="42"/>
      <c r="D71" s="20"/>
      <c r="E71" s="23"/>
      <c r="F71" s="23"/>
      <c r="G71" s="19"/>
      <c r="H71" s="19">
        <f t="shared" si="1"/>
        <v>0</v>
      </c>
    </row>
    <row r="72" spans="1:9" s="24" customFormat="1" ht="14.1" customHeight="1" x14ac:dyDescent="0.3">
      <c r="A72" s="20"/>
      <c r="B72" s="20"/>
      <c r="D72" s="20"/>
      <c r="E72" s="23"/>
      <c r="F72" s="23"/>
      <c r="G72" s="19"/>
      <c r="H72" s="19">
        <f t="shared" si="1"/>
        <v>0</v>
      </c>
    </row>
    <row r="73" spans="1:9" s="24" customFormat="1" ht="13.65" customHeight="1" x14ac:dyDescent="0.3">
      <c r="A73" s="20" t="s">
        <v>4</v>
      </c>
      <c r="B73" s="20" t="s">
        <v>101</v>
      </c>
      <c r="C73" s="21" t="s">
        <v>102</v>
      </c>
      <c r="D73" s="20" t="s">
        <v>7</v>
      </c>
      <c r="E73" s="23">
        <v>11160</v>
      </c>
      <c r="F73" s="23">
        <v>14160</v>
      </c>
      <c r="G73" s="19"/>
      <c r="H73" s="19">
        <f>E73-F73</f>
        <v>-3000</v>
      </c>
    </row>
    <row r="74" spans="1:9" s="24" customFormat="1" ht="13.65" customHeight="1" x14ac:dyDescent="0.3">
      <c r="A74" s="20" t="s">
        <v>4</v>
      </c>
      <c r="B74" s="20" t="s">
        <v>103</v>
      </c>
      <c r="C74" s="21" t="s">
        <v>104</v>
      </c>
      <c r="D74" s="20" t="s">
        <v>7</v>
      </c>
      <c r="E74" s="23">
        <v>11327</v>
      </c>
      <c r="F74" s="23">
        <v>14880</v>
      </c>
      <c r="G74" s="19"/>
      <c r="H74" s="19">
        <f t="shared" si="1"/>
        <v>-3553</v>
      </c>
    </row>
    <row r="75" spans="1:9" s="24" customFormat="1" ht="13.65" customHeight="1" x14ac:dyDescent="0.3">
      <c r="A75" s="20" t="s">
        <v>4</v>
      </c>
      <c r="B75" s="20" t="s">
        <v>105</v>
      </c>
      <c r="C75" s="21" t="s">
        <v>106</v>
      </c>
      <c r="D75" s="20" t="s">
        <v>7</v>
      </c>
      <c r="E75" s="23">
        <v>750</v>
      </c>
      <c r="F75" s="23">
        <v>750</v>
      </c>
      <c r="G75" s="19"/>
      <c r="H75" s="19">
        <f t="shared" si="1"/>
        <v>0</v>
      </c>
    </row>
    <row r="76" spans="1:9" s="24" customFormat="1" ht="13.65" customHeight="1" thickBot="1" x14ac:dyDescent="0.35">
      <c r="A76" s="28" t="s">
        <v>4</v>
      </c>
      <c r="B76" s="28" t="s">
        <v>188</v>
      </c>
      <c r="C76" s="29" t="s">
        <v>189</v>
      </c>
      <c r="D76" s="28" t="s">
        <v>7</v>
      </c>
      <c r="E76" s="30">
        <v>200</v>
      </c>
      <c r="F76" s="30">
        <v>200</v>
      </c>
      <c r="G76" s="19"/>
      <c r="H76" s="19">
        <f t="shared" si="1"/>
        <v>0</v>
      </c>
    </row>
    <row r="77" spans="1:9" ht="13.65" customHeight="1" thickBot="1" x14ac:dyDescent="0.35">
      <c r="A77" s="5"/>
      <c r="B77" s="5"/>
      <c r="C77" s="6"/>
      <c r="D77" s="5"/>
      <c r="E77" s="7">
        <v>29093</v>
      </c>
      <c r="F77" s="8"/>
      <c r="G77" s="19"/>
      <c r="H77" s="12"/>
    </row>
    <row r="78" spans="1:9" s="24" customFormat="1" ht="13.65" customHeight="1" x14ac:dyDescent="0.3">
      <c r="A78" s="16" t="s">
        <v>107</v>
      </c>
      <c r="B78" s="16" t="s">
        <v>108</v>
      </c>
      <c r="C78" s="17" t="s">
        <v>109</v>
      </c>
      <c r="D78" s="16" t="s">
        <v>7</v>
      </c>
      <c r="E78" s="31">
        <v>1670</v>
      </c>
      <c r="F78" s="31">
        <v>2346</v>
      </c>
      <c r="G78" s="19"/>
      <c r="H78" s="19">
        <f t="shared" si="1"/>
        <v>-676</v>
      </c>
    </row>
    <row r="79" spans="1:9" s="24" customFormat="1" ht="13.65" customHeight="1" x14ac:dyDescent="0.3">
      <c r="A79" s="26" t="s">
        <v>107</v>
      </c>
      <c r="B79" s="26" t="s">
        <v>110</v>
      </c>
      <c r="C79" s="27" t="s">
        <v>111</v>
      </c>
      <c r="D79" s="26" t="s">
        <v>7</v>
      </c>
      <c r="E79" s="25">
        <v>249</v>
      </c>
      <c r="F79" s="25">
        <v>421</v>
      </c>
      <c r="G79" s="19"/>
      <c r="H79" s="19">
        <f t="shared" si="1"/>
        <v>-172</v>
      </c>
    </row>
    <row r="80" spans="1:9" s="24" customFormat="1" ht="13.65" customHeight="1" x14ac:dyDescent="0.3">
      <c r="A80" s="26" t="s">
        <v>107</v>
      </c>
      <c r="B80" s="26" t="s">
        <v>112</v>
      </c>
      <c r="C80" s="27" t="s">
        <v>113</v>
      </c>
      <c r="D80" s="26" t="s">
        <v>114</v>
      </c>
      <c r="E80" s="25">
        <v>0</v>
      </c>
      <c r="F80" s="25">
        <v>0</v>
      </c>
      <c r="G80" s="19"/>
      <c r="H80" s="19">
        <f t="shared" si="1"/>
        <v>0</v>
      </c>
      <c r="I80" s="24" t="s">
        <v>192</v>
      </c>
    </row>
    <row r="81" spans="1:8" s="24" customFormat="1" ht="13.65" customHeight="1" thickBot="1" x14ac:dyDescent="0.35">
      <c r="A81" s="26"/>
      <c r="B81" s="26"/>
      <c r="C81" s="27"/>
      <c r="D81" s="26"/>
      <c r="E81" s="25"/>
      <c r="F81" s="25"/>
      <c r="G81" s="19"/>
      <c r="H81" s="19">
        <f t="shared" si="1"/>
        <v>0</v>
      </c>
    </row>
    <row r="82" spans="1:8" ht="13.65" customHeight="1" thickBot="1" x14ac:dyDescent="0.35">
      <c r="A82" s="1"/>
      <c r="B82" s="1"/>
      <c r="C82" s="13"/>
      <c r="D82" s="13"/>
      <c r="E82" s="14">
        <v>1919</v>
      </c>
      <c r="F82" s="15"/>
      <c r="G82" s="19"/>
      <c r="H82" s="12"/>
    </row>
    <row r="83" spans="1:8" s="24" customFormat="1" ht="13.65" customHeight="1" x14ac:dyDescent="0.3">
      <c r="A83" s="32" t="s">
        <v>42</v>
      </c>
      <c r="B83" s="32" t="s">
        <v>115</v>
      </c>
      <c r="C83" s="33" t="s">
        <v>116</v>
      </c>
      <c r="D83" s="32" t="s">
        <v>7</v>
      </c>
      <c r="E83" s="34">
        <v>0</v>
      </c>
      <c r="F83" s="34">
        <v>0</v>
      </c>
      <c r="G83" s="19"/>
      <c r="H83" s="19">
        <f t="shared" si="1"/>
        <v>0</v>
      </c>
    </row>
    <row r="84" spans="1:8" s="24" customFormat="1" ht="13.65" customHeight="1" x14ac:dyDescent="0.3">
      <c r="A84" s="20" t="s">
        <v>42</v>
      </c>
      <c r="B84" s="20" t="s">
        <v>117</v>
      </c>
      <c r="C84" s="21" t="s">
        <v>118</v>
      </c>
      <c r="D84" s="20" t="s">
        <v>7</v>
      </c>
      <c r="E84" s="23">
        <v>900</v>
      </c>
      <c r="F84" s="23">
        <v>800</v>
      </c>
      <c r="G84" s="19"/>
      <c r="H84" s="19">
        <f t="shared" si="1"/>
        <v>100</v>
      </c>
    </row>
    <row r="85" spans="1:8" s="24" customFormat="1" ht="13.65" customHeight="1" x14ac:dyDescent="0.3">
      <c r="A85" s="20" t="s">
        <v>42</v>
      </c>
      <c r="B85" s="20" t="s">
        <v>119</v>
      </c>
      <c r="C85" s="21" t="s">
        <v>120</v>
      </c>
      <c r="D85" s="20" t="s">
        <v>7</v>
      </c>
      <c r="E85" s="23">
        <v>900</v>
      </c>
      <c r="F85" s="23">
        <v>1098</v>
      </c>
      <c r="G85" s="19"/>
      <c r="H85" s="19">
        <f t="shared" si="1"/>
        <v>-198</v>
      </c>
    </row>
    <row r="86" spans="1:8" s="24" customFormat="1" ht="13.65" customHeight="1" x14ac:dyDescent="0.3">
      <c r="A86" s="20" t="s">
        <v>42</v>
      </c>
      <c r="B86" s="20" t="s">
        <v>121</v>
      </c>
      <c r="C86" s="21" t="s">
        <v>122</v>
      </c>
      <c r="D86" s="20" t="s">
        <v>7</v>
      </c>
      <c r="E86" s="23">
        <v>400</v>
      </c>
      <c r="F86" s="23">
        <v>400</v>
      </c>
      <c r="G86" s="19"/>
      <c r="H86" s="19">
        <f t="shared" si="1"/>
        <v>0</v>
      </c>
    </row>
    <row r="87" spans="1:8" s="24" customFormat="1" ht="13.65" customHeight="1" x14ac:dyDescent="0.3">
      <c r="A87" s="20" t="s">
        <v>42</v>
      </c>
      <c r="B87" s="20" t="s">
        <v>123</v>
      </c>
      <c r="C87" s="21" t="s">
        <v>124</v>
      </c>
      <c r="D87" s="20" t="s">
        <v>7</v>
      </c>
      <c r="E87" s="23">
        <v>700</v>
      </c>
      <c r="F87" s="23">
        <v>750</v>
      </c>
      <c r="G87" s="19"/>
      <c r="H87" s="19">
        <f t="shared" si="1"/>
        <v>-50</v>
      </c>
    </row>
    <row r="88" spans="1:8" s="24" customFormat="1" ht="13.65" customHeight="1" thickBot="1" x14ac:dyDescent="0.35">
      <c r="A88" s="28"/>
      <c r="B88" s="28"/>
      <c r="C88" s="29"/>
      <c r="D88" s="28"/>
      <c r="E88" s="30"/>
      <c r="F88" s="30"/>
      <c r="G88" s="19"/>
      <c r="H88" s="30"/>
    </row>
    <row r="89" spans="1:8" s="24" customFormat="1" ht="13.65" hidden="1" customHeight="1" thickBot="1" x14ac:dyDescent="0.35">
      <c r="A89" s="37"/>
      <c r="B89" s="37"/>
      <c r="C89" s="38"/>
      <c r="D89" s="37"/>
      <c r="E89" s="40"/>
      <c r="F89" s="41"/>
      <c r="G89" s="19"/>
      <c r="H89" s="40"/>
    </row>
    <row r="90" spans="1:8" s="24" customFormat="1" ht="13.65" hidden="1" customHeight="1" thickBot="1" x14ac:dyDescent="0.35">
      <c r="A90" s="37"/>
      <c r="B90" s="37"/>
      <c r="C90" s="38"/>
      <c r="D90" s="37"/>
      <c r="E90" s="40"/>
      <c r="F90" s="41"/>
      <c r="G90" s="19"/>
      <c r="H90" s="40"/>
    </row>
    <row r="91" spans="1:8" ht="13.65" hidden="1" customHeight="1" thickBot="1" x14ac:dyDescent="0.35">
      <c r="A91" s="5"/>
      <c r="B91" s="5"/>
      <c r="C91" s="6"/>
      <c r="D91" s="5"/>
      <c r="E91" s="7">
        <v>900</v>
      </c>
      <c r="F91" s="8"/>
      <c r="G91" s="19"/>
      <c r="H91" s="7">
        <v>900</v>
      </c>
    </row>
    <row r="92" spans="1:8" s="24" customFormat="1" ht="13.65" hidden="1" customHeight="1" x14ac:dyDescent="0.3">
      <c r="A92" s="16" t="s">
        <v>125</v>
      </c>
      <c r="B92" s="16" t="s">
        <v>126</v>
      </c>
      <c r="C92" s="17" t="s">
        <v>127</v>
      </c>
      <c r="D92" s="16" t="s">
        <v>7</v>
      </c>
      <c r="E92" s="31">
        <v>20</v>
      </c>
      <c r="F92" s="31"/>
      <c r="G92" s="19"/>
      <c r="H92" s="31">
        <v>20</v>
      </c>
    </row>
    <row r="93" spans="1:8" s="24" customFormat="1" ht="13.65" hidden="1" customHeight="1" x14ac:dyDescent="0.3">
      <c r="A93" s="20" t="s">
        <v>125</v>
      </c>
      <c r="B93" s="20" t="s">
        <v>128</v>
      </c>
      <c r="C93" s="21" t="s">
        <v>129</v>
      </c>
      <c r="D93" s="20" t="s">
        <v>7</v>
      </c>
      <c r="E93" s="23">
        <v>25</v>
      </c>
      <c r="F93" s="23"/>
      <c r="G93" s="19"/>
      <c r="H93" s="23">
        <v>25</v>
      </c>
    </row>
    <row r="94" spans="1:8" s="24" customFormat="1" ht="13.65" hidden="1" customHeight="1" x14ac:dyDescent="0.3">
      <c r="A94" s="20" t="s">
        <v>125</v>
      </c>
      <c r="B94" s="20" t="s">
        <v>130</v>
      </c>
      <c r="C94" s="21" t="s">
        <v>131</v>
      </c>
      <c r="D94" s="20" t="s">
        <v>7</v>
      </c>
      <c r="E94" s="23">
        <v>32</v>
      </c>
      <c r="F94" s="23"/>
      <c r="G94" s="19"/>
      <c r="H94" s="23">
        <v>32</v>
      </c>
    </row>
    <row r="95" spans="1:8" s="24" customFormat="1" ht="13.65" hidden="1" customHeight="1" x14ac:dyDescent="0.3">
      <c r="A95" s="20" t="s">
        <v>125</v>
      </c>
      <c r="B95" s="20" t="s">
        <v>132</v>
      </c>
      <c r="C95" s="21" t="s">
        <v>133</v>
      </c>
      <c r="D95" s="20" t="s">
        <v>7</v>
      </c>
      <c r="E95" s="23">
        <v>10</v>
      </c>
      <c r="F95" s="23"/>
      <c r="G95" s="19"/>
      <c r="H95" s="23">
        <v>10</v>
      </c>
    </row>
    <row r="96" spans="1:8" s="24" customFormat="1" ht="13.65" hidden="1" customHeight="1" x14ac:dyDescent="0.3">
      <c r="A96" s="20" t="s">
        <v>125</v>
      </c>
      <c r="B96" s="20" t="s">
        <v>134</v>
      </c>
      <c r="C96" s="21" t="s">
        <v>135</v>
      </c>
      <c r="D96" s="20" t="s">
        <v>7</v>
      </c>
      <c r="E96" s="23">
        <v>7</v>
      </c>
      <c r="F96" s="23"/>
      <c r="G96" s="19"/>
      <c r="H96" s="23">
        <v>7</v>
      </c>
    </row>
    <row r="97" spans="1:8" s="24" customFormat="1" ht="13.65" hidden="1" customHeight="1" x14ac:dyDescent="0.3">
      <c r="A97" s="20" t="s">
        <v>125</v>
      </c>
      <c r="B97" s="20" t="s">
        <v>136</v>
      </c>
      <c r="C97" s="21" t="s">
        <v>137</v>
      </c>
      <c r="D97" s="20" t="s">
        <v>7</v>
      </c>
      <c r="E97" s="23">
        <v>27</v>
      </c>
      <c r="F97" s="23"/>
      <c r="G97" s="19"/>
      <c r="H97" s="23">
        <v>27</v>
      </c>
    </row>
    <row r="98" spans="1:8" s="24" customFormat="1" ht="13.65" hidden="1" customHeight="1" x14ac:dyDescent="0.3">
      <c r="A98" s="20" t="s">
        <v>125</v>
      </c>
      <c r="B98" s="20" t="s">
        <v>138</v>
      </c>
      <c r="C98" s="21" t="s">
        <v>139</v>
      </c>
      <c r="D98" s="20" t="s">
        <v>7</v>
      </c>
      <c r="E98" s="23">
        <v>4</v>
      </c>
      <c r="F98" s="23"/>
      <c r="G98" s="19"/>
      <c r="H98" s="23">
        <v>4</v>
      </c>
    </row>
    <row r="99" spans="1:8" s="24" customFormat="1" ht="13.65" hidden="1" customHeight="1" x14ac:dyDescent="0.3">
      <c r="A99" s="20" t="s">
        <v>125</v>
      </c>
      <c r="B99" s="20" t="s">
        <v>140</v>
      </c>
      <c r="C99" s="21" t="s">
        <v>141</v>
      </c>
      <c r="D99" s="20" t="s">
        <v>7</v>
      </c>
      <c r="E99" s="23">
        <v>32</v>
      </c>
      <c r="F99" s="23"/>
      <c r="G99" s="19"/>
      <c r="H99" s="23">
        <v>32</v>
      </c>
    </row>
    <row r="100" spans="1:8" s="24" customFormat="1" ht="13.65" hidden="1" customHeight="1" x14ac:dyDescent="0.3">
      <c r="A100" s="20" t="s">
        <v>125</v>
      </c>
      <c r="B100" s="20" t="s">
        <v>142</v>
      </c>
      <c r="C100" s="21" t="s">
        <v>143</v>
      </c>
      <c r="D100" s="20" t="s">
        <v>7</v>
      </c>
      <c r="E100" s="23">
        <v>10</v>
      </c>
      <c r="F100" s="23"/>
      <c r="G100" s="19"/>
      <c r="H100" s="23">
        <v>10</v>
      </c>
    </row>
    <row r="101" spans="1:8" s="24" customFormat="1" ht="13.65" hidden="1" customHeight="1" x14ac:dyDescent="0.3">
      <c r="A101" s="20" t="s">
        <v>125</v>
      </c>
      <c r="B101" s="20" t="s">
        <v>144</v>
      </c>
      <c r="C101" s="21" t="s">
        <v>145</v>
      </c>
      <c r="D101" s="20" t="s">
        <v>7</v>
      </c>
      <c r="E101" s="23">
        <v>10</v>
      </c>
      <c r="F101" s="23"/>
      <c r="G101" s="19"/>
      <c r="H101" s="23">
        <v>10</v>
      </c>
    </row>
    <row r="102" spans="1:8" s="24" customFormat="1" ht="13.65" hidden="1" customHeight="1" x14ac:dyDescent="0.3">
      <c r="A102" s="20" t="s">
        <v>125</v>
      </c>
      <c r="B102" s="20" t="s">
        <v>146</v>
      </c>
      <c r="C102" s="21" t="s">
        <v>147</v>
      </c>
      <c r="D102" s="20" t="s">
        <v>7</v>
      </c>
      <c r="E102" s="23">
        <v>10</v>
      </c>
      <c r="F102" s="23"/>
      <c r="G102" s="19"/>
      <c r="H102" s="23">
        <v>10</v>
      </c>
    </row>
    <row r="103" spans="1:8" s="24" customFormat="1" ht="13.65" hidden="1" customHeight="1" x14ac:dyDescent="0.3">
      <c r="A103" s="20" t="s">
        <v>125</v>
      </c>
      <c r="B103" s="20" t="s">
        <v>148</v>
      </c>
      <c r="C103" s="21" t="s">
        <v>149</v>
      </c>
      <c r="D103" s="20" t="s">
        <v>7</v>
      </c>
      <c r="E103" s="23">
        <v>0</v>
      </c>
      <c r="F103" s="23"/>
      <c r="G103" s="19"/>
      <c r="H103" s="23">
        <v>0</v>
      </c>
    </row>
    <row r="104" spans="1:8" s="24" customFormat="1" ht="13.65" hidden="1" customHeight="1" x14ac:dyDescent="0.3">
      <c r="A104" s="20" t="s">
        <v>125</v>
      </c>
      <c r="B104" s="20" t="s">
        <v>150</v>
      </c>
      <c r="C104" s="21" t="s">
        <v>151</v>
      </c>
      <c r="D104" s="20" t="s">
        <v>7</v>
      </c>
      <c r="E104" s="23">
        <v>0</v>
      </c>
      <c r="F104" s="23"/>
      <c r="G104" s="19"/>
      <c r="H104" s="23">
        <v>0</v>
      </c>
    </row>
    <row r="105" spans="1:8" s="24" customFormat="1" ht="13.65" hidden="1" customHeight="1" x14ac:dyDescent="0.3">
      <c r="A105" s="20" t="s">
        <v>125</v>
      </c>
      <c r="B105" s="20" t="s">
        <v>152</v>
      </c>
      <c r="C105" s="21" t="s">
        <v>153</v>
      </c>
      <c r="D105" s="20" t="s">
        <v>7</v>
      </c>
      <c r="E105" s="23">
        <v>0</v>
      </c>
      <c r="F105" s="23"/>
      <c r="G105" s="19"/>
      <c r="H105" s="23">
        <v>0</v>
      </c>
    </row>
    <row r="106" spans="1:8" s="24" customFormat="1" ht="13.65" hidden="1" customHeight="1" x14ac:dyDescent="0.3">
      <c r="A106" s="20" t="s">
        <v>125</v>
      </c>
      <c r="B106" s="20" t="s">
        <v>154</v>
      </c>
      <c r="C106" s="21" t="s">
        <v>155</v>
      </c>
      <c r="D106" s="20" t="s">
        <v>7</v>
      </c>
      <c r="E106" s="23">
        <v>0</v>
      </c>
      <c r="F106" s="23"/>
      <c r="G106" s="19"/>
      <c r="H106" s="23">
        <v>0</v>
      </c>
    </row>
    <row r="107" spans="1:8" s="24" customFormat="1" ht="13.65" hidden="1" customHeight="1" x14ac:dyDescent="0.3">
      <c r="A107" s="20" t="s">
        <v>125</v>
      </c>
      <c r="B107" s="20" t="s">
        <v>156</v>
      </c>
      <c r="C107" s="21" t="s">
        <v>157</v>
      </c>
      <c r="D107" s="20" t="s">
        <v>7</v>
      </c>
      <c r="E107" s="23">
        <v>0</v>
      </c>
      <c r="F107" s="23"/>
      <c r="G107" s="19"/>
      <c r="H107" s="23">
        <v>0</v>
      </c>
    </row>
    <row r="108" spans="1:8" s="24" customFormat="1" ht="13.65" hidden="1" customHeight="1" x14ac:dyDescent="0.3">
      <c r="A108" s="20" t="s">
        <v>125</v>
      </c>
      <c r="B108" s="20" t="s">
        <v>158</v>
      </c>
      <c r="C108" s="21" t="s">
        <v>159</v>
      </c>
      <c r="D108" s="20" t="s">
        <v>7</v>
      </c>
      <c r="E108" s="23">
        <v>0</v>
      </c>
      <c r="F108" s="23"/>
      <c r="G108" s="19"/>
      <c r="H108" s="23">
        <v>0</v>
      </c>
    </row>
    <row r="109" spans="1:8" s="24" customFormat="1" ht="13.65" hidden="1" customHeight="1" x14ac:dyDescent="0.3">
      <c r="A109" s="20" t="s">
        <v>125</v>
      </c>
      <c r="B109" s="20" t="s">
        <v>160</v>
      </c>
      <c r="C109" s="21" t="s">
        <v>161</v>
      </c>
      <c r="D109" s="20" t="s">
        <v>7</v>
      </c>
      <c r="E109" s="23">
        <v>0</v>
      </c>
      <c r="F109" s="23"/>
      <c r="G109" s="19"/>
      <c r="H109" s="23">
        <v>0</v>
      </c>
    </row>
    <row r="110" spans="1:8" s="24" customFormat="1" ht="13.65" hidden="1" customHeight="1" x14ac:dyDescent="0.3">
      <c r="A110" s="20" t="s">
        <v>125</v>
      </c>
      <c r="B110" s="20" t="s">
        <v>162</v>
      </c>
      <c r="C110" s="21" t="s">
        <v>163</v>
      </c>
      <c r="D110" s="20" t="s">
        <v>7</v>
      </c>
      <c r="E110" s="23">
        <v>0</v>
      </c>
      <c r="F110" s="23"/>
      <c r="G110" s="19"/>
      <c r="H110" s="23">
        <v>0</v>
      </c>
    </row>
    <row r="111" spans="1:8" s="24" customFormat="1" ht="13.65" hidden="1" customHeight="1" x14ac:dyDescent="0.3">
      <c r="A111" s="20" t="s">
        <v>125</v>
      </c>
      <c r="B111" s="20" t="s">
        <v>164</v>
      </c>
      <c r="C111" s="21" t="s">
        <v>165</v>
      </c>
      <c r="D111" s="20" t="s">
        <v>7</v>
      </c>
      <c r="E111" s="23">
        <v>0</v>
      </c>
      <c r="F111" s="23"/>
      <c r="G111" s="19"/>
      <c r="H111" s="23">
        <v>0</v>
      </c>
    </row>
    <row r="112" spans="1:8" s="24" customFormat="1" ht="13.65" hidden="1" customHeight="1" x14ac:dyDescent="0.3">
      <c r="A112" s="20" t="s">
        <v>125</v>
      </c>
      <c r="B112" s="20" t="s">
        <v>166</v>
      </c>
      <c r="C112" s="21" t="s">
        <v>167</v>
      </c>
      <c r="D112" s="20" t="s">
        <v>7</v>
      </c>
      <c r="E112" s="23">
        <v>0</v>
      </c>
      <c r="F112" s="23"/>
      <c r="G112" s="19"/>
      <c r="H112" s="23">
        <v>0</v>
      </c>
    </row>
    <row r="113" spans="1:8" s="24" customFormat="1" ht="13.65" hidden="1" customHeight="1" x14ac:dyDescent="0.3">
      <c r="A113" s="20" t="s">
        <v>125</v>
      </c>
      <c r="B113" s="26">
        <v>2502535</v>
      </c>
      <c r="C113" s="27" t="s">
        <v>168</v>
      </c>
      <c r="D113" s="20" t="s">
        <v>7</v>
      </c>
      <c r="E113" s="25">
        <v>0</v>
      </c>
      <c r="F113" s="25"/>
      <c r="G113" s="19"/>
      <c r="H113" s="25">
        <v>0</v>
      </c>
    </row>
    <row r="114" spans="1:8" s="24" customFormat="1" ht="13.65" hidden="1" customHeight="1" thickBot="1" x14ac:dyDescent="0.35">
      <c r="A114" s="20" t="s">
        <v>125</v>
      </c>
      <c r="B114" s="28" t="s">
        <v>169</v>
      </c>
      <c r="C114" s="29" t="s">
        <v>170</v>
      </c>
      <c r="D114" s="20" t="s">
        <v>7</v>
      </c>
      <c r="E114" s="30">
        <v>10</v>
      </c>
      <c r="F114" s="30"/>
      <c r="G114" s="19"/>
      <c r="H114" s="30">
        <v>10</v>
      </c>
    </row>
    <row r="115" spans="1:8" ht="13.65" hidden="1" customHeight="1" thickBot="1" x14ac:dyDescent="0.35">
      <c r="A115" s="1"/>
      <c r="B115" s="1"/>
      <c r="C115" s="13"/>
      <c r="D115" s="1"/>
      <c r="E115" s="14">
        <v>197</v>
      </c>
      <c r="F115" s="15"/>
      <c r="G115" s="19"/>
      <c r="H115" s="14">
        <v>197</v>
      </c>
    </row>
    <row r="116" spans="1:8" s="24" customFormat="1" ht="13.65" hidden="1" customHeight="1" x14ac:dyDescent="0.3">
      <c r="A116" s="16" t="s">
        <v>171</v>
      </c>
      <c r="B116" s="16" t="s">
        <v>172</v>
      </c>
      <c r="C116" s="17" t="s">
        <v>173</v>
      </c>
      <c r="D116" s="16" t="s">
        <v>174</v>
      </c>
      <c r="E116" s="31">
        <v>0</v>
      </c>
      <c r="F116" s="31"/>
      <c r="G116" s="19"/>
      <c r="H116" s="31">
        <v>0</v>
      </c>
    </row>
    <row r="117" spans="1:8" s="24" customFormat="1" ht="13.65" hidden="1" customHeight="1" x14ac:dyDescent="0.3">
      <c r="A117" s="20" t="s">
        <v>175</v>
      </c>
      <c r="B117" s="20">
        <v>50736306</v>
      </c>
      <c r="C117" s="21" t="s">
        <v>176</v>
      </c>
      <c r="D117" s="20" t="s">
        <v>177</v>
      </c>
      <c r="E117" s="23">
        <v>0</v>
      </c>
      <c r="F117" s="23"/>
      <c r="G117" s="19"/>
      <c r="H117" s="23">
        <v>0</v>
      </c>
    </row>
    <row r="118" spans="1:8" s="24" customFormat="1" ht="13.65" hidden="1" customHeight="1" x14ac:dyDescent="0.3">
      <c r="A118" s="20" t="s">
        <v>175</v>
      </c>
      <c r="B118" s="20">
        <v>56553321</v>
      </c>
      <c r="C118" s="21" t="s">
        <v>178</v>
      </c>
      <c r="D118" s="20" t="s">
        <v>177</v>
      </c>
      <c r="E118" s="20">
        <v>0</v>
      </c>
      <c r="F118" s="20"/>
      <c r="G118" s="19"/>
      <c r="H118" s="20">
        <v>0</v>
      </c>
    </row>
    <row r="119" spans="1:8" s="24" customFormat="1" ht="13.65" hidden="1" customHeight="1" x14ac:dyDescent="0.3">
      <c r="A119" s="20" t="s">
        <v>175</v>
      </c>
      <c r="B119" s="20">
        <v>51715481</v>
      </c>
      <c r="C119" s="21" t="s">
        <v>179</v>
      </c>
      <c r="D119" s="20" t="s">
        <v>177</v>
      </c>
      <c r="E119" s="23">
        <v>0</v>
      </c>
      <c r="F119" s="23"/>
      <c r="G119" s="19"/>
      <c r="H119" s="23">
        <v>0</v>
      </c>
    </row>
    <row r="120" spans="1:8" s="24" customFormat="1" ht="13.65" hidden="1" customHeight="1" x14ac:dyDescent="0.3">
      <c r="A120" s="20" t="s">
        <v>175</v>
      </c>
      <c r="B120" s="20">
        <v>486308</v>
      </c>
      <c r="C120" s="21" t="s">
        <v>180</v>
      </c>
      <c r="D120" s="20" t="s">
        <v>181</v>
      </c>
      <c r="E120" s="23">
        <v>0</v>
      </c>
      <c r="F120" s="23"/>
      <c r="G120" s="19"/>
      <c r="H120" s="23">
        <v>0</v>
      </c>
    </row>
    <row r="121" spans="1:8" ht="13.65" hidden="1" customHeight="1" thickBot="1" x14ac:dyDescent="0.35">
      <c r="A121" s="9"/>
      <c r="B121" s="9"/>
      <c r="C121" s="10"/>
      <c r="D121" s="9"/>
      <c r="E121" s="11">
        <v>0</v>
      </c>
      <c r="F121" s="11"/>
      <c r="G121" s="11"/>
      <c r="H121" s="11">
        <v>0</v>
      </c>
    </row>
  </sheetData>
  <protectedRanges>
    <protectedRange sqref="F77 E2:H2" name="Range2"/>
    <protectedRange sqref="F77 E2:H2" name="Range1"/>
    <protectedRange sqref="E1:H1" name="Range2_1"/>
    <protectedRange sqref="E1:H1" name="Range1_1"/>
    <protectedRange sqref="E77 E35:F35" name="Range2_3"/>
    <protectedRange sqref="E77 E35:F35" name="Range1_3"/>
  </protectedRanges>
  <conditionalFormatting sqref="C4">
    <cfRule type="duplicateValues" dxfId="104" priority="4"/>
  </conditionalFormatting>
  <conditionalFormatting sqref="C22">
    <cfRule type="duplicateValues" dxfId="103" priority="1"/>
  </conditionalFormatting>
  <conditionalFormatting sqref="C23 C6">
    <cfRule type="duplicateValues" dxfId="102" priority="8"/>
  </conditionalFormatting>
  <conditionalFormatting sqref="C28">
    <cfRule type="duplicateValues" dxfId="101" priority="5"/>
  </conditionalFormatting>
  <conditionalFormatting sqref="C29 C24 C3 C7:C21 C26:C27">
    <cfRule type="duplicateValues" dxfId="100" priority="7"/>
  </conditionalFormatting>
  <conditionalFormatting sqref="C30:C34">
    <cfRule type="duplicateValues" dxfId="99" priority="6"/>
  </conditionalFormatting>
  <conditionalFormatting sqref="E119:F120 H119:H121 E121:G121">
    <cfRule type="cellIs" dxfId="98" priority="2" stopIfTrue="1" operator="lessThan">
      <formula>0</formula>
    </cfRule>
  </conditionalFormatting>
  <conditionalFormatting sqref="E2:G25 H2:H117 E26:F35 G26:G53 E37:F53 E54:G70 E71:F117 G71:G120">
    <cfRule type="cellIs" dxfId="97" priority="3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5013-4A9A-4492-B484-FF0C419BA2C7}">
  <dimension ref="A1:F125"/>
  <sheetViews>
    <sheetView topLeftCell="A97" zoomScale="110" zoomScaleNormal="110" workbookViewId="0">
      <selection activeCell="B103" sqref="B103:E103"/>
    </sheetView>
  </sheetViews>
  <sheetFormatPr defaultRowHeight="14.4" x14ac:dyDescent="0.3"/>
  <cols>
    <col min="1" max="1" width="12" bestFit="1" customWidth="1"/>
    <col min="2" max="2" width="24.5546875" bestFit="1" customWidth="1"/>
    <col min="3" max="3" width="61.109375" customWidth="1"/>
    <col min="4" max="4" width="6.109375" bestFit="1" customWidth="1"/>
    <col min="5" max="5" width="9.88671875" customWidth="1"/>
    <col min="6" max="6" width="14.5546875" customWidth="1"/>
  </cols>
  <sheetData>
    <row r="1" spans="1:6" s="36" customFormat="1" ht="25.65" customHeight="1" thickBot="1" x14ac:dyDescent="0.35">
      <c r="A1" s="35" t="s">
        <v>0</v>
      </c>
      <c r="B1" s="35" t="s">
        <v>1</v>
      </c>
      <c r="C1" s="35" t="s">
        <v>2</v>
      </c>
      <c r="D1" s="35" t="s">
        <v>3</v>
      </c>
      <c r="E1" s="35" t="s">
        <v>184</v>
      </c>
      <c r="F1" s="35" t="s">
        <v>183</v>
      </c>
    </row>
    <row r="2" spans="1:6" ht="16.2" thickBot="1" x14ac:dyDescent="0.35">
      <c r="A2" s="1"/>
      <c r="B2" s="1"/>
      <c r="C2" s="2"/>
      <c r="D2" s="3"/>
      <c r="E2" s="4"/>
      <c r="F2" s="4"/>
    </row>
    <row r="3" spans="1:6" ht="13.65" customHeight="1" x14ac:dyDescent="0.3">
      <c r="A3" s="16" t="s">
        <v>4</v>
      </c>
      <c r="B3" s="16" t="s">
        <v>5</v>
      </c>
      <c r="C3" s="17" t="s">
        <v>6</v>
      </c>
      <c r="D3" s="16" t="s">
        <v>7</v>
      </c>
      <c r="E3" s="19">
        <v>34</v>
      </c>
      <c r="F3" s="19"/>
    </row>
    <row r="4" spans="1:6" ht="13.65" customHeight="1" x14ac:dyDescent="0.3">
      <c r="A4" s="20" t="s">
        <v>4</v>
      </c>
      <c r="B4" s="20" t="s">
        <v>8</v>
      </c>
      <c r="C4" s="21" t="s">
        <v>9</v>
      </c>
      <c r="D4" s="20" t="s">
        <v>7</v>
      </c>
      <c r="E4" s="22">
        <v>39</v>
      </c>
      <c r="F4" s="22"/>
    </row>
    <row r="5" spans="1:6" ht="13.65" customHeight="1" x14ac:dyDescent="0.3">
      <c r="A5" s="20" t="s">
        <v>4</v>
      </c>
      <c r="B5" s="20" t="s">
        <v>10</v>
      </c>
      <c r="C5" s="21" t="s">
        <v>11</v>
      </c>
      <c r="D5" s="20" t="s">
        <v>7</v>
      </c>
      <c r="E5" s="22">
        <v>230</v>
      </c>
      <c r="F5" s="22"/>
    </row>
    <row r="6" spans="1:6" ht="13.65" customHeight="1" x14ac:dyDescent="0.3">
      <c r="A6" s="20" t="s">
        <v>4</v>
      </c>
      <c r="B6" s="20" t="s">
        <v>12</v>
      </c>
      <c r="C6" s="21" t="s">
        <v>13</v>
      </c>
      <c r="D6" s="20" t="s">
        <v>7</v>
      </c>
      <c r="E6" s="22">
        <v>286</v>
      </c>
      <c r="F6" s="22"/>
    </row>
    <row r="7" spans="1:6" ht="13.65" customHeight="1" x14ac:dyDescent="0.3">
      <c r="A7" s="20" t="s">
        <v>4</v>
      </c>
      <c r="B7" s="20" t="s">
        <v>14</v>
      </c>
      <c r="C7" s="21" t="s">
        <v>15</v>
      </c>
      <c r="D7" s="20" t="s">
        <v>7</v>
      </c>
      <c r="E7" s="22">
        <v>30</v>
      </c>
      <c r="F7" s="22"/>
    </row>
    <row r="8" spans="1:6" ht="13.65" customHeight="1" x14ac:dyDescent="0.3">
      <c r="A8" s="20" t="s">
        <v>4</v>
      </c>
      <c r="B8" s="20" t="s">
        <v>16</v>
      </c>
      <c r="C8" s="21" t="s">
        <v>17</v>
      </c>
      <c r="D8" s="20" t="s">
        <v>7</v>
      </c>
      <c r="E8" s="22">
        <v>49</v>
      </c>
      <c r="F8" s="22"/>
    </row>
    <row r="9" spans="1:6" ht="13.65" customHeight="1" x14ac:dyDescent="0.3">
      <c r="A9" s="20" t="s">
        <v>4</v>
      </c>
      <c r="B9" s="20" t="s">
        <v>18</v>
      </c>
      <c r="C9" s="21" t="s">
        <v>19</v>
      </c>
      <c r="D9" s="20" t="s">
        <v>7</v>
      </c>
      <c r="E9" s="18">
        <v>45</v>
      </c>
      <c r="F9" s="18"/>
    </row>
    <row r="10" spans="1:6" ht="13.65" customHeight="1" x14ac:dyDescent="0.3">
      <c r="A10" s="20" t="s">
        <v>4</v>
      </c>
      <c r="B10" s="20" t="s">
        <v>20</v>
      </c>
      <c r="C10" s="21" t="s">
        <v>21</v>
      </c>
      <c r="D10" s="20" t="s">
        <v>7</v>
      </c>
      <c r="E10" s="18">
        <v>40</v>
      </c>
      <c r="F10" s="18"/>
    </row>
    <row r="11" spans="1:6" ht="13.65" customHeight="1" x14ac:dyDescent="0.3">
      <c r="A11" s="20" t="s">
        <v>4</v>
      </c>
      <c r="B11" s="20" t="s">
        <v>22</v>
      </c>
      <c r="C11" s="21" t="s">
        <v>23</v>
      </c>
      <c r="D11" s="20" t="s">
        <v>7</v>
      </c>
      <c r="E11" s="18">
        <v>53</v>
      </c>
      <c r="F11" s="22"/>
    </row>
    <row r="12" spans="1:6" ht="13.65" customHeight="1" x14ac:dyDescent="0.3">
      <c r="A12" s="20" t="s">
        <v>4</v>
      </c>
      <c r="B12" s="20" t="s">
        <v>24</v>
      </c>
      <c r="C12" s="21" t="s">
        <v>25</v>
      </c>
      <c r="D12" s="20" t="s">
        <v>7</v>
      </c>
      <c r="E12" s="18">
        <v>24</v>
      </c>
      <c r="F12" s="22"/>
    </row>
    <row r="13" spans="1:6" ht="13.65" customHeight="1" x14ac:dyDescent="0.3">
      <c r="A13" s="20" t="s">
        <v>4</v>
      </c>
      <c r="B13" s="20" t="s">
        <v>26</v>
      </c>
      <c r="C13" s="21" t="s">
        <v>27</v>
      </c>
      <c r="D13" s="20" t="s">
        <v>7</v>
      </c>
      <c r="E13" s="22">
        <v>50</v>
      </c>
      <c r="F13" s="22"/>
    </row>
    <row r="14" spans="1:6" ht="13.65" customHeight="1" x14ac:dyDescent="0.3">
      <c r="A14" s="20" t="s">
        <v>4</v>
      </c>
      <c r="B14" s="20" t="s">
        <v>28</v>
      </c>
      <c r="C14" s="21" t="s">
        <v>29</v>
      </c>
      <c r="D14" s="20" t="s">
        <v>7</v>
      </c>
      <c r="E14" s="22">
        <v>146</v>
      </c>
      <c r="F14" s="22"/>
    </row>
    <row r="15" spans="1:6" ht="13.65" customHeight="1" x14ac:dyDescent="0.3">
      <c r="A15" s="20" t="s">
        <v>4</v>
      </c>
      <c r="B15" s="20" t="s">
        <v>30</v>
      </c>
      <c r="C15" s="21" t="s">
        <v>31</v>
      </c>
      <c r="D15" s="20" t="s">
        <v>7</v>
      </c>
      <c r="E15" s="19">
        <v>46</v>
      </c>
      <c r="F15" s="19"/>
    </row>
    <row r="16" spans="1:6" ht="13.65" customHeight="1" x14ac:dyDescent="0.3">
      <c r="A16" s="20" t="s">
        <v>4</v>
      </c>
      <c r="B16" s="20" t="s">
        <v>32</v>
      </c>
      <c r="C16" s="21" t="s">
        <v>33</v>
      </c>
      <c r="D16" s="20" t="s">
        <v>7</v>
      </c>
      <c r="E16" s="19">
        <v>40</v>
      </c>
      <c r="F16" s="19"/>
    </row>
    <row r="17" spans="1:6" ht="13.65" customHeight="1" x14ac:dyDescent="0.3">
      <c r="A17" s="20" t="s">
        <v>4</v>
      </c>
      <c r="B17" s="20" t="s">
        <v>34</v>
      </c>
      <c r="C17" s="21" t="s">
        <v>35</v>
      </c>
      <c r="D17" s="20" t="s">
        <v>7</v>
      </c>
      <c r="E17" s="19">
        <v>4</v>
      </c>
      <c r="F17" s="19"/>
    </row>
    <row r="18" spans="1:6" ht="13.65" customHeight="1" x14ac:dyDescent="0.3">
      <c r="A18" s="20" t="s">
        <v>4</v>
      </c>
      <c r="B18" s="20" t="s">
        <v>36</v>
      </c>
      <c r="C18" s="21" t="s">
        <v>37</v>
      </c>
      <c r="D18" s="20" t="s">
        <v>7</v>
      </c>
      <c r="E18" s="19">
        <v>4</v>
      </c>
      <c r="F18" s="19"/>
    </row>
    <row r="19" spans="1:6" ht="13.65" customHeight="1" x14ac:dyDescent="0.3">
      <c r="A19" s="20"/>
      <c r="B19" s="20"/>
      <c r="C19" s="21"/>
      <c r="D19" s="20"/>
      <c r="E19" s="23"/>
      <c r="F19" s="23"/>
    </row>
    <row r="20" spans="1:6" ht="13.65" customHeight="1" x14ac:dyDescent="0.3">
      <c r="A20" s="20" t="s">
        <v>4</v>
      </c>
      <c r="B20" s="20" t="s">
        <v>38</v>
      </c>
      <c r="C20" s="21" t="s">
        <v>39</v>
      </c>
      <c r="D20" s="20" t="s">
        <v>7</v>
      </c>
      <c r="E20" s="23">
        <v>40</v>
      </c>
      <c r="F20" s="23"/>
    </row>
    <row r="21" spans="1:6" ht="13.65" customHeight="1" x14ac:dyDescent="0.3">
      <c r="A21" s="20" t="s">
        <v>4</v>
      </c>
      <c r="B21" s="20" t="s">
        <v>40</v>
      </c>
      <c r="C21" s="21" t="s">
        <v>41</v>
      </c>
      <c r="D21" s="20" t="s">
        <v>7</v>
      </c>
      <c r="E21" s="23">
        <v>2</v>
      </c>
      <c r="F21" s="23"/>
    </row>
    <row r="22" spans="1:6" ht="13.65" customHeight="1" x14ac:dyDescent="0.3">
      <c r="A22" s="20"/>
      <c r="B22" s="20"/>
      <c r="C22" s="21"/>
      <c r="D22" s="20"/>
      <c r="E22" s="23"/>
      <c r="F22" s="23"/>
    </row>
    <row r="23" spans="1:6" ht="13.65" customHeight="1" x14ac:dyDescent="0.3">
      <c r="A23" s="20" t="s">
        <v>42</v>
      </c>
      <c r="B23" s="20" t="s">
        <v>43</v>
      </c>
      <c r="C23" s="21" t="s">
        <v>44</v>
      </c>
      <c r="D23" s="20" t="s">
        <v>7</v>
      </c>
      <c r="E23" s="23">
        <v>25</v>
      </c>
      <c r="F23" s="23"/>
    </row>
    <row r="24" spans="1:6" ht="13.65" customHeight="1" x14ac:dyDescent="0.3">
      <c r="A24" s="20" t="s">
        <v>42</v>
      </c>
      <c r="B24" s="20" t="s">
        <v>45</v>
      </c>
      <c r="C24" s="21" t="s">
        <v>46</v>
      </c>
      <c r="D24" s="20" t="s">
        <v>7</v>
      </c>
      <c r="E24" s="23">
        <v>0</v>
      </c>
      <c r="F24" s="23"/>
    </row>
    <row r="25" spans="1:6" ht="13.65" customHeight="1" x14ac:dyDescent="0.3">
      <c r="A25" s="20"/>
      <c r="B25" s="20"/>
      <c r="C25" s="21"/>
      <c r="D25" s="20"/>
      <c r="E25" s="23"/>
      <c r="F25" s="23"/>
    </row>
    <row r="26" spans="1:6" ht="13.65" customHeight="1" x14ac:dyDescent="0.3">
      <c r="A26" s="20" t="s">
        <v>47</v>
      </c>
      <c r="B26" s="20" t="s">
        <v>48</v>
      </c>
      <c r="C26" s="21" t="s">
        <v>49</v>
      </c>
      <c r="D26" s="20" t="s">
        <v>7</v>
      </c>
      <c r="E26" s="23">
        <v>0</v>
      </c>
      <c r="F26" s="23"/>
    </row>
    <row r="27" spans="1:6" ht="13.65" customHeight="1" x14ac:dyDescent="0.3">
      <c r="A27" s="20" t="s">
        <v>47</v>
      </c>
      <c r="B27" s="20" t="s">
        <v>50</v>
      </c>
      <c r="C27" s="21" t="s">
        <v>51</v>
      </c>
      <c r="D27" s="20" t="s">
        <v>7</v>
      </c>
      <c r="E27" s="23">
        <v>0</v>
      </c>
      <c r="F27" s="23"/>
    </row>
    <row r="28" spans="1:6" ht="13.65" customHeight="1" x14ac:dyDescent="0.3">
      <c r="A28" s="20" t="s">
        <v>47</v>
      </c>
      <c r="B28" s="20" t="s">
        <v>52</v>
      </c>
      <c r="C28" s="21" t="s">
        <v>185</v>
      </c>
      <c r="D28" s="20" t="s">
        <v>7</v>
      </c>
      <c r="E28" s="23">
        <v>29</v>
      </c>
      <c r="F28" s="23"/>
    </row>
    <row r="29" spans="1:6" ht="13.65" customHeight="1" x14ac:dyDescent="0.3">
      <c r="A29" s="20" t="s">
        <v>47</v>
      </c>
      <c r="B29" s="20" t="s">
        <v>54</v>
      </c>
      <c r="C29" s="21" t="s">
        <v>55</v>
      </c>
      <c r="D29" s="20" t="s">
        <v>7</v>
      </c>
      <c r="E29" s="23">
        <v>49</v>
      </c>
      <c r="F29" s="23"/>
    </row>
    <row r="30" spans="1:6" ht="13.65" customHeight="1" x14ac:dyDescent="0.3">
      <c r="A30" s="20" t="s">
        <v>47</v>
      </c>
      <c r="B30" s="20" t="s">
        <v>56</v>
      </c>
      <c r="C30" s="21" t="s">
        <v>57</v>
      </c>
      <c r="D30" s="20" t="s">
        <v>7</v>
      </c>
      <c r="E30" s="23">
        <v>46</v>
      </c>
      <c r="F30" s="23"/>
    </row>
    <row r="31" spans="1:6" ht="13.65" customHeight="1" x14ac:dyDescent="0.3">
      <c r="A31" s="20"/>
      <c r="B31" s="20"/>
      <c r="C31" s="21"/>
      <c r="D31" s="20"/>
      <c r="E31" s="23"/>
      <c r="F31" s="23"/>
    </row>
    <row r="32" spans="1:6" ht="13.65" customHeight="1" x14ac:dyDescent="0.3">
      <c r="A32" s="20"/>
      <c r="B32" s="20"/>
      <c r="C32" s="21"/>
      <c r="D32" s="20"/>
      <c r="E32" s="23"/>
      <c r="F32" s="23"/>
    </row>
    <row r="33" spans="1:6" ht="13.65" customHeight="1" thickBot="1" x14ac:dyDescent="0.35">
      <c r="A33" s="5"/>
      <c r="B33" s="5"/>
      <c r="C33" s="6"/>
      <c r="D33" s="5"/>
      <c r="E33" s="7">
        <v>1311</v>
      </c>
      <c r="F33" s="8"/>
    </row>
    <row r="34" spans="1:6" s="24" customFormat="1" ht="13.65" customHeight="1" x14ac:dyDescent="0.3">
      <c r="A34" s="16" t="s">
        <v>4</v>
      </c>
      <c r="B34" s="16">
        <v>7358771515</v>
      </c>
      <c r="C34" s="17" t="s">
        <v>58</v>
      </c>
      <c r="D34" s="16" t="s">
        <v>7</v>
      </c>
      <c r="E34" s="20">
        <v>0</v>
      </c>
      <c r="F34" s="20"/>
    </row>
    <row r="35" spans="1:6" s="24" customFormat="1" ht="13.65" customHeight="1" x14ac:dyDescent="0.3">
      <c r="A35" s="20" t="s">
        <v>4</v>
      </c>
      <c r="B35" s="20">
        <v>7378761826</v>
      </c>
      <c r="C35" s="21" t="s">
        <v>59</v>
      </c>
      <c r="D35" s="20" t="s">
        <v>7</v>
      </c>
      <c r="E35" s="23">
        <v>0</v>
      </c>
      <c r="F35" s="23"/>
    </row>
    <row r="36" spans="1:6" s="24" customFormat="1" ht="13.65" customHeight="1" x14ac:dyDescent="0.3">
      <c r="A36" s="20" t="s">
        <v>4</v>
      </c>
      <c r="B36" s="20" t="s">
        <v>60</v>
      </c>
      <c r="C36" s="21" t="s">
        <v>61</v>
      </c>
      <c r="D36" s="20" t="s">
        <v>7</v>
      </c>
      <c r="E36" s="23">
        <v>0</v>
      </c>
      <c r="F36" s="23"/>
    </row>
    <row r="37" spans="1:6" s="24" customFormat="1" ht="13.65" customHeight="1" x14ac:dyDescent="0.3">
      <c r="A37" s="20" t="s">
        <v>4</v>
      </c>
      <c r="B37" s="20" t="s">
        <v>62</v>
      </c>
      <c r="C37" s="21" t="s">
        <v>63</v>
      </c>
      <c r="D37" s="20" t="s">
        <v>7</v>
      </c>
      <c r="E37" s="23">
        <v>0</v>
      </c>
      <c r="F37" s="23"/>
    </row>
    <row r="38" spans="1:6" s="24" customFormat="1" ht="13.65" customHeight="1" x14ac:dyDescent="0.3">
      <c r="A38" s="20" t="s">
        <v>4</v>
      </c>
      <c r="B38" s="20" t="s">
        <v>64</v>
      </c>
      <c r="C38" s="21" t="s">
        <v>65</v>
      </c>
      <c r="D38" s="20" t="s">
        <v>7</v>
      </c>
      <c r="E38" s="23">
        <v>0</v>
      </c>
      <c r="F38" s="23"/>
    </row>
    <row r="39" spans="1:6" s="24" customFormat="1" ht="13.65" customHeight="1" x14ac:dyDescent="0.3">
      <c r="A39" s="20" t="s">
        <v>4</v>
      </c>
      <c r="B39" s="20" t="s">
        <v>66</v>
      </c>
      <c r="C39" s="21" t="s">
        <v>67</v>
      </c>
      <c r="D39" s="20" t="s">
        <v>7</v>
      </c>
      <c r="E39" s="23">
        <v>0</v>
      </c>
      <c r="F39" s="23"/>
    </row>
    <row r="40" spans="1:6" s="24" customFormat="1" ht="13.65" customHeight="1" x14ac:dyDescent="0.3">
      <c r="A40" s="20" t="s">
        <v>4</v>
      </c>
      <c r="B40" s="20" t="s">
        <v>68</v>
      </c>
      <c r="C40" s="21" t="s">
        <v>69</v>
      </c>
      <c r="D40" s="20" t="s">
        <v>7</v>
      </c>
      <c r="E40" s="23">
        <v>0</v>
      </c>
      <c r="F40" s="23"/>
    </row>
    <row r="41" spans="1:6" s="24" customFormat="1" ht="13.65" customHeight="1" x14ac:dyDescent="0.3">
      <c r="A41" s="20" t="s">
        <v>4</v>
      </c>
      <c r="B41" s="20" t="s">
        <v>70</v>
      </c>
      <c r="C41" s="21" t="s">
        <v>69</v>
      </c>
      <c r="D41" s="20" t="s">
        <v>7</v>
      </c>
      <c r="E41" s="23">
        <v>0</v>
      </c>
      <c r="F41" s="23"/>
    </row>
    <row r="42" spans="1:6" s="24" customFormat="1" ht="13.65" customHeight="1" x14ac:dyDescent="0.3">
      <c r="A42" s="20" t="s">
        <v>4</v>
      </c>
      <c r="B42" s="20" t="s">
        <v>71</v>
      </c>
      <c r="C42" s="21" t="s">
        <v>72</v>
      </c>
      <c r="D42" s="20" t="s">
        <v>7</v>
      </c>
      <c r="E42" s="23">
        <v>0</v>
      </c>
      <c r="F42" s="23"/>
    </row>
    <row r="43" spans="1:6" s="24" customFormat="1" ht="13.65" customHeight="1" x14ac:dyDescent="0.3">
      <c r="A43" s="20" t="s">
        <v>4</v>
      </c>
      <c r="B43" s="20">
        <v>7951697</v>
      </c>
      <c r="C43" s="21" t="s">
        <v>73</v>
      </c>
      <c r="D43" s="20" t="s">
        <v>7</v>
      </c>
      <c r="E43" s="23">
        <v>0</v>
      </c>
      <c r="F43" s="23"/>
    </row>
    <row r="44" spans="1:6" s="24" customFormat="1" ht="13.65" customHeight="1" x14ac:dyDescent="0.3">
      <c r="A44" s="20" t="s">
        <v>4</v>
      </c>
      <c r="B44" s="20">
        <v>7952606</v>
      </c>
      <c r="C44" s="21" t="s">
        <v>74</v>
      </c>
      <c r="D44" s="20" t="s">
        <v>7</v>
      </c>
      <c r="E44" s="23">
        <v>0</v>
      </c>
      <c r="F44" s="23"/>
    </row>
    <row r="45" spans="1:6" s="24" customFormat="1" ht="13.65" customHeight="1" x14ac:dyDescent="0.3">
      <c r="A45" s="20" t="s">
        <v>4</v>
      </c>
      <c r="B45" s="20" t="s">
        <v>75</v>
      </c>
      <c r="C45" s="21" t="s">
        <v>76</v>
      </c>
      <c r="D45" s="20" t="s">
        <v>7</v>
      </c>
      <c r="E45" s="23">
        <v>0</v>
      </c>
      <c r="F45" s="23"/>
    </row>
    <row r="46" spans="1:6" s="24" customFormat="1" ht="13.65" customHeight="1" x14ac:dyDescent="0.3">
      <c r="A46" s="20"/>
      <c r="B46" s="20"/>
      <c r="C46" s="21"/>
      <c r="D46" s="20"/>
      <c r="E46" s="23"/>
      <c r="F46" s="23"/>
    </row>
    <row r="47" spans="1:6" s="24" customFormat="1" ht="13.65" customHeight="1" x14ac:dyDescent="0.3">
      <c r="A47" s="20" t="s">
        <v>4</v>
      </c>
      <c r="B47" s="20">
        <v>7305771415</v>
      </c>
      <c r="C47" s="21" t="s">
        <v>77</v>
      </c>
      <c r="D47" s="20" t="s">
        <v>7</v>
      </c>
      <c r="E47" s="23">
        <v>0</v>
      </c>
      <c r="F47" s="23"/>
    </row>
    <row r="48" spans="1:6" s="24" customFormat="1" ht="13.65" customHeight="1" x14ac:dyDescent="0.3">
      <c r="A48" s="20" t="s">
        <v>4</v>
      </c>
      <c r="B48" s="20" t="s">
        <v>78</v>
      </c>
      <c r="C48" s="21" t="s">
        <v>79</v>
      </c>
      <c r="D48" s="20" t="s">
        <v>7</v>
      </c>
      <c r="E48" s="23">
        <v>0</v>
      </c>
      <c r="F48" s="23"/>
    </row>
    <row r="49" spans="1:6" s="24" customFormat="1" ht="13.65" customHeight="1" x14ac:dyDescent="0.3">
      <c r="A49" s="20" t="s">
        <v>4</v>
      </c>
      <c r="B49" s="20" t="s">
        <v>80</v>
      </c>
      <c r="C49" s="21" t="s">
        <v>81</v>
      </c>
      <c r="D49" s="20" t="s">
        <v>7</v>
      </c>
      <c r="E49" s="23">
        <v>0</v>
      </c>
      <c r="F49" s="23"/>
    </row>
    <row r="50" spans="1:6" s="24" customFormat="1" ht="13.65" customHeight="1" x14ac:dyDescent="0.3">
      <c r="A50" s="20"/>
      <c r="B50" s="20"/>
      <c r="C50" s="21"/>
      <c r="D50" s="20"/>
      <c r="E50" s="23"/>
      <c r="F50" s="23"/>
    </row>
    <row r="51" spans="1:6" s="24" customFormat="1" ht="13.65" customHeight="1" x14ac:dyDescent="0.3">
      <c r="A51" s="20" t="s">
        <v>4</v>
      </c>
      <c r="B51" s="20" t="s">
        <v>82</v>
      </c>
      <c r="C51" s="21" t="s">
        <v>83</v>
      </c>
      <c r="D51" s="20" t="s">
        <v>7</v>
      </c>
      <c r="E51" s="23">
        <v>0</v>
      </c>
      <c r="F51" s="23"/>
    </row>
    <row r="52" spans="1:6" s="24" customFormat="1" ht="13.65" customHeight="1" x14ac:dyDescent="0.3">
      <c r="A52" s="20"/>
      <c r="B52" s="20"/>
      <c r="C52" s="21"/>
      <c r="D52" s="20"/>
      <c r="E52" s="23"/>
      <c r="F52" s="23"/>
    </row>
    <row r="53" spans="1:6" s="24" customFormat="1" ht="13.65" customHeight="1" x14ac:dyDescent="0.3">
      <c r="A53" s="26" t="s">
        <v>4</v>
      </c>
      <c r="B53" s="26">
        <v>7328602001</v>
      </c>
      <c r="C53" s="27" t="s">
        <v>84</v>
      </c>
      <c r="D53" s="26" t="s">
        <v>7</v>
      </c>
      <c r="E53" s="25">
        <v>0</v>
      </c>
      <c r="F53" s="25"/>
    </row>
    <row r="54" spans="1:6" s="24" customFormat="1" ht="13.65" customHeight="1" x14ac:dyDescent="0.3">
      <c r="A54" s="20" t="s">
        <v>4</v>
      </c>
      <c r="B54" s="20" t="s">
        <v>85</v>
      </c>
      <c r="C54" s="21" t="s">
        <v>86</v>
      </c>
      <c r="D54" s="20" t="s">
        <v>7</v>
      </c>
      <c r="E54" s="23">
        <v>0</v>
      </c>
      <c r="F54" s="23"/>
    </row>
    <row r="55" spans="1:6" s="24" customFormat="1" ht="13.65" customHeight="1" x14ac:dyDescent="0.3">
      <c r="A55" s="20" t="s">
        <v>4</v>
      </c>
      <c r="B55" s="20">
        <v>7951698</v>
      </c>
      <c r="C55" s="21" t="s">
        <v>87</v>
      </c>
      <c r="D55" s="20" t="s">
        <v>7</v>
      </c>
      <c r="E55" s="23">
        <v>0</v>
      </c>
      <c r="F55" s="23"/>
    </row>
    <row r="56" spans="1:6" s="24" customFormat="1" ht="13.65" customHeight="1" thickBot="1" x14ac:dyDescent="0.35">
      <c r="A56" s="28"/>
      <c r="B56" s="28"/>
      <c r="C56" s="29"/>
      <c r="D56" s="28"/>
      <c r="E56" s="30"/>
      <c r="F56" s="30"/>
    </row>
    <row r="57" spans="1:6" s="24" customFormat="1" ht="13.65" customHeight="1" thickBot="1" x14ac:dyDescent="0.35">
      <c r="A57" s="37"/>
      <c r="B57" s="37"/>
      <c r="C57" s="38"/>
      <c r="D57" s="37"/>
      <c r="E57" s="39"/>
      <c r="F57" s="39"/>
    </row>
    <row r="58" spans="1:6" s="24" customFormat="1" ht="13.65" customHeight="1" thickBot="1" x14ac:dyDescent="0.35">
      <c r="A58" s="37"/>
      <c r="B58" s="37"/>
      <c r="C58" s="38"/>
      <c r="D58" s="37"/>
      <c r="E58" s="39"/>
      <c r="F58" s="39"/>
    </row>
    <row r="59" spans="1:6" s="24" customFormat="1" ht="13.65" customHeight="1" thickBot="1" x14ac:dyDescent="0.35">
      <c r="A59" s="37"/>
      <c r="B59" s="37"/>
      <c r="C59" s="38"/>
      <c r="D59" s="37"/>
      <c r="E59" s="39"/>
      <c r="F59" s="39"/>
    </row>
    <row r="60" spans="1:6" s="24" customFormat="1" ht="13.65" customHeight="1" thickBot="1" x14ac:dyDescent="0.35">
      <c r="A60" s="37"/>
      <c r="B60" s="37"/>
      <c r="C60" s="38"/>
      <c r="D60" s="37"/>
      <c r="E60" s="39"/>
      <c r="F60" s="39"/>
    </row>
    <row r="61" spans="1:6" s="24" customFormat="1" ht="13.65" customHeight="1" thickBot="1" x14ac:dyDescent="0.35">
      <c r="A61" s="37"/>
      <c r="B61" s="37"/>
      <c r="C61" s="38"/>
      <c r="D61" s="37"/>
      <c r="E61" s="39"/>
      <c r="F61" s="39"/>
    </row>
    <row r="62" spans="1:6" s="24" customFormat="1" ht="13.65" customHeight="1" thickBot="1" x14ac:dyDescent="0.35">
      <c r="A62" s="37"/>
      <c r="B62" s="37"/>
      <c r="C62" s="38"/>
      <c r="D62" s="37"/>
      <c r="E62" s="39"/>
      <c r="F62" s="39"/>
    </row>
    <row r="63" spans="1:6" s="24" customFormat="1" ht="13.65" customHeight="1" thickBot="1" x14ac:dyDescent="0.35">
      <c r="A63" s="37"/>
      <c r="B63" s="37"/>
      <c r="C63" s="38"/>
      <c r="D63" s="37"/>
      <c r="E63" s="39"/>
      <c r="F63" s="39"/>
    </row>
    <row r="64" spans="1:6" ht="13.65" customHeight="1" thickBot="1" x14ac:dyDescent="0.35">
      <c r="A64" s="5"/>
      <c r="B64" s="5"/>
      <c r="C64" s="6"/>
      <c r="D64" s="5"/>
      <c r="E64" s="12"/>
      <c r="F64" s="12"/>
    </row>
    <row r="65" spans="1:6" s="24" customFormat="1" ht="13.65" customHeight="1" x14ac:dyDescent="0.3">
      <c r="A65" s="16" t="s">
        <v>42</v>
      </c>
      <c r="B65" s="16" t="s">
        <v>88</v>
      </c>
      <c r="C65" s="17" t="s">
        <v>89</v>
      </c>
      <c r="D65" s="16" t="s">
        <v>7</v>
      </c>
      <c r="E65" s="31">
        <v>1117</v>
      </c>
      <c r="F65" s="31"/>
    </row>
    <row r="66" spans="1:6" s="24" customFormat="1" ht="13.65" customHeight="1" x14ac:dyDescent="0.3">
      <c r="A66" s="20" t="s">
        <v>42</v>
      </c>
      <c r="B66" s="20" t="s">
        <v>90</v>
      </c>
      <c r="C66" s="21" t="s">
        <v>91</v>
      </c>
      <c r="D66" s="20" t="s">
        <v>7</v>
      </c>
      <c r="E66" s="23">
        <v>1100</v>
      </c>
      <c r="F66" s="23"/>
    </row>
    <row r="67" spans="1:6" s="24" customFormat="1" ht="13.65" customHeight="1" x14ac:dyDescent="0.3">
      <c r="A67" s="20" t="s">
        <v>42</v>
      </c>
      <c r="B67" s="20" t="s">
        <v>92</v>
      </c>
      <c r="C67" s="21" t="s">
        <v>93</v>
      </c>
      <c r="D67" s="20" t="s">
        <v>7</v>
      </c>
      <c r="E67" s="23">
        <v>2009</v>
      </c>
      <c r="F67" s="23"/>
    </row>
    <row r="68" spans="1:6" s="24" customFormat="1" ht="13.65" customHeight="1" x14ac:dyDescent="0.3">
      <c r="A68" s="20" t="s">
        <v>42</v>
      </c>
      <c r="B68" s="20" t="s">
        <v>94</v>
      </c>
      <c r="C68" s="21" t="s">
        <v>95</v>
      </c>
      <c r="D68" s="20" t="s">
        <v>7</v>
      </c>
      <c r="E68" s="23">
        <v>0</v>
      </c>
      <c r="F68" s="23"/>
    </row>
    <row r="69" spans="1:6" s="24" customFormat="1" ht="13.65" customHeight="1" x14ac:dyDescent="0.3">
      <c r="A69" s="20" t="s">
        <v>96</v>
      </c>
      <c r="B69" s="20" t="s">
        <v>97</v>
      </c>
      <c r="C69" s="21" t="s">
        <v>98</v>
      </c>
      <c r="D69" s="20" t="s">
        <v>7</v>
      </c>
      <c r="E69" s="23">
        <v>55</v>
      </c>
      <c r="F69" s="23"/>
    </row>
    <row r="70" spans="1:6" s="24" customFormat="1" ht="13.65" customHeight="1" x14ac:dyDescent="0.3">
      <c r="A70" s="20" t="s">
        <v>96</v>
      </c>
      <c r="B70" s="20" t="s">
        <v>99</v>
      </c>
      <c r="C70" s="21" t="s">
        <v>186</v>
      </c>
      <c r="D70" s="20" t="s">
        <v>7</v>
      </c>
      <c r="E70" s="23">
        <v>1950</v>
      </c>
      <c r="F70" s="23"/>
    </row>
    <row r="71" spans="1:6" s="24" customFormat="1" ht="13.65" customHeight="1" x14ac:dyDescent="0.3">
      <c r="A71" s="20"/>
      <c r="B71" s="20"/>
      <c r="C71" s="21"/>
      <c r="D71" s="20"/>
      <c r="E71" s="23"/>
      <c r="F71" s="23"/>
    </row>
    <row r="72" spans="1:6" s="24" customFormat="1" ht="13.65" customHeight="1" x14ac:dyDescent="0.3">
      <c r="A72" s="20" t="s">
        <v>4</v>
      </c>
      <c r="B72" s="20" t="s">
        <v>101</v>
      </c>
      <c r="C72" s="21" t="s">
        <v>102</v>
      </c>
      <c r="D72" s="20" t="s">
        <v>7</v>
      </c>
      <c r="E72" s="23">
        <v>11280</v>
      </c>
      <c r="F72" s="23"/>
    </row>
    <row r="73" spans="1:6" s="24" customFormat="1" ht="13.65" customHeight="1" x14ac:dyDescent="0.3">
      <c r="A73" s="20" t="s">
        <v>4</v>
      </c>
      <c r="B73" s="20" t="s">
        <v>103</v>
      </c>
      <c r="C73" s="21" t="s">
        <v>104</v>
      </c>
      <c r="D73" s="20" t="s">
        <v>7</v>
      </c>
      <c r="E73" s="23">
        <v>11040</v>
      </c>
      <c r="F73" s="23"/>
    </row>
    <row r="74" spans="1:6" s="24" customFormat="1" ht="13.65" customHeight="1" x14ac:dyDescent="0.3">
      <c r="A74" s="20" t="s">
        <v>4</v>
      </c>
      <c r="B74" s="20" t="s">
        <v>105</v>
      </c>
      <c r="C74" s="21" t="s">
        <v>106</v>
      </c>
      <c r="D74" s="20" t="s">
        <v>7</v>
      </c>
      <c r="E74" s="23">
        <v>900</v>
      </c>
      <c r="F74" s="23"/>
    </row>
    <row r="75" spans="1:6" s="24" customFormat="1" ht="13.65" customHeight="1" thickBot="1" x14ac:dyDescent="0.35">
      <c r="A75" s="28"/>
      <c r="B75" s="28"/>
      <c r="C75" s="29"/>
      <c r="D75" s="28"/>
      <c r="E75" s="30"/>
      <c r="F75" s="30"/>
    </row>
    <row r="76" spans="1:6" ht="13.65" customHeight="1" thickBot="1" x14ac:dyDescent="0.35">
      <c r="A76" s="5"/>
      <c r="B76" s="5"/>
      <c r="C76" s="6"/>
      <c r="D76" s="5"/>
      <c r="E76" s="7">
        <v>28551</v>
      </c>
      <c r="F76" s="8"/>
    </row>
    <row r="77" spans="1:6" s="24" customFormat="1" ht="13.65" customHeight="1" x14ac:dyDescent="0.3">
      <c r="A77" s="16" t="s">
        <v>107</v>
      </c>
      <c r="B77" s="16" t="s">
        <v>108</v>
      </c>
      <c r="C77" s="17" t="s">
        <v>109</v>
      </c>
      <c r="D77" s="16" t="s">
        <v>7</v>
      </c>
      <c r="E77" s="31">
        <v>1244</v>
      </c>
      <c r="F77" s="31"/>
    </row>
    <row r="78" spans="1:6" s="24" customFormat="1" ht="13.65" customHeight="1" x14ac:dyDescent="0.3">
      <c r="A78" s="26" t="s">
        <v>107</v>
      </c>
      <c r="B78" s="26" t="s">
        <v>110</v>
      </c>
      <c r="C78" s="27" t="s">
        <v>111</v>
      </c>
      <c r="D78" s="26" t="s">
        <v>7</v>
      </c>
      <c r="E78" s="25">
        <v>249</v>
      </c>
      <c r="F78" s="25"/>
    </row>
    <row r="79" spans="1:6" s="24" customFormat="1" ht="13.65" customHeight="1" x14ac:dyDescent="0.3">
      <c r="A79" s="26" t="s">
        <v>107</v>
      </c>
      <c r="B79" s="26" t="s">
        <v>112</v>
      </c>
      <c r="C79" s="27" t="s">
        <v>113</v>
      </c>
      <c r="D79" s="26" t="s">
        <v>114</v>
      </c>
      <c r="E79" s="25">
        <v>8</v>
      </c>
      <c r="F79" s="25"/>
    </row>
    <row r="80" spans="1:6" s="24" customFormat="1" ht="13.65" customHeight="1" thickBot="1" x14ac:dyDescent="0.35">
      <c r="A80" s="26"/>
      <c r="B80" s="26"/>
      <c r="C80" s="27"/>
      <c r="D80" s="26"/>
      <c r="E80" s="25"/>
      <c r="F80" s="25"/>
    </row>
    <row r="81" spans="1:6" ht="13.65" customHeight="1" thickBot="1" x14ac:dyDescent="0.35">
      <c r="A81" s="1"/>
      <c r="B81" s="1"/>
      <c r="C81" s="13"/>
      <c r="D81" s="13"/>
      <c r="E81" s="14">
        <v>1501</v>
      </c>
      <c r="F81" s="15"/>
    </row>
    <row r="82" spans="1:6" s="24" customFormat="1" ht="13.65" customHeight="1" x14ac:dyDescent="0.3">
      <c r="A82" s="32" t="s">
        <v>42</v>
      </c>
      <c r="B82" s="32" t="s">
        <v>115</v>
      </c>
      <c r="C82" s="33" t="s">
        <v>116</v>
      </c>
      <c r="D82" s="32" t="s">
        <v>7</v>
      </c>
      <c r="E82" s="34">
        <v>0</v>
      </c>
      <c r="F82" s="34"/>
    </row>
    <row r="83" spans="1:6" s="24" customFormat="1" ht="13.65" customHeight="1" x14ac:dyDescent="0.3">
      <c r="A83" s="20" t="s">
        <v>42</v>
      </c>
      <c r="B83" s="20" t="s">
        <v>117</v>
      </c>
      <c r="C83" s="21" t="s">
        <v>118</v>
      </c>
      <c r="D83" s="20" t="s">
        <v>7</v>
      </c>
      <c r="E83" s="23">
        <v>900</v>
      </c>
      <c r="F83" s="23"/>
    </row>
    <row r="84" spans="1:6" s="24" customFormat="1" ht="13.65" customHeight="1" x14ac:dyDescent="0.3">
      <c r="A84" s="20" t="s">
        <v>42</v>
      </c>
      <c r="B84" s="20" t="s">
        <v>119</v>
      </c>
      <c r="C84" s="21" t="s">
        <v>120</v>
      </c>
      <c r="D84" s="20" t="s">
        <v>7</v>
      </c>
      <c r="E84" s="23">
        <v>1050</v>
      </c>
      <c r="F84" s="23"/>
    </row>
    <row r="85" spans="1:6" s="24" customFormat="1" ht="13.65" customHeight="1" x14ac:dyDescent="0.3">
      <c r="A85" s="20" t="s">
        <v>42</v>
      </c>
      <c r="B85" s="20" t="s">
        <v>121</v>
      </c>
      <c r="C85" s="21" t="s">
        <v>122</v>
      </c>
      <c r="D85" s="20" t="s">
        <v>7</v>
      </c>
      <c r="E85" s="23">
        <v>0</v>
      </c>
      <c r="F85" s="23"/>
    </row>
    <row r="86" spans="1:6" s="24" customFormat="1" ht="13.65" customHeight="1" x14ac:dyDescent="0.3">
      <c r="A86" s="20" t="s">
        <v>42</v>
      </c>
      <c r="B86" s="20" t="s">
        <v>123</v>
      </c>
      <c r="C86" s="21" t="s">
        <v>124</v>
      </c>
      <c r="D86" s="20" t="s">
        <v>7</v>
      </c>
      <c r="E86" s="23">
        <v>0</v>
      </c>
      <c r="F86" s="23"/>
    </row>
    <row r="87" spans="1:6" s="24" customFormat="1" ht="13.65" customHeight="1" thickBot="1" x14ac:dyDescent="0.35">
      <c r="A87" s="28"/>
      <c r="B87" s="28"/>
      <c r="C87" s="29"/>
      <c r="D87" s="28"/>
      <c r="E87" s="30"/>
      <c r="F87" s="30"/>
    </row>
    <row r="88" spans="1:6" s="24" customFormat="1" ht="13.65" customHeight="1" thickBot="1" x14ac:dyDescent="0.35">
      <c r="A88" s="37"/>
      <c r="B88" s="37"/>
      <c r="C88" s="38"/>
      <c r="D88" s="37"/>
      <c r="E88" s="40"/>
      <c r="F88" s="41"/>
    </row>
    <row r="89" spans="1:6" s="24" customFormat="1" ht="13.65" customHeight="1" thickBot="1" x14ac:dyDescent="0.35">
      <c r="A89" s="37"/>
      <c r="B89" s="37"/>
      <c r="C89" s="38"/>
      <c r="D89" s="37"/>
      <c r="E89" s="40"/>
      <c r="F89" s="41"/>
    </row>
    <row r="90" spans="1:6" s="24" customFormat="1" ht="13.65" customHeight="1" thickBot="1" x14ac:dyDescent="0.35">
      <c r="A90" s="37"/>
      <c r="B90" s="37"/>
      <c r="C90" s="38"/>
      <c r="D90" s="37"/>
      <c r="E90" s="40"/>
      <c r="F90" s="41"/>
    </row>
    <row r="91" spans="1:6" s="24" customFormat="1" ht="13.65" customHeight="1" thickBot="1" x14ac:dyDescent="0.35">
      <c r="A91" s="37"/>
      <c r="B91" s="37"/>
      <c r="C91" s="38"/>
      <c r="D91" s="37"/>
      <c r="E91" s="40"/>
      <c r="F91" s="41"/>
    </row>
    <row r="92" spans="1:6" s="24" customFormat="1" ht="13.65" customHeight="1" thickBot="1" x14ac:dyDescent="0.35">
      <c r="A92" s="37"/>
      <c r="B92" s="37"/>
      <c r="C92" s="38"/>
      <c r="D92" s="37"/>
      <c r="E92" s="40"/>
      <c r="F92" s="41"/>
    </row>
    <row r="93" spans="1:6" s="24" customFormat="1" ht="13.65" customHeight="1" thickBot="1" x14ac:dyDescent="0.35">
      <c r="A93" s="37"/>
      <c r="B93" s="37"/>
      <c r="C93" s="38"/>
      <c r="D93" s="37"/>
      <c r="E93" s="40"/>
      <c r="F93" s="41"/>
    </row>
    <row r="94" spans="1:6" s="24" customFormat="1" ht="13.65" customHeight="1" thickBot="1" x14ac:dyDescent="0.35">
      <c r="A94" s="37"/>
      <c r="B94" s="37"/>
      <c r="C94" s="38"/>
      <c r="D94" s="37"/>
      <c r="E94" s="40"/>
      <c r="F94" s="41"/>
    </row>
    <row r="95" spans="1:6" ht="13.65" customHeight="1" thickBot="1" x14ac:dyDescent="0.35">
      <c r="A95" s="5"/>
      <c r="B95" s="5"/>
      <c r="C95" s="6"/>
      <c r="D95" s="5"/>
      <c r="E95" s="7">
        <v>1950</v>
      </c>
      <c r="F95" s="8"/>
    </row>
    <row r="96" spans="1:6" s="24" customFormat="1" ht="13.65" customHeight="1" x14ac:dyDescent="0.3">
      <c r="A96" s="16" t="s">
        <v>125</v>
      </c>
      <c r="B96" s="16" t="s">
        <v>126</v>
      </c>
      <c r="C96" s="17" t="s">
        <v>127</v>
      </c>
      <c r="D96" s="16" t="s">
        <v>7</v>
      </c>
      <c r="E96" s="31">
        <v>20</v>
      </c>
      <c r="F96" s="31"/>
    </row>
    <row r="97" spans="1:6" s="24" customFormat="1" ht="13.65" customHeight="1" x14ac:dyDescent="0.3">
      <c r="A97" s="20" t="s">
        <v>125</v>
      </c>
      <c r="B97" s="20" t="s">
        <v>128</v>
      </c>
      <c r="C97" s="21" t="s">
        <v>129</v>
      </c>
      <c r="D97" s="20" t="s">
        <v>7</v>
      </c>
      <c r="E97" s="23">
        <v>25</v>
      </c>
      <c r="F97" s="23"/>
    </row>
    <row r="98" spans="1:6" s="24" customFormat="1" ht="13.65" customHeight="1" x14ac:dyDescent="0.3">
      <c r="A98" s="20" t="s">
        <v>125</v>
      </c>
      <c r="B98" s="20" t="s">
        <v>130</v>
      </c>
      <c r="C98" s="21" t="s">
        <v>131</v>
      </c>
      <c r="D98" s="20" t="s">
        <v>7</v>
      </c>
      <c r="E98" s="23">
        <v>32</v>
      </c>
      <c r="F98" s="23"/>
    </row>
    <row r="99" spans="1:6" s="24" customFormat="1" ht="13.65" customHeight="1" x14ac:dyDescent="0.3">
      <c r="A99" s="20" t="s">
        <v>125</v>
      </c>
      <c r="B99" s="20" t="s">
        <v>132</v>
      </c>
      <c r="C99" s="21" t="s">
        <v>133</v>
      </c>
      <c r="D99" s="20" t="s">
        <v>7</v>
      </c>
      <c r="E99" s="23">
        <v>10</v>
      </c>
      <c r="F99" s="23"/>
    </row>
    <row r="100" spans="1:6" s="24" customFormat="1" ht="13.65" customHeight="1" x14ac:dyDescent="0.3">
      <c r="A100" s="20" t="s">
        <v>125</v>
      </c>
      <c r="B100" s="20" t="s">
        <v>134</v>
      </c>
      <c r="C100" s="21" t="s">
        <v>135</v>
      </c>
      <c r="D100" s="20" t="s">
        <v>7</v>
      </c>
      <c r="E100" s="23">
        <v>10</v>
      </c>
      <c r="F100" s="23"/>
    </row>
    <row r="101" spans="1:6" s="24" customFormat="1" ht="13.65" customHeight="1" x14ac:dyDescent="0.3">
      <c r="A101" s="20" t="s">
        <v>125</v>
      </c>
      <c r="B101" s="20" t="s">
        <v>136</v>
      </c>
      <c r="C101" s="21" t="s">
        <v>137</v>
      </c>
      <c r="D101" s="20" t="s">
        <v>7</v>
      </c>
      <c r="E101" s="23">
        <v>30</v>
      </c>
      <c r="F101" s="23"/>
    </row>
    <row r="102" spans="1:6" s="24" customFormat="1" ht="13.65" customHeight="1" x14ac:dyDescent="0.3">
      <c r="A102" s="20" t="s">
        <v>125</v>
      </c>
      <c r="B102" s="20" t="s">
        <v>138</v>
      </c>
      <c r="C102" s="21" t="s">
        <v>139</v>
      </c>
      <c r="D102" s="20" t="s">
        <v>7</v>
      </c>
      <c r="E102" s="23">
        <v>8</v>
      </c>
      <c r="F102" s="23"/>
    </row>
    <row r="103" spans="1:6" s="24" customFormat="1" ht="13.65" customHeight="1" x14ac:dyDescent="0.3">
      <c r="A103" s="20" t="s">
        <v>125</v>
      </c>
      <c r="B103" s="20" t="s">
        <v>140</v>
      </c>
      <c r="C103" s="21" t="s">
        <v>141</v>
      </c>
      <c r="D103" s="20" t="s">
        <v>7</v>
      </c>
      <c r="E103" s="23">
        <v>42</v>
      </c>
      <c r="F103" s="23"/>
    </row>
    <row r="104" spans="1:6" s="24" customFormat="1" ht="13.65" customHeight="1" x14ac:dyDescent="0.3">
      <c r="A104" s="20" t="s">
        <v>125</v>
      </c>
      <c r="B104" s="20" t="s">
        <v>142</v>
      </c>
      <c r="C104" s="21" t="s">
        <v>143</v>
      </c>
      <c r="D104" s="20" t="s">
        <v>7</v>
      </c>
      <c r="E104" s="23">
        <v>10</v>
      </c>
      <c r="F104" s="23"/>
    </row>
    <row r="105" spans="1:6" s="24" customFormat="1" ht="13.65" customHeight="1" x14ac:dyDescent="0.3">
      <c r="A105" s="20" t="s">
        <v>125</v>
      </c>
      <c r="B105" s="20" t="s">
        <v>144</v>
      </c>
      <c r="C105" s="21" t="s">
        <v>145</v>
      </c>
      <c r="D105" s="20" t="s">
        <v>7</v>
      </c>
      <c r="E105" s="23">
        <v>10</v>
      </c>
      <c r="F105" s="23"/>
    </row>
    <row r="106" spans="1:6" s="24" customFormat="1" ht="13.65" customHeight="1" x14ac:dyDescent="0.3">
      <c r="A106" s="20" t="s">
        <v>125</v>
      </c>
      <c r="B106" s="20" t="s">
        <v>146</v>
      </c>
      <c r="C106" s="21" t="s">
        <v>147</v>
      </c>
      <c r="D106" s="20" t="s">
        <v>7</v>
      </c>
      <c r="E106" s="23">
        <v>10</v>
      </c>
      <c r="F106" s="23"/>
    </row>
    <row r="107" spans="1:6" s="24" customFormat="1" ht="13.65" customHeight="1" x14ac:dyDescent="0.3">
      <c r="A107" s="20" t="s">
        <v>125</v>
      </c>
      <c r="B107" s="20" t="s">
        <v>148</v>
      </c>
      <c r="C107" s="21" t="s">
        <v>149</v>
      </c>
      <c r="D107" s="20" t="s">
        <v>7</v>
      </c>
      <c r="E107" s="23">
        <v>0</v>
      </c>
      <c r="F107" s="23"/>
    </row>
    <row r="108" spans="1:6" s="24" customFormat="1" ht="13.65" customHeight="1" x14ac:dyDescent="0.3">
      <c r="A108" s="20" t="s">
        <v>125</v>
      </c>
      <c r="B108" s="20" t="s">
        <v>150</v>
      </c>
      <c r="C108" s="21" t="s">
        <v>151</v>
      </c>
      <c r="D108" s="20" t="s">
        <v>7</v>
      </c>
      <c r="E108" s="23">
        <v>0</v>
      </c>
      <c r="F108" s="23"/>
    </row>
    <row r="109" spans="1:6" s="24" customFormat="1" ht="13.65" customHeight="1" x14ac:dyDescent="0.3">
      <c r="A109" s="20" t="s">
        <v>125</v>
      </c>
      <c r="B109" s="20" t="s">
        <v>152</v>
      </c>
      <c r="C109" s="21" t="s">
        <v>153</v>
      </c>
      <c r="D109" s="20" t="s">
        <v>7</v>
      </c>
      <c r="E109" s="23">
        <v>0</v>
      </c>
      <c r="F109" s="23"/>
    </row>
    <row r="110" spans="1:6" s="24" customFormat="1" ht="13.65" customHeight="1" x14ac:dyDescent="0.3">
      <c r="A110" s="20" t="s">
        <v>125</v>
      </c>
      <c r="B110" s="20" t="s">
        <v>154</v>
      </c>
      <c r="C110" s="21" t="s">
        <v>155</v>
      </c>
      <c r="D110" s="20" t="s">
        <v>7</v>
      </c>
      <c r="E110" s="23">
        <v>0</v>
      </c>
      <c r="F110" s="23"/>
    </row>
    <row r="111" spans="1:6" s="24" customFormat="1" ht="13.65" customHeight="1" x14ac:dyDescent="0.3">
      <c r="A111" s="20" t="s">
        <v>125</v>
      </c>
      <c r="B111" s="20" t="s">
        <v>156</v>
      </c>
      <c r="C111" s="21" t="s">
        <v>157</v>
      </c>
      <c r="D111" s="20" t="s">
        <v>7</v>
      </c>
      <c r="E111" s="23">
        <v>0</v>
      </c>
      <c r="F111" s="23"/>
    </row>
    <row r="112" spans="1:6" s="24" customFormat="1" ht="13.65" customHeight="1" x14ac:dyDescent="0.3">
      <c r="A112" s="20" t="s">
        <v>125</v>
      </c>
      <c r="B112" s="20" t="s">
        <v>158</v>
      </c>
      <c r="C112" s="21" t="s">
        <v>159</v>
      </c>
      <c r="D112" s="20" t="s">
        <v>7</v>
      </c>
      <c r="E112" s="23">
        <v>0</v>
      </c>
      <c r="F112" s="23"/>
    </row>
    <row r="113" spans="1:6" s="24" customFormat="1" ht="13.65" customHeight="1" x14ac:dyDescent="0.3">
      <c r="A113" s="20" t="s">
        <v>125</v>
      </c>
      <c r="B113" s="20" t="s">
        <v>160</v>
      </c>
      <c r="C113" s="21" t="s">
        <v>161</v>
      </c>
      <c r="D113" s="20" t="s">
        <v>7</v>
      </c>
      <c r="E113" s="23">
        <v>0</v>
      </c>
      <c r="F113" s="23"/>
    </row>
    <row r="114" spans="1:6" s="24" customFormat="1" ht="13.65" customHeight="1" x14ac:dyDescent="0.3">
      <c r="A114" s="20" t="s">
        <v>125</v>
      </c>
      <c r="B114" s="20" t="s">
        <v>162</v>
      </c>
      <c r="C114" s="21" t="s">
        <v>163</v>
      </c>
      <c r="D114" s="20" t="s">
        <v>7</v>
      </c>
      <c r="E114" s="23">
        <v>0</v>
      </c>
      <c r="F114" s="23"/>
    </row>
    <row r="115" spans="1:6" s="24" customFormat="1" ht="13.65" customHeight="1" x14ac:dyDescent="0.3">
      <c r="A115" s="20" t="s">
        <v>125</v>
      </c>
      <c r="B115" s="20" t="s">
        <v>164</v>
      </c>
      <c r="C115" s="21" t="s">
        <v>165</v>
      </c>
      <c r="D115" s="20" t="s">
        <v>7</v>
      </c>
      <c r="E115" s="23">
        <v>0</v>
      </c>
      <c r="F115" s="23"/>
    </row>
    <row r="116" spans="1:6" s="24" customFormat="1" ht="13.65" customHeight="1" x14ac:dyDescent="0.3">
      <c r="A116" s="20" t="s">
        <v>125</v>
      </c>
      <c r="B116" s="20" t="s">
        <v>166</v>
      </c>
      <c r="C116" s="21" t="s">
        <v>167</v>
      </c>
      <c r="D116" s="20" t="s">
        <v>7</v>
      </c>
      <c r="E116" s="23">
        <v>0</v>
      </c>
      <c r="F116" s="23"/>
    </row>
    <row r="117" spans="1:6" s="24" customFormat="1" ht="13.65" customHeight="1" x14ac:dyDescent="0.3">
      <c r="A117" s="20" t="s">
        <v>125</v>
      </c>
      <c r="B117" s="26">
        <v>2502535</v>
      </c>
      <c r="C117" s="27" t="s">
        <v>168</v>
      </c>
      <c r="D117" s="20" t="s">
        <v>7</v>
      </c>
      <c r="E117" s="25">
        <v>0</v>
      </c>
      <c r="F117" s="25"/>
    </row>
    <row r="118" spans="1:6" s="24" customFormat="1" ht="13.65" customHeight="1" thickBot="1" x14ac:dyDescent="0.35">
      <c r="A118" s="20" t="s">
        <v>125</v>
      </c>
      <c r="B118" s="28" t="s">
        <v>169</v>
      </c>
      <c r="C118" s="29" t="s">
        <v>170</v>
      </c>
      <c r="D118" s="20" t="s">
        <v>7</v>
      </c>
      <c r="E118" s="30">
        <v>10</v>
      </c>
      <c r="F118" s="30"/>
    </row>
    <row r="119" spans="1:6" ht="13.65" customHeight="1" thickBot="1" x14ac:dyDescent="0.35">
      <c r="A119" s="1"/>
      <c r="B119" s="1"/>
      <c r="C119" s="13"/>
      <c r="D119" s="1"/>
      <c r="E119" s="14">
        <v>217</v>
      </c>
      <c r="F119" s="15"/>
    </row>
    <row r="120" spans="1:6" s="24" customFormat="1" ht="13.65" customHeight="1" x14ac:dyDescent="0.3">
      <c r="A120" s="16" t="s">
        <v>171</v>
      </c>
      <c r="B120" s="16" t="s">
        <v>172</v>
      </c>
      <c r="C120" s="17" t="s">
        <v>173</v>
      </c>
      <c r="D120" s="16" t="s">
        <v>174</v>
      </c>
      <c r="E120" s="31">
        <v>0</v>
      </c>
      <c r="F120" s="31"/>
    </row>
    <row r="121" spans="1:6" s="24" customFormat="1" ht="13.65" customHeight="1" x14ac:dyDescent="0.3">
      <c r="A121" s="20" t="s">
        <v>175</v>
      </c>
      <c r="B121" s="20">
        <v>50736306</v>
      </c>
      <c r="C121" s="21" t="s">
        <v>176</v>
      </c>
      <c r="D121" s="20" t="s">
        <v>177</v>
      </c>
      <c r="E121" s="23">
        <v>0</v>
      </c>
      <c r="F121" s="23"/>
    </row>
    <row r="122" spans="1:6" s="24" customFormat="1" ht="13.65" customHeight="1" x14ac:dyDescent="0.3">
      <c r="A122" s="20" t="s">
        <v>175</v>
      </c>
      <c r="B122" s="20">
        <v>56553321</v>
      </c>
      <c r="C122" s="21" t="s">
        <v>178</v>
      </c>
      <c r="D122" s="20" t="s">
        <v>177</v>
      </c>
      <c r="E122" s="20">
        <v>0</v>
      </c>
      <c r="F122" s="20"/>
    </row>
    <row r="123" spans="1:6" s="24" customFormat="1" ht="13.65" customHeight="1" x14ac:dyDescent="0.3">
      <c r="A123" s="20" t="s">
        <v>175</v>
      </c>
      <c r="B123" s="20">
        <v>51715481</v>
      </c>
      <c r="C123" s="21" t="s">
        <v>179</v>
      </c>
      <c r="D123" s="20" t="s">
        <v>177</v>
      </c>
      <c r="E123" s="23">
        <v>0</v>
      </c>
      <c r="F123" s="23"/>
    </row>
    <row r="124" spans="1:6" s="24" customFormat="1" ht="13.65" customHeight="1" x14ac:dyDescent="0.3">
      <c r="A124" s="20" t="s">
        <v>175</v>
      </c>
      <c r="B124" s="20">
        <v>486308</v>
      </c>
      <c r="C124" s="21" t="s">
        <v>180</v>
      </c>
      <c r="D124" s="20" t="s">
        <v>181</v>
      </c>
      <c r="E124" s="23">
        <v>0</v>
      </c>
      <c r="F124" s="23"/>
    </row>
    <row r="125" spans="1:6" ht="13.65" customHeight="1" thickBot="1" x14ac:dyDescent="0.35">
      <c r="A125" s="9"/>
      <c r="B125" s="9"/>
      <c r="C125" s="10"/>
      <c r="D125" s="9"/>
      <c r="E125" s="11">
        <v>0</v>
      </c>
      <c r="F125" s="11"/>
    </row>
  </sheetData>
  <protectedRanges>
    <protectedRange sqref="E2:F2 F76" name="Range2"/>
    <protectedRange sqref="E2:F2 F76" name="Range1"/>
    <protectedRange sqref="E1:F1" name="Range2_1"/>
    <protectedRange sqref="E1:F1" name="Range1_1"/>
    <protectedRange sqref="E76 E33:F33" name="Range2_3"/>
    <protectedRange sqref="E76 E33:F33" name="Range1_3"/>
  </protectedRanges>
  <conditionalFormatting sqref="C19:C20">
    <cfRule type="duplicateValues" dxfId="96" priority="5"/>
  </conditionalFormatting>
  <conditionalFormatting sqref="C22">
    <cfRule type="duplicateValues" dxfId="95" priority="4"/>
  </conditionalFormatting>
  <conditionalFormatting sqref="C25">
    <cfRule type="duplicateValues" dxfId="94" priority="6"/>
  </conditionalFormatting>
  <conditionalFormatting sqref="C26 C21 C23:C24 C3:C18">
    <cfRule type="duplicateValues" dxfId="93" priority="14"/>
  </conditionalFormatting>
  <conditionalFormatting sqref="C27:C31">
    <cfRule type="duplicateValues" dxfId="92" priority="13"/>
  </conditionalFormatting>
  <conditionalFormatting sqref="C32">
    <cfRule type="duplicateValues" dxfId="91" priority="7"/>
  </conditionalFormatting>
  <conditionalFormatting sqref="E2:F33">
    <cfRule type="cellIs" dxfId="90" priority="2" stopIfTrue="1" operator="lessThan">
      <formula>0</formula>
    </cfRule>
  </conditionalFormatting>
  <conditionalFormatting sqref="E35:F121">
    <cfRule type="cellIs" dxfId="89" priority="11" stopIfTrue="1" operator="lessThan">
      <formula>0</formula>
    </cfRule>
  </conditionalFormatting>
  <conditionalFormatting sqref="E123:F125">
    <cfRule type="cellIs" dxfId="88" priority="1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C020-CA7D-46ED-98C2-01FEF5B2B651}">
  <dimension ref="A1:F127"/>
  <sheetViews>
    <sheetView topLeftCell="A104" zoomScale="110" zoomScaleNormal="110" workbookViewId="0">
      <selection activeCell="C138" sqref="C138"/>
    </sheetView>
  </sheetViews>
  <sheetFormatPr defaultRowHeight="14.4" x14ac:dyDescent="0.3"/>
  <cols>
    <col min="1" max="1" width="12" bestFit="1" customWidth="1"/>
    <col min="2" max="2" width="24.5546875" bestFit="1" customWidth="1"/>
    <col min="3" max="3" width="61.109375" customWidth="1"/>
    <col min="4" max="4" width="6.109375" bestFit="1" customWidth="1"/>
    <col min="5" max="5" width="9.88671875" customWidth="1"/>
    <col min="6" max="6" width="14.5546875" customWidth="1"/>
  </cols>
  <sheetData>
    <row r="1" spans="1:6" s="36" customFormat="1" ht="25.65" customHeight="1" thickBot="1" x14ac:dyDescent="0.35">
      <c r="A1" s="35" t="s">
        <v>0</v>
      </c>
      <c r="B1" s="35" t="s">
        <v>1</v>
      </c>
      <c r="C1" s="35" t="s">
        <v>2</v>
      </c>
      <c r="D1" s="35" t="s">
        <v>3</v>
      </c>
      <c r="E1" s="35" t="s">
        <v>187</v>
      </c>
      <c r="F1" s="35" t="s">
        <v>183</v>
      </c>
    </row>
    <row r="2" spans="1:6" ht="16.2" thickBot="1" x14ac:dyDescent="0.35">
      <c r="A2" s="1"/>
      <c r="B2" s="1"/>
      <c r="C2" s="2"/>
      <c r="D2" s="3"/>
      <c r="E2" s="4"/>
      <c r="F2" s="4"/>
    </row>
    <row r="3" spans="1:6" ht="13.65" customHeight="1" x14ac:dyDescent="0.3">
      <c r="A3" s="16" t="s">
        <v>4</v>
      </c>
      <c r="B3" s="16" t="s">
        <v>5</v>
      </c>
      <c r="C3" s="17" t="s">
        <v>6</v>
      </c>
      <c r="D3" s="16" t="s">
        <v>7</v>
      </c>
      <c r="E3" s="19">
        <v>11</v>
      </c>
      <c r="F3" s="19"/>
    </row>
    <row r="4" spans="1:6" ht="13.65" customHeight="1" x14ac:dyDescent="0.3">
      <c r="A4" s="56" t="s">
        <v>4</v>
      </c>
      <c r="B4" s="56" t="s">
        <v>206</v>
      </c>
      <c r="C4" s="57" t="s">
        <v>207</v>
      </c>
      <c r="D4" s="56" t="s">
        <v>7</v>
      </c>
      <c r="E4" s="58">
        <v>0</v>
      </c>
      <c r="F4" s="58"/>
    </row>
    <row r="5" spans="1:6" s="24" customFormat="1" ht="13.65" customHeight="1" x14ac:dyDescent="0.3">
      <c r="A5" s="56" t="s">
        <v>4</v>
      </c>
      <c r="B5" s="56" t="s">
        <v>197</v>
      </c>
      <c r="C5" s="57" t="s">
        <v>198</v>
      </c>
      <c r="D5" s="56" t="s">
        <v>7</v>
      </c>
      <c r="E5" s="58">
        <v>0</v>
      </c>
      <c r="F5" s="58"/>
    </row>
    <row r="6" spans="1:6" ht="13.65" customHeight="1" x14ac:dyDescent="0.3">
      <c r="A6" s="56" t="s">
        <v>4</v>
      </c>
      <c r="B6" s="56" t="s">
        <v>193</v>
      </c>
      <c r="C6" s="57" t="s">
        <v>194</v>
      </c>
      <c r="D6" s="56" t="s">
        <v>7</v>
      </c>
      <c r="E6" s="58">
        <v>0</v>
      </c>
      <c r="F6" s="58"/>
    </row>
    <row r="7" spans="1:6" ht="13.65" customHeight="1" x14ac:dyDescent="0.3">
      <c r="A7" s="20" t="s">
        <v>4</v>
      </c>
      <c r="B7" s="20" t="s">
        <v>8</v>
      </c>
      <c r="C7" s="21" t="s">
        <v>9</v>
      </c>
      <c r="D7" s="20" t="s">
        <v>7</v>
      </c>
      <c r="E7" s="22">
        <v>30</v>
      </c>
      <c r="F7" s="22"/>
    </row>
    <row r="8" spans="1:6" ht="13.65" customHeight="1" x14ac:dyDescent="0.3">
      <c r="A8" s="20" t="s">
        <v>4</v>
      </c>
      <c r="B8" s="20" t="s">
        <v>10</v>
      </c>
      <c r="C8" s="21" t="s">
        <v>11</v>
      </c>
      <c r="D8" s="20" t="s">
        <v>7</v>
      </c>
      <c r="E8" s="22">
        <v>177</v>
      </c>
      <c r="F8" s="22"/>
    </row>
    <row r="9" spans="1:6" ht="13.65" customHeight="1" x14ac:dyDescent="0.3">
      <c r="A9" s="20" t="s">
        <v>4</v>
      </c>
      <c r="B9" s="20" t="s">
        <v>12</v>
      </c>
      <c r="C9" s="21" t="s">
        <v>13</v>
      </c>
      <c r="D9" s="20" t="s">
        <v>7</v>
      </c>
      <c r="E9" s="22">
        <v>246</v>
      </c>
      <c r="F9" s="22"/>
    </row>
    <row r="10" spans="1:6" ht="13.65" customHeight="1" x14ac:dyDescent="0.3">
      <c r="A10" s="20" t="s">
        <v>4</v>
      </c>
      <c r="B10" s="20" t="s">
        <v>14</v>
      </c>
      <c r="C10" s="21" t="s">
        <v>15</v>
      </c>
      <c r="D10" s="20" t="s">
        <v>7</v>
      </c>
      <c r="E10" s="22">
        <v>10</v>
      </c>
      <c r="F10" s="22"/>
    </row>
    <row r="11" spans="1:6" ht="13.65" customHeight="1" x14ac:dyDescent="0.3">
      <c r="A11" s="20" t="s">
        <v>4</v>
      </c>
      <c r="B11" s="20" t="s">
        <v>16</v>
      </c>
      <c r="C11" s="21" t="s">
        <v>17</v>
      </c>
      <c r="D11" s="20" t="s">
        <v>7</v>
      </c>
      <c r="E11" s="22">
        <v>45</v>
      </c>
      <c r="F11" s="22"/>
    </row>
    <row r="12" spans="1:6" ht="13.65" customHeight="1" x14ac:dyDescent="0.3">
      <c r="A12" s="20" t="s">
        <v>4</v>
      </c>
      <c r="B12" s="20" t="s">
        <v>18</v>
      </c>
      <c r="C12" s="21" t="s">
        <v>19</v>
      </c>
      <c r="D12" s="20" t="s">
        <v>7</v>
      </c>
      <c r="E12" s="18">
        <v>39</v>
      </c>
      <c r="F12" s="18"/>
    </row>
    <row r="13" spans="1:6" ht="13.65" customHeight="1" x14ac:dyDescent="0.3">
      <c r="A13" s="20" t="s">
        <v>4</v>
      </c>
      <c r="B13" s="20" t="s">
        <v>20</v>
      </c>
      <c r="C13" s="21" t="s">
        <v>21</v>
      </c>
      <c r="D13" s="20" t="s">
        <v>7</v>
      </c>
      <c r="E13" s="18">
        <v>26</v>
      </c>
      <c r="F13" s="18"/>
    </row>
    <row r="14" spans="1:6" s="24" customFormat="1" ht="13.65" customHeight="1" x14ac:dyDescent="0.3">
      <c r="A14" s="56" t="s">
        <v>4</v>
      </c>
      <c r="B14" s="56" t="s">
        <v>204</v>
      </c>
      <c r="C14" s="57" t="s">
        <v>205</v>
      </c>
      <c r="D14" s="56" t="s">
        <v>7</v>
      </c>
      <c r="E14" s="58">
        <v>0</v>
      </c>
      <c r="F14" s="58"/>
    </row>
    <row r="15" spans="1:6" ht="13.65" customHeight="1" x14ac:dyDescent="0.3">
      <c r="A15" s="20" t="s">
        <v>4</v>
      </c>
      <c r="B15" s="20" t="s">
        <v>22</v>
      </c>
      <c r="C15" s="21" t="s">
        <v>23</v>
      </c>
      <c r="D15" s="20" t="s">
        <v>7</v>
      </c>
      <c r="E15" s="18">
        <v>52</v>
      </c>
      <c r="F15" s="22"/>
    </row>
    <row r="16" spans="1:6" ht="13.65" customHeight="1" x14ac:dyDescent="0.3">
      <c r="A16" s="20" t="s">
        <v>4</v>
      </c>
      <c r="B16" s="20" t="s">
        <v>24</v>
      </c>
      <c r="C16" s="21" t="s">
        <v>25</v>
      </c>
      <c r="D16" s="20" t="s">
        <v>7</v>
      </c>
      <c r="E16" s="18">
        <v>15</v>
      </c>
      <c r="F16" s="22"/>
    </row>
    <row r="17" spans="1:6" ht="13.65" customHeight="1" x14ac:dyDescent="0.3">
      <c r="A17" s="20" t="s">
        <v>4</v>
      </c>
      <c r="B17" s="20" t="s">
        <v>26</v>
      </c>
      <c r="C17" s="21" t="s">
        <v>27</v>
      </c>
      <c r="D17" s="20" t="s">
        <v>7</v>
      </c>
      <c r="E17" s="22">
        <v>50</v>
      </c>
      <c r="F17" s="22"/>
    </row>
    <row r="18" spans="1:6" ht="13.65" customHeight="1" x14ac:dyDescent="0.3">
      <c r="A18" s="20" t="s">
        <v>4</v>
      </c>
      <c r="B18" s="20" t="s">
        <v>28</v>
      </c>
      <c r="C18" s="21" t="s">
        <v>29</v>
      </c>
      <c r="D18" s="20" t="s">
        <v>7</v>
      </c>
      <c r="E18" s="22">
        <v>144</v>
      </c>
      <c r="F18" s="22"/>
    </row>
    <row r="19" spans="1:6" ht="13.65" customHeight="1" x14ac:dyDescent="0.3">
      <c r="A19" s="20" t="s">
        <v>4</v>
      </c>
      <c r="B19" s="20" t="s">
        <v>30</v>
      </c>
      <c r="C19" s="21" t="s">
        <v>31</v>
      </c>
      <c r="D19" s="20" t="s">
        <v>7</v>
      </c>
      <c r="E19" s="19">
        <v>42</v>
      </c>
      <c r="F19" s="19"/>
    </row>
    <row r="20" spans="1:6" ht="13.65" customHeight="1" x14ac:dyDescent="0.3">
      <c r="A20" s="20" t="s">
        <v>4</v>
      </c>
      <c r="B20" s="20" t="s">
        <v>32</v>
      </c>
      <c r="C20" s="21" t="s">
        <v>33</v>
      </c>
      <c r="D20" s="20" t="s">
        <v>7</v>
      </c>
      <c r="E20" s="19">
        <v>32</v>
      </c>
      <c r="F20" s="19"/>
    </row>
    <row r="21" spans="1:6" ht="13.65" customHeight="1" x14ac:dyDescent="0.3">
      <c r="A21" s="20" t="s">
        <v>4</v>
      </c>
      <c r="B21" s="20" t="s">
        <v>34</v>
      </c>
      <c r="C21" s="21" t="s">
        <v>35</v>
      </c>
      <c r="D21" s="20" t="s">
        <v>7</v>
      </c>
      <c r="E21" s="19">
        <v>3</v>
      </c>
      <c r="F21" s="19"/>
    </row>
    <row r="22" spans="1:6" ht="13.65" customHeight="1" x14ac:dyDescent="0.3">
      <c r="A22" s="20" t="s">
        <v>4</v>
      </c>
      <c r="B22" s="20" t="s">
        <v>36</v>
      </c>
      <c r="C22" s="21" t="s">
        <v>37</v>
      </c>
      <c r="D22" s="20" t="s">
        <v>7</v>
      </c>
      <c r="E22" s="19">
        <v>3</v>
      </c>
      <c r="F22" s="19"/>
    </row>
    <row r="23" spans="1:6" ht="13.65" customHeight="1" x14ac:dyDescent="0.3">
      <c r="A23" s="20"/>
      <c r="B23" s="20"/>
      <c r="C23" s="21"/>
      <c r="D23" s="20"/>
      <c r="E23" s="23"/>
      <c r="F23" s="23"/>
    </row>
    <row r="24" spans="1:6" ht="13.65" customHeight="1" x14ac:dyDescent="0.3">
      <c r="A24" s="20" t="s">
        <v>4</v>
      </c>
      <c r="B24" s="20" t="s">
        <v>38</v>
      </c>
      <c r="C24" s="21" t="s">
        <v>39</v>
      </c>
      <c r="D24" s="20" t="s">
        <v>7</v>
      </c>
      <c r="E24" s="23">
        <v>38</v>
      </c>
      <c r="F24" s="23"/>
    </row>
    <row r="25" spans="1:6" ht="13.65" customHeight="1" x14ac:dyDescent="0.3">
      <c r="A25" s="20" t="s">
        <v>4</v>
      </c>
      <c r="B25" s="20" t="s">
        <v>40</v>
      </c>
      <c r="C25" s="21" t="s">
        <v>41</v>
      </c>
      <c r="D25" s="20" t="s">
        <v>7</v>
      </c>
      <c r="E25" s="23">
        <v>2</v>
      </c>
      <c r="F25" s="23"/>
    </row>
    <row r="26" spans="1:6" ht="13.65" customHeight="1" x14ac:dyDescent="0.3">
      <c r="A26" s="20"/>
      <c r="B26" s="20"/>
      <c r="C26" s="21"/>
      <c r="D26" s="20"/>
      <c r="E26" s="23"/>
      <c r="F26" s="23"/>
    </row>
    <row r="27" spans="1:6" ht="13.65" customHeight="1" x14ac:dyDescent="0.3">
      <c r="A27" s="20" t="s">
        <v>42</v>
      </c>
      <c r="B27" s="20" t="s">
        <v>43</v>
      </c>
      <c r="C27" s="21" t="s">
        <v>44</v>
      </c>
      <c r="D27" s="20" t="s">
        <v>7</v>
      </c>
      <c r="E27" s="23">
        <v>37</v>
      </c>
      <c r="F27" s="23"/>
    </row>
    <row r="28" spans="1:6" ht="13.65" customHeight="1" x14ac:dyDescent="0.3">
      <c r="A28" s="20" t="s">
        <v>42</v>
      </c>
      <c r="B28" s="20" t="s">
        <v>45</v>
      </c>
      <c r="C28" s="21" t="s">
        <v>46</v>
      </c>
      <c r="D28" s="20" t="s">
        <v>7</v>
      </c>
      <c r="E28" s="23">
        <v>0</v>
      </c>
      <c r="F28" s="23"/>
    </row>
    <row r="29" spans="1:6" ht="13.65" customHeight="1" x14ac:dyDescent="0.3">
      <c r="A29" s="20"/>
      <c r="B29" s="20"/>
      <c r="C29" s="21"/>
      <c r="D29" s="20"/>
      <c r="E29" s="23"/>
      <c r="F29" s="23"/>
    </row>
    <row r="30" spans="1:6" ht="13.65" customHeight="1" x14ac:dyDescent="0.3">
      <c r="A30" s="20" t="s">
        <v>47</v>
      </c>
      <c r="B30" s="20" t="s">
        <v>48</v>
      </c>
      <c r="C30" s="21" t="s">
        <v>49</v>
      </c>
      <c r="D30" s="20" t="s">
        <v>7</v>
      </c>
      <c r="E30" s="23">
        <v>0</v>
      </c>
      <c r="F30" s="23"/>
    </row>
    <row r="31" spans="1:6" ht="13.65" customHeight="1" x14ac:dyDescent="0.3">
      <c r="A31" s="20" t="s">
        <v>47</v>
      </c>
      <c r="B31" s="20" t="s">
        <v>50</v>
      </c>
      <c r="C31" s="21" t="s">
        <v>51</v>
      </c>
      <c r="D31" s="20" t="s">
        <v>7</v>
      </c>
      <c r="E31" s="23">
        <v>0</v>
      </c>
      <c r="F31" s="23"/>
    </row>
    <row r="32" spans="1:6" ht="13.65" customHeight="1" x14ac:dyDescent="0.3">
      <c r="A32" s="20" t="s">
        <v>47</v>
      </c>
      <c r="B32" s="20" t="s">
        <v>52</v>
      </c>
      <c r="C32" s="21" t="s">
        <v>185</v>
      </c>
      <c r="D32" s="20" t="s">
        <v>7</v>
      </c>
      <c r="E32" s="23">
        <v>0</v>
      </c>
      <c r="F32" s="23"/>
    </row>
    <row r="33" spans="1:6" ht="13.65" customHeight="1" x14ac:dyDescent="0.3">
      <c r="A33" s="20" t="s">
        <v>47</v>
      </c>
      <c r="B33" s="20" t="s">
        <v>54</v>
      </c>
      <c r="C33" s="21" t="s">
        <v>55</v>
      </c>
      <c r="D33" s="20" t="s">
        <v>7</v>
      </c>
      <c r="E33" s="23">
        <v>0</v>
      </c>
      <c r="F33" s="23"/>
    </row>
    <row r="34" spans="1:6" ht="13.65" customHeight="1" x14ac:dyDescent="0.3">
      <c r="A34" s="20" t="s">
        <v>47</v>
      </c>
      <c r="B34" s="20" t="s">
        <v>56</v>
      </c>
      <c r="C34" s="21" t="s">
        <v>57</v>
      </c>
      <c r="D34" s="20" t="s">
        <v>7</v>
      </c>
      <c r="E34" s="23">
        <v>0</v>
      </c>
      <c r="F34" s="23"/>
    </row>
    <row r="35" spans="1:6" ht="15.6" x14ac:dyDescent="0.3">
      <c r="A35" s="54" t="s">
        <v>4</v>
      </c>
      <c r="B35" s="54">
        <v>33191234</v>
      </c>
      <c r="C35" s="55" t="s">
        <v>185</v>
      </c>
      <c r="D35" s="20" t="s">
        <v>7</v>
      </c>
      <c r="E35" s="23">
        <v>6</v>
      </c>
      <c r="F35" s="23"/>
    </row>
    <row r="36" spans="1:6" ht="15.6" x14ac:dyDescent="0.3">
      <c r="A36" s="54" t="s">
        <v>4</v>
      </c>
      <c r="B36" s="54">
        <v>33191232</v>
      </c>
      <c r="C36" s="55" t="s">
        <v>55</v>
      </c>
      <c r="D36" s="20" t="s">
        <v>7</v>
      </c>
      <c r="E36" s="23">
        <v>46</v>
      </c>
      <c r="F36" s="23"/>
    </row>
    <row r="37" spans="1:6" ht="15.6" x14ac:dyDescent="0.3">
      <c r="A37" s="54" t="s">
        <v>4</v>
      </c>
      <c r="B37" s="54">
        <v>33191231</v>
      </c>
      <c r="C37" s="55" t="s">
        <v>57</v>
      </c>
      <c r="D37" s="20" t="s">
        <v>7</v>
      </c>
      <c r="E37" s="23">
        <v>44</v>
      </c>
      <c r="F37" s="23"/>
    </row>
    <row r="38" spans="1:6" ht="13.65" customHeight="1" x14ac:dyDescent="0.3">
      <c r="A38" s="20"/>
      <c r="B38" s="20"/>
      <c r="C38" s="21"/>
      <c r="D38" s="20"/>
      <c r="E38" s="23"/>
      <c r="F38" s="23"/>
    </row>
    <row r="39" spans="1:6" ht="13.65" customHeight="1" thickBot="1" x14ac:dyDescent="0.35">
      <c r="A39" s="5"/>
      <c r="B39" s="5"/>
      <c r="C39" s="6"/>
      <c r="D39" s="5"/>
      <c r="E39" s="7">
        <v>1068</v>
      </c>
      <c r="F39" s="8"/>
    </row>
    <row r="40" spans="1:6" s="24" customFormat="1" ht="13.65" customHeight="1" x14ac:dyDescent="0.3">
      <c r="A40" s="16" t="s">
        <v>4</v>
      </c>
      <c r="B40" s="16">
        <v>7358771515</v>
      </c>
      <c r="C40" s="17" t="s">
        <v>58</v>
      </c>
      <c r="D40" s="16" t="s">
        <v>7</v>
      </c>
      <c r="E40" s="20">
        <v>0</v>
      </c>
      <c r="F40" s="20"/>
    </row>
    <row r="41" spans="1:6" s="24" customFormat="1" ht="13.65" customHeight="1" x14ac:dyDescent="0.3">
      <c r="A41" s="20" t="s">
        <v>4</v>
      </c>
      <c r="B41" s="20">
        <v>7378761826</v>
      </c>
      <c r="C41" s="21" t="s">
        <v>59</v>
      </c>
      <c r="D41" s="20" t="s">
        <v>7</v>
      </c>
      <c r="E41" s="23">
        <v>0</v>
      </c>
      <c r="F41" s="23"/>
    </row>
    <row r="42" spans="1:6" s="24" customFormat="1" ht="13.65" customHeight="1" x14ac:dyDescent="0.3">
      <c r="A42" s="20" t="s">
        <v>4</v>
      </c>
      <c r="B42" s="20" t="s">
        <v>60</v>
      </c>
      <c r="C42" s="21" t="s">
        <v>61</v>
      </c>
      <c r="D42" s="20" t="s">
        <v>7</v>
      </c>
      <c r="E42" s="23">
        <v>0</v>
      </c>
      <c r="F42" s="23"/>
    </row>
    <row r="43" spans="1:6" s="24" customFormat="1" ht="13.65" customHeight="1" x14ac:dyDescent="0.3">
      <c r="A43" s="20" t="s">
        <v>4</v>
      </c>
      <c r="B43" s="20" t="s">
        <v>62</v>
      </c>
      <c r="C43" s="21" t="s">
        <v>63</v>
      </c>
      <c r="D43" s="20" t="s">
        <v>7</v>
      </c>
      <c r="E43" s="23">
        <v>0</v>
      </c>
      <c r="F43" s="23"/>
    </row>
    <row r="44" spans="1:6" s="24" customFormat="1" ht="13.65" customHeight="1" x14ac:dyDescent="0.3">
      <c r="A44" s="20" t="s">
        <v>4</v>
      </c>
      <c r="B44" s="20" t="s">
        <v>64</v>
      </c>
      <c r="C44" s="21" t="s">
        <v>65</v>
      </c>
      <c r="D44" s="20" t="s">
        <v>7</v>
      </c>
      <c r="E44" s="23">
        <v>0</v>
      </c>
      <c r="F44" s="23"/>
    </row>
    <row r="45" spans="1:6" s="24" customFormat="1" ht="13.65" customHeight="1" x14ac:dyDescent="0.3">
      <c r="A45" s="20" t="s">
        <v>4</v>
      </c>
      <c r="B45" s="20" t="s">
        <v>66</v>
      </c>
      <c r="C45" s="21" t="s">
        <v>67</v>
      </c>
      <c r="D45" s="20" t="s">
        <v>7</v>
      </c>
      <c r="E45" s="23">
        <v>0</v>
      </c>
      <c r="F45" s="23"/>
    </row>
    <row r="46" spans="1:6" s="24" customFormat="1" ht="13.65" customHeight="1" x14ac:dyDescent="0.3">
      <c r="A46" s="20" t="s">
        <v>4</v>
      </c>
      <c r="B46" s="20" t="s">
        <v>68</v>
      </c>
      <c r="C46" s="21" t="s">
        <v>69</v>
      </c>
      <c r="D46" s="20" t="s">
        <v>7</v>
      </c>
      <c r="E46" s="23">
        <v>0</v>
      </c>
      <c r="F46" s="23"/>
    </row>
    <row r="47" spans="1:6" s="24" customFormat="1" ht="13.65" customHeight="1" x14ac:dyDescent="0.3">
      <c r="A47" s="20" t="s">
        <v>4</v>
      </c>
      <c r="B47" s="20" t="s">
        <v>70</v>
      </c>
      <c r="C47" s="21" t="s">
        <v>69</v>
      </c>
      <c r="D47" s="20" t="s">
        <v>7</v>
      </c>
      <c r="E47" s="23">
        <v>0</v>
      </c>
      <c r="F47" s="23"/>
    </row>
    <row r="48" spans="1:6" s="24" customFormat="1" ht="13.65" customHeight="1" x14ac:dyDescent="0.3">
      <c r="A48" s="20" t="s">
        <v>4</v>
      </c>
      <c r="B48" s="20" t="s">
        <v>71</v>
      </c>
      <c r="C48" s="21" t="s">
        <v>72</v>
      </c>
      <c r="D48" s="20" t="s">
        <v>7</v>
      </c>
      <c r="E48" s="23">
        <v>0</v>
      </c>
      <c r="F48" s="23"/>
    </row>
    <row r="49" spans="1:6" s="24" customFormat="1" ht="13.65" customHeight="1" x14ac:dyDescent="0.3">
      <c r="A49" s="20" t="s">
        <v>4</v>
      </c>
      <c r="B49" s="20">
        <v>7951697</v>
      </c>
      <c r="C49" s="21" t="s">
        <v>73</v>
      </c>
      <c r="D49" s="20" t="s">
        <v>7</v>
      </c>
      <c r="E49" s="23">
        <v>0</v>
      </c>
      <c r="F49" s="23"/>
    </row>
    <row r="50" spans="1:6" s="24" customFormat="1" ht="13.65" customHeight="1" x14ac:dyDescent="0.3">
      <c r="A50" s="20" t="s">
        <v>4</v>
      </c>
      <c r="B50" s="20">
        <v>7952606</v>
      </c>
      <c r="C50" s="21" t="s">
        <v>74</v>
      </c>
      <c r="D50" s="20" t="s">
        <v>7</v>
      </c>
      <c r="E50" s="23">
        <v>0</v>
      </c>
      <c r="F50" s="23"/>
    </row>
    <row r="51" spans="1:6" s="24" customFormat="1" ht="13.65" customHeight="1" x14ac:dyDescent="0.3">
      <c r="A51" s="20" t="s">
        <v>4</v>
      </c>
      <c r="B51" s="20" t="s">
        <v>75</v>
      </c>
      <c r="C51" s="21" t="s">
        <v>76</v>
      </c>
      <c r="D51" s="20" t="s">
        <v>7</v>
      </c>
      <c r="E51" s="23">
        <v>0</v>
      </c>
      <c r="F51" s="23"/>
    </row>
    <row r="52" spans="1:6" s="24" customFormat="1" ht="13.65" customHeight="1" x14ac:dyDescent="0.3">
      <c r="A52" s="20"/>
      <c r="B52" s="20"/>
      <c r="C52" s="21"/>
      <c r="D52" s="20"/>
      <c r="E52" s="23"/>
      <c r="F52" s="23"/>
    </row>
    <row r="53" spans="1:6" s="24" customFormat="1" ht="13.65" customHeight="1" x14ac:dyDescent="0.3">
      <c r="A53" s="20" t="s">
        <v>4</v>
      </c>
      <c r="B53" s="20">
        <v>7305771415</v>
      </c>
      <c r="C53" s="21" t="s">
        <v>77</v>
      </c>
      <c r="D53" s="20" t="s">
        <v>7</v>
      </c>
      <c r="E53" s="23">
        <v>0</v>
      </c>
      <c r="F53" s="23"/>
    </row>
    <row r="54" spans="1:6" s="24" customFormat="1" ht="13.65" customHeight="1" x14ac:dyDescent="0.3">
      <c r="A54" s="20" t="s">
        <v>4</v>
      </c>
      <c r="B54" s="20" t="s">
        <v>78</v>
      </c>
      <c r="C54" s="21" t="s">
        <v>79</v>
      </c>
      <c r="D54" s="20" t="s">
        <v>7</v>
      </c>
      <c r="E54" s="23">
        <v>0</v>
      </c>
      <c r="F54" s="23"/>
    </row>
    <row r="55" spans="1:6" s="24" customFormat="1" ht="13.65" customHeight="1" x14ac:dyDescent="0.3">
      <c r="A55" s="20" t="s">
        <v>4</v>
      </c>
      <c r="B55" s="20" t="s">
        <v>80</v>
      </c>
      <c r="C55" s="21" t="s">
        <v>81</v>
      </c>
      <c r="D55" s="20" t="s">
        <v>7</v>
      </c>
      <c r="E55" s="23">
        <v>0</v>
      </c>
      <c r="F55" s="23"/>
    </row>
    <row r="56" spans="1:6" s="24" customFormat="1" ht="13.65" customHeight="1" x14ac:dyDescent="0.3">
      <c r="A56" s="20"/>
      <c r="B56" s="20"/>
      <c r="C56" s="21"/>
      <c r="D56" s="20"/>
      <c r="E56" s="23"/>
      <c r="F56" s="23"/>
    </row>
    <row r="57" spans="1:6" s="24" customFormat="1" ht="13.65" customHeight="1" x14ac:dyDescent="0.3">
      <c r="A57" s="20" t="s">
        <v>4</v>
      </c>
      <c r="B57" s="20" t="s">
        <v>82</v>
      </c>
      <c r="C57" s="21" t="s">
        <v>83</v>
      </c>
      <c r="D57" s="20" t="s">
        <v>7</v>
      </c>
      <c r="E57" s="23">
        <v>0</v>
      </c>
      <c r="F57" s="23"/>
    </row>
    <row r="58" spans="1:6" s="24" customFormat="1" ht="13.65" customHeight="1" x14ac:dyDescent="0.3">
      <c r="A58" s="20"/>
      <c r="B58" s="20"/>
      <c r="C58" s="21"/>
      <c r="D58" s="20"/>
      <c r="E58" s="23"/>
      <c r="F58" s="23"/>
    </row>
    <row r="59" spans="1:6" s="24" customFormat="1" ht="13.65" customHeight="1" x14ac:dyDescent="0.3">
      <c r="A59" s="26" t="s">
        <v>4</v>
      </c>
      <c r="B59" s="26">
        <v>7328602001</v>
      </c>
      <c r="C59" s="27" t="s">
        <v>84</v>
      </c>
      <c r="D59" s="26" t="s">
        <v>7</v>
      </c>
      <c r="E59" s="25">
        <v>0</v>
      </c>
      <c r="F59" s="25"/>
    </row>
    <row r="60" spans="1:6" s="24" customFormat="1" ht="13.65" customHeight="1" x14ac:dyDescent="0.3">
      <c r="A60" s="20" t="s">
        <v>4</v>
      </c>
      <c r="B60" s="20" t="s">
        <v>85</v>
      </c>
      <c r="C60" s="21" t="s">
        <v>86</v>
      </c>
      <c r="D60" s="20" t="s">
        <v>7</v>
      </c>
      <c r="E60" s="23">
        <v>0</v>
      </c>
      <c r="F60" s="23"/>
    </row>
    <row r="61" spans="1:6" s="24" customFormat="1" ht="13.65" customHeight="1" x14ac:dyDescent="0.3">
      <c r="A61" s="20" t="s">
        <v>4</v>
      </c>
      <c r="B61" s="20">
        <v>7951698</v>
      </c>
      <c r="C61" s="21" t="s">
        <v>87</v>
      </c>
      <c r="D61" s="20" t="s">
        <v>7</v>
      </c>
      <c r="E61" s="23">
        <v>0</v>
      </c>
      <c r="F61" s="23"/>
    </row>
    <row r="62" spans="1:6" s="24" customFormat="1" ht="13.65" customHeight="1" thickBot="1" x14ac:dyDescent="0.35">
      <c r="A62" s="28"/>
      <c r="B62" s="28"/>
      <c r="C62" s="29"/>
      <c r="D62" s="28"/>
      <c r="E62" s="30"/>
      <c r="F62" s="30"/>
    </row>
    <row r="63" spans="1:6" s="24" customFormat="1" ht="13.65" customHeight="1" thickBot="1" x14ac:dyDescent="0.35">
      <c r="A63" s="37"/>
      <c r="B63" s="37"/>
      <c r="C63" s="38"/>
      <c r="D63" s="37"/>
      <c r="E63" s="39"/>
      <c r="F63" s="39"/>
    </row>
    <row r="64" spans="1:6" s="24" customFormat="1" ht="13.65" customHeight="1" thickBot="1" x14ac:dyDescent="0.35">
      <c r="A64" s="37"/>
      <c r="B64" s="37"/>
      <c r="C64" s="38"/>
      <c r="D64" s="37"/>
      <c r="E64" s="39"/>
      <c r="F64" s="39"/>
    </row>
    <row r="65" spans="1:6" s="24" customFormat="1" ht="13.65" customHeight="1" thickBot="1" x14ac:dyDescent="0.35">
      <c r="A65" s="37"/>
      <c r="B65" s="37"/>
      <c r="C65" s="38"/>
      <c r="D65" s="37"/>
      <c r="E65" s="39"/>
      <c r="F65" s="39"/>
    </row>
    <row r="66" spans="1:6" ht="13.65" customHeight="1" thickBot="1" x14ac:dyDescent="0.35">
      <c r="A66" s="5"/>
      <c r="B66" s="5"/>
      <c r="C66" s="6"/>
      <c r="D66" s="5"/>
      <c r="E66" s="12"/>
      <c r="F66" s="12"/>
    </row>
    <row r="67" spans="1:6" s="24" customFormat="1" ht="13.65" customHeight="1" x14ac:dyDescent="0.3">
      <c r="A67" s="16" t="s">
        <v>42</v>
      </c>
      <c r="B67" s="16" t="s">
        <v>88</v>
      </c>
      <c r="C67" s="17" t="s">
        <v>89</v>
      </c>
      <c r="D67" s="16" t="s">
        <v>7</v>
      </c>
      <c r="E67" s="31">
        <v>1095</v>
      </c>
      <c r="F67" s="31"/>
    </row>
    <row r="68" spans="1:6" s="24" customFormat="1" ht="13.65" customHeight="1" x14ac:dyDescent="0.3">
      <c r="A68" s="20" t="s">
        <v>42</v>
      </c>
      <c r="B68" s="20" t="s">
        <v>90</v>
      </c>
      <c r="C68" s="21" t="s">
        <v>91</v>
      </c>
      <c r="D68" s="20" t="s">
        <v>7</v>
      </c>
      <c r="E68" s="23">
        <v>1041</v>
      </c>
      <c r="F68" s="23"/>
    </row>
    <row r="69" spans="1:6" s="24" customFormat="1" ht="13.65" customHeight="1" x14ac:dyDescent="0.3">
      <c r="A69" s="20" t="s">
        <v>42</v>
      </c>
      <c r="B69" s="20" t="s">
        <v>92</v>
      </c>
      <c r="C69" s="21" t="s">
        <v>93</v>
      </c>
      <c r="D69" s="20" t="s">
        <v>7</v>
      </c>
      <c r="E69" s="23">
        <v>1720</v>
      </c>
      <c r="F69" s="23"/>
    </row>
    <row r="70" spans="1:6" s="24" customFormat="1" ht="13.65" customHeight="1" x14ac:dyDescent="0.3">
      <c r="A70" s="20" t="s">
        <v>42</v>
      </c>
      <c r="B70" s="20" t="s">
        <v>94</v>
      </c>
      <c r="C70" s="21" t="s">
        <v>95</v>
      </c>
      <c r="D70" s="20" t="s">
        <v>7</v>
      </c>
      <c r="E70" s="23"/>
      <c r="F70" s="23"/>
    </row>
    <row r="71" spans="1:6" s="24" customFormat="1" ht="13.65" customHeight="1" x14ac:dyDescent="0.3">
      <c r="A71" s="20" t="s">
        <v>96</v>
      </c>
      <c r="B71" s="20" t="s">
        <v>97</v>
      </c>
      <c r="C71" s="21" t="s">
        <v>98</v>
      </c>
      <c r="D71" s="20" t="s">
        <v>7</v>
      </c>
      <c r="E71" s="23"/>
      <c r="F71" s="23"/>
    </row>
    <row r="72" spans="1:6" s="24" customFormat="1" ht="13.65" customHeight="1" x14ac:dyDescent="0.3">
      <c r="A72" s="20" t="s">
        <v>96</v>
      </c>
      <c r="B72" s="20" t="s">
        <v>99</v>
      </c>
      <c r="C72" s="21" t="s">
        <v>186</v>
      </c>
      <c r="D72" s="20" t="s">
        <v>7</v>
      </c>
      <c r="E72" s="23">
        <v>1800</v>
      </c>
      <c r="F72" s="23"/>
    </row>
    <row r="73" spans="1:6" ht="15.6" x14ac:dyDescent="0.3">
      <c r="A73" s="56" t="s">
        <v>96</v>
      </c>
      <c r="B73" s="56" t="s">
        <v>216</v>
      </c>
      <c r="C73" s="57" t="s">
        <v>217</v>
      </c>
      <c r="D73" s="56" t="s">
        <v>7</v>
      </c>
      <c r="E73" s="58">
        <v>0</v>
      </c>
      <c r="F73" s="58"/>
    </row>
    <row r="74" spans="1:6" ht="16.2" thickBot="1" x14ac:dyDescent="0.35">
      <c r="A74" s="59" t="s">
        <v>96</v>
      </c>
      <c r="B74" s="56" t="s">
        <v>218</v>
      </c>
      <c r="C74" s="57" t="s">
        <v>219</v>
      </c>
      <c r="D74" s="56" t="s">
        <v>7</v>
      </c>
      <c r="E74" s="58">
        <v>0</v>
      </c>
      <c r="F74" s="58"/>
    </row>
    <row r="75" spans="1:6" s="24" customFormat="1" ht="13.65" customHeight="1" x14ac:dyDescent="0.3">
      <c r="A75" s="20"/>
      <c r="B75" s="20"/>
      <c r="C75" s="21"/>
      <c r="D75" s="20"/>
      <c r="E75" s="23"/>
      <c r="F75" s="23"/>
    </row>
    <row r="76" spans="1:6" s="24" customFormat="1" ht="13.65" customHeight="1" x14ac:dyDescent="0.3">
      <c r="A76" s="20" t="s">
        <v>4</v>
      </c>
      <c r="B76" s="20" t="s">
        <v>101</v>
      </c>
      <c r="C76" s="21" t="s">
        <v>102</v>
      </c>
      <c r="D76" s="20" t="s">
        <v>7</v>
      </c>
      <c r="E76" s="23">
        <v>15530</v>
      </c>
      <c r="F76" s="23"/>
    </row>
    <row r="77" spans="1:6" s="24" customFormat="1" ht="13.65" customHeight="1" x14ac:dyDescent="0.3">
      <c r="A77" s="20" t="s">
        <v>4</v>
      </c>
      <c r="B77" s="20" t="s">
        <v>103</v>
      </c>
      <c r="C77" s="21" t="s">
        <v>104</v>
      </c>
      <c r="D77" s="20" t="s">
        <v>7</v>
      </c>
      <c r="E77" s="23">
        <v>15605</v>
      </c>
      <c r="F77" s="23"/>
    </row>
    <row r="78" spans="1:6" s="24" customFormat="1" ht="13.65" customHeight="1" x14ac:dyDescent="0.3">
      <c r="A78" s="20" t="s">
        <v>4</v>
      </c>
      <c r="B78" s="20" t="s">
        <v>105</v>
      </c>
      <c r="C78" s="21" t="s">
        <v>106</v>
      </c>
      <c r="D78" s="20" t="s">
        <v>7</v>
      </c>
      <c r="E78" s="23">
        <v>750</v>
      </c>
      <c r="F78" s="23"/>
    </row>
    <row r="79" spans="1:6" s="24" customFormat="1" ht="13.65" customHeight="1" thickBot="1" x14ac:dyDescent="0.35">
      <c r="A79" s="28" t="s">
        <v>4</v>
      </c>
      <c r="B79" s="28" t="s">
        <v>188</v>
      </c>
      <c r="C79" s="29" t="s">
        <v>189</v>
      </c>
      <c r="D79" s="28" t="s">
        <v>7</v>
      </c>
      <c r="E79" s="30">
        <v>200</v>
      </c>
      <c r="F79" s="30"/>
    </row>
    <row r="80" spans="1:6" ht="13.65" customHeight="1" thickBot="1" x14ac:dyDescent="0.35">
      <c r="A80" s="5"/>
      <c r="B80" s="5"/>
      <c r="C80" s="6"/>
      <c r="D80" s="5"/>
      <c r="E80" s="7">
        <f>SUM(E67:E79)</f>
        <v>37741</v>
      </c>
      <c r="F80" s="8"/>
    </row>
    <row r="81" spans="1:6" s="24" customFormat="1" ht="13.65" customHeight="1" x14ac:dyDescent="0.3">
      <c r="A81" s="16" t="s">
        <v>107</v>
      </c>
      <c r="B81" s="16" t="s">
        <v>108</v>
      </c>
      <c r="C81" s="17" t="s">
        <v>109</v>
      </c>
      <c r="D81" s="16" t="s">
        <v>7</v>
      </c>
      <c r="E81" s="31">
        <v>2545</v>
      </c>
      <c r="F81" s="31"/>
    </row>
    <row r="82" spans="1:6" s="24" customFormat="1" ht="13.65" customHeight="1" x14ac:dyDescent="0.3">
      <c r="A82" s="26" t="s">
        <v>107</v>
      </c>
      <c r="B82" s="26" t="s">
        <v>110</v>
      </c>
      <c r="C82" s="27" t="s">
        <v>111</v>
      </c>
      <c r="D82" s="26" t="s">
        <v>7</v>
      </c>
      <c r="E82" s="25">
        <v>494</v>
      </c>
      <c r="F82" s="25"/>
    </row>
    <row r="83" spans="1:6" s="24" customFormat="1" ht="13.65" customHeight="1" x14ac:dyDescent="0.3">
      <c r="A83" s="26" t="s">
        <v>107</v>
      </c>
      <c r="B83" s="26" t="s">
        <v>112</v>
      </c>
      <c r="C83" s="27" t="s">
        <v>113</v>
      </c>
      <c r="D83" s="26" t="s">
        <v>114</v>
      </c>
      <c r="E83" s="25">
        <v>0</v>
      </c>
      <c r="F83" s="25"/>
    </row>
    <row r="84" spans="1:6" s="24" customFormat="1" ht="13.65" customHeight="1" thickBot="1" x14ac:dyDescent="0.35">
      <c r="A84" s="26"/>
      <c r="B84" s="26"/>
      <c r="C84" s="27"/>
      <c r="D84" s="26"/>
      <c r="E84" s="25"/>
      <c r="F84" s="25"/>
    </row>
    <row r="85" spans="1:6" ht="13.65" customHeight="1" thickBot="1" x14ac:dyDescent="0.35">
      <c r="A85" s="1"/>
      <c r="B85" s="1"/>
      <c r="C85" s="13"/>
      <c r="D85" s="13"/>
      <c r="E85" s="14">
        <f>SUM(E81:E83)</f>
        <v>3039</v>
      </c>
      <c r="F85" s="15"/>
    </row>
    <row r="86" spans="1:6" s="24" customFormat="1" ht="13.65" customHeight="1" x14ac:dyDescent="0.3">
      <c r="A86" s="32" t="s">
        <v>42</v>
      </c>
      <c r="B86" s="32" t="s">
        <v>115</v>
      </c>
      <c r="C86" s="33" t="s">
        <v>116</v>
      </c>
      <c r="D86" s="32" t="s">
        <v>7</v>
      </c>
      <c r="E86" s="34"/>
      <c r="F86" s="34"/>
    </row>
    <row r="87" spans="1:6" s="24" customFormat="1" ht="13.65" customHeight="1" x14ac:dyDescent="0.3">
      <c r="A87" s="20" t="s">
        <v>42</v>
      </c>
      <c r="B87" s="20" t="s">
        <v>117</v>
      </c>
      <c r="C87" s="21" t="s">
        <v>118</v>
      </c>
      <c r="D87" s="20" t="s">
        <v>7</v>
      </c>
      <c r="E87" s="23">
        <v>900</v>
      </c>
      <c r="F87" s="23"/>
    </row>
    <row r="88" spans="1:6" s="24" customFormat="1" ht="13.65" customHeight="1" x14ac:dyDescent="0.3">
      <c r="A88" s="20" t="s">
        <v>42</v>
      </c>
      <c r="B88" s="20" t="s">
        <v>119</v>
      </c>
      <c r="C88" s="21" t="s">
        <v>120</v>
      </c>
      <c r="D88" s="20" t="s">
        <v>7</v>
      </c>
      <c r="E88" s="23">
        <v>900</v>
      </c>
      <c r="F88" s="23"/>
    </row>
    <row r="89" spans="1:6" s="24" customFormat="1" ht="13.65" customHeight="1" x14ac:dyDescent="0.3">
      <c r="A89" s="20" t="s">
        <v>42</v>
      </c>
      <c r="B89" s="20" t="s">
        <v>121</v>
      </c>
      <c r="C89" s="21" t="s">
        <v>122</v>
      </c>
      <c r="D89" s="20" t="s">
        <v>7</v>
      </c>
      <c r="E89" s="23">
        <v>400</v>
      </c>
      <c r="F89" s="23"/>
    </row>
    <row r="90" spans="1:6" s="24" customFormat="1" ht="13.65" customHeight="1" x14ac:dyDescent="0.3">
      <c r="A90" s="20" t="s">
        <v>42</v>
      </c>
      <c r="B90" s="20" t="s">
        <v>123</v>
      </c>
      <c r="C90" s="21" t="s">
        <v>124</v>
      </c>
      <c r="D90" s="20" t="s">
        <v>7</v>
      </c>
      <c r="E90" s="23">
        <v>700</v>
      </c>
      <c r="F90" s="23"/>
    </row>
    <row r="91" spans="1:6" s="24" customFormat="1" ht="13.65" customHeight="1" thickBot="1" x14ac:dyDescent="0.35">
      <c r="A91" s="28"/>
      <c r="B91" s="28"/>
      <c r="C91" s="29"/>
      <c r="D91" s="28"/>
      <c r="E91" s="30"/>
      <c r="F91" s="30"/>
    </row>
    <row r="92" spans="1:6" s="24" customFormat="1" ht="13.65" customHeight="1" thickBot="1" x14ac:dyDescent="0.35">
      <c r="A92" s="37"/>
      <c r="B92" s="37"/>
      <c r="C92" s="38"/>
      <c r="D92" s="37"/>
      <c r="E92" s="40"/>
      <c r="F92" s="41"/>
    </row>
    <row r="93" spans="1:6" s="24" customFormat="1" ht="13.65" customHeight="1" thickBot="1" x14ac:dyDescent="0.35">
      <c r="A93" s="37"/>
      <c r="B93" s="37"/>
      <c r="C93" s="38"/>
      <c r="D93" s="37"/>
      <c r="E93" s="40"/>
      <c r="F93" s="41"/>
    </row>
    <row r="94" spans="1:6" s="24" customFormat="1" ht="13.65" customHeight="1" thickBot="1" x14ac:dyDescent="0.35">
      <c r="A94" s="37"/>
      <c r="B94" s="37"/>
      <c r="C94" s="38"/>
      <c r="D94" s="37"/>
      <c r="E94" s="40"/>
      <c r="F94" s="41"/>
    </row>
    <row r="95" spans="1:6" s="24" customFormat="1" ht="13.65" customHeight="1" thickBot="1" x14ac:dyDescent="0.35">
      <c r="A95" s="37"/>
      <c r="B95" s="37"/>
      <c r="C95" s="38"/>
      <c r="D95" s="37"/>
      <c r="E95" s="40"/>
      <c r="F95" s="41"/>
    </row>
    <row r="96" spans="1:6" s="24" customFormat="1" ht="13.65" customHeight="1" thickBot="1" x14ac:dyDescent="0.35">
      <c r="A96" s="37"/>
      <c r="B96" s="37"/>
      <c r="C96" s="38"/>
      <c r="D96" s="37"/>
      <c r="E96" s="40"/>
      <c r="F96" s="41"/>
    </row>
    <row r="97" spans="1:6" ht="13.65" customHeight="1" thickBot="1" x14ac:dyDescent="0.35">
      <c r="A97" s="5"/>
      <c r="B97" s="5"/>
      <c r="C97" s="6"/>
      <c r="D97" s="5"/>
      <c r="E97" s="7">
        <f>SUM(E86:E90)</f>
        <v>2900</v>
      </c>
      <c r="F97" s="8"/>
    </row>
    <row r="98" spans="1:6" s="24" customFormat="1" ht="13.65" customHeight="1" x14ac:dyDescent="0.3">
      <c r="A98" s="16" t="s">
        <v>125</v>
      </c>
      <c r="B98" s="16" t="s">
        <v>126</v>
      </c>
      <c r="C98" s="17" t="s">
        <v>127</v>
      </c>
      <c r="D98" s="16" t="s">
        <v>7</v>
      </c>
      <c r="E98" s="31">
        <v>20</v>
      </c>
      <c r="F98" s="31"/>
    </row>
    <row r="99" spans="1:6" s="24" customFormat="1" ht="13.65" customHeight="1" x14ac:dyDescent="0.3">
      <c r="A99" s="20" t="s">
        <v>125</v>
      </c>
      <c r="B99" s="20" t="s">
        <v>128</v>
      </c>
      <c r="C99" s="21" t="s">
        <v>129</v>
      </c>
      <c r="D99" s="20" t="s">
        <v>7</v>
      </c>
      <c r="E99" s="23">
        <v>18</v>
      </c>
      <c r="F99" s="23"/>
    </row>
    <row r="100" spans="1:6" s="24" customFormat="1" ht="13.65" customHeight="1" x14ac:dyDescent="0.3">
      <c r="A100" s="20" t="s">
        <v>125</v>
      </c>
      <c r="B100" s="20" t="s">
        <v>130</v>
      </c>
      <c r="C100" s="21" t="s">
        <v>131</v>
      </c>
      <c r="D100" s="20" t="s">
        <v>7</v>
      </c>
      <c r="E100" s="23">
        <v>44</v>
      </c>
      <c r="F100" s="23"/>
    </row>
    <row r="101" spans="1:6" s="24" customFormat="1" ht="13.65" customHeight="1" x14ac:dyDescent="0.3">
      <c r="A101" s="20" t="s">
        <v>125</v>
      </c>
      <c r="B101" s="20" t="s">
        <v>132</v>
      </c>
      <c r="C101" s="21" t="s">
        <v>133</v>
      </c>
      <c r="D101" s="20" t="s">
        <v>7</v>
      </c>
      <c r="E101" s="23">
        <v>10</v>
      </c>
      <c r="F101" s="23"/>
    </row>
    <row r="102" spans="1:6" s="24" customFormat="1" ht="13.65" customHeight="1" x14ac:dyDescent="0.3">
      <c r="A102" s="20" t="s">
        <v>125</v>
      </c>
      <c r="B102" s="20" t="s">
        <v>134</v>
      </c>
      <c r="C102" s="21" t="s">
        <v>135</v>
      </c>
      <c r="D102" s="20" t="s">
        <v>7</v>
      </c>
      <c r="E102" s="23">
        <v>7</v>
      </c>
      <c r="F102" s="23"/>
    </row>
    <row r="103" spans="1:6" s="24" customFormat="1" ht="13.65" customHeight="1" x14ac:dyDescent="0.3">
      <c r="A103" s="20" t="s">
        <v>125</v>
      </c>
      <c r="B103" s="20" t="s">
        <v>136</v>
      </c>
      <c r="C103" s="21" t="s">
        <v>137</v>
      </c>
      <c r="D103" s="20" t="s">
        <v>7</v>
      </c>
      <c r="E103" s="23">
        <v>28</v>
      </c>
      <c r="F103" s="23"/>
    </row>
    <row r="104" spans="1:6" s="24" customFormat="1" ht="13.65" customHeight="1" x14ac:dyDescent="0.3">
      <c r="A104" s="20" t="s">
        <v>125</v>
      </c>
      <c r="B104" s="20" t="s">
        <v>138</v>
      </c>
      <c r="C104" s="21" t="s">
        <v>139</v>
      </c>
      <c r="D104" s="20" t="s">
        <v>7</v>
      </c>
      <c r="E104" s="23">
        <v>55</v>
      </c>
      <c r="F104" s="23"/>
    </row>
    <row r="105" spans="1:6" s="24" customFormat="1" ht="13.65" customHeight="1" x14ac:dyDescent="0.3">
      <c r="A105" s="20" t="s">
        <v>125</v>
      </c>
      <c r="B105" s="20" t="s">
        <v>140</v>
      </c>
      <c r="C105" s="21" t="s">
        <v>141</v>
      </c>
      <c r="D105" s="20" t="s">
        <v>7</v>
      </c>
      <c r="E105" s="23">
        <v>110</v>
      </c>
      <c r="F105" s="23"/>
    </row>
    <row r="106" spans="1:6" s="24" customFormat="1" ht="13.65" customHeight="1" x14ac:dyDescent="0.3">
      <c r="A106" s="20" t="s">
        <v>125</v>
      </c>
      <c r="B106" s="20" t="s">
        <v>142</v>
      </c>
      <c r="C106" s="21" t="s">
        <v>143</v>
      </c>
      <c r="D106" s="20" t="s">
        <v>7</v>
      </c>
      <c r="E106" s="23">
        <v>10</v>
      </c>
      <c r="F106" s="23"/>
    </row>
    <row r="107" spans="1:6" s="24" customFormat="1" ht="13.65" customHeight="1" x14ac:dyDescent="0.3">
      <c r="A107" s="20" t="s">
        <v>125</v>
      </c>
      <c r="B107" s="20" t="s">
        <v>144</v>
      </c>
      <c r="C107" s="21" t="s">
        <v>145</v>
      </c>
      <c r="D107" s="20" t="s">
        <v>7</v>
      </c>
      <c r="E107" s="23">
        <v>10</v>
      </c>
      <c r="F107" s="23"/>
    </row>
    <row r="108" spans="1:6" s="24" customFormat="1" ht="13.65" customHeight="1" x14ac:dyDescent="0.3">
      <c r="A108" s="20" t="s">
        <v>125</v>
      </c>
      <c r="B108" s="20" t="s">
        <v>146</v>
      </c>
      <c r="C108" s="21" t="s">
        <v>147</v>
      </c>
      <c r="D108" s="20" t="s">
        <v>7</v>
      </c>
      <c r="E108" s="23">
        <v>18</v>
      </c>
      <c r="F108" s="23"/>
    </row>
    <row r="109" spans="1:6" s="24" customFormat="1" ht="13.65" customHeight="1" x14ac:dyDescent="0.3">
      <c r="A109" s="20" t="s">
        <v>125</v>
      </c>
      <c r="B109" s="20" t="s">
        <v>148</v>
      </c>
      <c r="C109" s="21" t="s">
        <v>149</v>
      </c>
      <c r="D109" s="20" t="s">
        <v>7</v>
      </c>
      <c r="E109" s="23">
        <v>10</v>
      </c>
      <c r="F109" s="23"/>
    </row>
    <row r="110" spans="1:6" s="24" customFormat="1" ht="13.65" customHeight="1" x14ac:dyDescent="0.3">
      <c r="A110" s="20" t="s">
        <v>125</v>
      </c>
      <c r="B110" s="20" t="s">
        <v>150</v>
      </c>
      <c r="C110" s="21" t="s">
        <v>151</v>
      </c>
      <c r="D110" s="20" t="s">
        <v>7</v>
      </c>
      <c r="E110" s="23">
        <v>0</v>
      </c>
      <c r="F110" s="23"/>
    </row>
    <row r="111" spans="1:6" s="24" customFormat="1" ht="13.65" customHeight="1" x14ac:dyDescent="0.3">
      <c r="A111" s="20" t="s">
        <v>125</v>
      </c>
      <c r="B111" s="20" t="s">
        <v>152</v>
      </c>
      <c r="C111" s="21" t="s">
        <v>153</v>
      </c>
      <c r="D111" s="20" t="s">
        <v>7</v>
      </c>
      <c r="E111" s="23">
        <v>0</v>
      </c>
      <c r="F111" s="23"/>
    </row>
    <row r="112" spans="1:6" s="24" customFormat="1" ht="13.65" customHeight="1" x14ac:dyDescent="0.3">
      <c r="A112" s="20" t="s">
        <v>125</v>
      </c>
      <c r="B112" s="20" t="s">
        <v>154</v>
      </c>
      <c r="C112" s="21" t="s">
        <v>155</v>
      </c>
      <c r="D112" s="20" t="s">
        <v>7</v>
      </c>
      <c r="E112" s="23">
        <v>0</v>
      </c>
      <c r="F112" s="23"/>
    </row>
    <row r="113" spans="1:6" s="24" customFormat="1" ht="13.65" customHeight="1" x14ac:dyDescent="0.3">
      <c r="A113" s="20" t="s">
        <v>125</v>
      </c>
      <c r="B113" s="20" t="s">
        <v>156</v>
      </c>
      <c r="C113" s="21" t="s">
        <v>157</v>
      </c>
      <c r="D113" s="20" t="s">
        <v>7</v>
      </c>
      <c r="E113" s="23">
        <v>0</v>
      </c>
      <c r="F113" s="23"/>
    </row>
    <row r="114" spans="1:6" s="24" customFormat="1" ht="13.65" customHeight="1" x14ac:dyDescent="0.3">
      <c r="A114" s="20" t="s">
        <v>125</v>
      </c>
      <c r="B114" s="20" t="s">
        <v>158</v>
      </c>
      <c r="C114" s="21" t="s">
        <v>159</v>
      </c>
      <c r="D114" s="20" t="s">
        <v>7</v>
      </c>
      <c r="E114" s="23">
        <v>0</v>
      </c>
      <c r="F114" s="23"/>
    </row>
    <row r="115" spans="1:6" s="24" customFormat="1" ht="13.65" customHeight="1" x14ac:dyDescent="0.3">
      <c r="A115" s="20" t="s">
        <v>125</v>
      </c>
      <c r="B115" s="20" t="s">
        <v>160</v>
      </c>
      <c r="C115" s="21" t="s">
        <v>161</v>
      </c>
      <c r="D115" s="20" t="s">
        <v>7</v>
      </c>
      <c r="E115" s="23">
        <v>0</v>
      </c>
      <c r="F115" s="23"/>
    </row>
    <row r="116" spans="1:6" s="24" customFormat="1" ht="13.65" customHeight="1" x14ac:dyDescent="0.3">
      <c r="A116" s="20" t="s">
        <v>125</v>
      </c>
      <c r="B116" s="20" t="s">
        <v>162</v>
      </c>
      <c r="C116" s="21" t="s">
        <v>163</v>
      </c>
      <c r="D116" s="20" t="s">
        <v>7</v>
      </c>
      <c r="E116" s="23">
        <v>0</v>
      </c>
      <c r="F116" s="23"/>
    </row>
    <row r="117" spans="1:6" s="24" customFormat="1" ht="13.65" customHeight="1" x14ac:dyDescent="0.3">
      <c r="A117" s="20" t="s">
        <v>125</v>
      </c>
      <c r="B117" s="20" t="s">
        <v>164</v>
      </c>
      <c r="C117" s="21" t="s">
        <v>165</v>
      </c>
      <c r="D117" s="20" t="s">
        <v>7</v>
      </c>
      <c r="E117" s="23">
        <v>0</v>
      </c>
      <c r="F117" s="23"/>
    </row>
    <row r="118" spans="1:6" s="24" customFormat="1" ht="13.65" customHeight="1" x14ac:dyDescent="0.3">
      <c r="A118" s="20" t="s">
        <v>125</v>
      </c>
      <c r="B118" s="20" t="s">
        <v>166</v>
      </c>
      <c r="C118" s="21" t="s">
        <v>167</v>
      </c>
      <c r="D118" s="20" t="s">
        <v>7</v>
      </c>
      <c r="E118" s="23">
        <v>0</v>
      </c>
      <c r="F118" s="23"/>
    </row>
    <row r="119" spans="1:6" s="24" customFormat="1" ht="13.65" customHeight="1" x14ac:dyDescent="0.3">
      <c r="A119" s="20" t="s">
        <v>125</v>
      </c>
      <c r="B119" s="26">
        <v>2502535</v>
      </c>
      <c r="C119" s="27" t="s">
        <v>168</v>
      </c>
      <c r="D119" s="20" t="s">
        <v>7</v>
      </c>
      <c r="E119" s="25">
        <v>10</v>
      </c>
      <c r="F119" s="25"/>
    </row>
    <row r="120" spans="1:6" s="24" customFormat="1" ht="13.65" customHeight="1" thickBot="1" x14ac:dyDescent="0.35">
      <c r="A120" s="20" t="s">
        <v>125</v>
      </c>
      <c r="B120" s="28" t="s">
        <v>169</v>
      </c>
      <c r="C120" s="29" t="s">
        <v>170</v>
      </c>
      <c r="D120" s="20" t="s">
        <v>7</v>
      </c>
      <c r="E120" s="30">
        <v>10</v>
      </c>
      <c r="F120" s="30"/>
    </row>
    <row r="121" spans="1:6" ht="13.65" customHeight="1" thickBot="1" x14ac:dyDescent="0.35">
      <c r="A121" s="1"/>
      <c r="B121" s="1"/>
      <c r="C121" s="13"/>
      <c r="D121" s="1"/>
      <c r="E121" s="14">
        <f>SUM(E98:E120)</f>
        <v>360</v>
      </c>
      <c r="F121" s="15"/>
    </row>
    <row r="122" spans="1:6" s="24" customFormat="1" ht="13.65" customHeight="1" x14ac:dyDescent="0.3">
      <c r="A122" s="16" t="s">
        <v>171</v>
      </c>
      <c r="B122" s="16" t="s">
        <v>172</v>
      </c>
      <c r="C122" s="17" t="s">
        <v>173</v>
      </c>
      <c r="D122" s="16" t="s">
        <v>174</v>
      </c>
      <c r="E122" s="31">
        <v>0</v>
      </c>
      <c r="F122" s="31"/>
    </row>
    <row r="123" spans="1:6" s="24" customFormat="1" ht="13.65" customHeight="1" x14ac:dyDescent="0.3">
      <c r="A123" s="20" t="s">
        <v>175</v>
      </c>
      <c r="B123" s="20">
        <v>50736306</v>
      </c>
      <c r="C123" s="21" t="s">
        <v>176</v>
      </c>
      <c r="D123" s="20" t="s">
        <v>177</v>
      </c>
      <c r="E123" s="23">
        <v>0</v>
      </c>
      <c r="F123" s="23"/>
    </row>
    <row r="124" spans="1:6" s="24" customFormat="1" ht="13.65" customHeight="1" x14ac:dyDescent="0.3">
      <c r="A124" s="20" t="s">
        <v>175</v>
      </c>
      <c r="B124" s="20">
        <v>56553321</v>
      </c>
      <c r="C124" s="21" t="s">
        <v>178</v>
      </c>
      <c r="D124" s="20" t="s">
        <v>177</v>
      </c>
      <c r="E124" s="20">
        <v>0</v>
      </c>
      <c r="F124" s="20"/>
    </row>
    <row r="125" spans="1:6" s="24" customFormat="1" ht="13.65" customHeight="1" x14ac:dyDescent="0.3">
      <c r="A125" s="20" t="s">
        <v>175</v>
      </c>
      <c r="B125" s="20">
        <v>51715481</v>
      </c>
      <c r="C125" s="21" t="s">
        <v>179</v>
      </c>
      <c r="D125" s="20" t="s">
        <v>177</v>
      </c>
      <c r="E125" s="23">
        <v>0</v>
      </c>
      <c r="F125" s="23"/>
    </row>
    <row r="126" spans="1:6" s="24" customFormat="1" ht="13.65" customHeight="1" x14ac:dyDescent="0.3">
      <c r="A126" s="20" t="s">
        <v>175</v>
      </c>
      <c r="B126" s="20">
        <v>486308</v>
      </c>
      <c r="C126" s="21" t="s">
        <v>180</v>
      </c>
      <c r="D126" s="20" t="s">
        <v>181</v>
      </c>
      <c r="E126" s="23">
        <v>0</v>
      </c>
      <c r="F126" s="23"/>
    </row>
    <row r="127" spans="1:6" ht="13.65" customHeight="1" thickBot="1" x14ac:dyDescent="0.35">
      <c r="A127" s="9"/>
      <c r="B127" s="9"/>
      <c r="C127" s="10"/>
      <c r="D127" s="9"/>
      <c r="E127" s="11">
        <v>0</v>
      </c>
      <c r="F127" s="11"/>
    </row>
  </sheetData>
  <protectedRanges>
    <protectedRange sqref="E2:F2 F80" name="Range2"/>
    <protectedRange sqref="E2:F2 F80" name="Range1"/>
    <protectedRange sqref="E1:F1" name="Range2_1"/>
    <protectedRange sqref="E1:F1" name="Range1_1"/>
    <protectedRange sqref="E80 E39:F39" name="Range2_3"/>
    <protectedRange sqref="E80 E39:F39" name="Range1_3"/>
  </protectedRanges>
  <conditionalFormatting sqref="C4">
    <cfRule type="duplicateValues" dxfId="87" priority="5"/>
  </conditionalFormatting>
  <conditionalFormatting sqref="C6">
    <cfRule type="duplicateValues" dxfId="86" priority="4"/>
  </conditionalFormatting>
  <conditionalFormatting sqref="C23:C24">
    <cfRule type="duplicateValues" dxfId="85" priority="11"/>
  </conditionalFormatting>
  <conditionalFormatting sqref="C26">
    <cfRule type="duplicateValues" dxfId="84" priority="10"/>
  </conditionalFormatting>
  <conditionalFormatting sqref="C29">
    <cfRule type="duplicateValues" dxfId="83" priority="12"/>
  </conditionalFormatting>
  <conditionalFormatting sqref="C30 C25 C27:C28 C3 C7:C13 C15:C22">
    <cfRule type="duplicateValues" dxfId="82" priority="16"/>
  </conditionalFormatting>
  <conditionalFormatting sqref="C31:C34 C38">
    <cfRule type="duplicateValues" dxfId="81" priority="15"/>
  </conditionalFormatting>
  <conditionalFormatting sqref="C35:C37">
    <cfRule type="duplicateValues" dxfId="80" priority="7"/>
  </conditionalFormatting>
  <conditionalFormatting sqref="E2:F39">
    <cfRule type="cellIs" dxfId="79" priority="2" stopIfTrue="1" operator="lessThan">
      <formula>0</formula>
    </cfRule>
  </conditionalFormatting>
  <conditionalFormatting sqref="E41:F123">
    <cfRule type="cellIs" dxfId="78" priority="1" stopIfTrue="1" operator="lessThan">
      <formula>0</formula>
    </cfRule>
  </conditionalFormatting>
  <conditionalFormatting sqref="E125:F127">
    <cfRule type="cellIs" dxfId="77" priority="8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CBA9-A4E3-4531-AC4F-257887782690}">
  <dimension ref="A1:F146"/>
  <sheetViews>
    <sheetView topLeftCell="A63" zoomScale="110" zoomScaleNormal="110" workbookViewId="0">
      <selection activeCell="J142" sqref="J142"/>
    </sheetView>
  </sheetViews>
  <sheetFormatPr defaultRowHeight="14.4" x14ac:dyDescent="0.3"/>
  <cols>
    <col min="1" max="1" width="12" bestFit="1" customWidth="1"/>
    <col min="2" max="2" width="24.5546875" bestFit="1" customWidth="1"/>
    <col min="3" max="3" width="61.5546875" customWidth="1"/>
    <col min="4" max="4" width="6.109375" bestFit="1" customWidth="1"/>
    <col min="5" max="5" width="9.88671875" customWidth="1"/>
    <col min="6" max="6" width="14.5546875" customWidth="1"/>
  </cols>
  <sheetData>
    <row r="1" spans="1:6" s="36" customFormat="1" ht="25.65" customHeight="1" thickBot="1" x14ac:dyDescent="0.35">
      <c r="A1" s="35" t="s">
        <v>0</v>
      </c>
      <c r="B1" s="35" t="s">
        <v>1</v>
      </c>
      <c r="C1" s="35" t="s">
        <v>2</v>
      </c>
      <c r="D1" s="35" t="s">
        <v>3</v>
      </c>
      <c r="E1" s="35" t="s">
        <v>224</v>
      </c>
      <c r="F1" s="35" t="s">
        <v>183</v>
      </c>
    </row>
    <row r="2" spans="1:6" ht="10.5" customHeight="1" thickBot="1" x14ac:dyDescent="0.35">
      <c r="A2" s="1"/>
      <c r="B2" s="1"/>
      <c r="C2" s="2"/>
      <c r="D2" s="3"/>
      <c r="E2" s="4"/>
      <c r="F2" s="4"/>
    </row>
    <row r="3" spans="1:6" ht="13.65" customHeight="1" x14ac:dyDescent="0.3">
      <c r="A3" s="16" t="s">
        <v>4</v>
      </c>
      <c r="B3" s="16" t="s">
        <v>5</v>
      </c>
      <c r="C3" s="17" t="s">
        <v>6</v>
      </c>
      <c r="D3" s="16" t="s">
        <v>7</v>
      </c>
      <c r="E3" s="19">
        <v>26</v>
      </c>
      <c r="F3" s="19"/>
    </row>
    <row r="4" spans="1:6" ht="13.65" customHeight="1" x14ac:dyDescent="0.3">
      <c r="A4" s="20" t="s">
        <v>4</v>
      </c>
      <c r="B4" s="20" t="s">
        <v>206</v>
      </c>
      <c r="C4" s="21" t="s">
        <v>207</v>
      </c>
      <c r="D4" s="20" t="s">
        <v>7</v>
      </c>
      <c r="E4" s="23">
        <v>15</v>
      </c>
      <c r="F4" s="23"/>
    </row>
    <row r="5" spans="1:6" s="24" customFormat="1" ht="13.65" customHeight="1" x14ac:dyDescent="0.3">
      <c r="A5" s="20" t="s">
        <v>4</v>
      </c>
      <c r="B5" s="20" t="s">
        <v>197</v>
      </c>
      <c r="C5" s="21" t="s">
        <v>198</v>
      </c>
      <c r="D5" s="20" t="s">
        <v>7</v>
      </c>
      <c r="E5" s="23">
        <v>39</v>
      </c>
      <c r="F5" s="23"/>
    </row>
    <row r="6" spans="1:6" ht="13.65" customHeight="1" x14ac:dyDescent="0.3">
      <c r="A6" s="20" t="s">
        <v>4</v>
      </c>
      <c r="B6" s="20" t="s">
        <v>193</v>
      </c>
      <c r="C6" s="21" t="s">
        <v>194</v>
      </c>
      <c r="D6" s="20" t="s">
        <v>7</v>
      </c>
      <c r="E6" s="23">
        <v>13</v>
      </c>
      <c r="F6" s="23"/>
    </row>
    <row r="7" spans="1:6" ht="13.65" customHeight="1" x14ac:dyDescent="0.3">
      <c r="A7" s="20" t="s">
        <v>4</v>
      </c>
      <c r="B7" s="20" t="s">
        <v>8</v>
      </c>
      <c r="C7" s="21" t="s">
        <v>9</v>
      </c>
      <c r="D7" s="20" t="s">
        <v>7</v>
      </c>
      <c r="E7" s="22">
        <v>55</v>
      </c>
      <c r="F7" s="22"/>
    </row>
    <row r="8" spans="1:6" ht="13.65" customHeight="1" x14ac:dyDescent="0.3">
      <c r="A8" s="20" t="s">
        <v>4</v>
      </c>
      <c r="B8" s="20" t="s">
        <v>10</v>
      </c>
      <c r="C8" s="21" t="s">
        <v>11</v>
      </c>
      <c r="D8" s="20" t="s">
        <v>7</v>
      </c>
      <c r="E8" s="22">
        <v>85</v>
      </c>
      <c r="F8" s="22"/>
    </row>
    <row r="9" spans="1:6" ht="13.65" customHeight="1" x14ac:dyDescent="0.3">
      <c r="A9" s="20" t="s">
        <v>4</v>
      </c>
      <c r="B9" s="20" t="s">
        <v>12</v>
      </c>
      <c r="C9" s="21" t="s">
        <v>13</v>
      </c>
      <c r="D9" s="20" t="s">
        <v>7</v>
      </c>
      <c r="E9" s="22">
        <v>330</v>
      </c>
      <c r="F9" s="22"/>
    </row>
    <row r="10" spans="1:6" ht="13.65" customHeight="1" x14ac:dyDescent="0.3">
      <c r="A10" s="20" t="s">
        <v>4</v>
      </c>
      <c r="B10" s="20" t="s">
        <v>14</v>
      </c>
      <c r="C10" s="21" t="s">
        <v>15</v>
      </c>
      <c r="D10" s="20" t="s">
        <v>7</v>
      </c>
      <c r="E10" s="22">
        <v>0</v>
      </c>
      <c r="F10" s="22"/>
    </row>
    <row r="11" spans="1:6" ht="13.65" customHeight="1" x14ac:dyDescent="0.3">
      <c r="A11" s="20" t="s">
        <v>4</v>
      </c>
      <c r="B11" s="20" t="s">
        <v>16</v>
      </c>
      <c r="C11" s="21" t="s">
        <v>17</v>
      </c>
      <c r="D11" s="20" t="s">
        <v>7</v>
      </c>
      <c r="E11" s="22">
        <v>30</v>
      </c>
      <c r="F11" s="22"/>
    </row>
    <row r="12" spans="1:6" ht="13.65" customHeight="1" x14ac:dyDescent="0.3">
      <c r="A12" s="20" t="s">
        <v>4</v>
      </c>
      <c r="B12" s="20" t="s">
        <v>18</v>
      </c>
      <c r="C12" s="21" t="s">
        <v>19</v>
      </c>
      <c r="D12" s="20" t="s">
        <v>7</v>
      </c>
      <c r="E12" s="18">
        <v>38</v>
      </c>
      <c r="F12" s="18"/>
    </row>
    <row r="13" spans="1:6" ht="13.65" customHeight="1" x14ac:dyDescent="0.3">
      <c r="A13" s="20" t="s">
        <v>4</v>
      </c>
      <c r="B13" s="20" t="s">
        <v>20</v>
      </c>
      <c r="C13" s="21" t="s">
        <v>21</v>
      </c>
      <c r="D13" s="20" t="s">
        <v>7</v>
      </c>
      <c r="E13" s="18">
        <v>3</v>
      </c>
      <c r="F13" s="18"/>
    </row>
    <row r="14" spans="1:6" s="24" customFormat="1" ht="13.65" customHeight="1" x14ac:dyDescent="0.3">
      <c r="A14" s="20" t="s">
        <v>4</v>
      </c>
      <c r="B14" s="20" t="s">
        <v>204</v>
      </c>
      <c r="C14" s="21" t="s">
        <v>205</v>
      </c>
      <c r="D14" s="20" t="s">
        <v>7</v>
      </c>
      <c r="E14" s="23">
        <v>70</v>
      </c>
      <c r="F14" s="23"/>
    </row>
    <row r="15" spans="1:6" ht="13.65" customHeight="1" x14ac:dyDescent="0.3">
      <c r="A15" s="32" t="s">
        <v>4</v>
      </c>
      <c r="B15" s="32" t="s">
        <v>22</v>
      </c>
      <c r="C15" s="33" t="s">
        <v>23</v>
      </c>
      <c r="D15" s="32" t="s">
        <v>7</v>
      </c>
      <c r="E15" s="48">
        <v>81</v>
      </c>
      <c r="F15" s="49"/>
    </row>
    <row r="16" spans="1:6" ht="13.65" customHeight="1" x14ac:dyDescent="0.3">
      <c r="A16" s="20" t="s">
        <v>4</v>
      </c>
      <c r="B16" s="20" t="s">
        <v>24</v>
      </c>
      <c r="C16" s="21" t="s">
        <v>25</v>
      </c>
      <c r="D16" s="20" t="s">
        <v>7</v>
      </c>
      <c r="E16" s="18">
        <v>27</v>
      </c>
      <c r="F16" s="22"/>
    </row>
    <row r="17" spans="1:6" ht="13.65" customHeight="1" x14ac:dyDescent="0.3">
      <c r="A17" s="20" t="s">
        <v>4</v>
      </c>
      <c r="B17" s="20" t="s">
        <v>26</v>
      </c>
      <c r="C17" s="21" t="s">
        <v>27</v>
      </c>
      <c r="D17" s="20" t="s">
        <v>7</v>
      </c>
      <c r="E17" s="22">
        <v>75</v>
      </c>
      <c r="F17" s="22"/>
    </row>
    <row r="18" spans="1:6" ht="13.65" customHeight="1" x14ac:dyDescent="0.3">
      <c r="A18" s="20" t="s">
        <v>4</v>
      </c>
      <c r="B18" s="20" t="s">
        <v>28</v>
      </c>
      <c r="C18" s="21" t="s">
        <v>29</v>
      </c>
      <c r="D18" s="20" t="s">
        <v>7</v>
      </c>
      <c r="E18" s="22">
        <v>202</v>
      </c>
      <c r="F18" s="22"/>
    </row>
    <row r="19" spans="1:6" ht="13.65" customHeight="1" x14ac:dyDescent="0.3">
      <c r="A19" s="20" t="s">
        <v>4</v>
      </c>
      <c r="B19" s="20" t="s">
        <v>30</v>
      </c>
      <c r="C19" s="21" t="s">
        <v>31</v>
      </c>
      <c r="D19" s="20" t="s">
        <v>7</v>
      </c>
      <c r="E19" s="19">
        <v>59</v>
      </c>
      <c r="F19" s="19"/>
    </row>
    <row r="20" spans="1:6" ht="13.65" customHeight="1" x14ac:dyDescent="0.3">
      <c r="A20" s="20" t="s">
        <v>4</v>
      </c>
      <c r="B20" s="20" t="s">
        <v>32</v>
      </c>
      <c r="C20" s="21" t="s">
        <v>33</v>
      </c>
      <c r="D20" s="20" t="s">
        <v>7</v>
      </c>
      <c r="E20" s="19">
        <v>36</v>
      </c>
      <c r="F20" s="19"/>
    </row>
    <row r="21" spans="1:6" ht="13.65" customHeight="1" x14ac:dyDescent="0.3">
      <c r="A21" s="20" t="s">
        <v>4</v>
      </c>
      <c r="B21" s="20" t="s">
        <v>34</v>
      </c>
      <c r="C21" s="21" t="s">
        <v>35</v>
      </c>
      <c r="D21" s="20" t="s">
        <v>7</v>
      </c>
      <c r="E21" s="19">
        <v>7</v>
      </c>
      <c r="F21" s="19"/>
    </row>
    <row r="22" spans="1:6" ht="13.65" customHeight="1" x14ac:dyDescent="0.3">
      <c r="A22" s="20" t="s">
        <v>4</v>
      </c>
      <c r="B22" s="20" t="s">
        <v>36</v>
      </c>
      <c r="C22" s="21" t="s">
        <v>37</v>
      </c>
      <c r="D22" s="20" t="s">
        <v>7</v>
      </c>
      <c r="E22" s="19">
        <v>6</v>
      </c>
      <c r="F22" s="19"/>
    </row>
    <row r="23" spans="1:6" ht="13.65" customHeight="1" x14ac:dyDescent="0.3">
      <c r="A23" s="20"/>
      <c r="B23" s="20"/>
      <c r="C23" s="21"/>
      <c r="D23" s="20"/>
      <c r="E23" s="23"/>
      <c r="F23" s="23"/>
    </row>
    <row r="24" spans="1:6" ht="13.65" customHeight="1" x14ac:dyDescent="0.3">
      <c r="A24" s="20" t="s">
        <v>4</v>
      </c>
      <c r="B24" s="20" t="s">
        <v>38</v>
      </c>
      <c r="C24" s="21" t="s">
        <v>39</v>
      </c>
      <c r="D24" s="20" t="s">
        <v>7</v>
      </c>
      <c r="E24" s="23">
        <v>46</v>
      </c>
      <c r="F24" s="23"/>
    </row>
    <row r="25" spans="1:6" ht="13.65" customHeight="1" x14ac:dyDescent="0.3">
      <c r="A25" s="20" t="s">
        <v>4</v>
      </c>
      <c r="B25" s="20" t="s">
        <v>40</v>
      </c>
      <c r="C25" s="21" t="s">
        <v>41</v>
      </c>
      <c r="D25" s="20" t="s">
        <v>7</v>
      </c>
      <c r="E25" s="23">
        <v>7</v>
      </c>
      <c r="F25" s="23"/>
    </row>
    <row r="26" spans="1:6" ht="13.65" customHeight="1" x14ac:dyDescent="0.3">
      <c r="A26" s="20"/>
      <c r="B26" s="20"/>
      <c r="C26" s="21"/>
      <c r="D26" s="20"/>
      <c r="E26" s="23"/>
      <c r="F26" s="23"/>
    </row>
    <row r="27" spans="1:6" ht="13.65" customHeight="1" x14ac:dyDescent="0.3">
      <c r="A27" s="20" t="s">
        <v>42</v>
      </c>
      <c r="B27" s="20" t="s">
        <v>43</v>
      </c>
      <c r="C27" s="21" t="s">
        <v>44</v>
      </c>
      <c r="D27" s="20" t="s">
        <v>7</v>
      </c>
      <c r="E27" s="23">
        <v>26</v>
      </c>
      <c r="F27" s="23"/>
    </row>
    <row r="28" spans="1:6" ht="13.65" customHeight="1" x14ac:dyDescent="0.3">
      <c r="A28" s="20" t="s">
        <v>42</v>
      </c>
      <c r="B28" s="20" t="s">
        <v>45</v>
      </c>
      <c r="C28" s="21" t="s">
        <v>46</v>
      </c>
      <c r="D28" s="20" t="s">
        <v>7</v>
      </c>
      <c r="E28" s="23">
        <v>0</v>
      </c>
      <c r="F28" s="23"/>
    </row>
    <row r="29" spans="1:6" ht="13.65" customHeight="1" x14ac:dyDescent="0.3">
      <c r="A29" s="20"/>
      <c r="B29" s="20"/>
      <c r="C29" s="21"/>
      <c r="D29" s="20"/>
      <c r="E29" s="23"/>
      <c r="F29" s="23"/>
    </row>
    <row r="30" spans="1:6" ht="13.65" customHeight="1" x14ac:dyDescent="0.3">
      <c r="A30" s="20" t="s">
        <v>47</v>
      </c>
      <c r="B30" s="20" t="s">
        <v>48</v>
      </c>
      <c r="C30" s="21" t="s">
        <v>49</v>
      </c>
      <c r="D30" s="20" t="s">
        <v>7</v>
      </c>
      <c r="E30" s="23">
        <v>60</v>
      </c>
      <c r="F30" s="23"/>
    </row>
    <row r="31" spans="1:6" ht="13.65" customHeight="1" x14ac:dyDescent="0.3">
      <c r="A31" s="20" t="s">
        <v>47</v>
      </c>
      <c r="B31" s="20" t="s">
        <v>50</v>
      </c>
      <c r="C31" s="21" t="s">
        <v>51</v>
      </c>
      <c r="D31" s="20" t="s">
        <v>7</v>
      </c>
      <c r="E31" s="23">
        <v>60</v>
      </c>
      <c r="F31" s="23"/>
    </row>
    <row r="32" spans="1:6" ht="13.65" customHeight="1" x14ac:dyDescent="0.3">
      <c r="A32" s="20" t="s">
        <v>47</v>
      </c>
      <c r="B32" s="20" t="s">
        <v>52</v>
      </c>
      <c r="C32" s="21" t="s">
        <v>185</v>
      </c>
      <c r="D32" s="20" t="s">
        <v>7</v>
      </c>
      <c r="E32" s="23"/>
      <c r="F32" s="23"/>
    </row>
    <row r="33" spans="1:6" ht="13.65" customHeight="1" x14ac:dyDescent="0.3">
      <c r="A33" s="20" t="s">
        <v>47</v>
      </c>
      <c r="B33" s="20" t="s">
        <v>54</v>
      </c>
      <c r="C33" s="21" t="s">
        <v>55</v>
      </c>
      <c r="D33" s="20" t="s">
        <v>7</v>
      </c>
      <c r="E33" s="23">
        <v>48</v>
      </c>
      <c r="F33" s="23"/>
    </row>
    <row r="34" spans="1:6" ht="13.65" customHeight="1" x14ac:dyDescent="0.3">
      <c r="A34" s="20" t="s">
        <v>47</v>
      </c>
      <c r="B34" s="20" t="s">
        <v>56</v>
      </c>
      <c r="C34" s="21" t="s">
        <v>57</v>
      </c>
      <c r="D34" s="20" t="s">
        <v>7</v>
      </c>
      <c r="E34" s="23"/>
      <c r="F34" s="23"/>
    </row>
    <row r="35" spans="1:6" ht="13.65" customHeight="1" x14ac:dyDescent="0.3">
      <c r="A35" s="20" t="s">
        <v>4</v>
      </c>
      <c r="B35" s="20">
        <v>33191234</v>
      </c>
      <c r="C35" s="21" t="s">
        <v>185</v>
      </c>
      <c r="D35" s="20" t="s">
        <v>7</v>
      </c>
      <c r="E35" s="23">
        <v>30</v>
      </c>
      <c r="F35" s="23"/>
    </row>
    <row r="36" spans="1:6" ht="13.65" customHeight="1" x14ac:dyDescent="0.3">
      <c r="A36" s="20" t="s">
        <v>4</v>
      </c>
      <c r="B36" s="20">
        <v>33191232</v>
      </c>
      <c r="C36" s="130" t="s">
        <v>227</v>
      </c>
      <c r="D36" s="20" t="s">
        <v>7</v>
      </c>
      <c r="E36" s="23">
        <v>45</v>
      </c>
      <c r="F36" s="23"/>
    </row>
    <row r="37" spans="1:6" ht="13.65" customHeight="1" x14ac:dyDescent="0.3">
      <c r="A37" s="20" t="s">
        <v>4</v>
      </c>
      <c r="B37" s="20">
        <v>33191231</v>
      </c>
      <c r="C37" s="130" t="s">
        <v>228</v>
      </c>
      <c r="D37" s="20" t="s">
        <v>7</v>
      </c>
      <c r="E37" s="23">
        <v>41</v>
      </c>
      <c r="F37" s="23"/>
    </row>
    <row r="38" spans="1:6" ht="13.65" customHeight="1" x14ac:dyDescent="0.3">
      <c r="A38" s="20"/>
      <c r="B38" s="20"/>
      <c r="C38" s="133"/>
      <c r="D38" s="135"/>
      <c r="E38" s="136"/>
      <c r="F38" s="134"/>
    </row>
    <row r="39" spans="1:6" ht="13.65" customHeight="1" thickBot="1" x14ac:dyDescent="0.35">
      <c r="A39" s="5"/>
      <c r="B39" s="5"/>
      <c r="C39" s="6"/>
      <c r="D39" s="5"/>
      <c r="E39" s="7">
        <f>SUM(E3:E38)</f>
        <v>1560</v>
      </c>
      <c r="F39" s="8"/>
    </row>
    <row r="40" spans="1:6" s="24" customFormat="1" ht="13.65" customHeight="1" x14ac:dyDescent="0.3">
      <c r="A40" s="16" t="s">
        <v>4</v>
      </c>
      <c r="B40" s="16">
        <v>7358771515</v>
      </c>
      <c r="C40" s="17" t="s">
        <v>58</v>
      </c>
      <c r="D40" s="16" t="s">
        <v>7</v>
      </c>
      <c r="E40" s="20">
        <v>0</v>
      </c>
      <c r="F40" s="20"/>
    </row>
    <row r="41" spans="1:6" s="24" customFormat="1" ht="13.65" customHeight="1" x14ac:dyDescent="0.3">
      <c r="A41" s="20" t="s">
        <v>4</v>
      </c>
      <c r="B41" s="20">
        <v>7378761826</v>
      </c>
      <c r="C41" s="21" t="s">
        <v>59</v>
      </c>
      <c r="D41" s="20" t="s">
        <v>7</v>
      </c>
      <c r="E41" s="23">
        <v>0</v>
      </c>
      <c r="F41" s="23"/>
    </row>
    <row r="42" spans="1:6" s="24" customFormat="1" ht="13.65" customHeight="1" x14ac:dyDescent="0.3">
      <c r="A42" s="20" t="s">
        <v>4</v>
      </c>
      <c r="B42" s="20" t="s">
        <v>60</v>
      </c>
      <c r="C42" s="21" t="s">
        <v>61</v>
      </c>
      <c r="D42" s="20" t="s">
        <v>7</v>
      </c>
      <c r="E42" s="23">
        <v>0</v>
      </c>
      <c r="F42" s="23"/>
    </row>
    <row r="43" spans="1:6" s="24" customFormat="1" ht="13.65" customHeight="1" x14ac:dyDescent="0.3">
      <c r="A43" s="20" t="s">
        <v>4</v>
      </c>
      <c r="B43" s="20" t="s">
        <v>62</v>
      </c>
      <c r="C43" s="21" t="s">
        <v>63</v>
      </c>
      <c r="D43" s="20" t="s">
        <v>7</v>
      </c>
      <c r="E43" s="23">
        <v>0</v>
      </c>
      <c r="F43" s="23"/>
    </row>
    <row r="44" spans="1:6" s="24" customFormat="1" ht="13.65" customHeight="1" x14ac:dyDescent="0.3">
      <c r="A44" s="20" t="s">
        <v>4</v>
      </c>
      <c r="B44" s="20" t="s">
        <v>64</v>
      </c>
      <c r="C44" s="21" t="s">
        <v>65</v>
      </c>
      <c r="D44" s="20" t="s">
        <v>7</v>
      </c>
      <c r="E44" s="23">
        <v>0</v>
      </c>
      <c r="F44" s="23"/>
    </row>
    <row r="45" spans="1:6" s="24" customFormat="1" ht="13.65" customHeight="1" x14ac:dyDescent="0.3">
      <c r="A45" s="20" t="s">
        <v>4</v>
      </c>
      <c r="B45" s="20" t="s">
        <v>66</v>
      </c>
      <c r="C45" s="21" t="s">
        <v>67</v>
      </c>
      <c r="D45" s="20" t="s">
        <v>7</v>
      </c>
      <c r="E45" s="23">
        <v>0</v>
      </c>
      <c r="F45" s="23"/>
    </row>
    <row r="46" spans="1:6" s="24" customFormat="1" ht="13.65" customHeight="1" x14ac:dyDescent="0.3">
      <c r="A46" s="20" t="s">
        <v>4</v>
      </c>
      <c r="B46" s="20" t="s">
        <v>68</v>
      </c>
      <c r="C46" s="21" t="s">
        <v>69</v>
      </c>
      <c r="D46" s="20" t="s">
        <v>7</v>
      </c>
      <c r="E46" s="23">
        <v>0</v>
      </c>
      <c r="F46" s="23"/>
    </row>
    <row r="47" spans="1:6" s="24" customFormat="1" ht="13.65" customHeight="1" x14ac:dyDescent="0.3">
      <c r="A47" s="20" t="s">
        <v>4</v>
      </c>
      <c r="B47" s="20" t="s">
        <v>70</v>
      </c>
      <c r="C47" s="21" t="s">
        <v>69</v>
      </c>
      <c r="D47" s="20" t="s">
        <v>7</v>
      </c>
      <c r="E47" s="23">
        <v>0</v>
      </c>
      <c r="F47" s="23"/>
    </row>
    <row r="48" spans="1:6" s="24" customFormat="1" ht="13.65" customHeight="1" x14ac:dyDescent="0.3">
      <c r="A48" s="20" t="s">
        <v>4</v>
      </c>
      <c r="B48" s="20" t="s">
        <v>71</v>
      </c>
      <c r="C48" s="21" t="s">
        <v>72</v>
      </c>
      <c r="D48" s="20" t="s">
        <v>7</v>
      </c>
      <c r="E48" s="23">
        <v>0</v>
      </c>
      <c r="F48" s="23"/>
    </row>
    <row r="49" spans="1:6" s="24" customFormat="1" ht="13.65" customHeight="1" x14ac:dyDescent="0.3">
      <c r="A49" s="20" t="s">
        <v>4</v>
      </c>
      <c r="B49" s="20">
        <v>7951697</v>
      </c>
      <c r="C49" s="21" t="s">
        <v>73</v>
      </c>
      <c r="D49" s="20" t="s">
        <v>7</v>
      </c>
      <c r="E49" s="23">
        <v>0</v>
      </c>
      <c r="F49" s="23"/>
    </row>
    <row r="50" spans="1:6" s="24" customFormat="1" ht="13.65" customHeight="1" x14ac:dyDescent="0.3">
      <c r="A50" s="20" t="s">
        <v>4</v>
      </c>
      <c r="B50" s="20">
        <v>7952606</v>
      </c>
      <c r="C50" s="21" t="s">
        <v>74</v>
      </c>
      <c r="D50" s="20" t="s">
        <v>7</v>
      </c>
      <c r="E50" s="23">
        <v>0</v>
      </c>
      <c r="F50" s="23"/>
    </row>
    <row r="51" spans="1:6" s="24" customFormat="1" ht="13.65" customHeight="1" x14ac:dyDescent="0.3">
      <c r="A51" s="20" t="s">
        <v>4</v>
      </c>
      <c r="B51" s="20" t="s">
        <v>75</v>
      </c>
      <c r="C51" s="21" t="s">
        <v>76</v>
      </c>
      <c r="D51" s="20" t="s">
        <v>7</v>
      </c>
      <c r="E51" s="23">
        <v>0</v>
      </c>
      <c r="F51" s="23"/>
    </row>
    <row r="52" spans="1:6" s="24" customFormat="1" ht="13.65" customHeight="1" x14ac:dyDescent="0.3">
      <c r="A52" s="20"/>
      <c r="B52" s="20"/>
      <c r="C52" s="21"/>
      <c r="D52" s="20"/>
      <c r="E52" s="23"/>
      <c r="F52" s="23"/>
    </row>
    <row r="53" spans="1:6" s="24" customFormat="1" ht="13.65" customHeight="1" x14ac:dyDescent="0.3">
      <c r="A53" s="20" t="s">
        <v>4</v>
      </c>
      <c r="B53" s="20">
        <v>7305771415</v>
      </c>
      <c r="C53" s="21" t="s">
        <v>77</v>
      </c>
      <c r="D53" s="20" t="s">
        <v>7</v>
      </c>
      <c r="E53" s="23">
        <v>0</v>
      </c>
      <c r="F53" s="23"/>
    </row>
    <row r="54" spans="1:6" s="24" customFormat="1" ht="13.65" customHeight="1" x14ac:dyDescent="0.3">
      <c r="A54" s="20" t="s">
        <v>4</v>
      </c>
      <c r="B54" s="20" t="s">
        <v>78</v>
      </c>
      <c r="C54" s="21" t="s">
        <v>79</v>
      </c>
      <c r="D54" s="20" t="s">
        <v>7</v>
      </c>
      <c r="E54" s="23">
        <v>0</v>
      </c>
      <c r="F54" s="23"/>
    </row>
    <row r="55" spans="1:6" s="24" customFormat="1" ht="13.65" customHeight="1" x14ac:dyDescent="0.3">
      <c r="A55" s="20" t="s">
        <v>4</v>
      </c>
      <c r="B55" s="20" t="s">
        <v>80</v>
      </c>
      <c r="C55" s="21" t="s">
        <v>81</v>
      </c>
      <c r="D55" s="20" t="s">
        <v>7</v>
      </c>
      <c r="E55" s="23">
        <v>0</v>
      </c>
      <c r="F55" s="23"/>
    </row>
    <row r="56" spans="1:6" s="24" customFormat="1" ht="13.65" customHeight="1" x14ac:dyDescent="0.3">
      <c r="A56" s="20"/>
      <c r="B56" s="20"/>
      <c r="C56" s="21"/>
      <c r="D56" s="20"/>
      <c r="E56" s="23"/>
      <c r="F56" s="23"/>
    </row>
    <row r="57" spans="1:6" s="24" customFormat="1" ht="13.65" customHeight="1" x14ac:dyDescent="0.3">
      <c r="A57" s="20" t="s">
        <v>4</v>
      </c>
      <c r="B57" s="20" t="s">
        <v>82</v>
      </c>
      <c r="C57" s="21" t="s">
        <v>83</v>
      </c>
      <c r="D57" s="20" t="s">
        <v>7</v>
      </c>
      <c r="E57" s="23">
        <v>0</v>
      </c>
      <c r="F57" s="23"/>
    </row>
    <row r="58" spans="1:6" s="24" customFormat="1" ht="13.65" customHeight="1" x14ac:dyDescent="0.3">
      <c r="A58" s="20"/>
      <c r="B58" s="20"/>
      <c r="C58" s="21"/>
      <c r="D58" s="20"/>
      <c r="E58" s="23"/>
      <c r="F58" s="23"/>
    </row>
    <row r="59" spans="1:6" s="24" customFormat="1" ht="13.65" customHeight="1" x14ac:dyDescent="0.3">
      <c r="A59" s="26" t="s">
        <v>4</v>
      </c>
      <c r="B59" s="26">
        <v>7328602001</v>
      </c>
      <c r="C59" s="27" t="s">
        <v>84</v>
      </c>
      <c r="D59" s="26" t="s">
        <v>7</v>
      </c>
      <c r="E59" s="25">
        <v>0</v>
      </c>
      <c r="F59" s="25"/>
    </row>
    <row r="60" spans="1:6" s="24" customFormat="1" ht="13.65" customHeight="1" x14ac:dyDescent="0.3">
      <c r="A60" s="20" t="s">
        <v>4</v>
      </c>
      <c r="B60" s="20" t="s">
        <v>85</v>
      </c>
      <c r="C60" s="21" t="s">
        <v>86</v>
      </c>
      <c r="D60" s="20" t="s">
        <v>7</v>
      </c>
      <c r="E60" s="23">
        <v>0</v>
      </c>
      <c r="F60" s="23"/>
    </row>
    <row r="61" spans="1:6" s="24" customFormat="1" ht="13.65" customHeight="1" x14ac:dyDescent="0.3">
      <c r="A61" s="20" t="s">
        <v>4</v>
      </c>
      <c r="B61" s="20">
        <v>7951698</v>
      </c>
      <c r="C61" s="21" t="s">
        <v>87</v>
      </c>
      <c r="D61" s="20" t="s">
        <v>7</v>
      </c>
      <c r="E61" s="23">
        <v>0</v>
      </c>
      <c r="F61" s="23"/>
    </row>
    <row r="62" spans="1:6" s="24" customFormat="1" ht="13.65" customHeight="1" thickBot="1" x14ac:dyDescent="0.35">
      <c r="A62" s="28"/>
      <c r="B62" s="28"/>
      <c r="C62" s="29"/>
      <c r="D62" s="28"/>
      <c r="E62" s="30"/>
      <c r="F62" s="30"/>
    </row>
    <row r="63" spans="1:6" s="24" customFormat="1" ht="13.65" customHeight="1" thickBot="1" x14ac:dyDescent="0.35">
      <c r="A63" s="37"/>
      <c r="B63" s="37"/>
      <c r="C63" s="38"/>
      <c r="D63" s="37"/>
      <c r="E63" s="39"/>
      <c r="F63" s="39"/>
    </row>
    <row r="64" spans="1:6" s="24" customFormat="1" ht="13.65" customHeight="1" thickBot="1" x14ac:dyDescent="0.35">
      <c r="A64" s="37"/>
      <c r="B64" s="37"/>
      <c r="C64" s="38"/>
      <c r="D64" s="37"/>
      <c r="E64" s="39"/>
      <c r="F64" s="39"/>
    </row>
    <row r="65" spans="1:6" s="24" customFormat="1" ht="13.65" customHeight="1" thickBot="1" x14ac:dyDescent="0.35">
      <c r="A65" s="37"/>
      <c r="B65" s="37"/>
      <c r="C65" s="38"/>
      <c r="D65" s="37"/>
      <c r="E65" s="39"/>
      <c r="F65" s="39"/>
    </row>
    <row r="66" spans="1:6" s="24" customFormat="1" ht="13.65" customHeight="1" thickBot="1" x14ac:dyDescent="0.35">
      <c r="A66" s="37"/>
      <c r="B66" s="37"/>
      <c r="C66" s="38"/>
      <c r="D66" s="37"/>
      <c r="E66" s="39"/>
      <c r="F66" s="39"/>
    </row>
    <row r="67" spans="1:6" s="24" customFormat="1" ht="13.65" customHeight="1" thickBot="1" x14ac:dyDescent="0.35">
      <c r="A67" s="37"/>
      <c r="B67" s="37"/>
      <c r="C67" s="38"/>
      <c r="D67" s="37"/>
      <c r="E67" s="39"/>
      <c r="F67" s="39"/>
    </row>
    <row r="68" spans="1:6" ht="13.65" customHeight="1" thickBot="1" x14ac:dyDescent="0.35">
      <c r="A68" s="5"/>
      <c r="B68" s="5"/>
      <c r="C68" s="6"/>
      <c r="D68" s="5"/>
      <c r="E68" s="12"/>
      <c r="F68" s="12"/>
    </row>
    <row r="69" spans="1:6" s="24" customFormat="1" ht="13.65" customHeight="1" x14ac:dyDescent="0.3">
      <c r="A69" s="16" t="s">
        <v>42</v>
      </c>
      <c r="B69" s="16" t="s">
        <v>88</v>
      </c>
      <c r="C69" s="17" t="s">
        <v>246</v>
      </c>
      <c r="D69" s="16" t="s">
        <v>7</v>
      </c>
      <c r="E69" s="31">
        <v>3333</v>
      </c>
      <c r="F69" s="31"/>
    </row>
    <row r="70" spans="1:6" s="24" customFormat="1" ht="13.65" customHeight="1" x14ac:dyDescent="0.3">
      <c r="A70" s="20" t="s">
        <v>42</v>
      </c>
      <c r="B70" s="20" t="s">
        <v>90</v>
      </c>
      <c r="C70" s="21" t="s">
        <v>248</v>
      </c>
      <c r="D70" s="20" t="s">
        <v>7</v>
      </c>
      <c r="E70" s="23">
        <v>3560</v>
      </c>
      <c r="F70" s="23"/>
    </row>
    <row r="71" spans="1:6" s="24" customFormat="1" ht="13.65" customHeight="1" x14ac:dyDescent="0.3">
      <c r="A71" s="20" t="s">
        <v>42</v>
      </c>
      <c r="B71" s="20" t="s">
        <v>92</v>
      </c>
      <c r="C71" s="21" t="s">
        <v>247</v>
      </c>
      <c r="D71" s="20" t="s">
        <v>7</v>
      </c>
      <c r="E71" s="23">
        <v>3450</v>
      </c>
      <c r="F71" s="23"/>
    </row>
    <row r="72" spans="1:6" s="24" customFormat="1" ht="13.65" customHeight="1" x14ac:dyDescent="0.3">
      <c r="A72" s="20" t="s">
        <v>42</v>
      </c>
      <c r="B72" s="20" t="s">
        <v>94</v>
      </c>
      <c r="C72" s="21" t="s">
        <v>95</v>
      </c>
      <c r="D72" s="20" t="s">
        <v>7</v>
      </c>
      <c r="E72" s="23"/>
      <c r="F72" s="23"/>
    </row>
    <row r="73" spans="1:6" s="24" customFormat="1" ht="13.65" customHeight="1" x14ac:dyDescent="0.3">
      <c r="A73" s="20" t="s">
        <v>96</v>
      </c>
      <c r="B73" s="20" t="s">
        <v>97</v>
      </c>
      <c r="C73" s="21" t="s">
        <v>98</v>
      </c>
      <c r="D73" s="20" t="s">
        <v>7</v>
      </c>
      <c r="E73" s="23"/>
      <c r="F73" s="23"/>
    </row>
    <row r="74" spans="1:6" s="24" customFormat="1" ht="13.65" customHeight="1" x14ac:dyDescent="0.3">
      <c r="A74" s="20" t="s">
        <v>96</v>
      </c>
      <c r="B74" s="20" t="s">
        <v>99</v>
      </c>
      <c r="C74" s="21" t="s">
        <v>245</v>
      </c>
      <c r="D74" s="20" t="s">
        <v>7</v>
      </c>
      <c r="E74" s="23">
        <v>1535</v>
      </c>
      <c r="F74" s="23"/>
    </row>
    <row r="75" spans="1:6" s="24" customFormat="1" ht="14.1" customHeight="1" x14ac:dyDescent="0.3">
      <c r="A75" s="20" t="s">
        <v>96</v>
      </c>
      <c r="B75" s="20" t="s">
        <v>214</v>
      </c>
      <c r="C75" s="21" t="s">
        <v>202</v>
      </c>
      <c r="D75" s="20" t="s">
        <v>7</v>
      </c>
      <c r="E75" s="23">
        <v>156</v>
      </c>
      <c r="F75" s="23"/>
    </row>
    <row r="76" spans="1:6" s="24" customFormat="1" ht="14.1" customHeight="1" x14ac:dyDescent="0.3">
      <c r="A76" s="20" t="s">
        <v>96</v>
      </c>
      <c r="B76" s="20" t="s">
        <v>215</v>
      </c>
      <c r="C76" s="43" t="s">
        <v>244</v>
      </c>
      <c r="D76" s="20" t="s">
        <v>7</v>
      </c>
      <c r="E76" s="23">
        <v>2250</v>
      </c>
      <c r="F76" s="23"/>
    </row>
    <row r="77" spans="1:6" s="24" customFormat="1" ht="13.65" customHeight="1" x14ac:dyDescent="0.3">
      <c r="A77" s="20"/>
      <c r="B77" s="20"/>
      <c r="C77" s="21"/>
      <c r="D77" s="20"/>
      <c r="E77" s="23"/>
      <c r="F77" s="23"/>
    </row>
    <row r="78" spans="1:6" s="24" customFormat="1" ht="13.65" customHeight="1" x14ac:dyDescent="0.3">
      <c r="A78" s="20" t="s">
        <v>4</v>
      </c>
      <c r="B78" s="20" t="s">
        <v>101</v>
      </c>
      <c r="C78" s="21" t="s">
        <v>249</v>
      </c>
      <c r="D78" s="20" t="s">
        <v>7</v>
      </c>
      <c r="E78" s="23">
        <v>10508</v>
      </c>
      <c r="F78" s="23"/>
    </row>
    <row r="79" spans="1:6" s="24" customFormat="1" ht="13.65" customHeight="1" x14ac:dyDescent="0.3">
      <c r="A79" s="20" t="s">
        <v>4</v>
      </c>
      <c r="B79" s="20" t="s">
        <v>103</v>
      </c>
      <c r="C79" s="21" t="s">
        <v>250</v>
      </c>
      <c r="D79" s="20" t="s">
        <v>7</v>
      </c>
      <c r="E79" s="23">
        <v>10560</v>
      </c>
      <c r="F79" s="23"/>
    </row>
    <row r="80" spans="1:6" s="24" customFormat="1" ht="13.65" customHeight="1" x14ac:dyDescent="0.3">
      <c r="A80" s="20" t="s">
        <v>4</v>
      </c>
      <c r="B80" s="20" t="s">
        <v>105</v>
      </c>
      <c r="C80" s="21" t="s">
        <v>251</v>
      </c>
      <c r="D80" s="20" t="s">
        <v>7</v>
      </c>
      <c r="E80" s="23">
        <v>600</v>
      </c>
      <c r="F80" s="23"/>
    </row>
    <row r="81" spans="1:6" s="24" customFormat="1" ht="13.65" customHeight="1" x14ac:dyDescent="0.3">
      <c r="A81" s="20" t="s">
        <v>4</v>
      </c>
      <c r="B81" s="20" t="s">
        <v>188</v>
      </c>
      <c r="C81" s="21" t="s">
        <v>189</v>
      </c>
      <c r="D81" s="20" t="s">
        <v>7</v>
      </c>
      <c r="E81" s="23"/>
      <c r="F81" s="23"/>
    </row>
    <row r="82" spans="1:6" s="24" customFormat="1" ht="13.65" customHeight="1" x14ac:dyDescent="0.3">
      <c r="A82" s="32"/>
      <c r="B82" s="32"/>
      <c r="C82" s="33"/>
      <c r="D82" s="32"/>
      <c r="E82" s="50"/>
      <c r="F82" s="50"/>
    </row>
    <row r="83" spans="1:6" ht="13.65" customHeight="1" thickBot="1" x14ac:dyDescent="0.35">
      <c r="A83" s="5"/>
      <c r="B83" s="5"/>
      <c r="C83" s="6"/>
      <c r="D83" s="5"/>
      <c r="E83" s="7">
        <f>SUM(E69:E81)</f>
        <v>35952</v>
      </c>
      <c r="F83" s="8"/>
    </row>
    <row r="84" spans="1:6" s="24" customFormat="1" ht="13.65" customHeight="1" x14ac:dyDescent="0.3">
      <c r="A84" s="16" t="s">
        <v>107</v>
      </c>
      <c r="B84" s="16" t="s">
        <v>108</v>
      </c>
      <c r="C84" s="17" t="s">
        <v>252</v>
      </c>
      <c r="D84" s="16" t="s">
        <v>7</v>
      </c>
      <c r="E84" s="31">
        <v>1875</v>
      </c>
      <c r="F84" s="31"/>
    </row>
    <row r="85" spans="1:6" s="24" customFormat="1" ht="13.65" customHeight="1" x14ac:dyDescent="0.3">
      <c r="A85" s="26" t="s">
        <v>107</v>
      </c>
      <c r="B85" s="26" t="s">
        <v>110</v>
      </c>
      <c r="C85" s="27" t="s">
        <v>253</v>
      </c>
      <c r="D85" s="26" t="s">
        <v>7</v>
      </c>
      <c r="E85" s="25">
        <v>496</v>
      </c>
      <c r="F85" s="25"/>
    </row>
    <row r="86" spans="1:6" s="24" customFormat="1" ht="13.65" customHeight="1" x14ac:dyDescent="0.3">
      <c r="A86" s="26" t="s">
        <v>107</v>
      </c>
      <c r="B86" s="26" t="s">
        <v>112</v>
      </c>
      <c r="C86" s="27" t="s">
        <v>113</v>
      </c>
      <c r="D86" s="26" t="s">
        <v>114</v>
      </c>
      <c r="E86" s="25"/>
      <c r="F86" s="25"/>
    </row>
    <row r="87" spans="1:6" s="24" customFormat="1" ht="13.65" customHeight="1" thickBot="1" x14ac:dyDescent="0.35">
      <c r="A87" s="26"/>
      <c r="B87" s="26"/>
      <c r="C87" s="27"/>
      <c r="D87" s="26"/>
      <c r="E87" s="25"/>
      <c r="F87" s="25"/>
    </row>
    <row r="88" spans="1:6" ht="13.65" customHeight="1" thickBot="1" x14ac:dyDescent="0.35">
      <c r="A88" s="1"/>
      <c r="B88" s="1"/>
      <c r="C88" s="13"/>
      <c r="D88" s="13"/>
      <c r="E88" s="14">
        <f>SUM(E84:E85)</f>
        <v>2371</v>
      </c>
      <c r="F88" s="15"/>
    </row>
    <row r="89" spans="1:6" s="24" customFormat="1" ht="13.65" customHeight="1" x14ac:dyDescent="0.3">
      <c r="A89" s="32" t="s">
        <v>42</v>
      </c>
      <c r="B89" s="32" t="s">
        <v>115</v>
      </c>
      <c r="C89" s="33" t="s">
        <v>116</v>
      </c>
      <c r="D89" s="32" t="s">
        <v>7</v>
      </c>
      <c r="E89" s="34"/>
      <c r="F89" s="34"/>
    </row>
    <row r="90" spans="1:6" s="24" customFormat="1" ht="13.65" customHeight="1" x14ac:dyDescent="0.3">
      <c r="A90" s="20" t="s">
        <v>42</v>
      </c>
      <c r="B90" s="20" t="s">
        <v>117</v>
      </c>
      <c r="C90" s="21" t="s">
        <v>254</v>
      </c>
      <c r="D90" s="20" t="s">
        <v>7</v>
      </c>
      <c r="E90" s="23">
        <v>1850</v>
      </c>
      <c r="F90" s="23"/>
    </row>
    <row r="91" spans="1:6" s="24" customFormat="1" ht="13.65" customHeight="1" x14ac:dyDescent="0.3">
      <c r="A91" s="20" t="s">
        <v>42</v>
      </c>
      <c r="B91" s="20" t="s">
        <v>119</v>
      </c>
      <c r="C91" s="21" t="s">
        <v>120</v>
      </c>
      <c r="D91" s="20" t="s">
        <v>7</v>
      </c>
      <c r="E91" s="23">
        <v>2190</v>
      </c>
      <c r="F91" s="23"/>
    </row>
    <row r="92" spans="1:6" s="24" customFormat="1" ht="13.65" customHeight="1" x14ac:dyDescent="0.3">
      <c r="A92" s="20" t="s">
        <v>42</v>
      </c>
      <c r="B92" s="20" t="s">
        <v>121</v>
      </c>
      <c r="C92" s="21" t="s">
        <v>255</v>
      </c>
      <c r="D92" s="20" t="s">
        <v>7</v>
      </c>
      <c r="E92" s="23">
        <v>400</v>
      </c>
      <c r="F92" s="23"/>
    </row>
    <row r="93" spans="1:6" s="24" customFormat="1" ht="13.65" customHeight="1" x14ac:dyDescent="0.3">
      <c r="A93" s="20" t="s">
        <v>42</v>
      </c>
      <c r="B93" s="20" t="s">
        <v>123</v>
      </c>
      <c r="C93" s="21" t="s">
        <v>256</v>
      </c>
      <c r="D93" s="20" t="s">
        <v>7</v>
      </c>
      <c r="E93" s="23">
        <v>1750</v>
      </c>
      <c r="F93" s="23"/>
    </row>
    <row r="94" spans="1:6" s="24" customFormat="1" ht="13.65" customHeight="1" x14ac:dyDescent="0.3">
      <c r="A94" s="20" t="s">
        <v>42</v>
      </c>
      <c r="B94" s="20" t="s">
        <v>225</v>
      </c>
      <c r="C94" s="21" t="s">
        <v>226</v>
      </c>
      <c r="D94" s="20" t="s">
        <v>7</v>
      </c>
      <c r="E94" s="23">
        <v>260</v>
      </c>
      <c r="F94" s="23"/>
    </row>
    <row r="95" spans="1:6" s="24" customFormat="1" ht="13.65" customHeight="1" thickBot="1" x14ac:dyDescent="0.35">
      <c r="A95" s="37"/>
      <c r="B95" s="37"/>
      <c r="C95" s="38"/>
      <c r="D95" s="37"/>
      <c r="E95" s="40"/>
      <c r="F95" s="41"/>
    </row>
    <row r="96" spans="1:6" s="24" customFormat="1" ht="13.65" customHeight="1" thickBot="1" x14ac:dyDescent="0.35">
      <c r="A96" s="37"/>
      <c r="B96" s="37"/>
      <c r="C96" s="38"/>
      <c r="D96" s="37"/>
      <c r="E96" s="39"/>
      <c r="F96" s="39"/>
    </row>
    <row r="97" spans="1:6" s="24" customFormat="1" ht="13.65" customHeight="1" thickBot="1" x14ac:dyDescent="0.35">
      <c r="A97" s="37"/>
      <c r="B97" s="37"/>
      <c r="C97" s="38"/>
      <c r="D97" s="37"/>
      <c r="E97" s="39"/>
      <c r="F97" s="39"/>
    </row>
    <row r="98" spans="1:6" s="24" customFormat="1" ht="13.65" customHeight="1" thickBot="1" x14ac:dyDescent="0.35">
      <c r="A98" s="37"/>
      <c r="B98" s="37"/>
      <c r="C98" s="38"/>
      <c r="D98" s="37"/>
      <c r="E98" s="39"/>
      <c r="F98" s="39"/>
    </row>
    <row r="99" spans="1:6" s="24" customFormat="1" ht="13.65" customHeight="1" thickBot="1" x14ac:dyDescent="0.35">
      <c r="A99" s="37"/>
      <c r="B99" s="37"/>
      <c r="C99" s="38"/>
      <c r="D99" s="131"/>
      <c r="E99" s="132"/>
      <c r="F99" s="39"/>
    </row>
    <row r="100" spans="1:6" ht="13.65" customHeight="1" thickBot="1" x14ac:dyDescent="0.35">
      <c r="A100" s="5"/>
      <c r="B100" s="5"/>
      <c r="C100" s="6"/>
      <c r="D100" s="5"/>
      <c r="E100" s="7">
        <f>SUM(E89:E94)</f>
        <v>6450</v>
      </c>
      <c r="F100" s="8"/>
    </row>
    <row r="101" spans="1:6" s="24" customFormat="1" ht="13.65" customHeight="1" x14ac:dyDescent="0.3">
      <c r="A101" s="16" t="s">
        <v>125</v>
      </c>
      <c r="B101" s="16" t="s">
        <v>126</v>
      </c>
      <c r="C101" s="17" t="s">
        <v>127</v>
      </c>
      <c r="D101" s="16" t="s">
        <v>7</v>
      </c>
      <c r="E101" s="31">
        <v>18</v>
      </c>
      <c r="F101" s="31"/>
    </row>
    <row r="102" spans="1:6" s="24" customFormat="1" ht="13.65" customHeight="1" x14ac:dyDescent="0.3">
      <c r="A102" s="20" t="s">
        <v>125</v>
      </c>
      <c r="B102" s="20" t="s">
        <v>128</v>
      </c>
      <c r="C102" s="21" t="s">
        <v>129</v>
      </c>
      <c r="D102" s="20" t="s">
        <v>7</v>
      </c>
      <c r="E102" s="23">
        <v>19</v>
      </c>
      <c r="F102" s="23"/>
    </row>
    <row r="103" spans="1:6" s="24" customFormat="1" ht="13.65" customHeight="1" x14ac:dyDescent="0.3">
      <c r="A103" s="20" t="s">
        <v>125</v>
      </c>
      <c r="B103" s="20" t="s">
        <v>130</v>
      </c>
      <c r="C103" s="21" t="s">
        <v>131</v>
      </c>
      <c r="D103" s="20" t="s">
        <v>7</v>
      </c>
      <c r="E103" s="23">
        <v>43</v>
      </c>
      <c r="F103" s="23"/>
    </row>
    <row r="104" spans="1:6" s="24" customFormat="1" ht="13.65" customHeight="1" x14ac:dyDescent="0.3">
      <c r="A104" s="20" t="s">
        <v>125</v>
      </c>
      <c r="B104" s="20" t="s">
        <v>132</v>
      </c>
      <c r="C104" s="21" t="s">
        <v>133</v>
      </c>
      <c r="D104" s="20" t="s">
        <v>7</v>
      </c>
      <c r="E104" s="23">
        <v>10</v>
      </c>
      <c r="F104" s="23"/>
    </row>
    <row r="105" spans="1:6" s="24" customFormat="1" ht="13.65" customHeight="1" x14ac:dyDescent="0.3">
      <c r="A105" s="20" t="s">
        <v>125</v>
      </c>
      <c r="B105" s="20" t="s">
        <v>134</v>
      </c>
      <c r="C105" s="21" t="s">
        <v>135</v>
      </c>
      <c r="D105" s="20" t="s">
        <v>7</v>
      </c>
      <c r="E105" s="23">
        <v>6</v>
      </c>
      <c r="F105" s="23"/>
    </row>
    <row r="106" spans="1:6" s="24" customFormat="1" ht="13.65" customHeight="1" x14ac:dyDescent="0.3">
      <c r="A106" s="20" t="s">
        <v>125</v>
      </c>
      <c r="B106" s="20" t="s">
        <v>136</v>
      </c>
      <c r="C106" s="21" t="s">
        <v>137</v>
      </c>
      <c r="D106" s="20" t="s">
        <v>7</v>
      </c>
      <c r="E106" s="23">
        <v>20</v>
      </c>
      <c r="F106" s="23"/>
    </row>
    <row r="107" spans="1:6" s="24" customFormat="1" ht="13.65" customHeight="1" x14ac:dyDescent="0.3">
      <c r="A107" s="20" t="s">
        <v>125</v>
      </c>
      <c r="B107" s="20" t="s">
        <v>138</v>
      </c>
      <c r="C107" s="21" t="s">
        <v>139</v>
      </c>
      <c r="D107" s="20" t="s">
        <v>7</v>
      </c>
      <c r="E107" s="23">
        <v>52</v>
      </c>
      <c r="F107" s="23"/>
    </row>
    <row r="108" spans="1:6" s="24" customFormat="1" ht="13.65" customHeight="1" x14ac:dyDescent="0.3">
      <c r="A108" s="20" t="s">
        <v>125</v>
      </c>
      <c r="B108" s="20" t="s">
        <v>140</v>
      </c>
      <c r="C108" s="21" t="s">
        <v>141</v>
      </c>
      <c r="D108" s="20" t="s">
        <v>7</v>
      </c>
      <c r="E108" s="23">
        <v>95</v>
      </c>
      <c r="F108" s="23"/>
    </row>
    <row r="109" spans="1:6" s="24" customFormat="1" ht="13.65" customHeight="1" x14ac:dyDescent="0.3">
      <c r="A109" s="20" t="s">
        <v>125</v>
      </c>
      <c r="B109" s="20" t="s">
        <v>142</v>
      </c>
      <c r="C109" s="21" t="s">
        <v>143</v>
      </c>
      <c r="D109" s="20" t="s">
        <v>7</v>
      </c>
      <c r="E109" s="23">
        <v>10</v>
      </c>
      <c r="F109" s="23"/>
    </row>
    <row r="110" spans="1:6" s="24" customFormat="1" ht="13.65" customHeight="1" x14ac:dyDescent="0.3">
      <c r="A110" s="20" t="s">
        <v>125</v>
      </c>
      <c r="B110" s="20" t="s">
        <v>144</v>
      </c>
      <c r="C110" s="21" t="s">
        <v>145</v>
      </c>
      <c r="D110" s="20" t="s">
        <v>7</v>
      </c>
      <c r="E110" s="23">
        <v>9</v>
      </c>
      <c r="F110" s="23"/>
    </row>
    <row r="111" spans="1:6" s="24" customFormat="1" ht="13.65" customHeight="1" x14ac:dyDescent="0.3">
      <c r="A111" s="20" t="s">
        <v>125</v>
      </c>
      <c r="B111" s="20" t="s">
        <v>146</v>
      </c>
      <c r="C111" s="21" t="s">
        <v>147</v>
      </c>
      <c r="D111" s="20" t="s">
        <v>7</v>
      </c>
      <c r="E111" s="23">
        <v>19</v>
      </c>
      <c r="F111" s="23"/>
    </row>
    <row r="112" spans="1:6" s="24" customFormat="1" ht="13.65" customHeight="1" x14ac:dyDescent="0.3">
      <c r="A112" s="20" t="s">
        <v>125</v>
      </c>
      <c r="B112" s="20" t="s">
        <v>148</v>
      </c>
      <c r="C112" s="21" t="s">
        <v>149</v>
      </c>
      <c r="D112" s="20" t="s">
        <v>7</v>
      </c>
      <c r="E112" s="23">
        <v>10</v>
      </c>
      <c r="F112" s="23"/>
    </row>
    <row r="113" spans="1:6" s="24" customFormat="1" ht="13.65" customHeight="1" x14ac:dyDescent="0.3">
      <c r="A113" s="20" t="s">
        <v>125</v>
      </c>
      <c r="B113" s="20" t="s">
        <v>150</v>
      </c>
      <c r="C113" s="21" t="s">
        <v>151</v>
      </c>
      <c r="D113" s="20" t="s">
        <v>7</v>
      </c>
      <c r="E113" s="23"/>
      <c r="F113" s="23"/>
    </row>
    <row r="114" spans="1:6" s="24" customFormat="1" ht="13.65" customHeight="1" x14ac:dyDescent="0.3">
      <c r="A114" s="20" t="s">
        <v>125</v>
      </c>
      <c r="B114" s="20" t="s">
        <v>229</v>
      </c>
      <c r="C114" s="21" t="s">
        <v>230</v>
      </c>
      <c r="D114" s="20" t="s">
        <v>7</v>
      </c>
      <c r="E114" s="23">
        <v>10</v>
      </c>
      <c r="F114" s="23"/>
    </row>
    <row r="115" spans="1:6" s="24" customFormat="1" ht="13.65" customHeight="1" x14ac:dyDescent="0.3">
      <c r="A115" s="20" t="s">
        <v>125</v>
      </c>
      <c r="B115" s="20" t="s">
        <v>152</v>
      </c>
      <c r="C115" s="21" t="s">
        <v>153</v>
      </c>
      <c r="D115" s="20" t="s">
        <v>7</v>
      </c>
      <c r="E115" s="23"/>
      <c r="F115" s="23"/>
    </row>
    <row r="116" spans="1:6" s="24" customFormat="1" ht="13.65" customHeight="1" x14ac:dyDescent="0.3">
      <c r="A116" s="20" t="s">
        <v>125</v>
      </c>
      <c r="B116" s="20" t="s">
        <v>154</v>
      </c>
      <c r="C116" s="21" t="s">
        <v>155</v>
      </c>
      <c r="D116" s="20" t="s">
        <v>7</v>
      </c>
      <c r="E116" s="23"/>
      <c r="F116" s="23"/>
    </row>
    <row r="117" spans="1:6" s="24" customFormat="1" ht="13.65" customHeight="1" x14ac:dyDescent="0.3">
      <c r="A117" s="20" t="s">
        <v>125</v>
      </c>
      <c r="B117" s="20" t="s">
        <v>156</v>
      </c>
      <c r="C117" s="21" t="s">
        <v>157</v>
      </c>
      <c r="D117" s="20" t="s">
        <v>7</v>
      </c>
      <c r="E117" s="23"/>
      <c r="F117" s="23"/>
    </row>
    <row r="118" spans="1:6" s="24" customFormat="1" ht="13.65" customHeight="1" x14ac:dyDescent="0.3">
      <c r="A118" s="20" t="s">
        <v>125</v>
      </c>
      <c r="B118" s="20" t="s">
        <v>158</v>
      </c>
      <c r="C118" s="21" t="s">
        <v>159</v>
      </c>
      <c r="D118" s="20" t="s">
        <v>7</v>
      </c>
      <c r="E118" s="23"/>
      <c r="F118" s="23"/>
    </row>
    <row r="119" spans="1:6" s="24" customFormat="1" ht="13.65" customHeight="1" x14ac:dyDescent="0.3">
      <c r="A119" s="20" t="s">
        <v>125</v>
      </c>
      <c r="B119" s="20" t="s">
        <v>160</v>
      </c>
      <c r="C119" s="21" t="s">
        <v>161</v>
      </c>
      <c r="D119" s="20" t="s">
        <v>7</v>
      </c>
      <c r="E119" s="23"/>
      <c r="F119" s="23"/>
    </row>
    <row r="120" spans="1:6" s="24" customFormat="1" ht="13.65" customHeight="1" x14ac:dyDescent="0.3">
      <c r="A120" s="20" t="s">
        <v>125</v>
      </c>
      <c r="B120" s="20" t="s">
        <v>162</v>
      </c>
      <c r="C120" s="21" t="s">
        <v>163</v>
      </c>
      <c r="D120" s="20" t="s">
        <v>7</v>
      </c>
      <c r="E120" s="23"/>
      <c r="F120" s="23"/>
    </row>
    <row r="121" spans="1:6" s="24" customFormat="1" ht="13.65" customHeight="1" x14ac:dyDescent="0.3">
      <c r="A121" s="20" t="s">
        <v>125</v>
      </c>
      <c r="B121" s="20" t="s">
        <v>164</v>
      </c>
      <c r="C121" s="21" t="s">
        <v>165</v>
      </c>
      <c r="D121" s="20" t="s">
        <v>7</v>
      </c>
      <c r="E121" s="23"/>
      <c r="F121" s="23"/>
    </row>
    <row r="122" spans="1:6" s="24" customFormat="1" ht="13.65" customHeight="1" x14ac:dyDescent="0.3">
      <c r="A122" s="20" t="s">
        <v>125</v>
      </c>
      <c r="B122" s="20" t="s">
        <v>166</v>
      </c>
      <c r="C122" s="21" t="s">
        <v>167</v>
      </c>
      <c r="D122" s="20" t="s">
        <v>7</v>
      </c>
      <c r="E122" s="23"/>
      <c r="F122" s="23"/>
    </row>
    <row r="123" spans="1:6" s="24" customFormat="1" ht="13.65" customHeight="1" x14ac:dyDescent="0.3">
      <c r="A123" s="20" t="s">
        <v>125</v>
      </c>
      <c r="B123" s="26">
        <v>2502535</v>
      </c>
      <c r="C123" s="27" t="s">
        <v>168</v>
      </c>
      <c r="D123" s="20" t="s">
        <v>7</v>
      </c>
      <c r="E123" s="25">
        <v>7</v>
      </c>
      <c r="F123" s="25"/>
    </row>
    <row r="124" spans="1:6" s="24" customFormat="1" ht="13.65" customHeight="1" thickBot="1" x14ac:dyDescent="0.35">
      <c r="A124" s="20" t="s">
        <v>125</v>
      </c>
      <c r="B124" s="28" t="s">
        <v>169</v>
      </c>
      <c r="C124" s="29" t="s">
        <v>170</v>
      </c>
      <c r="D124" s="20" t="s">
        <v>7</v>
      </c>
      <c r="E124" s="30"/>
      <c r="F124" s="30"/>
    </row>
    <row r="125" spans="1:6" ht="13.65" customHeight="1" thickBot="1" x14ac:dyDescent="0.35">
      <c r="A125" s="1"/>
      <c r="B125" s="1"/>
      <c r="C125" s="13"/>
      <c r="D125" s="1"/>
      <c r="E125" s="14">
        <f>SUM(E101:E123)</f>
        <v>328</v>
      </c>
      <c r="F125" s="15"/>
    </row>
    <row r="126" spans="1:6" s="24" customFormat="1" ht="13.65" customHeight="1" x14ac:dyDescent="0.3">
      <c r="A126" s="16" t="s">
        <v>171</v>
      </c>
      <c r="B126" s="16" t="s">
        <v>172</v>
      </c>
      <c r="C126" s="17" t="s">
        <v>173</v>
      </c>
      <c r="D126" s="16" t="s">
        <v>174</v>
      </c>
      <c r="E126" s="31">
        <v>0</v>
      </c>
      <c r="F126" s="31"/>
    </row>
    <row r="127" spans="1:6" s="24" customFormat="1" ht="13.65" customHeight="1" x14ac:dyDescent="0.3">
      <c r="A127" s="20" t="s">
        <v>175</v>
      </c>
      <c r="B127" s="20">
        <v>50736306</v>
      </c>
      <c r="C127" s="21" t="s">
        <v>176</v>
      </c>
      <c r="D127" s="20" t="s">
        <v>177</v>
      </c>
      <c r="E127" s="23">
        <v>2</v>
      </c>
      <c r="F127" s="23"/>
    </row>
    <row r="128" spans="1:6" s="24" customFormat="1" ht="13.65" customHeight="1" x14ac:dyDescent="0.3">
      <c r="A128" s="20" t="s">
        <v>175</v>
      </c>
      <c r="B128" s="20">
        <v>56553321</v>
      </c>
      <c r="C128" s="21" t="s">
        <v>178</v>
      </c>
      <c r="D128" s="20" t="s">
        <v>177</v>
      </c>
      <c r="E128" s="20">
        <v>1</v>
      </c>
      <c r="F128" s="20"/>
    </row>
    <row r="129" spans="1:6" s="24" customFormat="1" ht="13.65" customHeight="1" x14ac:dyDescent="0.3">
      <c r="A129" s="20" t="s">
        <v>175</v>
      </c>
      <c r="B129" s="20">
        <v>51715481</v>
      </c>
      <c r="C129" s="21" t="s">
        <v>179</v>
      </c>
      <c r="D129" s="20" t="s">
        <v>177</v>
      </c>
      <c r="E129" s="23">
        <v>1</v>
      </c>
      <c r="F129" s="23"/>
    </row>
    <row r="130" spans="1:6" s="24" customFormat="1" ht="13.65" customHeight="1" x14ac:dyDescent="0.3">
      <c r="A130" s="20" t="s">
        <v>175</v>
      </c>
      <c r="B130" s="20">
        <v>486308</v>
      </c>
      <c r="C130" s="21" t="s">
        <v>180</v>
      </c>
      <c r="D130" s="20" t="s">
        <v>181</v>
      </c>
      <c r="E130" s="23">
        <v>0</v>
      </c>
      <c r="F130" s="23"/>
    </row>
    <row r="131" spans="1:6" s="24" customFormat="1" ht="13.65" customHeight="1" x14ac:dyDescent="0.3">
      <c r="A131" s="20" t="s">
        <v>231</v>
      </c>
      <c r="B131" s="20" t="s">
        <v>232</v>
      </c>
      <c r="C131" s="21" t="s">
        <v>233</v>
      </c>
      <c r="D131" s="20" t="s">
        <v>181</v>
      </c>
      <c r="E131" s="23">
        <v>80</v>
      </c>
      <c r="F131" s="23"/>
    </row>
    <row r="132" spans="1:6" ht="15.75" customHeight="1" thickBot="1" x14ac:dyDescent="0.35">
      <c r="A132" s="138"/>
      <c r="B132" s="139"/>
      <c r="C132" s="140"/>
      <c r="D132" s="138"/>
      <c r="E132" s="141">
        <f>SUM(E126:E131)</f>
        <v>84</v>
      </c>
      <c r="F132" s="141"/>
    </row>
    <row r="133" spans="1:6" s="24" customFormat="1" ht="13.65" customHeight="1" x14ac:dyDescent="0.3">
      <c r="A133" s="20" t="s">
        <v>234</v>
      </c>
      <c r="B133" s="16" t="s">
        <v>239</v>
      </c>
      <c r="C133" s="17" t="s">
        <v>235</v>
      </c>
      <c r="D133" s="20" t="s">
        <v>114</v>
      </c>
      <c r="E133" s="31">
        <v>10</v>
      </c>
      <c r="F133" s="31"/>
    </row>
    <row r="134" spans="1:6" s="24" customFormat="1" ht="13.65" customHeight="1" x14ac:dyDescent="0.3">
      <c r="A134" s="20" t="s">
        <v>234</v>
      </c>
      <c r="B134" s="20" t="s">
        <v>240</v>
      </c>
      <c r="C134" s="21" t="s">
        <v>236</v>
      </c>
      <c r="D134" s="20" t="s">
        <v>114</v>
      </c>
      <c r="E134" s="23">
        <v>15</v>
      </c>
      <c r="F134" s="23"/>
    </row>
    <row r="135" spans="1:6" s="24" customFormat="1" ht="13.65" customHeight="1" x14ac:dyDescent="0.3">
      <c r="A135" s="20" t="s">
        <v>234</v>
      </c>
      <c r="B135" s="20" t="s">
        <v>242</v>
      </c>
      <c r="C135" s="21" t="s">
        <v>237</v>
      </c>
      <c r="D135" s="20" t="s">
        <v>114</v>
      </c>
      <c r="E135" s="20">
        <v>20</v>
      </c>
      <c r="F135" s="20"/>
    </row>
    <row r="136" spans="1:6" s="24" customFormat="1" ht="13.65" customHeight="1" x14ac:dyDescent="0.3">
      <c r="A136" s="20" t="s">
        <v>234</v>
      </c>
      <c r="B136" s="20" t="s">
        <v>241</v>
      </c>
      <c r="C136" s="21" t="s">
        <v>238</v>
      </c>
      <c r="D136" s="20" t="s">
        <v>114</v>
      </c>
      <c r="E136" s="23">
        <v>20</v>
      </c>
      <c r="F136" s="23"/>
    </row>
    <row r="137" spans="1:6" s="24" customFormat="1" ht="13.65" customHeight="1" x14ac:dyDescent="0.3">
      <c r="A137" s="20" t="s">
        <v>234</v>
      </c>
      <c r="B137" s="20" t="s">
        <v>262</v>
      </c>
      <c r="C137" s="21" t="s">
        <v>263</v>
      </c>
      <c r="D137" s="20" t="s">
        <v>114</v>
      </c>
      <c r="E137" s="23">
        <v>10</v>
      </c>
      <c r="F137" s="23"/>
    </row>
    <row r="138" spans="1:6" s="24" customFormat="1" ht="13.65" customHeight="1" x14ac:dyDescent="0.3">
      <c r="A138" s="20" t="s">
        <v>234</v>
      </c>
      <c r="B138" s="20" t="s">
        <v>261</v>
      </c>
      <c r="C138" s="21" t="s">
        <v>264</v>
      </c>
      <c r="D138" s="20" t="s">
        <v>114</v>
      </c>
      <c r="E138" s="23">
        <v>9</v>
      </c>
      <c r="F138" s="23"/>
    </row>
    <row r="139" spans="1:6" s="137" customFormat="1" ht="13.65" customHeight="1" x14ac:dyDescent="0.3">
      <c r="A139" s="142"/>
      <c r="B139" s="142"/>
      <c r="C139" s="143"/>
      <c r="D139" s="142"/>
      <c r="E139" s="144">
        <f>SUM(E133:E136)</f>
        <v>65</v>
      </c>
      <c r="F139" s="144"/>
    </row>
    <row r="140" spans="1:6" s="24" customFormat="1" ht="13.65" customHeight="1" x14ac:dyDescent="0.3">
      <c r="A140" s="20" t="s">
        <v>243</v>
      </c>
      <c r="B140" s="20">
        <v>38033502</v>
      </c>
      <c r="C140" s="21" t="s">
        <v>257</v>
      </c>
      <c r="D140" s="20" t="s">
        <v>7</v>
      </c>
      <c r="E140" s="23">
        <v>1140</v>
      </c>
      <c r="F140" s="23"/>
    </row>
    <row r="141" spans="1:6" s="24" customFormat="1" ht="13.65" customHeight="1" x14ac:dyDescent="0.3">
      <c r="A141" s="20" t="s">
        <v>243</v>
      </c>
      <c r="B141" s="20">
        <v>38043501</v>
      </c>
      <c r="C141" s="21" t="s">
        <v>258</v>
      </c>
      <c r="D141" s="20" t="s">
        <v>7</v>
      </c>
      <c r="E141" s="23">
        <v>144</v>
      </c>
      <c r="F141" s="23"/>
    </row>
    <row r="142" spans="1:6" s="24" customFormat="1" ht="13.65" customHeight="1" x14ac:dyDescent="0.3">
      <c r="A142" s="20" t="s">
        <v>243</v>
      </c>
      <c r="B142" s="20">
        <v>38003505</v>
      </c>
      <c r="C142" s="21" t="s">
        <v>259</v>
      </c>
      <c r="D142" s="20" t="s">
        <v>7</v>
      </c>
      <c r="E142" s="23">
        <v>2160</v>
      </c>
      <c r="F142" s="23"/>
    </row>
    <row r="143" spans="1:6" s="24" customFormat="1" ht="13.65" customHeight="1" x14ac:dyDescent="0.3">
      <c r="A143" s="20" t="s">
        <v>243</v>
      </c>
      <c r="B143" s="20">
        <v>38033511</v>
      </c>
      <c r="C143" s="21" t="s">
        <v>260</v>
      </c>
      <c r="D143" s="20" t="s">
        <v>7</v>
      </c>
      <c r="E143" s="20">
        <v>996</v>
      </c>
      <c r="F143" s="20"/>
    </row>
    <row r="144" spans="1:6" s="24" customFormat="1" ht="13.65" customHeight="1" x14ac:dyDescent="0.3">
      <c r="A144" s="145"/>
      <c r="B144" s="145"/>
      <c r="C144" s="146"/>
      <c r="D144" s="145"/>
      <c r="E144" s="100">
        <f>SUM(E140:E143)</f>
        <v>4440</v>
      </c>
      <c r="F144" s="100"/>
    </row>
    <row r="145" spans="1:6" s="24" customFormat="1" ht="13.65" customHeight="1" x14ac:dyDescent="0.3">
      <c r="A145" s="20"/>
      <c r="B145" s="20"/>
      <c r="C145" s="21"/>
      <c r="D145" s="20"/>
      <c r="E145" s="23"/>
      <c r="F145" s="23"/>
    </row>
    <row r="146" spans="1:6" s="24" customFormat="1" ht="13.65" customHeight="1" x14ac:dyDescent="0.3">
      <c r="A146" s="20"/>
      <c r="B146" s="20"/>
      <c r="C146" s="21"/>
      <c r="D146" s="20"/>
      <c r="E146" s="23"/>
      <c r="F146" s="23"/>
    </row>
  </sheetData>
  <protectedRanges>
    <protectedRange sqref="E2:F2 F83" name="Range2"/>
    <protectedRange sqref="E2:F2 F83" name="Range1"/>
    <protectedRange sqref="E1:F1" name="Range2_1"/>
    <protectedRange sqref="E1:F1" name="Range1_1"/>
    <protectedRange sqref="E83 E39:F39" name="Range2_3"/>
    <protectedRange sqref="E83 E39:F39" name="Range1_3"/>
  </protectedRanges>
  <conditionalFormatting sqref="C6">
    <cfRule type="duplicateValues" dxfId="76" priority="6"/>
  </conditionalFormatting>
  <conditionalFormatting sqref="C23:C24">
    <cfRule type="duplicateValues" dxfId="75" priority="9"/>
  </conditionalFormatting>
  <conditionalFormatting sqref="C26">
    <cfRule type="duplicateValues" dxfId="74" priority="8"/>
  </conditionalFormatting>
  <conditionalFormatting sqref="C29 C4">
    <cfRule type="duplicateValues" dxfId="73" priority="12"/>
  </conditionalFormatting>
  <conditionalFormatting sqref="C30 C25 C27:C28 C7:C13 C3 C15:C22">
    <cfRule type="duplicateValues" dxfId="72" priority="11"/>
  </conditionalFormatting>
  <conditionalFormatting sqref="C31:C38">
    <cfRule type="duplicateValues" dxfId="71" priority="10"/>
  </conditionalFormatting>
  <conditionalFormatting sqref="E2:F39">
    <cfRule type="cellIs" dxfId="70" priority="5" stopIfTrue="1" operator="lessThan">
      <formula>0</formula>
    </cfRule>
  </conditionalFormatting>
  <conditionalFormatting sqref="E41:F127">
    <cfRule type="cellIs" dxfId="69" priority="4" stopIfTrue="1" operator="lessThan">
      <formula>0</formula>
    </cfRule>
  </conditionalFormatting>
  <conditionalFormatting sqref="E129:F134">
    <cfRule type="cellIs" dxfId="68" priority="3" stopIfTrue="1" operator="lessThan">
      <formula>0</formula>
    </cfRule>
  </conditionalFormatting>
  <conditionalFormatting sqref="E136:F142">
    <cfRule type="cellIs" dxfId="67" priority="1" stopIfTrue="1" operator="lessThan">
      <formula>0</formula>
    </cfRule>
  </conditionalFormatting>
  <conditionalFormatting sqref="E144:F146">
    <cfRule type="cellIs" dxfId="66" priority="7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69A0-46B8-458D-862C-001F18363664}">
  <dimension ref="A1:F121"/>
  <sheetViews>
    <sheetView topLeftCell="A66" zoomScale="110" zoomScaleNormal="110" workbookViewId="0">
      <selection activeCell="E88" sqref="E88"/>
    </sheetView>
  </sheetViews>
  <sheetFormatPr defaultRowHeight="14.4" x14ac:dyDescent="0.3"/>
  <cols>
    <col min="1" max="1" width="12" bestFit="1" customWidth="1"/>
    <col min="2" max="2" width="24.5546875" bestFit="1" customWidth="1"/>
    <col min="3" max="3" width="61.109375" customWidth="1"/>
    <col min="4" max="4" width="6.109375" bestFit="1" customWidth="1"/>
    <col min="5" max="5" width="9.88671875" customWidth="1"/>
    <col min="6" max="6" width="14.5546875" customWidth="1"/>
  </cols>
  <sheetData>
    <row r="1" spans="1:6" s="36" customFormat="1" ht="25.65" customHeight="1" thickBot="1" x14ac:dyDescent="0.35">
      <c r="A1" s="35" t="s">
        <v>0</v>
      </c>
      <c r="B1" s="35" t="s">
        <v>1</v>
      </c>
      <c r="C1" s="35" t="s">
        <v>2</v>
      </c>
      <c r="D1" s="35" t="s">
        <v>3</v>
      </c>
      <c r="E1" s="35" t="s">
        <v>211</v>
      </c>
      <c r="F1" s="35" t="s">
        <v>183</v>
      </c>
    </row>
    <row r="2" spans="1:6" ht="10.5" customHeight="1" thickBot="1" x14ac:dyDescent="0.35">
      <c r="A2" s="1"/>
      <c r="B2" s="1"/>
      <c r="C2" s="2"/>
      <c r="D2" s="3"/>
      <c r="E2" s="4"/>
      <c r="F2" s="4"/>
    </row>
    <row r="3" spans="1:6" ht="13.65" customHeight="1" x14ac:dyDescent="0.3">
      <c r="A3" s="16" t="s">
        <v>4</v>
      </c>
      <c r="B3" s="16" t="s">
        <v>5</v>
      </c>
      <c r="C3" s="17" t="s">
        <v>6</v>
      </c>
      <c r="D3" s="16" t="s">
        <v>7</v>
      </c>
      <c r="E3" s="19">
        <v>28</v>
      </c>
      <c r="F3" s="19"/>
    </row>
    <row r="4" spans="1:6" ht="13.65" customHeight="1" x14ac:dyDescent="0.3">
      <c r="A4" s="20" t="s">
        <v>4</v>
      </c>
      <c r="B4" s="20" t="s">
        <v>206</v>
      </c>
      <c r="C4" s="21" t="s">
        <v>207</v>
      </c>
      <c r="D4" s="20" t="s">
        <v>7</v>
      </c>
      <c r="E4" s="23">
        <v>22</v>
      </c>
      <c r="F4" s="23"/>
    </row>
    <row r="5" spans="1:6" s="24" customFormat="1" ht="13.65" customHeight="1" x14ac:dyDescent="0.3">
      <c r="A5" s="20" t="s">
        <v>4</v>
      </c>
      <c r="B5" s="20" t="s">
        <v>197</v>
      </c>
      <c r="C5" s="21" t="s">
        <v>198</v>
      </c>
      <c r="D5" s="20" t="s">
        <v>7</v>
      </c>
      <c r="E5" s="23">
        <v>11</v>
      </c>
      <c r="F5" s="23"/>
    </row>
    <row r="6" spans="1:6" ht="13.65" customHeight="1" x14ac:dyDescent="0.3">
      <c r="A6" s="20" t="s">
        <v>4</v>
      </c>
      <c r="B6" s="20" t="s">
        <v>193</v>
      </c>
      <c r="C6" s="21" t="s">
        <v>194</v>
      </c>
      <c r="D6" s="20" t="s">
        <v>7</v>
      </c>
      <c r="E6" s="23">
        <v>20</v>
      </c>
      <c r="F6" s="23"/>
    </row>
    <row r="7" spans="1:6" ht="13.65" customHeight="1" x14ac:dyDescent="0.3">
      <c r="A7" s="20" t="s">
        <v>4</v>
      </c>
      <c r="B7" s="20" t="s">
        <v>8</v>
      </c>
      <c r="C7" s="21" t="s">
        <v>9</v>
      </c>
      <c r="D7" s="20" t="s">
        <v>7</v>
      </c>
      <c r="E7" s="22">
        <v>55</v>
      </c>
      <c r="F7" s="22"/>
    </row>
    <row r="8" spans="1:6" ht="13.65" customHeight="1" x14ac:dyDescent="0.3">
      <c r="A8" s="20" t="s">
        <v>4</v>
      </c>
      <c r="B8" s="20" t="s">
        <v>10</v>
      </c>
      <c r="C8" s="21" t="s">
        <v>11</v>
      </c>
      <c r="D8" s="20" t="s">
        <v>7</v>
      </c>
      <c r="E8" s="22">
        <v>215</v>
      </c>
      <c r="F8" s="22"/>
    </row>
    <row r="9" spans="1:6" ht="13.65" customHeight="1" x14ac:dyDescent="0.3">
      <c r="A9" s="20" t="s">
        <v>4</v>
      </c>
      <c r="B9" s="20" t="s">
        <v>12</v>
      </c>
      <c r="C9" s="21" t="s">
        <v>13</v>
      </c>
      <c r="D9" s="20" t="s">
        <v>7</v>
      </c>
      <c r="E9" s="22">
        <v>185</v>
      </c>
      <c r="F9" s="22"/>
    </row>
    <row r="10" spans="1:6" ht="13.65" customHeight="1" x14ac:dyDescent="0.3">
      <c r="A10" s="20" t="s">
        <v>4</v>
      </c>
      <c r="B10" s="20" t="s">
        <v>14</v>
      </c>
      <c r="C10" s="21" t="s">
        <v>15</v>
      </c>
      <c r="D10" s="20" t="s">
        <v>7</v>
      </c>
      <c r="E10" s="22">
        <v>15</v>
      </c>
      <c r="F10" s="22"/>
    </row>
    <row r="11" spans="1:6" ht="13.65" customHeight="1" x14ac:dyDescent="0.3">
      <c r="A11" s="20" t="s">
        <v>4</v>
      </c>
      <c r="B11" s="20" t="s">
        <v>16</v>
      </c>
      <c r="C11" s="21" t="s">
        <v>17</v>
      </c>
      <c r="D11" s="20" t="s">
        <v>7</v>
      </c>
      <c r="E11" s="22">
        <v>70</v>
      </c>
      <c r="F11" s="22"/>
    </row>
    <row r="12" spans="1:6" ht="13.65" customHeight="1" x14ac:dyDescent="0.3">
      <c r="A12" s="20" t="s">
        <v>4</v>
      </c>
      <c r="B12" s="20" t="s">
        <v>18</v>
      </c>
      <c r="C12" s="21" t="s">
        <v>19</v>
      </c>
      <c r="D12" s="20" t="s">
        <v>7</v>
      </c>
      <c r="E12" s="18">
        <v>57</v>
      </c>
      <c r="F12" s="18"/>
    </row>
    <row r="13" spans="1:6" ht="13.65" customHeight="1" x14ac:dyDescent="0.3">
      <c r="A13" s="20" t="s">
        <v>4</v>
      </c>
      <c r="B13" s="20" t="s">
        <v>20</v>
      </c>
      <c r="C13" s="21" t="s">
        <v>21</v>
      </c>
      <c r="D13" s="20" t="s">
        <v>7</v>
      </c>
      <c r="E13" s="18">
        <v>41</v>
      </c>
      <c r="F13" s="18"/>
    </row>
    <row r="14" spans="1:6" s="24" customFormat="1" ht="13.65" customHeight="1" x14ac:dyDescent="0.3">
      <c r="A14" s="20" t="s">
        <v>4</v>
      </c>
      <c r="B14" s="20" t="s">
        <v>204</v>
      </c>
      <c r="C14" s="21" t="s">
        <v>205</v>
      </c>
      <c r="D14" s="20" t="s">
        <v>7</v>
      </c>
      <c r="E14" s="23">
        <v>200</v>
      </c>
      <c r="F14" s="23"/>
    </row>
    <row r="15" spans="1:6" ht="13.65" customHeight="1" x14ac:dyDescent="0.3">
      <c r="A15" s="32" t="s">
        <v>4</v>
      </c>
      <c r="B15" s="32" t="s">
        <v>22</v>
      </c>
      <c r="C15" s="33" t="s">
        <v>23</v>
      </c>
      <c r="D15" s="32" t="s">
        <v>7</v>
      </c>
      <c r="E15" s="48">
        <v>61</v>
      </c>
      <c r="F15" s="49"/>
    </row>
    <row r="16" spans="1:6" ht="13.65" customHeight="1" x14ac:dyDescent="0.3">
      <c r="A16" s="20" t="s">
        <v>4</v>
      </c>
      <c r="B16" s="20" t="s">
        <v>24</v>
      </c>
      <c r="C16" s="21" t="s">
        <v>25</v>
      </c>
      <c r="D16" s="20" t="s">
        <v>7</v>
      </c>
      <c r="E16" s="18">
        <v>30</v>
      </c>
      <c r="F16" s="22"/>
    </row>
    <row r="17" spans="1:6" ht="13.65" customHeight="1" x14ac:dyDescent="0.3">
      <c r="A17" s="20" t="s">
        <v>4</v>
      </c>
      <c r="B17" s="20" t="s">
        <v>26</v>
      </c>
      <c r="C17" s="21" t="s">
        <v>27</v>
      </c>
      <c r="D17" s="20" t="s">
        <v>7</v>
      </c>
      <c r="E17" s="22">
        <v>75</v>
      </c>
      <c r="F17" s="22"/>
    </row>
    <row r="18" spans="1:6" ht="13.65" customHeight="1" x14ac:dyDescent="0.3">
      <c r="A18" s="20" t="s">
        <v>4</v>
      </c>
      <c r="B18" s="20" t="s">
        <v>28</v>
      </c>
      <c r="C18" s="21" t="s">
        <v>29</v>
      </c>
      <c r="D18" s="20" t="s">
        <v>7</v>
      </c>
      <c r="E18" s="22">
        <v>211</v>
      </c>
      <c r="F18" s="22"/>
    </row>
    <row r="19" spans="1:6" ht="13.65" customHeight="1" x14ac:dyDescent="0.3">
      <c r="A19" s="20" t="s">
        <v>4</v>
      </c>
      <c r="B19" s="20" t="s">
        <v>30</v>
      </c>
      <c r="C19" s="21" t="s">
        <v>31</v>
      </c>
      <c r="D19" s="20" t="s">
        <v>7</v>
      </c>
      <c r="E19" s="19">
        <v>66</v>
      </c>
      <c r="F19" s="19"/>
    </row>
    <row r="20" spans="1:6" ht="13.65" customHeight="1" x14ac:dyDescent="0.3">
      <c r="A20" s="20" t="s">
        <v>4</v>
      </c>
      <c r="B20" s="20" t="s">
        <v>32</v>
      </c>
      <c r="C20" s="21" t="s">
        <v>33</v>
      </c>
      <c r="D20" s="20" t="s">
        <v>7</v>
      </c>
      <c r="E20" s="19">
        <v>49</v>
      </c>
      <c r="F20" s="19"/>
    </row>
    <row r="21" spans="1:6" ht="13.65" customHeight="1" x14ac:dyDescent="0.3">
      <c r="A21" s="20" t="s">
        <v>4</v>
      </c>
      <c r="B21" s="20" t="s">
        <v>34</v>
      </c>
      <c r="C21" s="21" t="s">
        <v>35</v>
      </c>
      <c r="D21" s="20" t="s">
        <v>7</v>
      </c>
      <c r="E21" s="19">
        <v>7</v>
      </c>
      <c r="F21" s="19"/>
    </row>
    <row r="22" spans="1:6" ht="13.65" customHeight="1" x14ac:dyDescent="0.3">
      <c r="A22" s="20" t="s">
        <v>4</v>
      </c>
      <c r="B22" s="20" t="s">
        <v>36</v>
      </c>
      <c r="C22" s="21" t="s">
        <v>37</v>
      </c>
      <c r="D22" s="20" t="s">
        <v>7</v>
      </c>
      <c r="E22" s="19">
        <v>7</v>
      </c>
      <c r="F22" s="19"/>
    </row>
    <row r="23" spans="1:6" ht="13.65" customHeight="1" x14ac:dyDescent="0.3">
      <c r="A23" s="20"/>
      <c r="B23" s="20"/>
      <c r="C23" s="21"/>
      <c r="D23" s="20"/>
      <c r="E23" s="23"/>
      <c r="F23" s="23"/>
    </row>
    <row r="24" spans="1:6" ht="13.65" customHeight="1" x14ac:dyDescent="0.3">
      <c r="A24" s="20" t="s">
        <v>4</v>
      </c>
      <c r="B24" s="20" t="s">
        <v>38</v>
      </c>
      <c r="C24" s="21" t="s">
        <v>39</v>
      </c>
      <c r="D24" s="20" t="s">
        <v>7</v>
      </c>
      <c r="E24" s="23">
        <v>47</v>
      </c>
      <c r="F24" s="23"/>
    </row>
    <row r="25" spans="1:6" ht="13.65" customHeight="1" x14ac:dyDescent="0.3">
      <c r="A25" s="20" t="s">
        <v>4</v>
      </c>
      <c r="B25" s="20" t="s">
        <v>40</v>
      </c>
      <c r="C25" s="21" t="s">
        <v>41</v>
      </c>
      <c r="D25" s="20" t="s">
        <v>7</v>
      </c>
      <c r="E25" s="23">
        <v>7</v>
      </c>
      <c r="F25" s="23"/>
    </row>
    <row r="26" spans="1:6" ht="13.65" customHeight="1" x14ac:dyDescent="0.3">
      <c r="A26" s="20"/>
      <c r="B26" s="20"/>
      <c r="C26" s="21"/>
      <c r="D26" s="20"/>
      <c r="E26" s="23"/>
      <c r="F26" s="23"/>
    </row>
    <row r="27" spans="1:6" ht="13.65" customHeight="1" x14ac:dyDescent="0.3">
      <c r="A27" s="20" t="s">
        <v>42</v>
      </c>
      <c r="B27" s="20" t="s">
        <v>43</v>
      </c>
      <c r="C27" s="21" t="s">
        <v>44</v>
      </c>
      <c r="D27" s="20" t="s">
        <v>7</v>
      </c>
      <c r="E27" s="23">
        <v>32</v>
      </c>
      <c r="F27" s="23"/>
    </row>
    <row r="28" spans="1:6" ht="13.65" customHeight="1" x14ac:dyDescent="0.3">
      <c r="A28" s="20" t="s">
        <v>42</v>
      </c>
      <c r="B28" s="20" t="s">
        <v>45</v>
      </c>
      <c r="C28" s="21" t="s">
        <v>46</v>
      </c>
      <c r="D28" s="20" t="s">
        <v>7</v>
      </c>
      <c r="E28" s="23">
        <v>0</v>
      </c>
      <c r="F28" s="23"/>
    </row>
    <row r="29" spans="1:6" ht="13.65" customHeight="1" x14ac:dyDescent="0.3">
      <c r="A29" s="20"/>
      <c r="B29" s="20"/>
      <c r="C29" s="21"/>
      <c r="D29" s="20"/>
      <c r="E29" s="23"/>
      <c r="F29" s="23"/>
    </row>
    <row r="30" spans="1:6" ht="13.65" customHeight="1" x14ac:dyDescent="0.3">
      <c r="A30" s="20" t="s">
        <v>47</v>
      </c>
      <c r="B30" s="20" t="s">
        <v>48</v>
      </c>
      <c r="C30" s="21" t="s">
        <v>49</v>
      </c>
      <c r="D30" s="20" t="s">
        <v>7</v>
      </c>
      <c r="E30" s="23">
        <v>0</v>
      </c>
      <c r="F30" s="23"/>
    </row>
    <row r="31" spans="1:6" ht="13.65" customHeight="1" x14ac:dyDescent="0.3">
      <c r="A31" s="20" t="s">
        <v>47</v>
      </c>
      <c r="B31" s="20" t="s">
        <v>50</v>
      </c>
      <c r="C31" s="21" t="s">
        <v>51</v>
      </c>
      <c r="D31" s="20" t="s">
        <v>7</v>
      </c>
      <c r="E31" s="23">
        <v>0</v>
      </c>
      <c r="F31" s="23"/>
    </row>
    <row r="32" spans="1:6" ht="13.65" customHeight="1" x14ac:dyDescent="0.3">
      <c r="A32" s="20" t="s">
        <v>47</v>
      </c>
      <c r="B32" s="20" t="s">
        <v>52</v>
      </c>
      <c r="C32" s="21" t="s">
        <v>185</v>
      </c>
      <c r="D32" s="20" t="s">
        <v>7</v>
      </c>
      <c r="E32" s="23">
        <v>42</v>
      </c>
      <c r="F32" s="23"/>
    </row>
    <row r="33" spans="1:6" ht="13.65" customHeight="1" x14ac:dyDescent="0.3">
      <c r="A33" s="20" t="s">
        <v>47</v>
      </c>
      <c r="B33" s="20" t="s">
        <v>54</v>
      </c>
      <c r="C33" s="21" t="s">
        <v>55</v>
      </c>
      <c r="D33" s="20" t="s">
        <v>7</v>
      </c>
      <c r="E33" s="23">
        <v>45</v>
      </c>
      <c r="F33" s="23"/>
    </row>
    <row r="34" spans="1:6" ht="13.65" customHeight="1" x14ac:dyDescent="0.3">
      <c r="A34" s="20" t="s">
        <v>47</v>
      </c>
      <c r="B34" s="20" t="s">
        <v>56</v>
      </c>
      <c r="C34" s="21" t="s">
        <v>57</v>
      </c>
      <c r="D34" s="20" t="s">
        <v>7</v>
      </c>
      <c r="E34" s="23">
        <v>41</v>
      </c>
      <c r="F34" s="23"/>
    </row>
    <row r="35" spans="1:6" ht="13.65" customHeight="1" x14ac:dyDescent="0.3">
      <c r="A35" s="20"/>
      <c r="B35" s="20"/>
      <c r="C35" s="21"/>
      <c r="D35" s="20"/>
      <c r="E35" s="23"/>
      <c r="F35" s="23"/>
    </row>
    <row r="36" spans="1:6" ht="13.65" customHeight="1" thickBot="1" x14ac:dyDescent="0.35">
      <c r="A36" s="5"/>
      <c r="B36" s="5"/>
      <c r="C36" s="6"/>
      <c r="D36" s="5"/>
      <c r="E36" s="7">
        <f>SUM(E3:E34)</f>
        <v>1639</v>
      </c>
      <c r="F36" s="8"/>
    </row>
    <row r="37" spans="1:6" s="24" customFormat="1" ht="13.65" customHeight="1" x14ac:dyDescent="0.3">
      <c r="A37" s="16" t="s">
        <v>4</v>
      </c>
      <c r="B37" s="16">
        <v>7358771515</v>
      </c>
      <c r="C37" s="17" t="s">
        <v>58</v>
      </c>
      <c r="D37" s="16" t="s">
        <v>7</v>
      </c>
      <c r="E37" s="20">
        <v>0</v>
      </c>
      <c r="F37" s="20"/>
    </row>
    <row r="38" spans="1:6" s="24" customFormat="1" ht="13.65" customHeight="1" x14ac:dyDescent="0.3">
      <c r="A38" s="20" t="s">
        <v>4</v>
      </c>
      <c r="B38" s="20">
        <v>7378761826</v>
      </c>
      <c r="C38" s="21" t="s">
        <v>59</v>
      </c>
      <c r="D38" s="20" t="s">
        <v>7</v>
      </c>
      <c r="E38" s="23">
        <v>0</v>
      </c>
      <c r="F38" s="23"/>
    </row>
    <row r="39" spans="1:6" s="24" customFormat="1" ht="13.65" customHeight="1" x14ac:dyDescent="0.3">
      <c r="A39" s="20" t="s">
        <v>4</v>
      </c>
      <c r="B39" s="20" t="s">
        <v>60</v>
      </c>
      <c r="C39" s="21" t="s">
        <v>61</v>
      </c>
      <c r="D39" s="20" t="s">
        <v>7</v>
      </c>
      <c r="E39" s="23">
        <v>0</v>
      </c>
      <c r="F39" s="23"/>
    </row>
    <row r="40" spans="1:6" s="24" customFormat="1" ht="13.65" customHeight="1" x14ac:dyDescent="0.3">
      <c r="A40" s="20" t="s">
        <v>4</v>
      </c>
      <c r="B40" s="20" t="s">
        <v>62</v>
      </c>
      <c r="C40" s="21" t="s">
        <v>63</v>
      </c>
      <c r="D40" s="20" t="s">
        <v>7</v>
      </c>
      <c r="E40" s="23">
        <v>0</v>
      </c>
      <c r="F40" s="23"/>
    </row>
    <row r="41" spans="1:6" s="24" customFormat="1" ht="13.65" customHeight="1" x14ac:dyDescent="0.3">
      <c r="A41" s="20" t="s">
        <v>4</v>
      </c>
      <c r="B41" s="20" t="s">
        <v>64</v>
      </c>
      <c r="C41" s="21" t="s">
        <v>65</v>
      </c>
      <c r="D41" s="20" t="s">
        <v>7</v>
      </c>
      <c r="E41" s="23">
        <v>0</v>
      </c>
      <c r="F41" s="23"/>
    </row>
    <row r="42" spans="1:6" s="24" customFormat="1" ht="13.65" customHeight="1" x14ac:dyDescent="0.3">
      <c r="A42" s="20" t="s">
        <v>4</v>
      </c>
      <c r="B42" s="20" t="s">
        <v>66</v>
      </c>
      <c r="C42" s="21" t="s">
        <v>67</v>
      </c>
      <c r="D42" s="20" t="s">
        <v>7</v>
      </c>
      <c r="E42" s="23">
        <v>0</v>
      </c>
      <c r="F42" s="23"/>
    </row>
    <row r="43" spans="1:6" s="24" customFormat="1" ht="13.65" customHeight="1" x14ac:dyDescent="0.3">
      <c r="A43" s="20" t="s">
        <v>4</v>
      </c>
      <c r="B43" s="20" t="s">
        <v>68</v>
      </c>
      <c r="C43" s="21" t="s">
        <v>69</v>
      </c>
      <c r="D43" s="20" t="s">
        <v>7</v>
      </c>
      <c r="E43" s="23">
        <v>0</v>
      </c>
      <c r="F43" s="23"/>
    </row>
    <row r="44" spans="1:6" s="24" customFormat="1" ht="13.65" customHeight="1" x14ac:dyDescent="0.3">
      <c r="A44" s="20" t="s">
        <v>4</v>
      </c>
      <c r="B44" s="20" t="s">
        <v>70</v>
      </c>
      <c r="C44" s="21" t="s">
        <v>69</v>
      </c>
      <c r="D44" s="20" t="s">
        <v>7</v>
      </c>
      <c r="E44" s="23">
        <v>0</v>
      </c>
      <c r="F44" s="23"/>
    </row>
    <row r="45" spans="1:6" s="24" customFormat="1" ht="13.65" customHeight="1" x14ac:dyDescent="0.3">
      <c r="A45" s="20" t="s">
        <v>4</v>
      </c>
      <c r="B45" s="20" t="s">
        <v>71</v>
      </c>
      <c r="C45" s="21" t="s">
        <v>72</v>
      </c>
      <c r="D45" s="20" t="s">
        <v>7</v>
      </c>
      <c r="E45" s="23">
        <v>0</v>
      </c>
      <c r="F45" s="23"/>
    </row>
    <row r="46" spans="1:6" s="24" customFormat="1" ht="13.65" customHeight="1" x14ac:dyDescent="0.3">
      <c r="A46" s="20" t="s">
        <v>4</v>
      </c>
      <c r="B46" s="20">
        <v>7951697</v>
      </c>
      <c r="C46" s="21" t="s">
        <v>73</v>
      </c>
      <c r="D46" s="20" t="s">
        <v>7</v>
      </c>
      <c r="E46" s="23">
        <v>0</v>
      </c>
      <c r="F46" s="23"/>
    </row>
    <row r="47" spans="1:6" s="24" customFormat="1" ht="13.65" customHeight="1" x14ac:dyDescent="0.3">
      <c r="A47" s="20" t="s">
        <v>4</v>
      </c>
      <c r="B47" s="20">
        <v>7952606</v>
      </c>
      <c r="C47" s="21" t="s">
        <v>74</v>
      </c>
      <c r="D47" s="20" t="s">
        <v>7</v>
      </c>
      <c r="E47" s="23">
        <v>0</v>
      </c>
      <c r="F47" s="23"/>
    </row>
    <row r="48" spans="1:6" s="24" customFormat="1" ht="13.65" customHeight="1" x14ac:dyDescent="0.3">
      <c r="A48" s="20" t="s">
        <v>4</v>
      </c>
      <c r="B48" s="20" t="s">
        <v>75</v>
      </c>
      <c r="C48" s="21" t="s">
        <v>76</v>
      </c>
      <c r="D48" s="20" t="s">
        <v>7</v>
      </c>
      <c r="E48" s="23">
        <v>0</v>
      </c>
      <c r="F48" s="23"/>
    </row>
    <row r="49" spans="1:6" s="24" customFormat="1" ht="13.65" customHeight="1" x14ac:dyDescent="0.3">
      <c r="A49" s="20"/>
      <c r="B49" s="20"/>
      <c r="C49" s="21"/>
      <c r="D49" s="20"/>
      <c r="E49" s="23"/>
      <c r="F49" s="23"/>
    </row>
    <row r="50" spans="1:6" s="24" customFormat="1" ht="13.65" customHeight="1" x14ac:dyDescent="0.3">
      <c r="A50" s="20" t="s">
        <v>4</v>
      </c>
      <c r="B50" s="20">
        <v>7305771415</v>
      </c>
      <c r="C50" s="21" t="s">
        <v>77</v>
      </c>
      <c r="D50" s="20" t="s">
        <v>7</v>
      </c>
      <c r="E50" s="23">
        <v>0</v>
      </c>
      <c r="F50" s="23"/>
    </row>
    <row r="51" spans="1:6" s="24" customFormat="1" ht="13.65" customHeight="1" x14ac:dyDescent="0.3">
      <c r="A51" s="20" t="s">
        <v>4</v>
      </c>
      <c r="B51" s="20" t="s">
        <v>78</v>
      </c>
      <c r="C51" s="21" t="s">
        <v>79</v>
      </c>
      <c r="D51" s="20" t="s">
        <v>7</v>
      </c>
      <c r="E51" s="23">
        <v>0</v>
      </c>
      <c r="F51" s="23"/>
    </row>
    <row r="52" spans="1:6" s="24" customFormat="1" ht="13.65" customHeight="1" x14ac:dyDescent="0.3">
      <c r="A52" s="20" t="s">
        <v>4</v>
      </c>
      <c r="B52" s="20" t="s">
        <v>80</v>
      </c>
      <c r="C52" s="21" t="s">
        <v>81</v>
      </c>
      <c r="D52" s="20" t="s">
        <v>7</v>
      </c>
      <c r="E52" s="23">
        <v>0</v>
      </c>
      <c r="F52" s="23"/>
    </row>
    <row r="53" spans="1:6" s="24" customFormat="1" ht="13.65" customHeight="1" x14ac:dyDescent="0.3">
      <c r="A53" s="20"/>
      <c r="B53" s="20"/>
      <c r="C53" s="21"/>
      <c r="D53" s="20"/>
      <c r="E53" s="23"/>
      <c r="F53" s="23"/>
    </row>
    <row r="54" spans="1:6" s="24" customFormat="1" ht="13.65" customHeight="1" x14ac:dyDescent="0.3">
      <c r="A54" s="20" t="s">
        <v>4</v>
      </c>
      <c r="B54" s="20" t="s">
        <v>82</v>
      </c>
      <c r="C54" s="21" t="s">
        <v>83</v>
      </c>
      <c r="D54" s="20" t="s">
        <v>7</v>
      </c>
      <c r="E54" s="23">
        <v>0</v>
      </c>
      <c r="F54" s="23"/>
    </row>
    <row r="55" spans="1:6" s="24" customFormat="1" ht="13.65" customHeight="1" x14ac:dyDescent="0.3">
      <c r="A55" s="20"/>
      <c r="B55" s="20"/>
      <c r="C55" s="21"/>
      <c r="D55" s="20"/>
      <c r="E55" s="23"/>
      <c r="F55" s="23"/>
    </row>
    <row r="56" spans="1:6" s="24" customFormat="1" ht="13.65" customHeight="1" x14ac:dyDescent="0.3">
      <c r="A56" s="26" t="s">
        <v>4</v>
      </c>
      <c r="B56" s="26">
        <v>7328602001</v>
      </c>
      <c r="C56" s="27" t="s">
        <v>84</v>
      </c>
      <c r="D56" s="26" t="s">
        <v>7</v>
      </c>
      <c r="E56" s="25">
        <v>0</v>
      </c>
      <c r="F56" s="25"/>
    </row>
    <row r="57" spans="1:6" s="24" customFormat="1" ht="13.65" customHeight="1" x14ac:dyDescent="0.3">
      <c r="A57" s="20" t="s">
        <v>4</v>
      </c>
      <c r="B57" s="20" t="s">
        <v>85</v>
      </c>
      <c r="C57" s="21" t="s">
        <v>86</v>
      </c>
      <c r="D57" s="20" t="s">
        <v>7</v>
      </c>
      <c r="E57" s="23">
        <v>0</v>
      </c>
      <c r="F57" s="23"/>
    </row>
    <row r="58" spans="1:6" s="24" customFormat="1" ht="13.65" customHeight="1" x14ac:dyDescent="0.3">
      <c r="A58" s="20" t="s">
        <v>4</v>
      </c>
      <c r="B58" s="20">
        <v>7951698</v>
      </c>
      <c r="C58" s="21" t="s">
        <v>87</v>
      </c>
      <c r="D58" s="20" t="s">
        <v>7</v>
      </c>
      <c r="E58" s="23">
        <v>0</v>
      </c>
      <c r="F58" s="23"/>
    </row>
    <row r="59" spans="1:6" s="24" customFormat="1" ht="13.65" customHeight="1" thickBot="1" x14ac:dyDescent="0.35">
      <c r="A59" s="28"/>
      <c r="B59" s="28"/>
      <c r="C59" s="29"/>
      <c r="D59" s="28"/>
      <c r="E59" s="30"/>
      <c r="F59" s="30"/>
    </row>
    <row r="60" spans="1:6" s="24" customFormat="1" ht="13.65" customHeight="1" thickBot="1" x14ac:dyDescent="0.35">
      <c r="A60" s="37"/>
      <c r="B60" s="37"/>
      <c r="C60" s="38"/>
      <c r="D60" s="37"/>
      <c r="E60" s="39"/>
      <c r="F60" s="39"/>
    </row>
    <row r="61" spans="1:6" s="24" customFormat="1" ht="13.65" customHeight="1" thickBot="1" x14ac:dyDescent="0.35">
      <c r="A61" s="37"/>
      <c r="B61" s="37"/>
      <c r="C61" s="38"/>
      <c r="D61" s="37"/>
      <c r="E61" s="39"/>
      <c r="F61" s="39"/>
    </row>
    <row r="62" spans="1:6" s="24" customFormat="1" ht="13.65" customHeight="1" thickBot="1" x14ac:dyDescent="0.35">
      <c r="A62" s="37"/>
      <c r="B62" s="37"/>
      <c r="C62" s="38"/>
      <c r="D62" s="37"/>
      <c r="E62" s="39"/>
      <c r="F62" s="39"/>
    </row>
    <row r="63" spans="1:6" ht="13.65" customHeight="1" thickBot="1" x14ac:dyDescent="0.35">
      <c r="A63" s="5"/>
      <c r="B63" s="5"/>
      <c r="C63" s="6"/>
      <c r="D63" s="5"/>
      <c r="E63" s="12"/>
      <c r="F63" s="12"/>
    </row>
    <row r="64" spans="1:6" s="24" customFormat="1" ht="13.65" customHeight="1" x14ac:dyDescent="0.3">
      <c r="A64" s="16" t="s">
        <v>42</v>
      </c>
      <c r="B64" s="16" t="s">
        <v>88</v>
      </c>
      <c r="C64" s="17" t="s">
        <v>208</v>
      </c>
      <c r="D64" s="16" t="s">
        <v>7</v>
      </c>
      <c r="E64" s="31">
        <v>1092</v>
      </c>
      <c r="F64" s="31"/>
    </row>
    <row r="65" spans="1:6" s="24" customFormat="1" ht="13.65" customHeight="1" x14ac:dyDescent="0.3">
      <c r="A65" s="20" t="s">
        <v>42</v>
      </c>
      <c r="B65" s="20" t="s">
        <v>90</v>
      </c>
      <c r="C65" s="21" t="s">
        <v>91</v>
      </c>
      <c r="D65" s="20" t="s">
        <v>7</v>
      </c>
      <c r="E65" s="23">
        <v>1037</v>
      </c>
      <c r="F65" s="23"/>
    </row>
    <row r="66" spans="1:6" s="24" customFormat="1" ht="13.65" customHeight="1" x14ac:dyDescent="0.3">
      <c r="A66" s="20" t="s">
        <v>42</v>
      </c>
      <c r="B66" s="20" t="s">
        <v>92</v>
      </c>
      <c r="C66" s="21" t="s">
        <v>209</v>
      </c>
      <c r="D66" s="20" t="s">
        <v>7</v>
      </c>
      <c r="E66" s="23">
        <v>1512</v>
      </c>
      <c r="F66" s="23"/>
    </row>
    <row r="67" spans="1:6" s="24" customFormat="1" ht="13.65" customHeight="1" x14ac:dyDescent="0.3">
      <c r="A67" s="20" t="s">
        <v>42</v>
      </c>
      <c r="B67" s="20" t="s">
        <v>94</v>
      </c>
      <c r="C67" s="21" t="s">
        <v>95</v>
      </c>
      <c r="D67" s="20" t="s">
        <v>7</v>
      </c>
      <c r="E67" s="23">
        <v>0</v>
      </c>
      <c r="F67" s="23"/>
    </row>
    <row r="68" spans="1:6" s="24" customFormat="1" ht="13.65" customHeight="1" x14ac:dyDescent="0.3">
      <c r="A68" s="20" t="s">
        <v>96</v>
      </c>
      <c r="B68" s="20" t="s">
        <v>97</v>
      </c>
      <c r="C68" s="21" t="s">
        <v>98</v>
      </c>
      <c r="D68" s="20" t="s">
        <v>7</v>
      </c>
      <c r="E68" s="23">
        <v>0</v>
      </c>
      <c r="F68" s="23"/>
    </row>
    <row r="69" spans="1:6" s="24" customFormat="1" ht="13.65" customHeight="1" x14ac:dyDescent="0.3">
      <c r="A69" s="20" t="s">
        <v>96</v>
      </c>
      <c r="B69" s="20" t="s">
        <v>99</v>
      </c>
      <c r="C69" s="21" t="s">
        <v>186</v>
      </c>
      <c r="D69" s="20" t="s">
        <v>7</v>
      </c>
      <c r="E69" s="23">
        <v>775</v>
      </c>
      <c r="F69" s="23"/>
    </row>
    <row r="70" spans="1:6" s="24" customFormat="1" ht="14.1" customHeight="1" x14ac:dyDescent="0.3">
      <c r="A70" s="20" t="s">
        <v>96</v>
      </c>
      <c r="B70" s="20" t="s">
        <v>214</v>
      </c>
      <c r="C70" s="21" t="s">
        <v>202</v>
      </c>
      <c r="D70" s="20" t="s">
        <v>7</v>
      </c>
      <c r="E70" s="23">
        <v>1188</v>
      </c>
      <c r="F70" s="23"/>
    </row>
    <row r="71" spans="1:6" s="24" customFormat="1" ht="14.1" customHeight="1" x14ac:dyDescent="0.3">
      <c r="A71" s="20" t="s">
        <v>96</v>
      </c>
      <c r="B71" s="20" t="s">
        <v>215</v>
      </c>
      <c r="C71" s="43" t="s">
        <v>201</v>
      </c>
      <c r="D71" s="20" t="s">
        <v>7</v>
      </c>
      <c r="E71" s="23">
        <v>2400</v>
      </c>
      <c r="F71" s="23"/>
    </row>
    <row r="72" spans="1:6" s="24" customFormat="1" ht="13.65" customHeight="1" x14ac:dyDescent="0.3">
      <c r="A72" s="20"/>
      <c r="B72" s="20"/>
      <c r="C72" s="21"/>
      <c r="D72" s="20"/>
      <c r="E72" s="23"/>
      <c r="F72" s="23"/>
    </row>
    <row r="73" spans="1:6" s="24" customFormat="1" ht="13.65" customHeight="1" x14ac:dyDescent="0.3">
      <c r="A73" s="20" t="s">
        <v>4</v>
      </c>
      <c r="B73" s="20" t="s">
        <v>101</v>
      </c>
      <c r="C73" s="21" t="s">
        <v>102</v>
      </c>
      <c r="D73" s="20" t="s">
        <v>7</v>
      </c>
      <c r="E73" s="23">
        <v>13498</v>
      </c>
      <c r="F73" s="23"/>
    </row>
    <row r="74" spans="1:6" s="24" customFormat="1" ht="13.65" customHeight="1" x14ac:dyDescent="0.3">
      <c r="A74" s="20" t="s">
        <v>4</v>
      </c>
      <c r="B74" s="20" t="s">
        <v>103</v>
      </c>
      <c r="C74" s="21" t="s">
        <v>104</v>
      </c>
      <c r="D74" s="20" t="s">
        <v>7</v>
      </c>
      <c r="E74" s="23">
        <v>13447</v>
      </c>
      <c r="F74" s="23"/>
    </row>
    <row r="75" spans="1:6" s="24" customFormat="1" ht="13.65" customHeight="1" x14ac:dyDescent="0.3">
      <c r="A75" s="20" t="s">
        <v>4</v>
      </c>
      <c r="B75" s="20" t="s">
        <v>105</v>
      </c>
      <c r="C75" s="21" t="s">
        <v>106</v>
      </c>
      <c r="D75" s="20" t="s">
        <v>7</v>
      </c>
      <c r="E75" s="23">
        <v>750</v>
      </c>
      <c r="F75" s="23"/>
    </row>
    <row r="76" spans="1:6" s="24" customFormat="1" ht="13.65" customHeight="1" x14ac:dyDescent="0.3">
      <c r="A76" s="20" t="s">
        <v>4</v>
      </c>
      <c r="B76" s="20" t="s">
        <v>188</v>
      </c>
      <c r="C76" s="21" t="s">
        <v>189</v>
      </c>
      <c r="D76" s="20" t="s">
        <v>7</v>
      </c>
      <c r="E76" s="23">
        <v>0</v>
      </c>
      <c r="F76" s="23"/>
    </row>
    <row r="77" spans="1:6" s="24" customFormat="1" ht="13.65" customHeight="1" x14ac:dyDescent="0.3">
      <c r="A77" s="32"/>
      <c r="B77" s="32"/>
      <c r="C77" s="33"/>
      <c r="D77" s="32"/>
      <c r="E77" s="50"/>
      <c r="F77" s="50"/>
    </row>
    <row r="78" spans="1:6" ht="13.65" customHeight="1" thickBot="1" x14ac:dyDescent="0.35">
      <c r="A78" s="5"/>
      <c r="B78" s="5"/>
      <c r="C78" s="6"/>
      <c r="D78" s="5"/>
      <c r="E78" s="7">
        <f>SUM(E64:E76)</f>
        <v>35699</v>
      </c>
      <c r="F78" s="8"/>
    </row>
    <row r="79" spans="1:6" s="24" customFormat="1" ht="13.65" customHeight="1" x14ac:dyDescent="0.3">
      <c r="A79" s="16" t="s">
        <v>107</v>
      </c>
      <c r="B79" s="16" t="s">
        <v>108</v>
      </c>
      <c r="C79" s="17" t="s">
        <v>109</v>
      </c>
      <c r="D79" s="16" t="s">
        <v>7</v>
      </c>
      <c r="E79" s="31">
        <v>2235</v>
      </c>
      <c r="F79" s="31"/>
    </row>
    <row r="80" spans="1:6" s="24" customFormat="1" ht="13.65" customHeight="1" x14ac:dyDescent="0.3">
      <c r="A80" s="26" t="s">
        <v>107</v>
      </c>
      <c r="B80" s="26" t="s">
        <v>110</v>
      </c>
      <c r="C80" s="27" t="s">
        <v>111</v>
      </c>
      <c r="D80" s="26" t="s">
        <v>7</v>
      </c>
      <c r="E80" s="25">
        <v>496</v>
      </c>
      <c r="F80" s="25"/>
    </row>
    <row r="81" spans="1:6" s="24" customFormat="1" ht="13.65" customHeight="1" x14ac:dyDescent="0.3">
      <c r="A81" s="26" t="s">
        <v>107</v>
      </c>
      <c r="B81" s="26" t="s">
        <v>112</v>
      </c>
      <c r="C81" s="27" t="s">
        <v>113</v>
      </c>
      <c r="D81" s="26" t="s">
        <v>114</v>
      </c>
      <c r="E81" s="25">
        <v>0</v>
      </c>
      <c r="F81" s="25"/>
    </row>
    <row r="82" spans="1:6" s="24" customFormat="1" ht="13.65" customHeight="1" thickBot="1" x14ac:dyDescent="0.35">
      <c r="A82" s="26"/>
      <c r="B82" s="26"/>
      <c r="C82" s="27"/>
      <c r="D82" s="26"/>
      <c r="E82" s="25"/>
      <c r="F82" s="25"/>
    </row>
    <row r="83" spans="1:6" ht="13.65" customHeight="1" thickBot="1" x14ac:dyDescent="0.35">
      <c r="A83" s="1"/>
      <c r="B83" s="1"/>
      <c r="C83" s="13"/>
      <c r="D83" s="13"/>
      <c r="E83" s="14">
        <f>SUM(E79:E81)</f>
        <v>2731</v>
      </c>
      <c r="F83" s="15"/>
    </row>
    <row r="84" spans="1:6" s="24" customFormat="1" ht="13.65" customHeight="1" x14ac:dyDescent="0.3">
      <c r="A84" s="32" t="s">
        <v>42</v>
      </c>
      <c r="B84" s="32" t="s">
        <v>115</v>
      </c>
      <c r="C84" s="33" t="s">
        <v>116</v>
      </c>
      <c r="D84" s="32" t="s">
        <v>7</v>
      </c>
      <c r="E84" s="34">
        <v>0</v>
      </c>
      <c r="F84" s="34"/>
    </row>
    <row r="85" spans="1:6" s="24" customFormat="1" ht="13.65" customHeight="1" x14ac:dyDescent="0.3">
      <c r="A85" s="20" t="s">
        <v>42</v>
      </c>
      <c r="B85" s="20" t="s">
        <v>117</v>
      </c>
      <c r="C85" s="21" t="s">
        <v>118</v>
      </c>
      <c r="D85" s="20" t="s">
        <v>7</v>
      </c>
      <c r="E85" s="23">
        <v>1300</v>
      </c>
      <c r="F85" s="23"/>
    </row>
    <row r="86" spans="1:6" s="24" customFormat="1" ht="13.65" customHeight="1" x14ac:dyDescent="0.3">
      <c r="A86" s="20" t="s">
        <v>42</v>
      </c>
      <c r="B86" s="20" t="s">
        <v>119</v>
      </c>
      <c r="C86" s="21" t="s">
        <v>120</v>
      </c>
      <c r="D86" s="20" t="s">
        <v>7</v>
      </c>
      <c r="E86" s="23">
        <v>1104</v>
      </c>
      <c r="F86" s="23"/>
    </row>
    <row r="87" spans="1:6" s="24" customFormat="1" ht="13.65" customHeight="1" x14ac:dyDescent="0.3">
      <c r="A87" s="20" t="s">
        <v>42</v>
      </c>
      <c r="B87" s="20" t="s">
        <v>121</v>
      </c>
      <c r="C87" s="21" t="s">
        <v>122</v>
      </c>
      <c r="D87" s="20" t="s">
        <v>7</v>
      </c>
      <c r="E87" s="23">
        <v>400</v>
      </c>
      <c r="F87" s="23"/>
    </row>
    <row r="88" spans="1:6" s="24" customFormat="1" ht="13.65" customHeight="1" x14ac:dyDescent="0.3">
      <c r="A88" s="20" t="s">
        <v>42</v>
      </c>
      <c r="B88" s="20" t="s">
        <v>123</v>
      </c>
      <c r="C88" s="21" t="s">
        <v>124</v>
      </c>
      <c r="D88" s="20" t="s">
        <v>7</v>
      </c>
      <c r="E88" s="23">
        <v>713</v>
      </c>
      <c r="F88" s="23"/>
    </row>
    <row r="89" spans="1:6" s="24" customFormat="1" ht="13.65" customHeight="1" thickBot="1" x14ac:dyDescent="0.35">
      <c r="A89" s="37"/>
      <c r="B89" s="37"/>
      <c r="C89" s="38"/>
      <c r="D89" s="37"/>
      <c r="E89" s="40"/>
      <c r="F89" s="41"/>
    </row>
    <row r="90" spans="1:6" s="24" customFormat="1" ht="13.65" customHeight="1" thickBot="1" x14ac:dyDescent="0.35">
      <c r="A90" s="37"/>
      <c r="B90" s="37"/>
      <c r="C90" s="38"/>
      <c r="D90" s="37"/>
      <c r="E90" s="40"/>
      <c r="F90" s="41"/>
    </row>
    <row r="91" spans="1:6" ht="13.65" customHeight="1" thickBot="1" x14ac:dyDescent="0.35">
      <c r="A91" s="5"/>
      <c r="B91" s="5"/>
      <c r="C91" s="6"/>
      <c r="D91" s="5"/>
      <c r="E91" s="7">
        <f>SUM(E84:E89)</f>
        <v>3517</v>
      </c>
      <c r="F91" s="8"/>
    </row>
    <row r="92" spans="1:6" s="24" customFormat="1" ht="13.65" customHeight="1" x14ac:dyDescent="0.3">
      <c r="A92" s="16" t="s">
        <v>125</v>
      </c>
      <c r="B92" s="16" t="s">
        <v>126</v>
      </c>
      <c r="C92" s="17" t="s">
        <v>127</v>
      </c>
      <c r="D92" s="16" t="s">
        <v>7</v>
      </c>
      <c r="E92" s="31">
        <v>19</v>
      </c>
      <c r="F92" s="31"/>
    </row>
    <row r="93" spans="1:6" s="24" customFormat="1" ht="13.65" customHeight="1" x14ac:dyDescent="0.3">
      <c r="A93" s="20" t="s">
        <v>125</v>
      </c>
      <c r="B93" s="20" t="s">
        <v>128</v>
      </c>
      <c r="C93" s="21" t="s">
        <v>129</v>
      </c>
      <c r="D93" s="20" t="s">
        <v>7</v>
      </c>
      <c r="E93" s="23">
        <v>19</v>
      </c>
      <c r="F93" s="23"/>
    </row>
    <row r="94" spans="1:6" s="24" customFormat="1" ht="13.65" customHeight="1" x14ac:dyDescent="0.3">
      <c r="A94" s="20" t="s">
        <v>125</v>
      </c>
      <c r="B94" s="20" t="s">
        <v>130</v>
      </c>
      <c r="C94" s="21" t="s">
        <v>131</v>
      </c>
      <c r="D94" s="20" t="s">
        <v>7</v>
      </c>
      <c r="E94" s="23">
        <v>26</v>
      </c>
      <c r="F94" s="23"/>
    </row>
    <row r="95" spans="1:6" s="24" customFormat="1" ht="13.65" customHeight="1" x14ac:dyDescent="0.3">
      <c r="A95" s="20" t="s">
        <v>125</v>
      </c>
      <c r="B95" s="20" t="s">
        <v>132</v>
      </c>
      <c r="C95" s="21" t="s">
        <v>133</v>
      </c>
      <c r="D95" s="20" t="s">
        <v>7</v>
      </c>
      <c r="E95" s="23">
        <v>10</v>
      </c>
      <c r="F95" s="23"/>
    </row>
    <row r="96" spans="1:6" s="24" customFormat="1" ht="13.65" customHeight="1" x14ac:dyDescent="0.3">
      <c r="A96" s="20" t="s">
        <v>125</v>
      </c>
      <c r="B96" s="20" t="s">
        <v>134</v>
      </c>
      <c r="C96" s="21" t="s">
        <v>135</v>
      </c>
      <c r="D96" s="20" t="s">
        <v>7</v>
      </c>
      <c r="E96" s="23">
        <v>7</v>
      </c>
      <c r="F96" s="23"/>
    </row>
    <row r="97" spans="1:6" s="24" customFormat="1" ht="13.65" customHeight="1" x14ac:dyDescent="0.3">
      <c r="A97" s="20" t="s">
        <v>125</v>
      </c>
      <c r="B97" s="20" t="s">
        <v>136</v>
      </c>
      <c r="C97" s="21" t="s">
        <v>137</v>
      </c>
      <c r="D97" s="20" t="s">
        <v>7</v>
      </c>
      <c r="E97" s="23">
        <v>20</v>
      </c>
      <c r="F97" s="23"/>
    </row>
    <row r="98" spans="1:6" s="24" customFormat="1" ht="13.65" customHeight="1" x14ac:dyDescent="0.3">
      <c r="A98" s="20" t="s">
        <v>125</v>
      </c>
      <c r="B98" s="20" t="s">
        <v>138</v>
      </c>
      <c r="C98" s="21" t="s">
        <v>139</v>
      </c>
      <c r="D98" s="20" t="s">
        <v>7</v>
      </c>
      <c r="E98" s="23">
        <v>32</v>
      </c>
      <c r="F98" s="23"/>
    </row>
    <row r="99" spans="1:6" s="24" customFormat="1" ht="13.65" customHeight="1" x14ac:dyDescent="0.3">
      <c r="A99" s="20" t="s">
        <v>125</v>
      </c>
      <c r="B99" s="20" t="s">
        <v>140</v>
      </c>
      <c r="C99" s="21" t="s">
        <v>141</v>
      </c>
      <c r="D99" s="20" t="s">
        <v>7</v>
      </c>
      <c r="E99" s="23">
        <v>68</v>
      </c>
      <c r="F99" s="23"/>
    </row>
    <row r="100" spans="1:6" s="24" customFormat="1" ht="13.65" customHeight="1" x14ac:dyDescent="0.3">
      <c r="A100" s="20" t="s">
        <v>125</v>
      </c>
      <c r="B100" s="20" t="s">
        <v>142</v>
      </c>
      <c r="C100" s="21" t="s">
        <v>143</v>
      </c>
      <c r="D100" s="20" t="s">
        <v>7</v>
      </c>
      <c r="E100" s="23">
        <v>10</v>
      </c>
      <c r="F100" s="23"/>
    </row>
    <row r="101" spans="1:6" s="24" customFormat="1" ht="13.65" customHeight="1" x14ac:dyDescent="0.3">
      <c r="A101" s="20" t="s">
        <v>125</v>
      </c>
      <c r="B101" s="20" t="s">
        <v>144</v>
      </c>
      <c r="C101" s="21" t="s">
        <v>145</v>
      </c>
      <c r="D101" s="20" t="s">
        <v>7</v>
      </c>
      <c r="E101" s="23">
        <v>10</v>
      </c>
      <c r="F101" s="23"/>
    </row>
    <row r="102" spans="1:6" s="24" customFormat="1" ht="13.65" customHeight="1" x14ac:dyDescent="0.3">
      <c r="A102" s="20" t="s">
        <v>125</v>
      </c>
      <c r="B102" s="20" t="s">
        <v>146</v>
      </c>
      <c r="C102" s="21" t="s">
        <v>147</v>
      </c>
      <c r="D102" s="20" t="s">
        <v>7</v>
      </c>
      <c r="E102" s="23">
        <v>20</v>
      </c>
      <c r="F102" s="23"/>
    </row>
    <row r="103" spans="1:6" s="24" customFormat="1" ht="13.65" customHeight="1" x14ac:dyDescent="0.3">
      <c r="A103" s="20" t="s">
        <v>125</v>
      </c>
      <c r="B103" s="20" t="s">
        <v>148</v>
      </c>
      <c r="C103" s="21" t="s">
        <v>149</v>
      </c>
      <c r="D103" s="20" t="s">
        <v>7</v>
      </c>
      <c r="E103" s="23">
        <v>10</v>
      </c>
      <c r="F103" s="23"/>
    </row>
    <row r="104" spans="1:6" s="24" customFormat="1" ht="13.65" customHeight="1" x14ac:dyDescent="0.3">
      <c r="A104" s="20" t="s">
        <v>125</v>
      </c>
      <c r="B104" s="20" t="s">
        <v>150</v>
      </c>
      <c r="C104" s="21" t="s">
        <v>151</v>
      </c>
      <c r="D104" s="20" t="s">
        <v>7</v>
      </c>
      <c r="E104" s="23">
        <v>0</v>
      </c>
      <c r="F104" s="23"/>
    </row>
    <row r="105" spans="1:6" s="24" customFormat="1" ht="13.65" customHeight="1" x14ac:dyDescent="0.3">
      <c r="A105" s="20" t="s">
        <v>125</v>
      </c>
      <c r="B105" s="20" t="s">
        <v>152</v>
      </c>
      <c r="C105" s="21" t="s">
        <v>153</v>
      </c>
      <c r="D105" s="20" t="s">
        <v>7</v>
      </c>
      <c r="E105" s="23">
        <v>0</v>
      </c>
      <c r="F105" s="23"/>
    </row>
    <row r="106" spans="1:6" s="24" customFormat="1" ht="13.65" customHeight="1" x14ac:dyDescent="0.3">
      <c r="A106" s="20" t="s">
        <v>125</v>
      </c>
      <c r="B106" s="20" t="s">
        <v>154</v>
      </c>
      <c r="C106" s="21" t="s">
        <v>155</v>
      </c>
      <c r="D106" s="20" t="s">
        <v>7</v>
      </c>
      <c r="E106" s="23">
        <v>0</v>
      </c>
      <c r="F106" s="23"/>
    </row>
    <row r="107" spans="1:6" s="24" customFormat="1" ht="13.65" customHeight="1" x14ac:dyDescent="0.3">
      <c r="A107" s="20" t="s">
        <v>125</v>
      </c>
      <c r="B107" s="20" t="s">
        <v>156</v>
      </c>
      <c r="C107" s="21" t="s">
        <v>157</v>
      </c>
      <c r="D107" s="20" t="s">
        <v>7</v>
      </c>
      <c r="E107" s="23">
        <v>0</v>
      </c>
      <c r="F107" s="23"/>
    </row>
    <row r="108" spans="1:6" s="24" customFormat="1" ht="13.65" customHeight="1" x14ac:dyDescent="0.3">
      <c r="A108" s="20" t="s">
        <v>125</v>
      </c>
      <c r="B108" s="20" t="s">
        <v>158</v>
      </c>
      <c r="C108" s="21" t="s">
        <v>159</v>
      </c>
      <c r="D108" s="20" t="s">
        <v>7</v>
      </c>
      <c r="E108" s="23">
        <v>0</v>
      </c>
      <c r="F108" s="23"/>
    </row>
    <row r="109" spans="1:6" s="24" customFormat="1" ht="13.65" customHeight="1" x14ac:dyDescent="0.3">
      <c r="A109" s="20" t="s">
        <v>125</v>
      </c>
      <c r="B109" s="20" t="s">
        <v>160</v>
      </c>
      <c r="C109" s="21" t="s">
        <v>161</v>
      </c>
      <c r="D109" s="20" t="s">
        <v>7</v>
      </c>
      <c r="E109" s="23">
        <v>0</v>
      </c>
      <c r="F109" s="23"/>
    </row>
    <row r="110" spans="1:6" s="24" customFormat="1" ht="13.65" customHeight="1" x14ac:dyDescent="0.3">
      <c r="A110" s="20" t="s">
        <v>125</v>
      </c>
      <c r="B110" s="20" t="s">
        <v>162</v>
      </c>
      <c r="C110" s="21" t="s">
        <v>163</v>
      </c>
      <c r="D110" s="20" t="s">
        <v>7</v>
      </c>
      <c r="E110" s="23">
        <v>0</v>
      </c>
      <c r="F110" s="23"/>
    </row>
    <row r="111" spans="1:6" s="24" customFormat="1" ht="13.65" customHeight="1" x14ac:dyDescent="0.3">
      <c r="A111" s="20" t="s">
        <v>125</v>
      </c>
      <c r="B111" s="20" t="s">
        <v>164</v>
      </c>
      <c r="C111" s="21" t="s">
        <v>165</v>
      </c>
      <c r="D111" s="20" t="s">
        <v>7</v>
      </c>
      <c r="E111" s="23">
        <v>0</v>
      </c>
      <c r="F111" s="23"/>
    </row>
    <row r="112" spans="1:6" s="24" customFormat="1" ht="13.65" customHeight="1" x14ac:dyDescent="0.3">
      <c r="A112" s="20" t="s">
        <v>125</v>
      </c>
      <c r="B112" s="20" t="s">
        <v>166</v>
      </c>
      <c r="C112" s="21" t="s">
        <v>167</v>
      </c>
      <c r="D112" s="20" t="s">
        <v>7</v>
      </c>
      <c r="E112" s="23">
        <v>0</v>
      </c>
      <c r="F112" s="23"/>
    </row>
    <row r="113" spans="1:6" s="24" customFormat="1" ht="13.65" customHeight="1" x14ac:dyDescent="0.3">
      <c r="A113" s="20" t="s">
        <v>125</v>
      </c>
      <c r="B113" s="26">
        <v>2502535</v>
      </c>
      <c r="C113" s="27" t="s">
        <v>168</v>
      </c>
      <c r="D113" s="20" t="s">
        <v>7</v>
      </c>
      <c r="E113" s="25">
        <v>7</v>
      </c>
      <c r="F113" s="25"/>
    </row>
    <row r="114" spans="1:6" s="24" customFormat="1" ht="13.65" customHeight="1" thickBot="1" x14ac:dyDescent="0.35">
      <c r="A114" s="20" t="s">
        <v>125</v>
      </c>
      <c r="B114" s="28" t="s">
        <v>169</v>
      </c>
      <c r="C114" s="29" t="s">
        <v>170</v>
      </c>
      <c r="D114" s="20" t="s">
        <v>7</v>
      </c>
      <c r="E114" s="30">
        <v>0</v>
      </c>
      <c r="F114" s="30"/>
    </row>
    <row r="115" spans="1:6" ht="13.65" customHeight="1" thickBot="1" x14ac:dyDescent="0.35">
      <c r="A115" s="1"/>
      <c r="B115" s="1"/>
      <c r="C115" s="13"/>
      <c r="D115" s="1"/>
      <c r="E115" s="14">
        <f>SUM(E92:E114)</f>
        <v>258</v>
      </c>
      <c r="F115" s="15"/>
    </row>
    <row r="116" spans="1:6" s="24" customFormat="1" ht="13.65" customHeight="1" x14ac:dyDescent="0.3">
      <c r="A116" s="16" t="s">
        <v>171</v>
      </c>
      <c r="B116" s="16" t="s">
        <v>172</v>
      </c>
      <c r="C116" s="17" t="s">
        <v>173</v>
      </c>
      <c r="D116" s="16" t="s">
        <v>174</v>
      </c>
      <c r="E116" s="31">
        <v>0</v>
      </c>
      <c r="F116" s="31"/>
    </row>
    <row r="117" spans="1:6" s="24" customFormat="1" ht="13.65" customHeight="1" x14ac:dyDescent="0.3">
      <c r="A117" s="20" t="s">
        <v>175</v>
      </c>
      <c r="B117" s="20">
        <v>50736306</v>
      </c>
      <c r="C117" s="21" t="s">
        <v>176</v>
      </c>
      <c r="D117" s="20" t="s">
        <v>177</v>
      </c>
      <c r="E117" s="23">
        <v>0</v>
      </c>
      <c r="F117" s="23"/>
    </row>
    <row r="118" spans="1:6" s="24" customFormat="1" ht="13.65" customHeight="1" x14ac:dyDescent="0.3">
      <c r="A118" s="20" t="s">
        <v>175</v>
      </c>
      <c r="B118" s="20">
        <v>56553321</v>
      </c>
      <c r="C118" s="21" t="s">
        <v>178</v>
      </c>
      <c r="D118" s="20" t="s">
        <v>177</v>
      </c>
      <c r="E118" s="20">
        <v>0</v>
      </c>
      <c r="F118" s="20"/>
    </row>
    <row r="119" spans="1:6" s="24" customFormat="1" ht="13.65" customHeight="1" x14ac:dyDescent="0.3">
      <c r="A119" s="20" t="s">
        <v>175</v>
      </c>
      <c r="B119" s="20">
        <v>51715481</v>
      </c>
      <c r="C119" s="21" t="s">
        <v>179</v>
      </c>
      <c r="D119" s="20" t="s">
        <v>177</v>
      </c>
      <c r="E119" s="23">
        <v>0</v>
      </c>
      <c r="F119" s="23"/>
    </row>
    <row r="120" spans="1:6" s="24" customFormat="1" ht="13.65" customHeight="1" x14ac:dyDescent="0.3">
      <c r="A120" s="20" t="s">
        <v>175</v>
      </c>
      <c r="B120" s="20">
        <v>486308</v>
      </c>
      <c r="C120" s="21" t="s">
        <v>180</v>
      </c>
      <c r="D120" s="20" t="s">
        <v>181</v>
      </c>
      <c r="E120" s="23">
        <v>0</v>
      </c>
      <c r="F120" s="23"/>
    </row>
    <row r="121" spans="1:6" ht="13.65" customHeight="1" thickBot="1" x14ac:dyDescent="0.35">
      <c r="A121" s="9"/>
      <c r="B121" s="9"/>
      <c r="C121" s="10"/>
      <c r="D121" s="9"/>
      <c r="E121" s="11">
        <v>0</v>
      </c>
      <c r="F121" s="11"/>
    </row>
  </sheetData>
  <protectedRanges>
    <protectedRange sqref="E2:F2 F78" name="Range2"/>
    <protectedRange sqref="E2:F2 F78" name="Range1"/>
    <protectedRange sqref="E1:F1" name="Range2_1"/>
    <protectedRange sqref="E1:F1" name="Range1_1"/>
    <protectedRange sqref="E78 E36:F36" name="Range2_3"/>
    <protectedRange sqref="E78 E36:F36" name="Range1_3"/>
  </protectedRanges>
  <conditionalFormatting sqref="C6">
    <cfRule type="duplicateValues" dxfId="65" priority="3"/>
  </conditionalFormatting>
  <conditionalFormatting sqref="C23:C24">
    <cfRule type="duplicateValues" dxfId="64" priority="8"/>
  </conditionalFormatting>
  <conditionalFormatting sqref="C26">
    <cfRule type="duplicateValues" dxfId="63" priority="7"/>
  </conditionalFormatting>
  <conditionalFormatting sqref="C29 C4">
    <cfRule type="duplicateValues" dxfId="62" priority="19"/>
  </conditionalFormatting>
  <conditionalFormatting sqref="C30 C25 C27:C28 C7:C13 C3 C15:C22">
    <cfRule type="duplicateValues" dxfId="61" priority="11"/>
  </conditionalFormatting>
  <conditionalFormatting sqref="C31:C35">
    <cfRule type="duplicateValues" dxfId="60" priority="10"/>
  </conditionalFormatting>
  <conditionalFormatting sqref="E2:F36">
    <cfRule type="cellIs" dxfId="59" priority="2" stopIfTrue="1" operator="lessThan">
      <formula>0</formula>
    </cfRule>
  </conditionalFormatting>
  <conditionalFormatting sqref="E38:F117">
    <cfRule type="cellIs" dxfId="58" priority="1" stopIfTrue="1" operator="lessThan">
      <formula>0</formula>
    </cfRule>
  </conditionalFormatting>
  <conditionalFormatting sqref="E119:F121">
    <cfRule type="cellIs" dxfId="57" priority="5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BB51-36B0-4F48-BE30-B67F9BC9CEA6}">
  <dimension ref="A1:I122"/>
  <sheetViews>
    <sheetView topLeftCell="C51" zoomScale="110" zoomScaleNormal="110" workbookViewId="0">
      <selection activeCell="A71" sqref="A71:XFD71"/>
    </sheetView>
  </sheetViews>
  <sheetFormatPr defaultRowHeight="14.4" x14ac:dyDescent="0.3"/>
  <cols>
    <col min="1" max="1" width="12" bestFit="1" customWidth="1"/>
    <col min="2" max="2" width="24.5546875" bestFit="1" customWidth="1"/>
    <col min="3" max="3" width="61.109375" customWidth="1"/>
    <col min="4" max="4" width="6.109375" bestFit="1" customWidth="1"/>
    <col min="5" max="5" width="9.88671875" style="89" customWidth="1"/>
    <col min="6" max="6" width="14.5546875" style="92" customWidth="1"/>
    <col min="7" max="7" width="9.88671875" customWidth="1"/>
  </cols>
  <sheetData>
    <row r="1" spans="1:7" s="36" customFormat="1" ht="25.65" customHeight="1" thickBot="1" x14ac:dyDescent="0.35">
      <c r="A1" s="35" t="s">
        <v>0</v>
      </c>
      <c r="B1" s="35" t="s">
        <v>1</v>
      </c>
      <c r="C1" s="35" t="s">
        <v>2</v>
      </c>
      <c r="D1" s="35" t="s">
        <v>3</v>
      </c>
      <c r="E1" s="35" t="s">
        <v>211</v>
      </c>
      <c r="F1" s="35" t="s">
        <v>183</v>
      </c>
      <c r="G1" s="35" t="s">
        <v>210</v>
      </c>
    </row>
    <row r="2" spans="1:7" ht="10.5" customHeight="1" thickBot="1" x14ac:dyDescent="0.35">
      <c r="A2" s="1"/>
      <c r="B2" s="1"/>
      <c r="C2" s="2"/>
      <c r="D2" s="3"/>
      <c r="E2" s="86"/>
      <c r="F2" s="4"/>
      <c r="G2" s="4"/>
    </row>
    <row r="3" spans="1:7" ht="13.65" customHeight="1" x14ac:dyDescent="0.3">
      <c r="A3" s="16" t="s">
        <v>4</v>
      </c>
      <c r="B3" s="16" t="s">
        <v>5</v>
      </c>
      <c r="C3" s="17" t="s">
        <v>6</v>
      </c>
      <c r="D3" s="16" t="s">
        <v>7</v>
      </c>
      <c r="E3" s="19">
        <v>28</v>
      </c>
      <c r="F3" s="19">
        <v>26</v>
      </c>
      <c r="G3" s="19">
        <f>E3-F3</f>
        <v>2</v>
      </c>
    </row>
    <row r="4" spans="1:7" ht="13.65" customHeight="1" x14ac:dyDescent="0.3">
      <c r="A4" s="20" t="s">
        <v>4</v>
      </c>
      <c r="B4" s="20" t="s">
        <v>206</v>
      </c>
      <c r="C4" s="21" t="s">
        <v>207</v>
      </c>
      <c r="D4" s="20" t="s">
        <v>7</v>
      </c>
      <c r="E4" s="23">
        <v>22</v>
      </c>
      <c r="F4" s="23">
        <v>18</v>
      </c>
      <c r="G4" s="19">
        <f t="shared" ref="G4:G59" si="0">E4-F4</f>
        <v>4</v>
      </c>
    </row>
    <row r="5" spans="1:7" s="24" customFormat="1" ht="13.65" customHeight="1" x14ac:dyDescent="0.3">
      <c r="A5" s="20" t="s">
        <v>4</v>
      </c>
      <c r="B5" s="20" t="s">
        <v>197</v>
      </c>
      <c r="C5" s="21" t="s">
        <v>198</v>
      </c>
      <c r="D5" s="20" t="s">
        <v>7</v>
      </c>
      <c r="E5" s="23">
        <v>11</v>
      </c>
      <c r="F5" s="23">
        <v>0</v>
      </c>
      <c r="G5" s="19">
        <f t="shared" si="0"/>
        <v>11</v>
      </c>
    </row>
    <row r="6" spans="1:7" ht="13.65" customHeight="1" x14ac:dyDescent="0.3">
      <c r="A6" s="20" t="s">
        <v>4</v>
      </c>
      <c r="B6" s="20" t="s">
        <v>193</v>
      </c>
      <c r="C6" s="21" t="s">
        <v>194</v>
      </c>
      <c r="D6" s="20" t="s">
        <v>7</v>
      </c>
      <c r="E6" s="23">
        <v>20</v>
      </c>
      <c r="F6" s="23">
        <v>18</v>
      </c>
      <c r="G6" s="19">
        <f t="shared" si="0"/>
        <v>2</v>
      </c>
    </row>
    <row r="7" spans="1:7" ht="13.65" customHeight="1" x14ac:dyDescent="0.3">
      <c r="A7" s="20" t="s">
        <v>4</v>
      </c>
      <c r="B7" s="20" t="s">
        <v>8</v>
      </c>
      <c r="C7" s="21" t="s">
        <v>9</v>
      </c>
      <c r="D7" s="20" t="s">
        <v>7</v>
      </c>
      <c r="E7" s="22">
        <v>55</v>
      </c>
      <c r="F7" s="22">
        <v>55</v>
      </c>
      <c r="G7" s="19">
        <f t="shared" si="0"/>
        <v>0</v>
      </c>
    </row>
    <row r="8" spans="1:7" ht="13.65" customHeight="1" x14ac:dyDescent="0.3">
      <c r="A8" s="20" t="s">
        <v>4</v>
      </c>
      <c r="B8" s="20" t="s">
        <v>10</v>
      </c>
      <c r="C8" s="21" t="s">
        <v>11</v>
      </c>
      <c r="D8" s="20" t="s">
        <v>7</v>
      </c>
      <c r="E8" s="22">
        <v>215</v>
      </c>
      <c r="F8" s="22">
        <v>145</v>
      </c>
      <c r="G8" s="19">
        <f t="shared" si="0"/>
        <v>70</v>
      </c>
    </row>
    <row r="9" spans="1:7" ht="13.65" customHeight="1" x14ac:dyDescent="0.3">
      <c r="A9" s="20" t="s">
        <v>4</v>
      </c>
      <c r="B9" s="20" t="s">
        <v>12</v>
      </c>
      <c r="C9" s="21" t="s">
        <v>13</v>
      </c>
      <c r="D9" s="20" t="s">
        <v>7</v>
      </c>
      <c r="E9" s="22">
        <v>185</v>
      </c>
      <c r="F9" s="22">
        <v>370</v>
      </c>
      <c r="G9" s="19">
        <f t="shared" si="0"/>
        <v>-185</v>
      </c>
    </row>
    <row r="10" spans="1:7" ht="13.65" customHeight="1" x14ac:dyDescent="0.3">
      <c r="A10" s="20" t="s">
        <v>4</v>
      </c>
      <c r="B10" s="20" t="s">
        <v>14</v>
      </c>
      <c r="C10" s="21" t="s">
        <v>15</v>
      </c>
      <c r="D10" s="20" t="s">
        <v>7</v>
      </c>
      <c r="E10" s="22">
        <v>15</v>
      </c>
      <c r="F10" s="22">
        <v>3</v>
      </c>
      <c r="G10" s="19">
        <f t="shared" si="0"/>
        <v>12</v>
      </c>
    </row>
    <row r="11" spans="1:7" ht="13.65" customHeight="1" x14ac:dyDescent="0.3">
      <c r="A11" s="20" t="s">
        <v>4</v>
      </c>
      <c r="B11" s="20" t="s">
        <v>16</v>
      </c>
      <c r="C11" s="21" t="s">
        <v>17</v>
      </c>
      <c r="D11" s="20" t="s">
        <v>7</v>
      </c>
      <c r="E11" s="22">
        <v>70</v>
      </c>
      <c r="F11" s="22">
        <v>55</v>
      </c>
      <c r="G11" s="19">
        <f t="shared" si="0"/>
        <v>15</v>
      </c>
    </row>
    <row r="12" spans="1:7" ht="13.65" customHeight="1" x14ac:dyDescent="0.3">
      <c r="A12" s="20" t="s">
        <v>4</v>
      </c>
      <c r="B12" s="20" t="s">
        <v>18</v>
      </c>
      <c r="C12" s="21" t="s">
        <v>19</v>
      </c>
      <c r="D12" s="20" t="s">
        <v>7</v>
      </c>
      <c r="E12" s="18">
        <v>57</v>
      </c>
      <c r="F12" s="18">
        <v>50</v>
      </c>
      <c r="G12" s="19">
        <f t="shared" si="0"/>
        <v>7</v>
      </c>
    </row>
    <row r="13" spans="1:7" ht="13.65" customHeight="1" x14ac:dyDescent="0.3">
      <c r="A13" s="20" t="s">
        <v>4</v>
      </c>
      <c r="B13" s="20" t="s">
        <v>20</v>
      </c>
      <c r="C13" s="21" t="s">
        <v>21</v>
      </c>
      <c r="D13" s="20" t="s">
        <v>7</v>
      </c>
      <c r="E13" s="18">
        <v>41</v>
      </c>
      <c r="F13" s="18">
        <v>20</v>
      </c>
      <c r="G13" s="19">
        <f t="shared" si="0"/>
        <v>21</v>
      </c>
    </row>
    <row r="14" spans="1:7" s="24" customFormat="1" ht="13.65" customHeight="1" x14ac:dyDescent="0.3">
      <c r="A14" s="20" t="s">
        <v>4</v>
      </c>
      <c r="B14" s="20" t="s">
        <v>204</v>
      </c>
      <c r="C14" s="21" t="s">
        <v>205</v>
      </c>
      <c r="D14" s="20" t="s">
        <v>7</v>
      </c>
      <c r="E14" s="23">
        <v>200</v>
      </c>
      <c r="F14" s="23">
        <v>150</v>
      </c>
      <c r="G14" s="19">
        <f t="shared" si="0"/>
        <v>50</v>
      </c>
    </row>
    <row r="15" spans="1:7" ht="13.65" customHeight="1" x14ac:dyDescent="0.3">
      <c r="A15" s="32" t="s">
        <v>4</v>
      </c>
      <c r="B15" s="32" t="s">
        <v>22</v>
      </c>
      <c r="C15" s="33" t="s">
        <v>23</v>
      </c>
      <c r="D15" s="32" t="s">
        <v>7</v>
      </c>
      <c r="E15" s="48">
        <v>61</v>
      </c>
      <c r="F15" s="49">
        <v>88</v>
      </c>
      <c r="G15" s="19">
        <f t="shared" si="0"/>
        <v>-27</v>
      </c>
    </row>
    <row r="16" spans="1:7" ht="13.65" customHeight="1" x14ac:dyDescent="0.3">
      <c r="A16" s="20" t="s">
        <v>4</v>
      </c>
      <c r="B16" s="20" t="s">
        <v>24</v>
      </c>
      <c r="C16" s="21" t="s">
        <v>25</v>
      </c>
      <c r="D16" s="20" t="s">
        <v>7</v>
      </c>
      <c r="E16" s="18">
        <v>30</v>
      </c>
      <c r="F16" s="22">
        <v>27</v>
      </c>
      <c r="G16" s="19">
        <f t="shared" si="0"/>
        <v>3</v>
      </c>
    </row>
    <row r="17" spans="1:7" ht="13.65" customHeight="1" x14ac:dyDescent="0.3">
      <c r="A17" s="20" t="s">
        <v>4</v>
      </c>
      <c r="B17" s="20" t="s">
        <v>26</v>
      </c>
      <c r="C17" s="21" t="s">
        <v>27</v>
      </c>
      <c r="D17" s="20" t="s">
        <v>7</v>
      </c>
      <c r="E17" s="22">
        <v>75</v>
      </c>
      <c r="F17" s="22">
        <v>75</v>
      </c>
      <c r="G17" s="19">
        <f t="shared" si="0"/>
        <v>0</v>
      </c>
    </row>
    <row r="18" spans="1:7" ht="13.65" customHeight="1" x14ac:dyDescent="0.3">
      <c r="A18" s="20" t="s">
        <v>4</v>
      </c>
      <c r="B18" s="20" t="s">
        <v>28</v>
      </c>
      <c r="C18" s="21" t="s">
        <v>29</v>
      </c>
      <c r="D18" s="20" t="s">
        <v>7</v>
      </c>
      <c r="E18" s="22">
        <v>211</v>
      </c>
      <c r="F18" s="22">
        <v>136</v>
      </c>
      <c r="G18" s="19">
        <f t="shared" si="0"/>
        <v>75</v>
      </c>
    </row>
    <row r="19" spans="1:7" ht="13.65" customHeight="1" x14ac:dyDescent="0.3">
      <c r="A19" s="20" t="s">
        <v>4</v>
      </c>
      <c r="B19" s="20" t="s">
        <v>30</v>
      </c>
      <c r="C19" s="21" t="s">
        <v>31</v>
      </c>
      <c r="D19" s="20" t="s">
        <v>7</v>
      </c>
      <c r="E19" s="19">
        <v>66</v>
      </c>
      <c r="F19" s="19">
        <v>61</v>
      </c>
      <c r="G19" s="19">
        <f t="shared" si="0"/>
        <v>5</v>
      </c>
    </row>
    <row r="20" spans="1:7" ht="13.65" customHeight="1" x14ac:dyDescent="0.3">
      <c r="A20" s="20" t="s">
        <v>4</v>
      </c>
      <c r="B20" s="20" t="s">
        <v>32</v>
      </c>
      <c r="C20" s="21" t="s">
        <v>33</v>
      </c>
      <c r="D20" s="20" t="s">
        <v>7</v>
      </c>
      <c r="E20" s="19">
        <v>49</v>
      </c>
      <c r="F20" s="19">
        <v>45</v>
      </c>
      <c r="G20" s="19">
        <f t="shared" si="0"/>
        <v>4</v>
      </c>
    </row>
    <row r="21" spans="1:7" ht="13.65" customHeight="1" x14ac:dyDescent="0.3">
      <c r="A21" s="20" t="s">
        <v>4</v>
      </c>
      <c r="B21" s="20" t="s">
        <v>34</v>
      </c>
      <c r="C21" s="21" t="s">
        <v>35</v>
      </c>
      <c r="D21" s="20" t="s">
        <v>7</v>
      </c>
      <c r="E21" s="19">
        <v>7</v>
      </c>
      <c r="F21" s="19">
        <v>7</v>
      </c>
      <c r="G21" s="19">
        <f t="shared" si="0"/>
        <v>0</v>
      </c>
    </row>
    <row r="22" spans="1:7" ht="13.65" customHeight="1" x14ac:dyDescent="0.3">
      <c r="A22" s="20" t="s">
        <v>4</v>
      </c>
      <c r="B22" s="20" t="s">
        <v>36</v>
      </c>
      <c r="C22" s="21" t="s">
        <v>37</v>
      </c>
      <c r="D22" s="20" t="s">
        <v>7</v>
      </c>
      <c r="E22" s="19">
        <v>7</v>
      </c>
      <c r="F22" s="19">
        <v>6</v>
      </c>
      <c r="G22" s="19">
        <f t="shared" si="0"/>
        <v>1</v>
      </c>
    </row>
    <row r="23" spans="1:7" ht="13.65" customHeight="1" x14ac:dyDescent="0.3">
      <c r="A23" s="20"/>
      <c r="B23" s="20"/>
      <c r="C23" s="21"/>
      <c r="D23" s="20"/>
      <c r="E23" s="23"/>
      <c r="F23" s="23"/>
      <c r="G23" s="19">
        <f t="shared" si="0"/>
        <v>0</v>
      </c>
    </row>
    <row r="24" spans="1:7" ht="13.65" customHeight="1" x14ac:dyDescent="0.3">
      <c r="A24" s="20" t="s">
        <v>4</v>
      </c>
      <c r="B24" s="20" t="s">
        <v>38</v>
      </c>
      <c r="C24" s="21" t="s">
        <v>39</v>
      </c>
      <c r="D24" s="20" t="s">
        <v>7</v>
      </c>
      <c r="E24" s="23">
        <v>47</v>
      </c>
      <c r="F24" s="23">
        <v>46</v>
      </c>
      <c r="G24" s="19">
        <f t="shared" si="0"/>
        <v>1</v>
      </c>
    </row>
    <row r="25" spans="1:7" ht="13.65" customHeight="1" x14ac:dyDescent="0.3">
      <c r="A25" s="20" t="s">
        <v>4</v>
      </c>
      <c r="B25" s="20" t="s">
        <v>40</v>
      </c>
      <c r="C25" s="21" t="s">
        <v>41</v>
      </c>
      <c r="D25" s="20" t="s">
        <v>7</v>
      </c>
      <c r="E25" s="23">
        <v>7</v>
      </c>
      <c r="F25" s="23">
        <v>7</v>
      </c>
      <c r="G25" s="19">
        <f t="shared" si="0"/>
        <v>0</v>
      </c>
    </row>
    <row r="26" spans="1:7" ht="13.65" customHeight="1" x14ac:dyDescent="0.3">
      <c r="A26" s="20"/>
      <c r="B26" s="20"/>
      <c r="C26" s="21"/>
      <c r="D26" s="20"/>
      <c r="E26" s="23"/>
      <c r="F26" s="23"/>
      <c r="G26" s="19">
        <f t="shared" si="0"/>
        <v>0</v>
      </c>
    </row>
    <row r="27" spans="1:7" ht="13.65" customHeight="1" x14ac:dyDescent="0.3">
      <c r="A27" s="20" t="s">
        <v>42</v>
      </c>
      <c r="B27" s="20" t="s">
        <v>43</v>
      </c>
      <c r="C27" s="21" t="s">
        <v>44</v>
      </c>
      <c r="D27" s="20" t="s">
        <v>7</v>
      </c>
      <c r="E27" s="23">
        <v>32</v>
      </c>
      <c r="F27" s="23">
        <v>30</v>
      </c>
      <c r="G27" s="19">
        <f t="shared" si="0"/>
        <v>2</v>
      </c>
    </row>
    <row r="28" spans="1:7" ht="13.65" customHeight="1" x14ac:dyDescent="0.3">
      <c r="A28" s="20" t="s">
        <v>42</v>
      </c>
      <c r="B28" s="20" t="s">
        <v>45</v>
      </c>
      <c r="C28" s="21" t="s">
        <v>46</v>
      </c>
      <c r="D28" s="20" t="s">
        <v>7</v>
      </c>
      <c r="E28" s="23">
        <v>0</v>
      </c>
      <c r="F28" s="23">
        <v>0</v>
      </c>
      <c r="G28" s="19">
        <f t="shared" si="0"/>
        <v>0</v>
      </c>
    </row>
    <row r="29" spans="1:7" ht="13.65" customHeight="1" x14ac:dyDescent="0.3">
      <c r="A29" s="20"/>
      <c r="B29" s="20"/>
      <c r="C29" s="21"/>
      <c r="D29" s="20"/>
      <c r="E29" s="23"/>
      <c r="F29" s="23"/>
      <c r="G29" s="19">
        <f t="shared" si="0"/>
        <v>0</v>
      </c>
    </row>
    <row r="30" spans="1:7" ht="13.65" customHeight="1" x14ac:dyDescent="0.3">
      <c r="A30" s="20" t="s">
        <v>47</v>
      </c>
      <c r="B30" s="20" t="s">
        <v>48</v>
      </c>
      <c r="C30" s="21" t="s">
        <v>49</v>
      </c>
      <c r="D30" s="20" t="s">
        <v>7</v>
      </c>
      <c r="E30" s="23">
        <v>0</v>
      </c>
      <c r="F30" s="81">
        <v>60</v>
      </c>
      <c r="G30" s="19">
        <f t="shared" si="0"/>
        <v>-60</v>
      </c>
    </row>
    <row r="31" spans="1:7" ht="13.65" customHeight="1" x14ac:dyDescent="0.3">
      <c r="A31" s="20" t="s">
        <v>47</v>
      </c>
      <c r="B31" s="20" t="s">
        <v>50</v>
      </c>
      <c r="C31" s="21" t="s">
        <v>51</v>
      </c>
      <c r="D31" s="20" t="s">
        <v>7</v>
      </c>
      <c r="E31" s="23">
        <v>0</v>
      </c>
      <c r="F31" s="81">
        <v>60</v>
      </c>
      <c r="G31" s="19">
        <f t="shared" si="0"/>
        <v>-60</v>
      </c>
    </row>
    <row r="32" spans="1:7" ht="13.65" customHeight="1" x14ac:dyDescent="0.3">
      <c r="A32" s="20" t="s">
        <v>47</v>
      </c>
      <c r="B32" s="20" t="s">
        <v>52</v>
      </c>
      <c r="C32" s="21" t="s">
        <v>185</v>
      </c>
      <c r="D32" s="20" t="s">
        <v>7</v>
      </c>
      <c r="E32" s="23">
        <v>42</v>
      </c>
      <c r="F32" s="81">
        <v>36</v>
      </c>
      <c r="G32" s="19">
        <f t="shared" si="0"/>
        <v>6</v>
      </c>
    </row>
    <row r="33" spans="1:7" ht="13.2" customHeight="1" x14ac:dyDescent="0.3">
      <c r="A33" s="20" t="s">
        <v>47</v>
      </c>
      <c r="B33" s="20" t="s">
        <v>54</v>
      </c>
      <c r="C33" s="21" t="s">
        <v>55</v>
      </c>
      <c r="D33" s="20" t="s">
        <v>7</v>
      </c>
      <c r="E33" s="23">
        <v>0</v>
      </c>
      <c r="F33" s="81">
        <v>50</v>
      </c>
      <c r="G33" s="19">
        <f t="shared" si="0"/>
        <v>-50</v>
      </c>
    </row>
    <row r="34" spans="1:7" ht="15.6" x14ac:dyDescent="0.3">
      <c r="A34" s="82" t="s">
        <v>4</v>
      </c>
      <c r="B34" s="20">
        <v>33191232</v>
      </c>
      <c r="C34" s="21" t="s">
        <v>55</v>
      </c>
      <c r="D34" s="79" t="s">
        <v>7</v>
      </c>
      <c r="E34" s="87">
        <v>45</v>
      </c>
      <c r="F34" s="90">
        <v>45</v>
      </c>
      <c r="G34" s="81"/>
    </row>
    <row r="35" spans="1:7" ht="16.2" thickBot="1" x14ac:dyDescent="0.35">
      <c r="A35" s="83" t="s">
        <v>4</v>
      </c>
      <c r="B35" s="28">
        <v>33191231</v>
      </c>
      <c r="C35" s="29" t="s">
        <v>57</v>
      </c>
      <c r="D35" s="84" t="s">
        <v>7</v>
      </c>
      <c r="E35" s="88">
        <v>41</v>
      </c>
      <c r="F35" s="91">
        <v>41</v>
      </c>
      <c r="G35" s="85"/>
    </row>
    <row r="36" spans="1:7" ht="13.65" customHeight="1" x14ac:dyDescent="0.3">
      <c r="A36" s="20"/>
      <c r="B36" s="20"/>
      <c r="C36" s="21"/>
      <c r="D36" s="20"/>
      <c r="E36" s="23"/>
      <c r="F36" s="23"/>
      <c r="G36" s="19"/>
    </row>
    <row r="37" spans="1:7" ht="13.65" customHeight="1" thickBot="1" x14ac:dyDescent="0.35">
      <c r="A37" s="5"/>
      <c r="B37" s="5"/>
      <c r="C37" s="6"/>
      <c r="D37" s="5"/>
      <c r="E37" s="7">
        <f>SUM(E3:E36)</f>
        <v>1639</v>
      </c>
      <c r="F37" s="8"/>
      <c r="G37" s="8">
        <f>SUM(G3:G36)</f>
        <v>-91</v>
      </c>
    </row>
    <row r="38" spans="1:7" s="24" customFormat="1" ht="13.65" customHeight="1" x14ac:dyDescent="0.3">
      <c r="A38" s="16" t="s">
        <v>4</v>
      </c>
      <c r="B38" s="16">
        <v>7358771515</v>
      </c>
      <c r="C38" s="17" t="s">
        <v>58</v>
      </c>
      <c r="D38" s="16" t="s">
        <v>7</v>
      </c>
      <c r="E38" s="20">
        <v>0</v>
      </c>
      <c r="F38" s="20"/>
      <c r="G38" s="19">
        <f t="shared" si="0"/>
        <v>0</v>
      </c>
    </row>
    <row r="39" spans="1:7" s="24" customFormat="1" ht="13.65" customHeight="1" x14ac:dyDescent="0.3">
      <c r="A39" s="20" t="s">
        <v>4</v>
      </c>
      <c r="B39" s="20">
        <v>7378761826</v>
      </c>
      <c r="C39" s="21" t="s">
        <v>59</v>
      </c>
      <c r="D39" s="20" t="s">
        <v>7</v>
      </c>
      <c r="E39" s="23">
        <v>0</v>
      </c>
      <c r="F39" s="23"/>
      <c r="G39" s="19">
        <f t="shared" si="0"/>
        <v>0</v>
      </c>
    </row>
    <row r="40" spans="1:7" s="24" customFormat="1" ht="13.65" customHeight="1" x14ac:dyDescent="0.3">
      <c r="A40" s="20" t="s">
        <v>4</v>
      </c>
      <c r="B40" s="20" t="s">
        <v>60</v>
      </c>
      <c r="C40" s="21" t="s">
        <v>61</v>
      </c>
      <c r="D40" s="20" t="s">
        <v>7</v>
      </c>
      <c r="E40" s="23">
        <v>0</v>
      </c>
      <c r="F40" s="23"/>
      <c r="G40" s="19">
        <f t="shared" si="0"/>
        <v>0</v>
      </c>
    </row>
    <row r="41" spans="1:7" s="24" customFormat="1" ht="13.65" customHeight="1" x14ac:dyDescent="0.3">
      <c r="A41" s="20" t="s">
        <v>4</v>
      </c>
      <c r="B41" s="20" t="s">
        <v>62</v>
      </c>
      <c r="C41" s="21" t="s">
        <v>63</v>
      </c>
      <c r="D41" s="20" t="s">
        <v>7</v>
      </c>
      <c r="E41" s="23">
        <v>0</v>
      </c>
      <c r="F41" s="23"/>
      <c r="G41" s="19">
        <f t="shared" si="0"/>
        <v>0</v>
      </c>
    </row>
    <row r="42" spans="1:7" s="24" customFormat="1" ht="13.65" customHeight="1" x14ac:dyDescent="0.3">
      <c r="A42" s="20" t="s">
        <v>4</v>
      </c>
      <c r="B42" s="20" t="s">
        <v>64</v>
      </c>
      <c r="C42" s="21" t="s">
        <v>65</v>
      </c>
      <c r="D42" s="20" t="s">
        <v>7</v>
      </c>
      <c r="E42" s="23">
        <v>0</v>
      </c>
      <c r="F42" s="23"/>
      <c r="G42" s="19">
        <f t="shared" si="0"/>
        <v>0</v>
      </c>
    </row>
    <row r="43" spans="1:7" s="24" customFormat="1" ht="13.65" customHeight="1" x14ac:dyDescent="0.3">
      <c r="A43" s="20" t="s">
        <v>4</v>
      </c>
      <c r="B43" s="20" t="s">
        <v>66</v>
      </c>
      <c r="C43" s="21" t="s">
        <v>67</v>
      </c>
      <c r="D43" s="20" t="s">
        <v>7</v>
      </c>
      <c r="E43" s="23">
        <v>0</v>
      </c>
      <c r="F43" s="23"/>
      <c r="G43" s="19">
        <f t="shared" si="0"/>
        <v>0</v>
      </c>
    </row>
    <row r="44" spans="1:7" s="24" customFormat="1" ht="13.65" customHeight="1" x14ac:dyDescent="0.3">
      <c r="A44" s="20" t="s">
        <v>4</v>
      </c>
      <c r="B44" s="20" t="s">
        <v>68</v>
      </c>
      <c r="C44" s="21" t="s">
        <v>69</v>
      </c>
      <c r="D44" s="20" t="s">
        <v>7</v>
      </c>
      <c r="E44" s="23">
        <v>0</v>
      </c>
      <c r="F44" s="23"/>
      <c r="G44" s="19">
        <f t="shared" si="0"/>
        <v>0</v>
      </c>
    </row>
    <row r="45" spans="1:7" s="24" customFormat="1" ht="13.65" customHeight="1" x14ac:dyDescent="0.3">
      <c r="A45" s="20" t="s">
        <v>4</v>
      </c>
      <c r="B45" s="20" t="s">
        <v>70</v>
      </c>
      <c r="C45" s="21" t="s">
        <v>69</v>
      </c>
      <c r="D45" s="20" t="s">
        <v>7</v>
      </c>
      <c r="E45" s="23">
        <v>0</v>
      </c>
      <c r="F45" s="23"/>
      <c r="G45" s="19">
        <f t="shared" si="0"/>
        <v>0</v>
      </c>
    </row>
    <row r="46" spans="1:7" s="24" customFormat="1" ht="13.65" customHeight="1" x14ac:dyDescent="0.3">
      <c r="A46" s="20" t="s">
        <v>4</v>
      </c>
      <c r="B46" s="20" t="s">
        <v>71</v>
      </c>
      <c r="C46" s="21" t="s">
        <v>72</v>
      </c>
      <c r="D46" s="20" t="s">
        <v>7</v>
      </c>
      <c r="E46" s="23">
        <v>0</v>
      </c>
      <c r="F46" s="23"/>
      <c r="G46" s="19">
        <f t="shared" si="0"/>
        <v>0</v>
      </c>
    </row>
    <row r="47" spans="1:7" s="24" customFormat="1" ht="13.65" customHeight="1" x14ac:dyDescent="0.3">
      <c r="A47" s="20" t="s">
        <v>4</v>
      </c>
      <c r="B47" s="20">
        <v>7951697</v>
      </c>
      <c r="C47" s="21" t="s">
        <v>73</v>
      </c>
      <c r="D47" s="20" t="s">
        <v>7</v>
      </c>
      <c r="E47" s="23">
        <v>0</v>
      </c>
      <c r="F47" s="23"/>
      <c r="G47" s="19">
        <f t="shared" si="0"/>
        <v>0</v>
      </c>
    </row>
    <row r="48" spans="1:7" s="24" customFormat="1" ht="13.65" customHeight="1" x14ac:dyDescent="0.3">
      <c r="A48" s="20" t="s">
        <v>4</v>
      </c>
      <c r="B48" s="20">
        <v>7952606</v>
      </c>
      <c r="C48" s="21" t="s">
        <v>74</v>
      </c>
      <c r="D48" s="20" t="s">
        <v>7</v>
      </c>
      <c r="E48" s="23">
        <v>0</v>
      </c>
      <c r="F48" s="23"/>
      <c r="G48" s="19">
        <f t="shared" si="0"/>
        <v>0</v>
      </c>
    </row>
    <row r="49" spans="1:7" s="24" customFormat="1" ht="13.65" customHeight="1" x14ac:dyDescent="0.3">
      <c r="A49" s="20" t="s">
        <v>4</v>
      </c>
      <c r="B49" s="20" t="s">
        <v>75</v>
      </c>
      <c r="C49" s="21" t="s">
        <v>76</v>
      </c>
      <c r="D49" s="20" t="s">
        <v>7</v>
      </c>
      <c r="E49" s="23">
        <v>0</v>
      </c>
      <c r="F49" s="23"/>
      <c r="G49" s="19">
        <f t="shared" si="0"/>
        <v>0</v>
      </c>
    </row>
    <row r="50" spans="1:7" s="24" customFormat="1" ht="13.65" customHeight="1" x14ac:dyDescent="0.3">
      <c r="A50" s="20"/>
      <c r="B50" s="20"/>
      <c r="C50" s="21"/>
      <c r="D50" s="20"/>
      <c r="E50" s="23"/>
      <c r="F50" s="23"/>
      <c r="G50" s="19">
        <f t="shared" si="0"/>
        <v>0</v>
      </c>
    </row>
    <row r="51" spans="1:7" s="24" customFormat="1" ht="13.65" customHeight="1" x14ac:dyDescent="0.3">
      <c r="A51" s="20" t="s">
        <v>4</v>
      </c>
      <c r="B51" s="20">
        <v>7305771415</v>
      </c>
      <c r="C51" s="21" t="s">
        <v>77</v>
      </c>
      <c r="D51" s="20" t="s">
        <v>7</v>
      </c>
      <c r="E51" s="23">
        <v>0</v>
      </c>
      <c r="F51" s="23"/>
      <c r="G51" s="19">
        <f t="shared" si="0"/>
        <v>0</v>
      </c>
    </row>
    <row r="52" spans="1:7" s="24" customFormat="1" ht="13.65" customHeight="1" x14ac:dyDescent="0.3">
      <c r="A52" s="20" t="s">
        <v>4</v>
      </c>
      <c r="B52" s="20" t="s">
        <v>78</v>
      </c>
      <c r="C52" s="21" t="s">
        <v>79</v>
      </c>
      <c r="D52" s="20" t="s">
        <v>7</v>
      </c>
      <c r="E52" s="23">
        <v>0</v>
      </c>
      <c r="F52" s="23"/>
      <c r="G52" s="19">
        <f t="shared" si="0"/>
        <v>0</v>
      </c>
    </row>
    <row r="53" spans="1:7" s="24" customFormat="1" ht="13.65" customHeight="1" x14ac:dyDescent="0.3">
      <c r="A53" s="20" t="s">
        <v>4</v>
      </c>
      <c r="B53" s="20" t="s">
        <v>80</v>
      </c>
      <c r="C53" s="21" t="s">
        <v>81</v>
      </c>
      <c r="D53" s="20" t="s">
        <v>7</v>
      </c>
      <c r="E53" s="23">
        <v>0</v>
      </c>
      <c r="F53" s="23"/>
      <c r="G53" s="19">
        <f t="shared" si="0"/>
        <v>0</v>
      </c>
    </row>
    <row r="54" spans="1:7" s="24" customFormat="1" ht="13.65" customHeight="1" x14ac:dyDescent="0.3">
      <c r="A54" s="20"/>
      <c r="B54" s="20"/>
      <c r="C54" s="21"/>
      <c r="D54" s="20"/>
      <c r="E54" s="23"/>
      <c r="F54" s="23"/>
      <c r="G54" s="19">
        <f t="shared" si="0"/>
        <v>0</v>
      </c>
    </row>
    <row r="55" spans="1:7" s="24" customFormat="1" ht="13.65" customHeight="1" x14ac:dyDescent="0.3">
      <c r="A55" s="20" t="s">
        <v>4</v>
      </c>
      <c r="B55" s="20" t="s">
        <v>82</v>
      </c>
      <c r="C55" s="21" t="s">
        <v>83</v>
      </c>
      <c r="D55" s="20" t="s">
        <v>7</v>
      </c>
      <c r="E55" s="23">
        <v>0</v>
      </c>
      <c r="F55" s="23"/>
      <c r="G55" s="19">
        <f t="shared" si="0"/>
        <v>0</v>
      </c>
    </row>
    <row r="56" spans="1:7" s="24" customFormat="1" ht="13.65" customHeight="1" x14ac:dyDescent="0.3">
      <c r="A56" s="20"/>
      <c r="B56" s="20"/>
      <c r="C56" s="21"/>
      <c r="D56" s="20"/>
      <c r="E56" s="23"/>
      <c r="F56" s="23"/>
      <c r="G56" s="19">
        <f t="shared" si="0"/>
        <v>0</v>
      </c>
    </row>
    <row r="57" spans="1:7" s="24" customFormat="1" ht="13.65" customHeight="1" x14ac:dyDescent="0.3">
      <c r="A57" s="26" t="s">
        <v>4</v>
      </c>
      <c r="B57" s="26">
        <v>7328602001</v>
      </c>
      <c r="C57" s="27" t="s">
        <v>84</v>
      </c>
      <c r="D57" s="26" t="s">
        <v>7</v>
      </c>
      <c r="E57" s="25">
        <v>0</v>
      </c>
      <c r="F57" s="25"/>
      <c r="G57" s="19">
        <f t="shared" si="0"/>
        <v>0</v>
      </c>
    </row>
    <row r="58" spans="1:7" s="24" customFormat="1" ht="13.65" customHeight="1" x14ac:dyDescent="0.3">
      <c r="A58" s="20" t="s">
        <v>4</v>
      </c>
      <c r="B58" s="20" t="s">
        <v>85</v>
      </c>
      <c r="C58" s="21" t="s">
        <v>86</v>
      </c>
      <c r="D58" s="20" t="s">
        <v>7</v>
      </c>
      <c r="E58" s="23">
        <v>0</v>
      </c>
      <c r="F58" s="23"/>
      <c r="G58" s="19">
        <f t="shared" si="0"/>
        <v>0</v>
      </c>
    </row>
    <row r="59" spans="1:7" s="24" customFormat="1" ht="13.65" customHeight="1" x14ac:dyDescent="0.3">
      <c r="A59" s="20" t="s">
        <v>4</v>
      </c>
      <c r="B59" s="20">
        <v>7951698</v>
      </c>
      <c r="C59" s="21" t="s">
        <v>87</v>
      </c>
      <c r="D59" s="20" t="s">
        <v>7</v>
      </c>
      <c r="E59" s="23">
        <v>0</v>
      </c>
      <c r="F59" s="23"/>
      <c r="G59" s="19">
        <f t="shared" si="0"/>
        <v>0</v>
      </c>
    </row>
    <row r="60" spans="1:7" s="24" customFormat="1" ht="13.65" customHeight="1" thickBot="1" x14ac:dyDescent="0.35">
      <c r="A60" s="28"/>
      <c r="B60" s="28"/>
      <c r="C60" s="29"/>
      <c r="D60" s="28"/>
      <c r="E60" s="30"/>
      <c r="F60" s="30"/>
      <c r="G60" s="45"/>
    </row>
    <row r="61" spans="1:7" s="24" customFormat="1" ht="13.65" customHeight="1" thickBot="1" x14ac:dyDescent="0.35">
      <c r="A61" s="37"/>
      <c r="B61" s="37"/>
      <c r="C61" s="38"/>
      <c r="D61" s="37"/>
      <c r="E61" s="39"/>
      <c r="F61" s="39"/>
      <c r="G61" s="46"/>
    </row>
    <row r="62" spans="1:7" s="24" customFormat="1" ht="13.65" customHeight="1" thickBot="1" x14ac:dyDescent="0.35">
      <c r="A62" s="37"/>
      <c r="B62" s="37"/>
      <c r="C62" s="38"/>
      <c r="D62" s="37"/>
      <c r="E62" s="39"/>
      <c r="F62" s="39"/>
      <c r="G62" s="46"/>
    </row>
    <row r="63" spans="1:7" s="24" customFormat="1" ht="13.65" customHeight="1" thickBot="1" x14ac:dyDescent="0.35">
      <c r="A63" s="37"/>
      <c r="B63" s="37"/>
      <c r="C63" s="38"/>
      <c r="D63" s="37"/>
      <c r="E63" s="39"/>
      <c r="F63" s="39"/>
      <c r="G63" s="46"/>
    </row>
    <row r="64" spans="1:7" ht="13.65" customHeight="1" thickBot="1" x14ac:dyDescent="0.35">
      <c r="A64" s="5"/>
      <c r="B64" s="5"/>
      <c r="C64" s="6"/>
      <c r="D64" s="5"/>
      <c r="E64" s="12"/>
      <c r="F64" s="12"/>
      <c r="G64" s="12"/>
    </row>
    <row r="65" spans="1:9" s="24" customFormat="1" ht="13.65" customHeight="1" x14ac:dyDescent="0.3">
      <c r="A65" s="16" t="s">
        <v>42</v>
      </c>
      <c r="B65" s="16" t="s">
        <v>88</v>
      </c>
      <c r="C65" s="17" t="s">
        <v>208</v>
      </c>
      <c r="D65" s="16" t="s">
        <v>7</v>
      </c>
      <c r="E65" s="31">
        <v>1092</v>
      </c>
      <c r="F65" s="23">
        <v>3493</v>
      </c>
      <c r="G65" s="19">
        <f t="shared" ref="G65:G90" si="1">E65-F65</f>
        <v>-2401</v>
      </c>
      <c r="I65"/>
    </row>
    <row r="66" spans="1:9" s="24" customFormat="1" ht="13.65" customHeight="1" x14ac:dyDescent="0.3">
      <c r="A66" s="20" t="s">
        <v>42</v>
      </c>
      <c r="B66" s="20" t="s">
        <v>90</v>
      </c>
      <c r="C66" s="21" t="s">
        <v>91</v>
      </c>
      <c r="D66" s="20" t="s">
        <v>7</v>
      </c>
      <c r="E66" s="23">
        <v>1037</v>
      </c>
      <c r="F66" s="23">
        <v>3560</v>
      </c>
      <c r="G66" s="19">
        <f t="shared" si="1"/>
        <v>-2523</v>
      </c>
      <c r="I66"/>
    </row>
    <row r="67" spans="1:9" s="24" customFormat="1" ht="13.65" customHeight="1" x14ac:dyDescent="0.3">
      <c r="A67" s="20" t="s">
        <v>42</v>
      </c>
      <c r="B67" s="20" t="s">
        <v>92</v>
      </c>
      <c r="C67" s="21" t="s">
        <v>209</v>
      </c>
      <c r="D67" s="20" t="s">
        <v>7</v>
      </c>
      <c r="E67" s="23">
        <v>1512</v>
      </c>
      <c r="F67" s="23">
        <v>3601</v>
      </c>
      <c r="G67" s="19">
        <f>E67-F67</f>
        <v>-2089</v>
      </c>
      <c r="I67"/>
    </row>
    <row r="68" spans="1:9" s="24" customFormat="1" ht="13.65" customHeight="1" x14ac:dyDescent="0.3">
      <c r="A68" s="20" t="s">
        <v>42</v>
      </c>
      <c r="B68" s="20" t="s">
        <v>94</v>
      </c>
      <c r="C68" s="21" t="s">
        <v>95</v>
      </c>
      <c r="D68" s="20" t="s">
        <v>7</v>
      </c>
      <c r="E68" s="23">
        <v>0</v>
      </c>
      <c r="F68" s="23"/>
      <c r="G68" s="19">
        <f t="shared" si="1"/>
        <v>0</v>
      </c>
      <c r="I68"/>
    </row>
    <row r="69" spans="1:9" s="24" customFormat="1" ht="13.65" customHeight="1" x14ac:dyDescent="0.3">
      <c r="A69" s="20" t="s">
        <v>96</v>
      </c>
      <c r="B69" s="20" t="s">
        <v>97</v>
      </c>
      <c r="C69" s="21" t="s">
        <v>98</v>
      </c>
      <c r="D69" s="20" t="s">
        <v>7</v>
      </c>
      <c r="E69" s="23">
        <v>0</v>
      </c>
      <c r="F69" s="23"/>
      <c r="G69" s="19">
        <f t="shared" si="1"/>
        <v>0</v>
      </c>
      <c r="I69"/>
    </row>
    <row r="70" spans="1:9" s="24" customFormat="1" ht="13.65" customHeight="1" x14ac:dyDescent="0.3">
      <c r="A70" s="20" t="s">
        <v>96</v>
      </c>
      <c r="B70" s="20" t="s">
        <v>99</v>
      </c>
      <c r="C70" s="21" t="s">
        <v>186</v>
      </c>
      <c r="D70" s="20" t="s">
        <v>7</v>
      </c>
      <c r="E70" s="23">
        <v>775</v>
      </c>
      <c r="F70" s="23">
        <v>2118</v>
      </c>
      <c r="G70" s="19">
        <f t="shared" si="1"/>
        <v>-1343</v>
      </c>
      <c r="I70"/>
    </row>
    <row r="71" spans="1:9" s="24" customFormat="1" ht="14.1" customHeight="1" x14ac:dyDescent="0.3">
      <c r="A71" s="20" t="s">
        <v>96</v>
      </c>
      <c r="B71" s="20" t="s">
        <v>214</v>
      </c>
      <c r="C71" s="21" t="s">
        <v>202</v>
      </c>
      <c r="D71" s="20" t="s">
        <v>7</v>
      </c>
      <c r="E71" s="23">
        <v>1188</v>
      </c>
      <c r="F71" s="23">
        <v>745</v>
      </c>
      <c r="G71" s="19">
        <f t="shared" si="1"/>
        <v>443</v>
      </c>
    </row>
    <row r="72" spans="1:9" s="24" customFormat="1" ht="14.1" customHeight="1" x14ac:dyDescent="0.3">
      <c r="A72" s="20" t="s">
        <v>96</v>
      </c>
      <c r="B72" s="20" t="s">
        <v>215</v>
      </c>
      <c r="C72" s="43" t="s">
        <v>201</v>
      </c>
      <c r="D72" s="20" t="s">
        <v>7</v>
      </c>
      <c r="E72" s="23">
        <v>2400</v>
      </c>
      <c r="F72" s="23">
        <v>2370</v>
      </c>
      <c r="G72" s="19">
        <f t="shared" si="1"/>
        <v>30</v>
      </c>
    </row>
    <row r="73" spans="1:9" s="24" customFormat="1" ht="13.65" customHeight="1" x14ac:dyDescent="0.3">
      <c r="A73" s="20"/>
      <c r="B73" s="20"/>
      <c r="C73" s="21"/>
      <c r="D73" s="20"/>
      <c r="E73" s="23"/>
      <c r="F73" s="23"/>
      <c r="G73" s="19">
        <f t="shared" si="1"/>
        <v>0</v>
      </c>
    </row>
    <row r="74" spans="1:9" s="24" customFormat="1" ht="13.65" customHeight="1" x14ac:dyDescent="0.3">
      <c r="A74" s="20" t="s">
        <v>4</v>
      </c>
      <c r="B74" s="20" t="s">
        <v>101</v>
      </c>
      <c r="C74" s="21" t="s">
        <v>102</v>
      </c>
      <c r="D74" s="20" t="s">
        <v>7</v>
      </c>
      <c r="E74" s="23">
        <v>13498</v>
      </c>
      <c r="F74" s="23">
        <v>12240</v>
      </c>
      <c r="G74" s="19">
        <f t="shared" si="1"/>
        <v>1258</v>
      </c>
    </row>
    <row r="75" spans="1:9" s="24" customFormat="1" ht="13.65" customHeight="1" x14ac:dyDescent="0.3">
      <c r="A75" s="20" t="s">
        <v>4</v>
      </c>
      <c r="B75" s="20" t="s">
        <v>103</v>
      </c>
      <c r="C75" s="21" t="s">
        <v>104</v>
      </c>
      <c r="D75" s="20" t="s">
        <v>7</v>
      </c>
      <c r="E75" s="23">
        <v>13447</v>
      </c>
      <c r="F75" s="23">
        <v>12462</v>
      </c>
      <c r="G75" s="19">
        <f t="shared" si="1"/>
        <v>985</v>
      </c>
    </row>
    <row r="76" spans="1:9" s="24" customFormat="1" ht="13.65" customHeight="1" x14ac:dyDescent="0.3">
      <c r="A76" s="20" t="s">
        <v>4</v>
      </c>
      <c r="B76" s="20" t="s">
        <v>105</v>
      </c>
      <c r="C76" s="21" t="s">
        <v>106</v>
      </c>
      <c r="D76" s="20" t="s">
        <v>7</v>
      </c>
      <c r="E76" s="23">
        <v>750</v>
      </c>
      <c r="F76" s="23">
        <v>700</v>
      </c>
      <c r="G76" s="19">
        <f t="shared" si="1"/>
        <v>50</v>
      </c>
    </row>
    <row r="77" spans="1:9" s="24" customFormat="1" ht="13.65" customHeight="1" x14ac:dyDescent="0.3">
      <c r="A77" s="20" t="s">
        <v>4</v>
      </c>
      <c r="B77" s="20" t="s">
        <v>188</v>
      </c>
      <c r="C77" s="21" t="s">
        <v>189</v>
      </c>
      <c r="D77" s="20" t="s">
        <v>7</v>
      </c>
      <c r="E77" s="23">
        <v>0</v>
      </c>
      <c r="F77" s="23">
        <v>0</v>
      </c>
      <c r="G77" s="19">
        <f t="shared" si="1"/>
        <v>0</v>
      </c>
    </row>
    <row r="78" spans="1:9" s="24" customFormat="1" ht="13.65" customHeight="1" x14ac:dyDescent="0.3">
      <c r="A78" s="32"/>
      <c r="B78" s="32"/>
      <c r="C78" s="33"/>
      <c r="D78" s="32"/>
      <c r="E78" s="50"/>
      <c r="F78" s="50"/>
      <c r="G78" s="19">
        <f t="shared" si="1"/>
        <v>0</v>
      </c>
    </row>
    <row r="79" spans="1:9" ht="13.65" customHeight="1" thickBot="1" x14ac:dyDescent="0.35">
      <c r="A79" s="5"/>
      <c r="B79" s="5"/>
      <c r="C79" s="6"/>
      <c r="D79" s="5"/>
      <c r="E79" s="7">
        <f>SUM(E65:E77)</f>
        <v>35699</v>
      </c>
      <c r="F79" s="8"/>
      <c r="G79" s="8"/>
    </row>
    <row r="80" spans="1:9" s="24" customFormat="1" ht="13.65" customHeight="1" x14ac:dyDescent="0.3">
      <c r="A80" s="16" t="s">
        <v>107</v>
      </c>
      <c r="B80" s="16" t="s">
        <v>108</v>
      </c>
      <c r="C80" s="17" t="s">
        <v>109</v>
      </c>
      <c r="D80" s="16" t="s">
        <v>7</v>
      </c>
      <c r="E80" s="31">
        <v>2235</v>
      </c>
      <c r="F80" s="31">
        <v>2150</v>
      </c>
      <c r="G80" s="19">
        <f t="shared" si="1"/>
        <v>85</v>
      </c>
    </row>
    <row r="81" spans="1:7" s="24" customFormat="1" ht="13.65" customHeight="1" x14ac:dyDescent="0.3">
      <c r="A81" s="26" t="s">
        <v>107</v>
      </c>
      <c r="B81" s="26" t="s">
        <v>110</v>
      </c>
      <c r="C81" s="27" t="s">
        <v>111</v>
      </c>
      <c r="D81" s="26" t="s">
        <v>7</v>
      </c>
      <c r="E81" s="25">
        <v>496</v>
      </c>
      <c r="F81" s="25">
        <v>496</v>
      </c>
      <c r="G81" s="19">
        <f t="shared" si="1"/>
        <v>0</v>
      </c>
    </row>
    <row r="82" spans="1:7" s="24" customFormat="1" ht="13.65" customHeight="1" x14ac:dyDescent="0.3">
      <c r="A82" s="26" t="s">
        <v>107</v>
      </c>
      <c r="B82" s="26" t="s">
        <v>112</v>
      </c>
      <c r="C82" s="27" t="s">
        <v>113</v>
      </c>
      <c r="D82" s="26" t="s">
        <v>114</v>
      </c>
      <c r="E82" s="25">
        <v>0</v>
      </c>
      <c r="F82" s="25">
        <v>0</v>
      </c>
      <c r="G82" s="19">
        <f t="shared" si="1"/>
        <v>0</v>
      </c>
    </row>
    <row r="83" spans="1:7" s="24" customFormat="1" ht="13.65" customHeight="1" thickBot="1" x14ac:dyDescent="0.35">
      <c r="A83" s="26"/>
      <c r="B83" s="26"/>
      <c r="C83" s="27"/>
      <c r="D83" s="26"/>
      <c r="E83" s="25"/>
      <c r="F83" s="25"/>
      <c r="G83" s="19">
        <f t="shared" si="1"/>
        <v>0</v>
      </c>
    </row>
    <row r="84" spans="1:7" ht="13.65" customHeight="1" thickBot="1" x14ac:dyDescent="0.35">
      <c r="A84" s="1"/>
      <c r="B84" s="1"/>
      <c r="C84" s="13"/>
      <c r="D84" s="13"/>
      <c r="E84" s="14">
        <f>SUM(E80:E82)</f>
        <v>2731</v>
      </c>
      <c r="F84" s="15"/>
      <c r="G84" s="15"/>
    </row>
    <row r="85" spans="1:7" s="24" customFormat="1" ht="13.65" customHeight="1" x14ac:dyDescent="0.3">
      <c r="A85" s="32" t="s">
        <v>42</v>
      </c>
      <c r="B85" s="32" t="s">
        <v>115</v>
      </c>
      <c r="C85" s="33" t="s">
        <v>116</v>
      </c>
      <c r="D85" s="32" t="s">
        <v>7</v>
      </c>
      <c r="E85" s="34">
        <v>0</v>
      </c>
      <c r="F85" s="34">
        <v>0</v>
      </c>
      <c r="G85" s="19">
        <f t="shared" si="1"/>
        <v>0</v>
      </c>
    </row>
    <row r="86" spans="1:7" s="24" customFormat="1" ht="13.65" customHeight="1" x14ac:dyDescent="0.3">
      <c r="A86" s="20" t="s">
        <v>42</v>
      </c>
      <c r="B86" s="20" t="s">
        <v>117</v>
      </c>
      <c r="C86" s="21" t="s">
        <v>118</v>
      </c>
      <c r="D86" s="20" t="s">
        <v>7</v>
      </c>
      <c r="E86" s="23">
        <v>1300</v>
      </c>
      <c r="F86" s="23">
        <v>2041</v>
      </c>
      <c r="G86" s="19">
        <f t="shared" si="1"/>
        <v>-741</v>
      </c>
    </row>
    <row r="87" spans="1:7" s="24" customFormat="1" ht="13.65" customHeight="1" x14ac:dyDescent="0.3">
      <c r="A87" s="20" t="s">
        <v>42</v>
      </c>
      <c r="B87" s="20" t="s">
        <v>119</v>
      </c>
      <c r="C87" s="21" t="s">
        <v>120</v>
      </c>
      <c r="D87" s="20" t="s">
        <v>7</v>
      </c>
      <c r="E87" s="23">
        <v>1104</v>
      </c>
      <c r="F87" s="23">
        <v>2270</v>
      </c>
      <c r="G87" s="19">
        <f t="shared" si="1"/>
        <v>-1166</v>
      </c>
    </row>
    <row r="88" spans="1:7" s="24" customFormat="1" ht="13.65" customHeight="1" x14ac:dyDescent="0.3">
      <c r="A88" s="20" t="s">
        <v>42</v>
      </c>
      <c r="B88" s="20" t="s">
        <v>121</v>
      </c>
      <c r="C88" s="21" t="s">
        <v>122</v>
      </c>
      <c r="D88" s="20" t="s">
        <v>7</v>
      </c>
      <c r="E88" s="23">
        <v>400</v>
      </c>
      <c r="F88" s="23">
        <v>400</v>
      </c>
      <c r="G88" s="19">
        <f t="shared" si="1"/>
        <v>0</v>
      </c>
    </row>
    <row r="89" spans="1:7" s="24" customFormat="1" ht="13.65" customHeight="1" x14ac:dyDescent="0.3">
      <c r="A89" s="20" t="s">
        <v>42</v>
      </c>
      <c r="B89" s="20" t="s">
        <v>123</v>
      </c>
      <c r="C89" s="21" t="s">
        <v>124</v>
      </c>
      <c r="D89" s="20" t="s">
        <v>7</v>
      </c>
      <c r="E89" s="23">
        <v>713</v>
      </c>
      <c r="F89" s="23">
        <v>1750</v>
      </c>
      <c r="G89" s="19">
        <f t="shared" si="1"/>
        <v>-1037</v>
      </c>
    </row>
    <row r="90" spans="1:7" s="24" customFormat="1" ht="13.65" customHeight="1" thickBot="1" x14ac:dyDescent="0.35">
      <c r="A90" s="37"/>
      <c r="B90" s="37"/>
      <c r="C90" s="38"/>
      <c r="D90" s="37"/>
      <c r="E90" s="40"/>
      <c r="F90" s="41"/>
      <c r="G90" s="19">
        <f t="shared" si="1"/>
        <v>0</v>
      </c>
    </row>
    <row r="91" spans="1:7" s="24" customFormat="1" ht="13.65" customHeight="1" thickBot="1" x14ac:dyDescent="0.35">
      <c r="A91" s="37"/>
      <c r="B91" s="37"/>
      <c r="C91" s="38"/>
      <c r="D91" s="37"/>
      <c r="E91" s="40"/>
      <c r="F91" s="41"/>
      <c r="G91" s="40"/>
    </row>
    <row r="92" spans="1:7" ht="13.65" customHeight="1" thickBot="1" x14ac:dyDescent="0.35">
      <c r="A92" s="5"/>
      <c r="B92" s="5"/>
      <c r="C92" s="6"/>
      <c r="D92" s="5"/>
      <c r="E92" s="7">
        <f>SUM(E85:E90)</f>
        <v>3517</v>
      </c>
      <c r="F92" s="8"/>
      <c r="G92" s="7">
        <f>SUM(G85:G91)</f>
        <v>-2944</v>
      </c>
    </row>
    <row r="93" spans="1:7" s="24" customFormat="1" ht="13.65" customHeight="1" x14ac:dyDescent="0.3">
      <c r="A93" s="16" t="s">
        <v>125</v>
      </c>
      <c r="B93" s="16" t="s">
        <v>126</v>
      </c>
      <c r="C93" s="17" t="s">
        <v>127</v>
      </c>
      <c r="D93" s="16" t="s">
        <v>7</v>
      </c>
      <c r="E93" s="31">
        <v>19</v>
      </c>
      <c r="F93" s="31">
        <v>18</v>
      </c>
      <c r="G93" s="31">
        <f t="shared" ref="G93:G121" si="2">E93-F93</f>
        <v>1</v>
      </c>
    </row>
    <row r="94" spans="1:7" s="24" customFormat="1" ht="13.65" customHeight="1" x14ac:dyDescent="0.3">
      <c r="A94" s="20" t="s">
        <v>125</v>
      </c>
      <c r="B94" s="20" t="s">
        <v>128</v>
      </c>
      <c r="C94" s="21" t="s">
        <v>129</v>
      </c>
      <c r="D94" s="20" t="s">
        <v>7</v>
      </c>
      <c r="E94" s="23">
        <v>19</v>
      </c>
      <c r="F94" s="23">
        <v>19</v>
      </c>
      <c r="G94" s="23">
        <f t="shared" si="2"/>
        <v>0</v>
      </c>
    </row>
    <row r="95" spans="1:7" s="24" customFormat="1" ht="13.65" customHeight="1" x14ac:dyDescent="0.3">
      <c r="A95" s="20" t="s">
        <v>125</v>
      </c>
      <c r="B95" s="20" t="s">
        <v>130</v>
      </c>
      <c r="C95" s="21" t="s">
        <v>131</v>
      </c>
      <c r="D95" s="20" t="s">
        <v>7</v>
      </c>
      <c r="E95" s="23">
        <v>26</v>
      </c>
      <c r="F95" s="23">
        <v>25</v>
      </c>
      <c r="G95" s="23">
        <f t="shared" si="2"/>
        <v>1</v>
      </c>
    </row>
    <row r="96" spans="1:7" s="24" customFormat="1" ht="13.65" customHeight="1" x14ac:dyDescent="0.3">
      <c r="A96" s="20" t="s">
        <v>125</v>
      </c>
      <c r="B96" s="20" t="s">
        <v>132</v>
      </c>
      <c r="C96" s="21" t="s">
        <v>133</v>
      </c>
      <c r="D96" s="20" t="s">
        <v>7</v>
      </c>
      <c r="E96" s="23">
        <v>10</v>
      </c>
      <c r="F96" s="23">
        <v>10</v>
      </c>
      <c r="G96" s="23">
        <f t="shared" si="2"/>
        <v>0</v>
      </c>
    </row>
    <row r="97" spans="1:7" s="24" customFormat="1" ht="13.65" customHeight="1" x14ac:dyDescent="0.3">
      <c r="A97" s="20" t="s">
        <v>125</v>
      </c>
      <c r="B97" s="20" t="s">
        <v>134</v>
      </c>
      <c r="C97" s="21" t="s">
        <v>135</v>
      </c>
      <c r="D97" s="20" t="s">
        <v>7</v>
      </c>
      <c r="E97" s="23">
        <v>7</v>
      </c>
      <c r="F97" s="23">
        <v>7</v>
      </c>
      <c r="G97" s="23">
        <f t="shared" si="2"/>
        <v>0</v>
      </c>
    </row>
    <row r="98" spans="1:7" s="24" customFormat="1" ht="13.65" customHeight="1" x14ac:dyDescent="0.3">
      <c r="A98" s="20" t="s">
        <v>125</v>
      </c>
      <c r="B98" s="20" t="s">
        <v>136</v>
      </c>
      <c r="C98" s="21" t="s">
        <v>137</v>
      </c>
      <c r="D98" s="20" t="s">
        <v>7</v>
      </c>
      <c r="E98" s="23">
        <v>20</v>
      </c>
      <c r="F98" s="23">
        <v>20</v>
      </c>
      <c r="G98" s="23">
        <f t="shared" si="2"/>
        <v>0</v>
      </c>
    </row>
    <row r="99" spans="1:7" s="24" customFormat="1" ht="13.65" customHeight="1" x14ac:dyDescent="0.3">
      <c r="A99" s="20" t="s">
        <v>125</v>
      </c>
      <c r="B99" s="20" t="s">
        <v>138</v>
      </c>
      <c r="C99" s="21" t="s">
        <v>139</v>
      </c>
      <c r="D99" s="20" t="s">
        <v>7</v>
      </c>
      <c r="E99" s="23">
        <v>32</v>
      </c>
      <c r="F99" s="23">
        <v>52</v>
      </c>
      <c r="G99" s="23">
        <f t="shared" si="2"/>
        <v>-20</v>
      </c>
    </row>
    <row r="100" spans="1:7" s="24" customFormat="1" ht="13.65" customHeight="1" x14ac:dyDescent="0.3">
      <c r="A100" s="20" t="s">
        <v>125</v>
      </c>
      <c r="B100" s="20" t="s">
        <v>140</v>
      </c>
      <c r="C100" s="21" t="s">
        <v>141</v>
      </c>
      <c r="D100" s="20" t="s">
        <v>7</v>
      </c>
      <c r="E100" s="23">
        <v>68</v>
      </c>
      <c r="F100" s="23">
        <v>115</v>
      </c>
      <c r="G100" s="23">
        <f t="shared" si="2"/>
        <v>-47</v>
      </c>
    </row>
    <row r="101" spans="1:7" s="24" customFormat="1" ht="13.65" customHeight="1" x14ac:dyDescent="0.3">
      <c r="A101" s="20" t="s">
        <v>125</v>
      </c>
      <c r="B101" s="20" t="s">
        <v>142</v>
      </c>
      <c r="C101" s="21" t="s">
        <v>143</v>
      </c>
      <c r="D101" s="20" t="s">
        <v>7</v>
      </c>
      <c r="E101" s="23">
        <v>10</v>
      </c>
      <c r="F101" s="23">
        <v>10</v>
      </c>
      <c r="G101" s="23">
        <f t="shared" si="2"/>
        <v>0</v>
      </c>
    </row>
    <row r="102" spans="1:7" s="24" customFormat="1" ht="13.65" customHeight="1" x14ac:dyDescent="0.3">
      <c r="A102" s="20" t="s">
        <v>125</v>
      </c>
      <c r="B102" s="20" t="s">
        <v>144</v>
      </c>
      <c r="C102" s="21" t="s">
        <v>145</v>
      </c>
      <c r="D102" s="20" t="s">
        <v>7</v>
      </c>
      <c r="E102" s="23">
        <v>10</v>
      </c>
      <c r="F102" s="23">
        <v>10</v>
      </c>
      <c r="G102" s="23">
        <f t="shared" si="2"/>
        <v>0</v>
      </c>
    </row>
    <row r="103" spans="1:7" s="24" customFormat="1" ht="13.65" customHeight="1" x14ac:dyDescent="0.3">
      <c r="A103" s="20" t="s">
        <v>125</v>
      </c>
      <c r="B103" s="20" t="s">
        <v>146</v>
      </c>
      <c r="C103" s="21" t="s">
        <v>147</v>
      </c>
      <c r="D103" s="20" t="s">
        <v>7</v>
      </c>
      <c r="E103" s="23">
        <v>20</v>
      </c>
      <c r="F103" s="23">
        <v>20</v>
      </c>
      <c r="G103" s="23">
        <f t="shared" si="2"/>
        <v>0</v>
      </c>
    </row>
    <row r="104" spans="1:7" s="24" customFormat="1" ht="13.65" customHeight="1" x14ac:dyDescent="0.3">
      <c r="A104" s="20" t="s">
        <v>125</v>
      </c>
      <c r="B104" s="20" t="s">
        <v>148</v>
      </c>
      <c r="C104" s="21" t="s">
        <v>149</v>
      </c>
      <c r="D104" s="20" t="s">
        <v>7</v>
      </c>
      <c r="E104" s="23">
        <v>10</v>
      </c>
      <c r="F104" s="23">
        <v>10</v>
      </c>
      <c r="G104" s="23">
        <f t="shared" si="2"/>
        <v>0</v>
      </c>
    </row>
    <row r="105" spans="1:7" s="24" customFormat="1" ht="13.65" customHeight="1" x14ac:dyDescent="0.3">
      <c r="A105" s="20" t="s">
        <v>125</v>
      </c>
      <c r="B105" s="20" t="s">
        <v>150</v>
      </c>
      <c r="C105" s="21" t="s">
        <v>151</v>
      </c>
      <c r="D105" s="20" t="s">
        <v>7</v>
      </c>
      <c r="E105" s="23">
        <v>0</v>
      </c>
      <c r="F105" s="23"/>
      <c r="G105" s="23">
        <f t="shared" si="2"/>
        <v>0</v>
      </c>
    </row>
    <row r="106" spans="1:7" s="24" customFormat="1" ht="13.65" customHeight="1" x14ac:dyDescent="0.3">
      <c r="A106" s="20" t="s">
        <v>125</v>
      </c>
      <c r="B106" s="20" t="s">
        <v>152</v>
      </c>
      <c r="C106" s="21" t="s">
        <v>153</v>
      </c>
      <c r="D106" s="20" t="s">
        <v>7</v>
      </c>
      <c r="E106" s="23">
        <v>0</v>
      </c>
      <c r="F106" s="23"/>
      <c r="G106" s="23">
        <f t="shared" si="2"/>
        <v>0</v>
      </c>
    </row>
    <row r="107" spans="1:7" s="24" customFormat="1" ht="13.65" customHeight="1" x14ac:dyDescent="0.3">
      <c r="A107" s="20" t="s">
        <v>125</v>
      </c>
      <c r="B107" s="20" t="s">
        <v>154</v>
      </c>
      <c r="C107" s="21" t="s">
        <v>155</v>
      </c>
      <c r="D107" s="20" t="s">
        <v>7</v>
      </c>
      <c r="E107" s="23">
        <v>0</v>
      </c>
      <c r="F107" s="23"/>
      <c r="G107" s="23">
        <f t="shared" si="2"/>
        <v>0</v>
      </c>
    </row>
    <row r="108" spans="1:7" s="24" customFormat="1" ht="13.65" customHeight="1" x14ac:dyDescent="0.3">
      <c r="A108" s="20" t="s">
        <v>125</v>
      </c>
      <c r="B108" s="20" t="s">
        <v>156</v>
      </c>
      <c r="C108" s="21" t="s">
        <v>157</v>
      </c>
      <c r="D108" s="20" t="s">
        <v>7</v>
      </c>
      <c r="E108" s="23">
        <v>0</v>
      </c>
      <c r="F108" s="23"/>
      <c r="G108" s="23">
        <f t="shared" si="2"/>
        <v>0</v>
      </c>
    </row>
    <row r="109" spans="1:7" s="24" customFormat="1" ht="13.65" customHeight="1" x14ac:dyDescent="0.3">
      <c r="A109" s="20" t="s">
        <v>125</v>
      </c>
      <c r="B109" s="20" t="s">
        <v>158</v>
      </c>
      <c r="C109" s="21" t="s">
        <v>159</v>
      </c>
      <c r="D109" s="20" t="s">
        <v>7</v>
      </c>
      <c r="E109" s="23">
        <v>0</v>
      </c>
      <c r="F109" s="23"/>
      <c r="G109" s="23">
        <f t="shared" si="2"/>
        <v>0</v>
      </c>
    </row>
    <row r="110" spans="1:7" s="24" customFormat="1" ht="13.65" customHeight="1" x14ac:dyDescent="0.3">
      <c r="A110" s="20" t="s">
        <v>125</v>
      </c>
      <c r="B110" s="20" t="s">
        <v>160</v>
      </c>
      <c r="C110" s="21" t="s">
        <v>161</v>
      </c>
      <c r="D110" s="20" t="s">
        <v>7</v>
      </c>
      <c r="E110" s="23">
        <v>0</v>
      </c>
      <c r="F110" s="23"/>
      <c r="G110" s="23">
        <f t="shared" si="2"/>
        <v>0</v>
      </c>
    </row>
    <row r="111" spans="1:7" s="24" customFormat="1" ht="13.65" customHeight="1" x14ac:dyDescent="0.3">
      <c r="A111" s="20" t="s">
        <v>125</v>
      </c>
      <c r="B111" s="20" t="s">
        <v>162</v>
      </c>
      <c r="C111" s="21" t="s">
        <v>163</v>
      </c>
      <c r="D111" s="20" t="s">
        <v>7</v>
      </c>
      <c r="E111" s="23">
        <v>0</v>
      </c>
      <c r="F111" s="23"/>
      <c r="G111" s="23">
        <f t="shared" si="2"/>
        <v>0</v>
      </c>
    </row>
    <row r="112" spans="1:7" s="24" customFormat="1" ht="13.65" customHeight="1" x14ac:dyDescent="0.3">
      <c r="A112" s="20" t="s">
        <v>125</v>
      </c>
      <c r="B112" s="20" t="s">
        <v>164</v>
      </c>
      <c r="C112" s="21" t="s">
        <v>165</v>
      </c>
      <c r="D112" s="20" t="s">
        <v>7</v>
      </c>
      <c r="E112" s="23">
        <v>0</v>
      </c>
      <c r="F112" s="23"/>
      <c r="G112" s="23">
        <f t="shared" si="2"/>
        <v>0</v>
      </c>
    </row>
    <row r="113" spans="1:7" s="24" customFormat="1" ht="13.65" customHeight="1" x14ac:dyDescent="0.3">
      <c r="A113" s="20" t="s">
        <v>125</v>
      </c>
      <c r="B113" s="20" t="s">
        <v>166</v>
      </c>
      <c r="C113" s="21" t="s">
        <v>167</v>
      </c>
      <c r="D113" s="20" t="s">
        <v>7</v>
      </c>
      <c r="E113" s="23">
        <v>0</v>
      </c>
      <c r="F113" s="23"/>
      <c r="G113" s="23">
        <f t="shared" si="2"/>
        <v>0</v>
      </c>
    </row>
    <row r="114" spans="1:7" s="24" customFormat="1" ht="13.65" customHeight="1" x14ac:dyDescent="0.3">
      <c r="A114" s="20" t="s">
        <v>125</v>
      </c>
      <c r="B114" s="26">
        <v>2502535</v>
      </c>
      <c r="C114" s="27" t="s">
        <v>168</v>
      </c>
      <c r="D114" s="20" t="s">
        <v>7</v>
      </c>
      <c r="E114" s="25">
        <v>7</v>
      </c>
      <c r="F114" s="25">
        <v>7</v>
      </c>
      <c r="G114" s="25">
        <f t="shared" si="2"/>
        <v>0</v>
      </c>
    </row>
    <row r="115" spans="1:7" s="24" customFormat="1" ht="13.65" customHeight="1" thickBot="1" x14ac:dyDescent="0.35">
      <c r="A115" s="20" t="s">
        <v>125</v>
      </c>
      <c r="B115" s="28" t="s">
        <v>169</v>
      </c>
      <c r="C115" s="29" t="s">
        <v>170</v>
      </c>
      <c r="D115" s="20" t="s">
        <v>7</v>
      </c>
      <c r="E115" s="30">
        <v>0</v>
      </c>
      <c r="F115" s="30"/>
      <c r="G115" s="30">
        <f t="shared" si="2"/>
        <v>0</v>
      </c>
    </row>
    <row r="116" spans="1:7" ht="13.65" customHeight="1" thickBot="1" x14ac:dyDescent="0.35">
      <c r="A116" s="1"/>
      <c r="B116" s="1"/>
      <c r="C116" s="13"/>
      <c r="D116" s="1"/>
      <c r="E116" s="14">
        <f>SUM(E93:E115)</f>
        <v>258</v>
      </c>
      <c r="F116" s="15"/>
      <c r="G116" s="14">
        <f>SUM(G93:G115)</f>
        <v>-65</v>
      </c>
    </row>
    <row r="117" spans="1:7" s="24" customFormat="1" ht="13.65" customHeight="1" x14ac:dyDescent="0.3">
      <c r="A117" s="16" t="s">
        <v>171</v>
      </c>
      <c r="B117" s="16" t="s">
        <v>172</v>
      </c>
      <c r="C117" s="17" t="s">
        <v>173</v>
      </c>
      <c r="D117" s="16" t="s">
        <v>174</v>
      </c>
      <c r="E117" s="31">
        <v>0</v>
      </c>
      <c r="F117" s="31"/>
      <c r="G117" s="31">
        <f t="shared" si="2"/>
        <v>0</v>
      </c>
    </row>
    <row r="118" spans="1:7" s="24" customFormat="1" ht="13.65" customHeight="1" x14ac:dyDescent="0.3">
      <c r="A118" s="20" t="s">
        <v>175</v>
      </c>
      <c r="B118" s="20">
        <v>50736306</v>
      </c>
      <c r="C118" s="21" t="s">
        <v>176</v>
      </c>
      <c r="D118" s="20" t="s">
        <v>177</v>
      </c>
      <c r="E118" s="23">
        <v>0</v>
      </c>
      <c r="F118" s="23"/>
      <c r="G118" s="23">
        <f t="shared" si="2"/>
        <v>0</v>
      </c>
    </row>
    <row r="119" spans="1:7" s="24" customFormat="1" ht="13.65" customHeight="1" x14ac:dyDescent="0.3">
      <c r="A119" s="20" t="s">
        <v>175</v>
      </c>
      <c r="B119" s="20">
        <v>56553321</v>
      </c>
      <c r="C119" s="21" t="s">
        <v>178</v>
      </c>
      <c r="D119" s="20" t="s">
        <v>177</v>
      </c>
      <c r="E119" s="20">
        <v>0</v>
      </c>
      <c r="F119" s="20"/>
      <c r="G119" s="20">
        <f t="shared" si="2"/>
        <v>0</v>
      </c>
    </row>
    <row r="120" spans="1:7" s="24" customFormat="1" ht="13.65" customHeight="1" x14ac:dyDescent="0.3">
      <c r="A120" s="20" t="s">
        <v>175</v>
      </c>
      <c r="B120" s="20">
        <v>51715481</v>
      </c>
      <c r="C120" s="21" t="s">
        <v>179</v>
      </c>
      <c r="D120" s="20" t="s">
        <v>177</v>
      </c>
      <c r="E120" s="23">
        <v>0</v>
      </c>
      <c r="F120" s="23"/>
      <c r="G120" s="23">
        <f t="shared" si="2"/>
        <v>0</v>
      </c>
    </row>
    <row r="121" spans="1:7" s="24" customFormat="1" ht="13.65" customHeight="1" x14ac:dyDescent="0.3">
      <c r="A121" s="20" t="s">
        <v>175</v>
      </c>
      <c r="B121" s="20">
        <v>486308</v>
      </c>
      <c r="C121" s="21" t="s">
        <v>180</v>
      </c>
      <c r="D121" s="20" t="s">
        <v>181</v>
      </c>
      <c r="E121" s="23">
        <v>0</v>
      </c>
      <c r="F121" s="23"/>
      <c r="G121" s="23">
        <f t="shared" si="2"/>
        <v>0</v>
      </c>
    </row>
    <row r="122" spans="1:7" ht="13.65" customHeight="1" thickBot="1" x14ac:dyDescent="0.35">
      <c r="A122" s="9"/>
      <c r="B122" s="9"/>
      <c r="C122" s="10"/>
      <c r="D122" s="9"/>
      <c r="E122" s="11">
        <v>0</v>
      </c>
      <c r="F122" s="11"/>
      <c r="G122" s="11">
        <f>SUM(G117:G121)</f>
        <v>0</v>
      </c>
    </row>
  </sheetData>
  <protectedRanges>
    <protectedRange sqref="E79 E37:F37" name="Range2_3"/>
    <protectedRange sqref="E79 E37:F37" name="Range1_3"/>
    <protectedRange sqref="G2" name="Range2_5"/>
    <protectedRange sqref="G2" name="Range1_5"/>
    <protectedRange sqref="G1" name="Range2_1_3"/>
    <protectedRange sqref="G1" name="Range1_1_3"/>
    <protectedRange sqref="G37" name="Range2_3_1"/>
    <protectedRange sqref="G37" name="Range1_3_1"/>
  </protectedRanges>
  <conditionalFormatting sqref="C6">
    <cfRule type="duplicateValues" dxfId="56" priority="10"/>
  </conditionalFormatting>
  <conditionalFormatting sqref="C23:C24">
    <cfRule type="duplicateValues" dxfId="55" priority="13"/>
  </conditionalFormatting>
  <conditionalFormatting sqref="C26">
    <cfRule type="duplicateValues" dxfId="54" priority="12"/>
  </conditionalFormatting>
  <conditionalFormatting sqref="C29 C4">
    <cfRule type="duplicateValues" dxfId="53" priority="16"/>
  </conditionalFormatting>
  <conditionalFormatting sqref="C30 C25 C27:C28 C7:C13 C3 C15:C22">
    <cfRule type="duplicateValues" dxfId="52" priority="15"/>
  </conditionalFormatting>
  <conditionalFormatting sqref="C34:C35">
    <cfRule type="duplicateValues" dxfId="51" priority="21"/>
  </conditionalFormatting>
  <conditionalFormatting sqref="C36 C31:C33">
    <cfRule type="duplicateValues" dxfId="50" priority="20"/>
  </conditionalFormatting>
  <conditionalFormatting sqref="E2:F29 E30:E33 E36:F37 G36:G118">
    <cfRule type="cellIs" dxfId="49" priority="9" stopIfTrue="1" operator="lessThan">
      <formula>0</formula>
    </cfRule>
  </conditionalFormatting>
  <conditionalFormatting sqref="E39:F118">
    <cfRule type="cellIs" dxfId="48" priority="8" stopIfTrue="1" operator="lessThan">
      <formula>0</formula>
    </cfRule>
  </conditionalFormatting>
  <conditionalFormatting sqref="E120:G122">
    <cfRule type="cellIs" dxfId="47" priority="6" stopIfTrue="1" operator="lessThan">
      <formula>0</formula>
    </cfRule>
  </conditionalFormatting>
  <conditionalFormatting sqref="G2:G33">
    <cfRule type="cellIs" dxfId="46" priority="5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4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9D90-B59B-4B7C-B47C-7843E8053FBC}">
  <dimension ref="A1:K122"/>
  <sheetViews>
    <sheetView topLeftCell="A37" zoomScale="70" zoomScaleNormal="70" workbookViewId="0">
      <selection activeCell="A70" sqref="A70:XFD70"/>
    </sheetView>
  </sheetViews>
  <sheetFormatPr defaultRowHeight="14.4" x14ac:dyDescent="0.3"/>
  <cols>
    <col min="1" max="1" width="12" bestFit="1" customWidth="1"/>
    <col min="2" max="2" width="24.5546875" bestFit="1" customWidth="1"/>
    <col min="3" max="3" width="61.109375" customWidth="1"/>
    <col min="4" max="4" width="6.109375" bestFit="1" customWidth="1"/>
    <col min="5" max="5" width="9.88671875" customWidth="1"/>
    <col min="6" max="6" width="9.88671875" style="74" customWidth="1"/>
    <col min="7" max="7" width="8.109375" bestFit="1" customWidth="1"/>
    <col min="8" max="8" width="11.109375" bestFit="1" customWidth="1"/>
    <col min="9" max="9" width="7" customWidth="1"/>
  </cols>
  <sheetData>
    <row r="1" spans="1:9" s="36" customFormat="1" ht="30" customHeight="1" thickBot="1" x14ac:dyDescent="0.35">
      <c r="A1" s="35" t="s">
        <v>0</v>
      </c>
      <c r="B1" s="35" t="s">
        <v>1</v>
      </c>
      <c r="C1" s="35" t="s">
        <v>2</v>
      </c>
      <c r="D1" s="35" t="s">
        <v>3</v>
      </c>
      <c r="E1" s="122">
        <v>46127</v>
      </c>
      <c r="F1" s="60" t="s">
        <v>223</v>
      </c>
      <c r="G1" s="123">
        <v>46143</v>
      </c>
      <c r="H1" s="98" t="s">
        <v>210</v>
      </c>
      <c r="I1" s="124" t="s">
        <v>222</v>
      </c>
    </row>
    <row r="2" spans="1:9" ht="10.5" customHeight="1" thickBot="1" x14ac:dyDescent="0.35">
      <c r="A2" s="1"/>
      <c r="B2" s="1"/>
      <c r="C2" s="2"/>
      <c r="D2" s="3"/>
      <c r="E2" s="4"/>
      <c r="F2" s="61"/>
      <c r="G2" s="4"/>
      <c r="H2" s="99"/>
      <c r="I2" s="102"/>
    </row>
    <row r="3" spans="1:9" ht="13.65" customHeight="1" x14ac:dyDescent="0.3">
      <c r="A3" s="16" t="s">
        <v>4</v>
      </c>
      <c r="B3" s="16" t="s">
        <v>5</v>
      </c>
      <c r="C3" s="17" t="s">
        <v>6</v>
      </c>
      <c r="D3" s="16" t="s">
        <v>7</v>
      </c>
      <c r="E3" s="19">
        <v>26</v>
      </c>
      <c r="F3" s="62"/>
      <c r="G3" s="44">
        <v>26</v>
      </c>
      <c r="H3" s="19">
        <f>E3-G3</f>
        <v>0</v>
      </c>
      <c r="I3" s="81"/>
    </row>
    <row r="4" spans="1:9" ht="13.65" customHeight="1" x14ac:dyDescent="0.3">
      <c r="A4" s="20" t="s">
        <v>4</v>
      </c>
      <c r="B4" s="20" t="s">
        <v>206</v>
      </c>
      <c r="C4" s="21" t="s">
        <v>207</v>
      </c>
      <c r="D4" s="20" t="s">
        <v>7</v>
      </c>
      <c r="E4" s="23">
        <v>18</v>
      </c>
      <c r="F4" s="63"/>
      <c r="G4" s="76">
        <v>15</v>
      </c>
      <c r="H4" s="19">
        <f t="shared" ref="H4:H58" si="0">E4-G4</f>
        <v>3</v>
      </c>
      <c r="I4" s="81"/>
    </row>
    <row r="5" spans="1:9" s="24" customFormat="1" ht="13.65" customHeight="1" x14ac:dyDescent="0.3">
      <c r="A5" s="20" t="s">
        <v>4</v>
      </c>
      <c r="B5" s="20" t="s">
        <v>197</v>
      </c>
      <c r="C5" s="21" t="s">
        <v>198</v>
      </c>
      <c r="D5" s="20" t="s">
        <v>7</v>
      </c>
      <c r="E5" s="23">
        <v>0</v>
      </c>
      <c r="F5" s="63">
        <v>50</v>
      </c>
      <c r="G5" s="76">
        <v>39</v>
      </c>
      <c r="H5" s="19">
        <f>F5-G5</f>
        <v>11</v>
      </c>
      <c r="I5" s="43"/>
    </row>
    <row r="6" spans="1:9" ht="13.65" customHeight="1" x14ac:dyDescent="0.3">
      <c r="A6" s="20" t="s">
        <v>4</v>
      </c>
      <c r="B6" s="20" t="s">
        <v>193</v>
      </c>
      <c r="C6" s="21" t="s">
        <v>194</v>
      </c>
      <c r="D6" s="20" t="s">
        <v>7</v>
      </c>
      <c r="E6" s="23">
        <v>18</v>
      </c>
      <c r="F6" s="63"/>
      <c r="G6" s="76">
        <v>13</v>
      </c>
      <c r="H6" s="19">
        <f t="shared" si="0"/>
        <v>5</v>
      </c>
      <c r="I6" s="81"/>
    </row>
    <row r="7" spans="1:9" ht="13.65" customHeight="1" x14ac:dyDescent="0.3">
      <c r="A7" s="20" t="s">
        <v>4</v>
      </c>
      <c r="B7" s="20" t="s">
        <v>8</v>
      </c>
      <c r="C7" s="21" t="s">
        <v>9</v>
      </c>
      <c r="D7" s="20" t="s">
        <v>7</v>
      </c>
      <c r="E7" s="22">
        <v>55</v>
      </c>
      <c r="F7" s="62"/>
      <c r="G7" s="93">
        <v>55</v>
      </c>
      <c r="H7" s="19">
        <f t="shared" si="0"/>
        <v>0</v>
      </c>
      <c r="I7" s="81"/>
    </row>
    <row r="8" spans="1:9" ht="13.65" customHeight="1" x14ac:dyDescent="0.3">
      <c r="A8" s="20" t="s">
        <v>4</v>
      </c>
      <c r="B8" s="20" t="s">
        <v>10</v>
      </c>
      <c r="C8" s="21" t="s">
        <v>11</v>
      </c>
      <c r="D8" s="20" t="s">
        <v>7</v>
      </c>
      <c r="E8" s="22">
        <v>145</v>
      </c>
      <c r="F8" s="62"/>
      <c r="G8" s="93">
        <v>85</v>
      </c>
      <c r="H8" s="19">
        <f t="shared" si="0"/>
        <v>60</v>
      </c>
      <c r="I8" s="81"/>
    </row>
    <row r="9" spans="1:9" ht="13.65" customHeight="1" x14ac:dyDescent="0.3">
      <c r="A9" s="20" t="s">
        <v>4</v>
      </c>
      <c r="B9" s="20" t="s">
        <v>12</v>
      </c>
      <c r="C9" s="21" t="s">
        <v>13</v>
      </c>
      <c r="D9" s="20" t="s">
        <v>7</v>
      </c>
      <c r="E9" s="93">
        <v>370</v>
      </c>
      <c r="F9" s="62">
        <v>194</v>
      </c>
      <c r="G9" s="93">
        <v>330</v>
      </c>
      <c r="H9" s="19">
        <f>E9-G9</f>
        <v>40</v>
      </c>
      <c r="I9" s="81"/>
    </row>
    <row r="10" spans="1:9" ht="13.65" customHeight="1" x14ac:dyDescent="0.3">
      <c r="A10" s="20" t="s">
        <v>4</v>
      </c>
      <c r="B10" s="20" t="s">
        <v>14</v>
      </c>
      <c r="C10" s="21" t="s">
        <v>15</v>
      </c>
      <c r="D10" s="20" t="s">
        <v>7</v>
      </c>
      <c r="E10" s="22">
        <v>3</v>
      </c>
      <c r="F10" s="62"/>
      <c r="G10" s="93">
        <v>0</v>
      </c>
      <c r="H10" s="19">
        <f t="shared" si="0"/>
        <v>3</v>
      </c>
      <c r="I10" s="81"/>
    </row>
    <row r="11" spans="1:9" ht="13.65" customHeight="1" x14ac:dyDescent="0.3">
      <c r="A11" s="20" t="s">
        <v>4</v>
      </c>
      <c r="B11" s="20" t="s">
        <v>16</v>
      </c>
      <c r="C11" s="21" t="s">
        <v>17</v>
      </c>
      <c r="D11" s="20" t="s">
        <v>7</v>
      </c>
      <c r="E11" s="22">
        <v>55</v>
      </c>
      <c r="F11" s="62"/>
      <c r="G11" s="93">
        <v>30</v>
      </c>
      <c r="H11" s="19">
        <f t="shared" si="0"/>
        <v>25</v>
      </c>
      <c r="I11" s="81"/>
    </row>
    <row r="12" spans="1:9" ht="13.65" customHeight="1" x14ac:dyDescent="0.3">
      <c r="A12" s="20" t="s">
        <v>4</v>
      </c>
      <c r="B12" s="20" t="s">
        <v>18</v>
      </c>
      <c r="C12" s="21" t="s">
        <v>19</v>
      </c>
      <c r="D12" s="20" t="s">
        <v>7</v>
      </c>
      <c r="E12" s="18">
        <v>50</v>
      </c>
      <c r="F12" s="62"/>
      <c r="G12" s="94">
        <v>38</v>
      </c>
      <c r="H12" s="19">
        <f t="shared" si="0"/>
        <v>12</v>
      </c>
      <c r="I12" s="81"/>
    </row>
    <row r="13" spans="1:9" ht="13.65" customHeight="1" x14ac:dyDescent="0.3">
      <c r="A13" s="20" t="s">
        <v>4</v>
      </c>
      <c r="B13" s="20" t="s">
        <v>20</v>
      </c>
      <c r="C13" s="21" t="s">
        <v>21</v>
      </c>
      <c r="D13" s="20" t="s">
        <v>7</v>
      </c>
      <c r="E13" s="18">
        <v>20</v>
      </c>
      <c r="F13" s="62"/>
      <c r="G13" s="94">
        <v>3</v>
      </c>
      <c r="H13" s="19">
        <f t="shared" si="0"/>
        <v>17</v>
      </c>
      <c r="I13" s="81"/>
    </row>
    <row r="14" spans="1:9" s="24" customFormat="1" ht="13.65" customHeight="1" x14ac:dyDescent="0.3">
      <c r="A14" s="20" t="s">
        <v>4</v>
      </c>
      <c r="B14" s="20" t="s">
        <v>204</v>
      </c>
      <c r="C14" s="21" t="s">
        <v>205</v>
      </c>
      <c r="D14" s="20" t="s">
        <v>7</v>
      </c>
      <c r="E14" s="23">
        <v>150</v>
      </c>
      <c r="F14" s="63"/>
      <c r="G14" s="76">
        <v>70</v>
      </c>
      <c r="H14" s="19">
        <f t="shared" si="0"/>
        <v>80</v>
      </c>
      <c r="I14" s="43"/>
    </row>
    <row r="15" spans="1:9" ht="13.65" customHeight="1" x14ac:dyDescent="0.3">
      <c r="A15" s="32" t="s">
        <v>4</v>
      </c>
      <c r="B15" s="32" t="s">
        <v>22</v>
      </c>
      <c r="C15" s="33" t="s">
        <v>23</v>
      </c>
      <c r="D15" s="32" t="s">
        <v>7</v>
      </c>
      <c r="E15" s="48">
        <v>88</v>
      </c>
      <c r="F15" s="64"/>
      <c r="G15" s="95">
        <v>81</v>
      </c>
      <c r="H15" s="19">
        <f t="shared" si="0"/>
        <v>7</v>
      </c>
      <c r="I15" s="81"/>
    </row>
    <row r="16" spans="1:9" ht="13.65" customHeight="1" x14ac:dyDescent="0.3">
      <c r="A16" s="20" t="s">
        <v>4</v>
      </c>
      <c r="B16" s="20" t="s">
        <v>24</v>
      </c>
      <c r="C16" s="21" t="s">
        <v>25</v>
      </c>
      <c r="D16" s="20" t="s">
        <v>7</v>
      </c>
      <c r="E16" s="18">
        <v>27</v>
      </c>
      <c r="F16" s="62"/>
      <c r="G16" s="93">
        <v>27</v>
      </c>
      <c r="H16" s="19">
        <f t="shared" si="0"/>
        <v>0</v>
      </c>
      <c r="I16" s="81"/>
    </row>
    <row r="17" spans="1:9" ht="13.65" customHeight="1" x14ac:dyDescent="0.3">
      <c r="A17" s="20" t="s">
        <v>4</v>
      </c>
      <c r="B17" s="20" t="s">
        <v>26</v>
      </c>
      <c r="C17" s="21" t="s">
        <v>27</v>
      </c>
      <c r="D17" s="20" t="s">
        <v>7</v>
      </c>
      <c r="E17" s="22">
        <v>75</v>
      </c>
      <c r="F17" s="62"/>
      <c r="G17" s="93">
        <v>75</v>
      </c>
      <c r="H17" s="19">
        <f t="shared" si="0"/>
        <v>0</v>
      </c>
      <c r="I17" s="81"/>
    </row>
    <row r="18" spans="1:9" ht="13.65" customHeight="1" x14ac:dyDescent="0.3">
      <c r="A18" s="20" t="s">
        <v>4</v>
      </c>
      <c r="B18" s="20" t="s">
        <v>28</v>
      </c>
      <c r="C18" s="21" t="s">
        <v>29</v>
      </c>
      <c r="D18" s="20" t="s">
        <v>7</v>
      </c>
      <c r="E18" s="22">
        <v>136</v>
      </c>
      <c r="F18" s="62"/>
      <c r="G18" s="93">
        <v>202</v>
      </c>
      <c r="H18" s="19">
        <f t="shared" si="0"/>
        <v>-66</v>
      </c>
      <c r="I18" s="81"/>
    </row>
    <row r="19" spans="1:9" ht="13.65" customHeight="1" x14ac:dyDescent="0.3">
      <c r="A19" s="20" t="s">
        <v>4</v>
      </c>
      <c r="B19" s="20" t="s">
        <v>30</v>
      </c>
      <c r="C19" s="21" t="s">
        <v>31</v>
      </c>
      <c r="D19" s="20" t="s">
        <v>7</v>
      </c>
      <c r="E19" s="19">
        <v>61</v>
      </c>
      <c r="F19" s="62"/>
      <c r="G19" s="44">
        <v>59</v>
      </c>
      <c r="H19" s="19">
        <f t="shared" si="0"/>
        <v>2</v>
      </c>
      <c r="I19" s="81"/>
    </row>
    <row r="20" spans="1:9" ht="13.65" customHeight="1" x14ac:dyDescent="0.3">
      <c r="A20" s="20" t="s">
        <v>4</v>
      </c>
      <c r="B20" s="20" t="s">
        <v>32</v>
      </c>
      <c r="C20" s="21" t="s">
        <v>33</v>
      </c>
      <c r="D20" s="20" t="s">
        <v>7</v>
      </c>
      <c r="E20" s="19">
        <v>45</v>
      </c>
      <c r="F20" s="62"/>
      <c r="G20" s="44">
        <v>36</v>
      </c>
      <c r="H20" s="19">
        <f t="shared" si="0"/>
        <v>9</v>
      </c>
      <c r="I20" s="81"/>
    </row>
    <row r="21" spans="1:9" ht="13.65" customHeight="1" x14ac:dyDescent="0.3">
      <c r="A21" s="20" t="s">
        <v>4</v>
      </c>
      <c r="B21" s="20" t="s">
        <v>34</v>
      </c>
      <c r="C21" s="21" t="s">
        <v>35</v>
      </c>
      <c r="D21" s="20" t="s">
        <v>7</v>
      </c>
      <c r="E21" s="19">
        <v>7</v>
      </c>
      <c r="F21" s="62"/>
      <c r="G21" s="44">
        <v>7</v>
      </c>
      <c r="H21" s="19">
        <f t="shared" si="0"/>
        <v>0</v>
      </c>
      <c r="I21" s="81"/>
    </row>
    <row r="22" spans="1:9" ht="13.65" customHeight="1" x14ac:dyDescent="0.3">
      <c r="A22" s="20" t="s">
        <v>4</v>
      </c>
      <c r="B22" s="20" t="s">
        <v>36</v>
      </c>
      <c r="C22" s="21" t="s">
        <v>37</v>
      </c>
      <c r="D22" s="20" t="s">
        <v>7</v>
      </c>
      <c r="E22" s="19">
        <v>6</v>
      </c>
      <c r="F22" s="62"/>
      <c r="G22" s="44">
        <v>6</v>
      </c>
      <c r="H22" s="19">
        <f t="shared" si="0"/>
        <v>0</v>
      </c>
      <c r="I22" s="81"/>
    </row>
    <row r="23" spans="1:9" ht="13.65" customHeight="1" x14ac:dyDescent="0.3">
      <c r="A23" s="20"/>
      <c r="B23" s="20"/>
      <c r="C23" s="21"/>
      <c r="D23" s="20"/>
      <c r="E23" s="23"/>
      <c r="F23" s="63"/>
      <c r="G23" s="76"/>
      <c r="H23" s="19"/>
      <c r="I23" s="81"/>
    </row>
    <row r="24" spans="1:9" ht="13.65" customHeight="1" x14ac:dyDescent="0.3">
      <c r="A24" s="20" t="s">
        <v>4</v>
      </c>
      <c r="B24" s="20" t="s">
        <v>38</v>
      </c>
      <c r="C24" s="21" t="s">
        <v>39</v>
      </c>
      <c r="D24" s="20" t="s">
        <v>7</v>
      </c>
      <c r="E24" s="23">
        <v>46</v>
      </c>
      <c r="F24" s="63"/>
      <c r="G24" s="76">
        <v>46</v>
      </c>
      <c r="H24" s="19">
        <f t="shared" si="0"/>
        <v>0</v>
      </c>
      <c r="I24" s="81"/>
    </row>
    <row r="25" spans="1:9" ht="13.65" customHeight="1" x14ac:dyDescent="0.3">
      <c r="A25" s="20" t="s">
        <v>4</v>
      </c>
      <c r="B25" s="20" t="s">
        <v>40</v>
      </c>
      <c r="C25" s="21" t="s">
        <v>41</v>
      </c>
      <c r="D25" s="20" t="s">
        <v>7</v>
      </c>
      <c r="E25" s="23">
        <v>7</v>
      </c>
      <c r="F25" s="63"/>
      <c r="G25" s="76">
        <v>7</v>
      </c>
      <c r="H25" s="19">
        <f t="shared" si="0"/>
        <v>0</v>
      </c>
      <c r="I25" s="81"/>
    </row>
    <row r="26" spans="1:9" ht="13.65" customHeight="1" x14ac:dyDescent="0.3">
      <c r="A26" s="20"/>
      <c r="B26" s="20"/>
      <c r="C26" s="21"/>
      <c r="D26" s="20"/>
      <c r="E26" s="23"/>
      <c r="F26" s="63"/>
      <c r="G26" s="76"/>
      <c r="H26" s="19">
        <f t="shared" si="0"/>
        <v>0</v>
      </c>
      <c r="I26" s="81"/>
    </row>
    <row r="27" spans="1:9" ht="13.65" customHeight="1" x14ac:dyDescent="0.3">
      <c r="A27" s="20" t="s">
        <v>42</v>
      </c>
      <c r="B27" s="20" t="s">
        <v>43</v>
      </c>
      <c r="C27" s="21" t="s">
        <v>44</v>
      </c>
      <c r="D27" s="20" t="s">
        <v>7</v>
      </c>
      <c r="E27" s="23">
        <v>30</v>
      </c>
      <c r="F27" s="63"/>
      <c r="G27" s="76">
        <v>26</v>
      </c>
      <c r="H27" s="19">
        <f t="shared" si="0"/>
        <v>4</v>
      </c>
      <c r="I27" s="81"/>
    </row>
    <row r="28" spans="1:9" ht="13.65" customHeight="1" x14ac:dyDescent="0.3">
      <c r="A28" s="20" t="s">
        <v>42</v>
      </c>
      <c r="B28" s="20" t="s">
        <v>45</v>
      </c>
      <c r="C28" s="21" t="s">
        <v>46</v>
      </c>
      <c r="D28" s="20" t="s">
        <v>7</v>
      </c>
      <c r="E28" s="23">
        <v>0</v>
      </c>
      <c r="F28" s="63"/>
      <c r="G28" s="76"/>
      <c r="H28" s="19">
        <f t="shared" si="0"/>
        <v>0</v>
      </c>
      <c r="I28" s="81"/>
    </row>
    <row r="29" spans="1:9" ht="13.65" customHeight="1" x14ac:dyDescent="0.3">
      <c r="A29" s="20"/>
      <c r="B29" s="20"/>
      <c r="C29" s="21"/>
      <c r="D29" s="20"/>
      <c r="E29" s="23"/>
      <c r="F29" s="63"/>
      <c r="G29" s="76"/>
      <c r="H29" s="19">
        <f t="shared" si="0"/>
        <v>0</v>
      </c>
      <c r="I29" s="81"/>
    </row>
    <row r="30" spans="1:9" ht="13.65" customHeight="1" x14ac:dyDescent="0.3">
      <c r="A30" s="20" t="s">
        <v>47</v>
      </c>
      <c r="B30" s="20" t="s">
        <v>48</v>
      </c>
      <c r="C30" s="21" t="s">
        <v>49</v>
      </c>
      <c r="D30" s="20" t="s">
        <v>7</v>
      </c>
      <c r="E30" s="23"/>
      <c r="F30" s="63">
        <v>60</v>
      </c>
      <c r="G30" s="76">
        <v>48</v>
      </c>
      <c r="H30" s="19">
        <f>F30-G30</f>
        <v>12</v>
      </c>
      <c r="I30" s="81"/>
    </row>
    <row r="31" spans="1:9" ht="13.65" customHeight="1" x14ac:dyDescent="0.3">
      <c r="A31" s="20" t="s">
        <v>47</v>
      </c>
      <c r="B31" s="20" t="s">
        <v>50</v>
      </c>
      <c r="C31" s="21" t="s">
        <v>51</v>
      </c>
      <c r="D31" s="20" t="s">
        <v>7</v>
      </c>
      <c r="E31" s="23"/>
      <c r="F31" s="63">
        <v>60</v>
      </c>
      <c r="G31" s="76">
        <v>60</v>
      </c>
      <c r="H31" s="19">
        <f t="shared" ref="H31:H33" si="1">F31-G31</f>
        <v>0</v>
      </c>
      <c r="I31" s="81"/>
    </row>
    <row r="32" spans="1:9" ht="13.65" customHeight="1" x14ac:dyDescent="0.3">
      <c r="A32" s="20" t="s">
        <v>4</v>
      </c>
      <c r="B32" s="20">
        <v>33191234</v>
      </c>
      <c r="C32" s="21" t="s">
        <v>185</v>
      </c>
      <c r="D32" s="20" t="s">
        <v>7</v>
      </c>
      <c r="E32" s="23">
        <v>36</v>
      </c>
      <c r="F32" s="63"/>
      <c r="G32" s="76">
        <v>30</v>
      </c>
      <c r="H32" s="19">
        <f>E32-G32</f>
        <v>6</v>
      </c>
      <c r="I32" s="81"/>
    </row>
    <row r="33" spans="1:9" ht="13.65" customHeight="1" x14ac:dyDescent="0.3">
      <c r="A33" s="20" t="s">
        <v>47</v>
      </c>
      <c r="B33" s="20" t="s">
        <v>54</v>
      </c>
      <c r="C33" s="21" t="s">
        <v>55</v>
      </c>
      <c r="D33" s="20" t="s">
        <v>7</v>
      </c>
      <c r="E33" s="23"/>
      <c r="F33" s="63">
        <v>50</v>
      </c>
      <c r="G33" s="76">
        <v>48</v>
      </c>
      <c r="H33" s="19">
        <f t="shared" si="1"/>
        <v>2</v>
      </c>
      <c r="I33" s="81"/>
    </row>
    <row r="34" spans="1:9" ht="13.65" customHeight="1" x14ac:dyDescent="0.3">
      <c r="A34" s="20" t="s">
        <v>4</v>
      </c>
      <c r="B34" s="20">
        <v>33191231</v>
      </c>
      <c r="C34" s="21" t="s">
        <v>57</v>
      </c>
      <c r="D34" s="20" t="s">
        <v>7</v>
      </c>
      <c r="E34" s="23">
        <v>41</v>
      </c>
      <c r="F34" s="63"/>
      <c r="G34" s="76">
        <v>39</v>
      </c>
      <c r="H34" s="19">
        <f t="shared" si="0"/>
        <v>2</v>
      </c>
      <c r="I34" s="81"/>
    </row>
    <row r="35" spans="1:9" ht="13.65" customHeight="1" x14ac:dyDescent="0.3">
      <c r="A35" s="20" t="s">
        <v>4</v>
      </c>
      <c r="B35" s="20">
        <v>33191232</v>
      </c>
      <c r="C35" s="21" t="s">
        <v>55</v>
      </c>
      <c r="D35" s="20" t="s">
        <v>7</v>
      </c>
      <c r="E35" s="23">
        <v>45</v>
      </c>
      <c r="F35" s="63"/>
      <c r="G35" s="76">
        <v>43</v>
      </c>
      <c r="H35" s="19">
        <f t="shared" si="0"/>
        <v>2</v>
      </c>
      <c r="I35" s="81"/>
    </row>
    <row r="36" spans="1:9" ht="13.65" customHeight="1" thickBot="1" x14ac:dyDescent="0.35">
      <c r="A36" s="5"/>
      <c r="B36" s="5"/>
      <c r="C36" s="6"/>
      <c r="D36" s="5"/>
      <c r="E36" s="100">
        <f t="shared" ref="E36:G36" si="2">SUM(E3:E35)</f>
        <v>1560</v>
      </c>
      <c r="F36" s="100">
        <f t="shared" si="2"/>
        <v>414</v>
      </c>
      <c r="G36" s="100">
        <f t="shared" si="2"/>
        <v>1544</v>
      </c>
      <c r="H36" s="100">
        <f>SUM(H3:H35)</f>
        <v>236</v>
      </c>
      <c r="I36" s="102"/>
    </row>
    <row r="37" spans="1:9" s="24" customFormat="1" ht="13.65" customHeight="1" x14ac:dyDescent="0.3">
      <c r="A37" s="16" t="s">
        <v>4</v>
      </c>
      <c r="B37" s="16">
        <v>7358771515</v>
      </c>
      <c r="C37" s="17" t="s">
        <v>58</v>
      </c>
      <c r="D37" s="16" t="s">
        <v>7</v>
      </c>
      <c r="E37" s="20"/>
      <c r="F37" s="65"/>
      <c r="G37" s="79"/>
      <c r="H37" s="19">
        <f t="shared" si="0"/>
        <v>0</v>
      </c>
      <c r="I37" s="43"/>
    </row>
    <row r="38" spans="1:9" s="24" customFormat="1" ht="13.65" customHeight="1" x14ac:dyDescent="0.3">
      <c r="A38" s="20" t="s">
        <v>4</v>
      </c>
      <c r="B38" s="20">
        <v>7378761826</v>
      </c>
      <c r="C38" s="21" t="s">
        <v>59</v>
      </c>
      <c r="D38" s="20" t="s">
        <v>7</v>
      </c>
      <c r="E38" s="23"/>
      <c r="F38" s="63"/>
      <c r="G38" s="76"/>
      <c r="H38" s="19">
        <f t="shared" si="0"/>
        <v>0</v>
      </c>
      <c r="I38" s="43"/>
    </row>
    <row r="39" spans="1:9" s="24" customFormat="1" ht="13.65" customHeight="1" x14ac:dyDescent="0.3">
      <c r="A39" s="20" t="s">
        <v>4</v>
      </c>
      <c r="B39" s="20" t="s">
        <v>60</v>
      </c>
      <c r="C39" s="21" t="s">
        <v>61</v>
      </c>
      <c r="D39" s="20" t="s">
        <v>7</v>
      </c>
      <c r="E39" s="23"/>
      <c r="F39" s="63"/>
      <c r="G39" s="76"/>
      <c r="H39" s="19">
        <f t="shared" si="0"/>
        <v>0</v>
      </c>
      <c r="I39" s="43"/>
    </row>
    <row r="40" spans="1:9" s="24" customFormat="1" ht="13.65" customHeight="1" x14ac:dyDescent="0.3">
      <c r="A40" s="20" t="s">
        <v>4</v>
      </c>
      <c r="B40" s="20" t="s">
        <v>62</v>
      </c>
      <c r="C40" s="21" t="s">
        <v>63</v>
      </c>
      <c r="D40" s="20" t="s">
        <v>7</v>
      </c>
      <c r="E40" s="23"/>
      <c r="F40" s="63"/>
      <c r="G40" s="76"/>
      <c r="H40" s="19">
        <f t="shared" si="0"/>
        <v>0</v>
      </c>
      <c r="I40" s="43"/>
    </row>
    <row r="41" spans="1:9" s="24" customFormat="1" ht="13.65" customHeight="1" x14ac:dyDescent="0.3">
      <c r="A41" s="20" t="s">
        <v>4</v>
      </c>
      <c r="B41" s="20" t="s">
        <v>64</v>
      </c>
      <c r="C41" s="21" t="s">
        <v>65</v>
      </c>
      <c r="D41" s="20" t="s">
        <v>7</v>
      </c>
      <c r="E41" s="23"/>
      <c r="F41" s="63"/>
      <c r="G41" s="76"/>
      <c r="H41" s="19">
        <f t="shared" si="0"/>
        <v>0</v>
      </c>
      <c r="I41" s="43"/>
    </row>
    <row r="42" spans="1:9" s="24" customFormat="1" ht="13.65" customHeight="1" x14ac:dyDescent="0.3">
      <c r="A42" s="20" t="s">
        <v>4</v>
      </c>
      <c r="B42" s="20" t="s">
        <v>66</v>
      </c>
      <c r="C42" s="21" t="s">
        <v>67</v>
      </c>
      <c r="D42" s="20" t="s">
        <v>7</v>
      </c>
      <c r="E42" s="23"/>
      <c r="F42" s="63"/>
      <c r="G42" s="76"/>
      <c r="H42" s="19">
        <f t="shared" si="0"/>
        <v>0</v>
      </c>
      <c r="I42" s="43"/>
    </row>
    <row r="43" spans="1:9" s="24" customFormat="1" ht="13.65" customHeight="1" x14ac:dyDescent="0.3">
      <c r="A43" s="20" t="s">
        <v>4</v>
      </c>
      <c r="B43" s="20" t="s">
        <v>68</v>
      </c>
      <c r="C43" s="21" t="s">
        <v>69</v>
      </c>
      <c r="D43" s="20" t="s">
        <v>7</v>
      </c>
      <c r="E43" s="23"/>
      <c r="F43" s="63"/>
      <c r="G43" s="76"/>
      <c r="H43" s="19">
        <f t="shared" si="0"/>
        <v>0</v>
      </c>
      <c r="I43" s="43"/>
    </row>
    <row r="44" spans="1:9" s="24" customFormat="1" ht="13.65" customHeight="1" x14ac:dyDescent="0.3">
      <c r="A44" s="20" t="s">
        <v>4</v>
      </c>
      <c r="B44" s="20" t="s">
        <v>70</v>
      </c>
      <c r="C44" s="21" t="s">
        <v>69</v>
      </c>
      <c r="D44" s="20" t="s">
        <v>7</v>
      </c>
      <c r="E44" s="23"/>
      <c r="F44" s="63"/>
      <c r="G44" s="76"/>
      <c r="H44" s="19">
        <f t="shared" si="0"/>
        <v>0</v>
      </c>
      <c r="I44" s="43"/>
    </row>
    <row r="45" spans="1:9" s="24" customFormat="1" ht="13.65" customHeight="1" x14ac:dyDescent="0.3">
      <c r="A45" s="20" t="s">
        <v>4</v>
      </c>
      <c r="B45" s="20" t="s">
        <v>71</v>
      </c>
      <c r="C45" s="21" t="s">
        <v>72</v>
      </c>
      <c r="D45" s="20" t="s">
        <v>7</v>
      </c>
      <c r="E45" s="23"/>
      <c r="F45" s="63"/>
      <c r="G45" s="76"/>
      <c r="H45" s="19">
        <f t="shared" si="0"/>
        <v>0</v>
      </c>
      <c r="I45" s="43"/>
    </row>
    <row r="46" spans="1:9" s="24" customFormat="1" ht="13.65" customHeight="1" x14ac:dyDescent="0.3">
      <c r="A46" s="20" t="s">
        <v>4</v>
      </c>
      <c r="B46" s="20">
        <v>7951697</v>
      </c>
      <c r="C46" s="21" t="s">
        <v>73</v>
      </c>
      <c r="D46" s="20" t="s">
        <v>7</v>
      </c>
      <c r="E46" s="23"/>
      <c r="F46" s="63"/>
      <c r="G46" s="76"/>
      <c r="H46" s="19">
        <f t="shared" si="0"/>
        <v>0</v>
      </c>
      <c r="I46" s="43"/>
    </row>
    <row r="47" spans="1:9" s="24" customFormat="1" ht="13.65" customHeight="1" x14ac:dyDescent="0.3">
      <c r="A47" s="20" t="s">
        <v>4</v>
      </c>
      <c r="B47" s="20">
        <v>7952606</v>
      </c>
      <c r="C47" s="21" t="s">
        <v>74</v>
      </c>
      <c r="D47" s="20" t="s">
        <v>7</v>
      </c>
      <c r="E47" s="23"/>
      <c r="F47" s="63"/>
      <c r="G47" s="76"/>
      <c r="H47" s="19">
        <f t="shared" si="0"/>
        <v>0</v>
      </c>
      <c r="I47" s="43"/>
    </row>
    <row r="48" spans="1:9" s="24" customFormat="1" ht="13.65" customHeight="1" x14ac:dyDescent="0.3">
      <c r="A48" s="20" t="s">
        <v>4</v>
      </c>
      <c r="B48" s="20" t="s">
        <v>75</v>
      </c>
      <c r="C48" s="21" t="s">
        <v>76</v>
      </c>
      <c r="D48" s="20" t="s">
        <v>7</v>
      </c>
      <c r="E48" s="23"/>
      <c r="F48" s="63"/>
      <c r="G48" s="76"/>
      <c r="H48" s="19">
        <f t="shared" si="0"/>
        <v>0</v>
      </c>
      <c r="I48" s="43"/>
    </row>
    <row r="49" spans="1:9" s="24" customFormat="1" ht="13.65" customHeight="1" x14ac:dyDescent="0.3">
      <c r="A49" s="20"/>
      <c r="B49" s="20"/>
      <c r="C49" s="21"/>
      <c r="D49" s="20"/>
      <c r="E49" s="23"/>
      <c r="F49" s="63"/>
      <c r="G49" s="76"/>
      <c r="H49" s="19">
        <f t="shared" si="0"/>
        <v>0</v>
      </c>
      <c r="I49" s="43"/>
    </row>
    <row r="50" spans="1:9" s="24" customFormat="1" ht="13.65" customHeight="1" x14ac:dyDescent="0.3">
      <c r="A50" s="20" t="s">
        <v>4</v>
      </c>
      <c r="B50" s="20">
        <v>7305771415</v>
      </c>
      <c r="C50" s="21" t="s">
        <v>77</v>
      </c>
      <c r="D50" s="20" t="s">
        <v>7</v>
      </c>
      <c r="E50" s="23"/>
      <c r="F50" s="63"/>
      <c r="G50" s="76"/>
      <c r="H50" s="19">
        <f t="shared" si="0"/>
        <v>0</v>
      </c>
      <c r="I50" s="43"/>
    </row>
    <row r="51" spans="1:9" s="24" customFormat="1" ht="13.65" customHeight="1" x14ac:dyDescent="0.3">
      <c r="A51" s="20" t="s">
        <v>4</v>
      </c>
      <c r="B51" s="20" t="s">
        <v>78</v>
      </c>
      <c r="C51" s="21" t="s">
        <v>79</v>
      </c>
      <c r="D51" s="20" t="s">
        <v>7</v>
      </c>
      <c r="E51" s="23"/>
      <c r="F51" s="63"/>
      <c r="G51" s="76"/>
      <c r="H51" s="19">
        <f t="shared" si="0"/>
        <v>0</v>
      </c>
      <c r="I51" s="43"/>
    </row>
    <row r="52" spans="1:9" s="24" customFormat="1" ht="13.65" customHeight="1" x14ac:dyDescent="0.3">
      <c r="A52" s="20" t="s">
        <v>4</v>
      </c>
      <c r="B52" s="20" t="s">
        <v>80</v>
      </c>
      <c r="C52" s="21" t="s">
        <v>81</v>
      </c>
      <c r="D52" s="20" t="s">
        <v>7</v>
      </c>
      <c r="E52" s="23"/>
      <c r="F52" s="63"/>
      <c r="G52" s="76"/>
      <c r="H52" s="19">
        <f t="shared" si="0"/>
        <v>0</v>
      </c>
      <c r="I52" s="43"/>
    </row>
    <row r="53" spans="1:9" s="24" customFormat="1" ht="13.65" customHeight="1" x14ac:dyDescent="0.3">
      <c r="A53" s="20"/>
      <c r="B53" s="20"/>
      <c r="C53" s="21"/>
      <c r="D53" s="20"/>
      <c r="E53" s="23"/>
      <c r="F53" s="63"/>
      <c r="G53" s="76"/>
      <c r="H53" s="19">
        <f t="shared" si="0"/>
        <v>0</v>
      </c>
      <c r="I53" s="43"/>
    </row>
    <row r="54" spans="1:9" s="24" customFormat="1" ht="13.65" customHeight="1" x14ac:dyDescent="0.3">
      <c r="A54" s="20" t="s">
        <v>4</v>
      </c>
      <c r="B54" s="20" t="s">
        <v>82</v>
      </c>
      <c r="C54" s="21" t="s">
        <v>83</v>
      </c>
      <c r="D54" s="20" t="s">
        <v>7</v>
      </c>
      <c r="E54" s="23"/>
      <c r="F54" s="63"/>
      <c r="G54" s="76"/>
      <c r="H54" s="19">
        <f t="shared" si="0"/>
        <v>0</v>
      </c>
      <c r="I54" s="43"/>
    </row>
    <row r="55" spans="1:9" s="24" customFormat="1" ht="13.65" customHeight="1" x14ac:dyDescent="0.3">
      <c r="A55" s="20"/>
      <c r="B55" s="20"/>
      <c r="C55" s="21"/>
      <c r="D55" s="20"/>
      <c r="E55" s="23"/>
      <c r="F55" s="63"/>
      <c r="G55" s="76"/>
      <c r="H55" s="19">
        <f t="shared" si="0"/>
        <v>0</v>
      </c>
      <c r="I55" s="43"/>
    </row>
    <row r="56" spans="1:9" s="24" customFormat="1" ht="13.65" customHeight="1" x14ac:dyDescent="0.3">
      <c r="A56" s="26" t="s">
        <v>4</v>
      </c>
      <c r="B56" s="26">
        <v>7328602001</v>
      </c>
      <c r="C56" s="27" t="s">
        <v>84</v>
      </c>
      <c r="D56" s="26" t="s">
        <v>7</v>
      </c>
      <c r="E56" s="25"/>
      <c r="F56" s="66"/>
      <c r="G56" s="77"/>
      <c r="H56" s="19">
        <f t="shared" si="0"/>
        <v>0</v>
      </c>
      <c r="I56" s="43"/>
    </row>
    <row r="57" spans="1:9" s="24" customFormat="1" ht="13.65" customHeight="1" x14ac:dyDescent="0.3">
      <c r="A57" s="20" t="s">
        <v>4</v>
      </c>
      <c r="B57" s="20" t="s">
        <v>85</v>
      </c>
      <c r="C57" s="21" t="s">
        <v>86</v>
      </c>
      <c r="D57" s="20" t="s">
        <v>7</v>
      </c>
      <c r="E57" s="23"/>
      <c r="F57" s="63"/>
      <c r="G57" s="76"/>
      <c r="H57" s="19">
        <f t="shared" si="0"/>
        <v>0</v>
      </c>
      <c r="I57" s="43"/>
    </row>
    <row r="58" spans="1:9" s="24" customFormat="1" ht="13.65" customHeight="1" x14ac:dyDescent="0.3">
      <c r="A58" s="20" t="s">
        <v>4</v>
      </c>
      <c r="B58" s="20">
        <v>7951698</v>
      </c>
      <c r="C58" s="21" t="s">
        <v>87</v>
      </c>
      <c r="D58" s="20" t="s">
        <v>7</v>
      </c>
      <c r="E58" s="23"/>
      <c r="F58" s="63"/>
      <c r="G58" s="76"/>
      <c r="H58" s="19">
        <f t="shared" si="0"/>
        <v>0</v>
      </c>
      <c r="I58" s="43"/>
    </row>
    <row r="59" spans="1:9" s="24" customFormat="1" ht="13.65" customHeight="1" thickBot="1" x14ac:dyDescent="0.35">
      <c r="A59" s="28"/>
      <c r="B59" s="28"/>
      <c r="C59" s="29"/>
      <c r="D59" s="28"/>
      <c r="E59" s="30"/>
      <c r="F59" s="67"/>
      <c r="G59" s="77"/>
      <c r="H59" s="45"/>
      <c r="I59" s="104"/>
    </row>
    <row r="60" spans="1:9" s="24" customFormat="1" ht="13.65" customHeight="1" thickBot="1" x14ac:dyDescent="0.35">
      <c r="A60" s="37"/>
      <c r="B60" s="37"/>
      <c r="C60" s="38"/>
      <c r="D60" s="37"/>
      <c r="E60" s="39"/>
      <c r="F60" s="68"/>
      <c r="G60" s="106"/>
      <c r="H60" s="51"/>
      <c r="I60" s="107"/>
    </row>
    <row r="61" spans="1:9" s="24" customFormat="1" ht="13.65" customHeight="1" thickBot="1" x14ac:dyDescent="0.35">
      <c r="A61" s="37"/>
      <c r="B61" s="37"/>
      <c r="C61" s="38"/>
      <c r="D61" s="37"/>
      <c r="E61" s="39"/>
      <c r="F61" s="68"/>
      <c r="G61" s="108"/>
      <c r="H61" s="109"/>
      <c r="I61" s="110"/>
    </row>
    <row r="62" spans="1:9" s="24" customFormat="1" ht="13.65" customHeight="1" thickBot="1" x14ac:dyDescent="0.35">
      <c r="A62" s="111"/>
      <c r="B62" s="111"/>
      <c r="C62" s="112"/>
      <c r="D62" s="111"/>
      <c r="E62" s="113"/>
      <c r="F62" s="114"/>
      <c r="G62" s="113"/>
      <c r="H62" s="115"/>
      <c r="I62" s="116"/>
    </row>
    <row r="63" spans="1:9" ht="13.65" customHeight="1" thickBot="1" x14ac:dyDescent="0.35">
      <c r="A63" s="118"/>
      <c r="B63" s="1"/>
      <c r="C63" s="13"/>
      <c r="D63" s="1"/>
      <c r="E63" s="119"/>
      <c r="F63" s="120"/>
      <c r="G63" s="119"/>
      <c r="H63" s="14"/>
      <c r="I63" s="121"/>
    </row>
    <row r="64" spans="1:9" s="24" customFormat="1" ht="13.65" customHeight="1" x14ac:dyDescent="0.3">
      <c r="A64" s="32" t="s">
        <v>42</v>
      </c>
      <c r="B64" s="32" t="s">
        <v>88</v>
      </c>
      <c r="C64" s="33" t="s">
        <v>208</v>
      </c>
      <c r="D64" s="32" t="s">
        <v>7</v>
      </c>
      <c r="E64" s="50">
        <v>3493</v>
      </c>
      <c r="F64" s="69">
        <v>2400</v>
      </c>
      <c r="G64" s="96">
        <v>3333</v>
      </c>
      <c r="H64" s="105">
        <f t="shared" ref="H64:H89" si="3">E64-G64</f>
        <v>160</v>
      </c>
      <c r="I64" s="117">
        <v>150</v>
      </c>
    </row>
    <row r="65" spans="1:11" s="24" customFormat="1" ht="13.65" customHeight="1" x14ac:dyDescent="0.3">
      <c r="A65" s="20" t="s">
        <v>42</v>
      </c>
      <c r="B65" s="20" t="s">
        <v>90</v>
      </c>
      <c r="C65" s="21" t="s">
        <v>91</v>
      </c>
      <c r="D65" s="20" t="s">
        <v>7</v>
      </c>
      <c r="E65" s="23">
        <v>3560</v>
      </c>
      <c r="F65" s="63">
        <v>2400</v>
      </c>
      <c r="G65" s="76">
        <v>3560</v>
      </c>
      <c r="H65" s="19">
        <f t="shared" si="3"/>
        <v>0</v>
      </c>
      <c r="I65" s="81"/>
    </row>
    <row r="66" spans="1:11" s="24" customFormat="1" ht="13.65" customHeight="1" x14ac:dyDescent="0.3">
      <c r="A66" s="20" t="s">
        <v>42</v>
      </c>
      <c r="B66" s="20" t="s">
        <v>92</v>
      </c>
      <c r="C66" s="21" t="s">
        <v>209</v>
      </c>
      <c r="D66" s="20" t="s">
        <v>7</v>
      </c>
      <c r="E66" s="23">
        <v>3601</v>
      </c>
      <c r="F66" s="63">
        <v>2100</v>
      </c>
      <c r="G66" s="76">
        <v>3450</v>
      </c>
      <c r="H66" s="19">
        <f>E66-G66</f>
        <v>151</v>
      </c>
      <c r="I66" s="81">
        <v>125</v>
      </c>
    </row>
    <row r="67" spans="1:11" s="24" customFormat="1" ht="13.65" customHeight="1" x14ac:dyDescent="0.3">
      <c r="A67" s="20" t="s">
        <v>42</v>
      </c>
      <c r="B67" s="20" t="s">
        <v>94</v>
      </c>
      <c r="C67" s="21" t="s">
        <v>95</v>
      </c>
      <c r="D67" s="20" t="s">
        <v>7</v>
      </c>
      <c r="E67" s="23"/>
      <c r="F67" s="63"/>
      <c r="G67" s="76"/>
      <c r="H67" s="19">
        <f t="shared" si="3"/>
        <v>0</v>
      </c>
      <c r="I67" s="81"/>
    </row>
    <row r="68" spans="1:11" s="24" customFormat="1" ht="13.65" customHeight="1" x14ac:dyDescent="0.3">
      <c r="A68" s="20" t="s">
        <v>96</v>
      </c>
      <c r="B68" s="20" t="s">
        <v>97</v>
      </c>
      <c r="C68" s="21" t="s">
        <v>98</v>
      </c>
      <c r="D68" s="20" t="s">
        <v>7</v>
      </c>
      <c r="E68" s="23"/>
      <c r="F68" s="63"/>
      <c r="G68" s="76"/>
      <c r="H68" s="19">
        <f t="shared" si="3"/>
        <v>0</v>
      </c>
      <c r="I68" s="81"/>
    </row>
    <row r="69" spans="1:11" s="24" customFormat="1" ht="13.65" customHeight="1" x14ac:dyDescent="0.3">
      <c r="A69" s="20" t="s">
        <v>96</v>
      </c>
      <c r="B69" s="20" t="s">
        <v>99</v>
      </c>
      <c r="C69" s="21" t="s">
        <v>186</v>
      </c>
      <c r="D69" s="20" t="s">
        <v>7</v>
      </c>
      <c r="E69" s="23">
        <v>2118</v>
      </c>
      <c r="F69" s="127">
        <v>2100</v>
      </c>
      <c r="G69" s="76">
        <v>1535</v>
      </c>
      <c r="H69" s="19">
        <f>E69-G69</f>
        <v>583</v>
      </c>
      <c r="I69" s="81">
        <v>293</v>
      </c>
      <c r="K69" s="125"/>
    </row>
    <row r="70" spans="1:11" s="24" customFormat="1" ht="14.1" customHeight="1" x14ac:dyDescent="0.3">
      <c r="A70" s="20" t="s">
        <v>96</v>
      </c>
      <c r="B70" s="20" t="s">
        <v>214</v>
      </c>
      <c r="C70" s="21" t="s">
        <v>202</v>
      </c>
      <c r="D70" s="20" t="s">
        <v>7</v>
      </c>
      <c r="E70" s="23">
        <v>745</v>
      </c>
      <c r="F70" s="63"/>
      <c r="G70" s="76">
        <v>156</v>
      </c>
      <c r="H70" s="19">
        <f t="shared" si="3"/>
        <v>589</v>
      </c>
      <c r="I70" s="81">
        <v>888</v>
      </c>
    </row>
    <row r="71" spans="1:11" s="24" customFormat="1" ht="14.1" customHeight="1" x14ac:dyDescent="0.3">
      <c r="A71" s="20" t="s">
        <v>96</v>
      </c>
      <c r="B71" s="20" t="s">
        <v>215</v>
      </c>
      <c r="C71" s="43" t="s">
        <v>201</v>
      </c>
      <c r="D71" s="20" t="s">
        <v>7</v>
      </c>
      <c r="E71" s="23">
        <v>2370</v>
      </c>
      <c r="F71" s="63"/>
      <c r="G71" s="76">
        <v>2250</v>
      </c>
      <c r="H71" s="19">
        <f t="shared" si="3"/>
        <v>120</v>
      </c>
      <c r="I71" s="81"/>
    </row>
    <row r="72" spans="1:11" s="24" customFormat="1" ht="13.65" customHeight="1" x14ac:dyDescent="0.3">
      <c r="A72" s="20"/>
      <c r="B72" s="20"/>
      <c r="C72" s="21"/>
      <c r="D72" s="20"/>
      <c r="E72" s="23"/>
      <c r="F72" s="63"/>
      <c r="G72" s="76"/>
      <c r="H72" s="19">
        <f t="shared" si="3"/>
        <v>0</v>
      </c>
      <c r="I72" s="81"/>
    </row>
    <row r="73" spans="1:11" s="24" customFormat="1" ht="13.65" customHeight="1" x14ac:dyDescent="0.3">
      <c r="A73" s="20" t="s">
        <v>4</v>
      </c>
      <c r="B73" s="20" t="s">
        <v>101</v>
      </c>
      <c r="C73" s="21" t="s">
        <v>102</v>
      </c>
      <c r="D73" s="20" t="s">
        <v>7</v>
      </c>
      <c r="E73" s="23">
        <v>12240</v>
      </c>
      <c r="F73" s="63"/>
      <c r="G73" s="76">
        <v>10508</v>
      </c>
      <c r="H73" s="19">
        <f t="shared" si="3"/>
        <v>1732</v>
      </c>
      <c r="I73" s="81">
        <v>587</v>
      </c>
    </row>
    <row r="74" spans="1:11" s="24" customFormat="1" ht="13.65" customHeight="1" x14ac:dyDescent="0.3">
      <c r="A74" s="20" t="s">
        <v>4</v>
      </c>
      <c r="B74" s="20" t="s">
        <v>103</v>
      </c>
      <c r="C74" s="21" t="s">
        <v>104</v>
      </c>
      <c r="D74" s="20" t="s">
        <v>7</v>
      </c>
      <c r="E74" s="23">
        <v>12462</v>
      </c>
      <c r="F74" s="63"/>
      <c r="G74" s="76">
        <v>10560</v>
      </c>
      <c r="H74" s="19">
        <f t="shared" si="3"/>
        <v>1902</v>
      </c>
      <c r="I74" s="81">
        <v>543</v>
      </c>
    </row>
    <row r="75" spans="1:11" s="24" customFormat="1" ht="13.65" customHeight="1" x14ac:dyDescent="0.3">
      <c r="A75" s="20" t="s">
        <v>4</v>
      </c>
      <c r="B75" s="20" t="s">
        <v>105</v>
      </c>
      <c r="C75" s="21" t="s">
        <v>106</v>
      </c>
      <c r="D75" s="20" t="s">
        <v>7</v>
      </c>
      <c r="E75" s="23">
        <v>700</v>
      </c>
      <c r="F75" s="63"/>
      <c r="G75" s="76">
        <v>600</v>
      </c>
      <c r="H75" s="19">
        <f t="shared" si="3"/>
        <v>100</v>
      </c>
      <c r="I75" s="81"/>
    </row>
    <row r="76" spans="1:11" s="24" customFormat="1" ht="13.65" customHeight="1" x14ac:dyDescent="0.3">
      <c r="A76" s="20" t="s">
        <v>4</v>
      </c>
      <c r="B76" s="20" t="s">
        <v>188</v>
      </c>
      <c r="C76" s="21" t="s">
        <v>189</v>
      </c>
      <c r="D76" s="20" t="s">
        <v>7</v>
      </c>
      <c r="E76" s="23">
        <v>0</v>
      </c>
      <c r="F76" s="63"/>
      <c r="G76" s="76"/>
      <c r="H76" s="19">
        <f t="shared" si="3"/>
        <v>0</v>
      </c>
      <c r="I76" s="81"/>
    </row>
    <row r="77" spans="1:11" s="24" customFormat="1" ht="13.65" customHeight="1" x14ac:dyDescent="0.3">
      <c r="A77" s="32"/>
      <c r="B77" s="32"/>
      <c r="C77" s="33"/>
      <c r="D77" s="32"/>
      <c r="E77" s="50"/>
      <c r="F77" s="69"/>
      <c r="G77" s="96"/>
      <c r="H77" s="19">
        <f t="shared" si="3"/>
        <v>0</v>
      </c>
      <c r="I77" s="81"/>
    </row>
    <row r="78" spans="1:11" ht="13.65" customHeight="1" thickBot="1" x14ac:dyDescent="0.35">
      <c r="A78" s="5"/>
      <c r="B78" s="5"/>
      <c r="C78" s="6"/>
      <c r="D78" s="5"/>
      <c r="E78" s="7">
        <f>SUM(E64:E77)</f>
        <v>41289</v>
      </c>
      <c r="F78" s="7">
        <f t="shared" ref="F78:I78" si="4">SUM(F64:F77)</f>
        <v>9000</v>
      </c>
      <c r="G78" s="7">
        <f t="shared" si="4"/>
        <v>35952</v>
      </c>
      <c r="H78" s="7">
        <f t="shared" si="4"/>
        <v>5337</v>
      </c>
      <c r="I78" s="7">
        <f t="shared" si="4"/>
        <v>2586</v>
      </c>
    </row>
    <row r="79" spans="1:11" s="24" customFormat="1" ht="13.65" customHeight="1" x14ac:dyDescent="0.3">
      <c r="A79" s="16" t="s">
        <v>107</v>
      </c>
      <c r="B79" s="16" t="s">
        <v>108</v>
      </c>
      <c r="C79" s="17" t="s">
        <v>109</v>
      </c>
      <c r="D79" s="16" t="s">
        <v>7</v>
      </c>
      <c r="E79" s="31">
        <v>2150</v>
      </c>
      <c r="F79" s="70"/>
      <c r="G79" s="75">
        <v>1875</v>
      </c>
      <c r="H79" s="19">
        <f t="shared" si="3"/>
        <v>275</v>
      </c>
      <c r="I79" s="81">
        <v>291</v>
      </c>
    </row>
    <row r="80" spans="1:11" s="24" customFormat="1" ht="13.65" customHeight="1" x14ac:dyDescent="0.3">
      <c r="A80" s="26" t="s">
        <v>107</v>
      </c>
      <c r="B80" s="26" t="s">
        <v>110</v>
      </c>
      <c r="C80" s="27" t="s">
        <v>111</v>
      </c>
      <c r="D80" s="26" t="s">
        <v>7</v>
      </c>
      <c r="E80" s="25">
        <v>496</v>
      </c>
      <c r="F80" s="66"/>
      <c r="G80" s="77">
        <v>421</v>
      </c>
      <c r="H80" s="19">
        <f t="shared" si="3"/>
        <v>75</v>
      </c>
      <c r="I80" s="81"/>
    </row>
    <row r="81" spans="1:9" s="24" customFormat="1" ht="13.65" customHeight="1" x14ac:dyDescent="0.3">
      <c r="A81" s="26" t="s">
        <v>107</v>
      </c>
      <c r="B81" s="26" t="s">
        <v>112</v>
      </c>
      <c r="C81" s="27" t="s">
        <v>113</v>
      </c>
      <c r="D81" s="26" t="s">
        <v>114</v>
      </c>
      <c r="E81" s="25">
        <v>0</v>
      </c>
      <c r="F81" s="66"/>
      <c r="G81" s="77"/>
      <c r="H81" s="19">
        <f t="shared" si="3"/>
        <v>0</v>
      </c>
      <c r="I81" s="81"/>
    </row>
    <row r="82" spans="1:9" s="24" customFormat="1" ht="13.65" customHeight="1" thickBot="1" x14ac:dyDescent="0.35">
      <c r="A82" s="26"/>
      <c r="B82" s="26"/>
      <c r="C82" s="27"/>
      <c r="D82" s="26"/>
      <c r="E82" s="25"/>
      <c r="F82" s="66"/>
      <c r="G82" s="77"/>
      <c r="H82" s="19"/>
      <c r="I82" s="81"/>
    </row>
    <row r="83" spans="1:9" ht="13.65" customHeight="1" thickBot="1" x14ac:dyDescent="0.35">
      <c r="A83" s="1"/>
      <c r="B83" s="1"/>
      <c r="C83" s="13"/>
      <c r="D83" s="13"/>
      <c r="E83" s="14">
        <f>SUM(E79:E81)</f>
        <v>2646</v>
      </c>
      <c r="F83" s="14">
        <f t="shared" ref="F83:I83" si="5">SUM(F79:F81)</f>
        <v>0</v>
      </c>
      <c r="G83" s="14">
        <f t="shared" si="5"/>
        <v>2296</v>
      </c>
      <c r="H83" s="14">
        <f t="shared" si="5"/>
        <v>350</v>
      </c>
      <c r="I83" s="14">
        <f t="shared" si="5"/>
        <v>291</v>
      </c>
    </row>
    <row r="84" spans="1:9" s="24" customFormat="1" ht="13.65" customHeight="1" x14ac:dyDescent="0.3">
      <c r="A84" s="32" t="s">
        <v>42</v>
      </c>
      <c r="B84" s="32" t="s">
        <v>115</v>
      </c>
      <c r="C84" s="33" t="s">
        <v>116</v>
      </c>
      <c r="D84" s="32" t="s">
        <v>7</v>
      </c>
      <c r="E84" s="34">
        <v>0</v>
      </c>
      <c r="F84" s="71"/>
      <c r="G84" s="97"/>
      <c r="H84" s="19">
        <f t="shared" si="3"/>
        <v>0</v>
      </c>
      <c r="I84" s="81"/>
    </row>
    <row r="85" spans="1:9" s="24" customFormat="1" ht="13.65" customHeight="1" x14ac:dyDescent="0.3">
      <c r="A85" s="20" t="s">
        <v>42</v>
      </c>
      <c r="B85" s="20" t="s">
        <v>117</v>
      </c>
      <c r="C85" s="21" t="s">
        <v>118</v>
      </c>
      <c r="D85" s="20" t="s">
        <v>7</v>
      </c>
      <c r="E85" s="23">
        <v>2041</v>
      </c>
      <c r="F85" s="63">
        <v>800</v>
      </c>
      <c r="G85" s="76">
        <v>1850</v>
      </c>
      <c r="H85" s="19">
        <f t="shared" si="3"/>
        <v>191</v>
      </c>
      <c r="I85" s="81"/>
    </row>
    <row r="86" spans="1:9" s="24" customFormat="1" ht="13.65" customHeight="1" x14ac:dyDescent="0.3">
      <c r="A86" s="20" t="s">
        <v>42</v>
      </c>
      <c r="B86" s="20" t="s">
        <v>119</v>
      </c>
      <c r="C86" s="21" t="s">
        <v>120</v>
      </c>
      <c r="D86" s="20" t="s">
        <v>7</v>
      </c>
      <c r="E86" s="23">
        <v>2270</v>
      </c>
      <c r="F86" s="63">
        <v>1200</v>
      </c>
      <c r="G86" s="76">
        <v>2190</v>
      </c>
      <c r="H86" s="19">
        <f t="shared" si="3"/>
        <v>80</v>
      </c>
      <c r="I86" s="81"/>
    </row>
    <row r="87" spans="1:9" s="24" customFormat="1" ht="13.65" customHeight="1" x14ac:dyDescent="0.3">
      <c r="A87" s="20" t="s">
        <v>42</v>
      </c>
      <c r="B87" s="20" t="s">
        <v>121</v>
      </c>
      <c r="C87" s="21" t="s">
        <v>122</v>
      </c>
      <c r="D87" s="20" t="s">
        <v>7</v>
      </c>
      <c r="E87" s="23">
        <v>400</v>
      </c>
      <c r="F87" s="63"/>
      <c r="G87" s="76">
        <v>400</v>
      </c>
      <c r="H87" s="19">
        <f t="shared" si="3"/>
        <v>0</v>
      </c>
      <c r="I87" s="81"/>
    </row>
    <row r="88" spans="1:9" s="24" customFormat="1" ht="13.65" customHeight="1" x14ac:dyDescent="0.3">
      <c r="A88" s="20" t="s">
        <v>42</v>
      </c>
      <c r="B88" s="20" t="s">
        <v>221</v>
      </c>
      <c r="C88" s="21" t="s">
        <v>220</v>
      </c>
      <c r="D88" s="20" t="s">
        <v>7</v>
      </c>
      <c r="E88" s="23">
        <v>1750</v>
      </c>
      <c r="F88" s="63">
        <v>1200</v>
      </c>
      <c r="G88" s="76">
        <v>1735</v>
      </c>
      <c r="H88" s="19">
        <f t="shared" si="3"/>
        <v>15</v>
      </c>
      <c r="I88" s="81">
        <v>27</v>
      </c>
    </row>
    <row r="89" spans="1:9" s="24" customFormat="1" ht="13.65" customHeight="1" thickBot="1" x14ac:dyDescent="0.35">
      <c r="A89" s="37"/>
      <c r="B89" s="37"/>
      <c r="C89" s="38"/>
      <c r="D89" s="37"/>
      <c r="E89" s="40"/>
      <c r="F89" s="72"/>
      <c r="G89" s="41"/>
      <c r="H89" s="19">
        <f t="shared" si="3"/>
        <v>0</v>
      </c>
      <c r="I89" s="81"/>
    </row>
    <row r="90" spans="1:9" s="24" customFormat="1" ht="13.65" customHeight="1" thickBot="1" x14ac:dyDescent="0.35">
      <c r="A90" s="37"/>
      <c r="B90" s="37"/>
      <c r="C90" s="38"/>
      <c r="D90" s="37"/>
      <c r="E90" s="40"/>
      <c r="F90" s="40"/>
      <c r="G90" s="40"/>
      <c r="H90" s="40"/>
      <c r="I90" s="40"/>
    </row>
    <row r="91" spans="1:9" ht="13.65" customHeight="1" thickBot="1" x14ac:dyDescent="0.35">
      <c r="A91" s="5"/>
      <c r="B91" s="5"/>
      <c r="C91" s="6"/>
      <c r="D91" s="5"/>
      <c r="E91" s="7">
        <f>SUM(E84:E89)</f>
        <v>6461</v>
      </c>
      <c r="F91" s="7">
        <f t="shared" ref="F91:I91" si="6">SUM(F84:F89)</f>
        <v>3200</v>
      </c>
      <c r="G91" s="7">
        <f t="shared" si="6"/>
        <v>6175</v>
      </c>
      <c r="H91" s="7">
        <f t="shared" si="6"/>
        <v>286</v>
      </c>
      <c r="I91" s="7">
        <f t="shared" si="6"/>
        <v>27</v>
      </c>
    </row>
    <row r="92" spans="1:9" s="24" customFormat="1" ht="13.65" customHeight="1" x14ac:dyDescent="0.3">
      <c r="A92" s="16" t="s">
        <v>125</v>
      </c>
      <c r="B92" s="16" t="s">
        <v>126</v>
      </c>
      <c r="C92" s="17" t="s">
        <v>127</v>
      </c>
      <c r="D92" s="16" t="s">
        <v>7</v>
      </c>
      <c r="E92" s="31">
        <v>18</v>
      </c>
      <c r="F92" s="70"/>
      <c r="G92" s="75">
        <v>18</v>
      </c>
      <c r="H92" s="23">
        <f t="shared" ref="H92:H114" si="7">E92-G92</f>
        <v>0</v>
      </c>
      <c r="I92" s="81"/>
    </row>
    <row r="93" spans="1:9" s="24" customFormat="1" ht="13.65" customHeight="1" x14ac:dyDescent="0.3">
      <c r="A93" s="20" t="s">
        <v>125</v>
      </c>
      <c r="B93" s="20" t="s">
        <v>128</v>
      </c>
      <c r="C93" s="21" t="s">
        <v>129</v>
      </c>
      <c r="D93" s="20" t="s">
        <v>7</v>
      </c>
      <c r="E93" s="23">
        <v>19</v>
      </c>
      <c r="F93" s="63"/>
      <c r="G93" s="76">
        <v>19</v>
      </c>
      <c r="H93" s="23">
        <f t="shared" si="7"/>
        <v>0</v>
      </c>
      <c r="I93" s="81"/>
    </row>
    <row r="94" spans="1:9" s="24" customFormat="1" ht="13.65" customHeight="1" x14ac:dyDescent="0.3">
      <c r="A94" s="20" t="s">
        <v>125</v>
      </c>
      <c r="B94" s="20" t="s">
        <v>130</v>
      </c>
      <c r="C94" s="21" t="s">
        <v>131</v>
      </c>
      <c r="D94" s="20" t="s">
        <v>7</v>
      </c>
      <c r="E94" s="23">
        <v>25</v>
      </c>
      <c r="F94" s="63"/>
      <c r="G94" s="76">
        <v>43</v>
      </c>
      <c r="H94" s="23">
        <f t="shared" si="7"/>
        <v>-18</v>
      </c>
      <c r="I94" s="81"/>
    </row>
    <row r="95" spans="1:9" s="24" customFormat="1" ht="13.65" customHeight="1" x14ac:dyDescent="0.3">
      <c r="A95" s="20" t="s">
        <v>125</v>
      </c>
      <c r="B95" s="20" t="s">
        <v>132</v>
      </c>
      <c r="C95" s="21" t="s">
        <v>133</v>
      </c>
      <c r="D95" s="20" t="s">
        <v>7</v>
      </c>
      <c r="E95" s="23">
        <v>10</v>
      </c>
      <c r="F95" s="63"/>
      <c r="G95" s="76">
        <v>10</v>
      </c>
      <c r="H95" s="23">
        <f t="shared" si="7"/>
        <v>0</v>
      </c>
      <c r="I95" s="81"/>
    </row>
    <row r="96" spans="1:9" s="24" customFormat="1" ht="13.65" customHeight="1" x14ac:dyDescent="0.3">
      <c r="A96" s="20" t="s">
        <v>125</v>
      </c>
      <c r="B96" s="20" t="s">
        <v>134</v>
      </c>
      <c r="C96" s="21" t="s">
        <v>135</v>
      </c>
      <c r="D96" s="20" t="s">
        <v>7</v>
      </c>
      <c r="E96" s="23">
        <v>7</v>
      </c>
      <c r="F96" s="63"/>
      <c r="G96" s="76">
        <v>6</v>
      </c>
      <c r="H96" s="23">
        <f t="shared" si="7"/>
        <v>1</v>
      </c>
      <c r="I96" s="81"/>
    </row>
    <row r="97" spans="1:9" s="24" customFormat="1" ht="13.65" customHeight="1" x14ac:dyDescent="0.3">
      <c r="A97" s="20" t="s">
        <v>125</v>
      </c>
      <c r="B97" s="20" t="s">
        <v>136</v>
      </c>
      <c r="C97" s="21" t="s">
        <v>137</v>
      </c>
      <c r="D97" s="20" t="s">
        <v>7</v>
      </c>
      <c r="E97" s="23">
        <v>20</v>
      </c>
      <c r="F97" s="63"/>
      <c r="G97" s="76">
        <v>20</v>
      </c>
      <c r="H97" s="23">
        <f t="shared" si="7"/>
        <v>0</v>
      </c>
      <c r="I97" s="81"/>
    </row>
    <row r="98" spans="1:9" s="24" customFormat="1" ht="13.65" customHeight="1" x14ac:dyDescent="0.3">
      <c r="A98" s="20" t="s">
        <v>125</v>
      </c>
      <c r="B98" s="20" t="s">
        <v>138</v>
      </c>
      <c r="C98" s="21" t="s">
        <v>139</v>
      </c>
      <c r="D98" s="20" t="s">
        <v>7</v>
      </c>
      <c r="E98" s="23">
        <v>52</v>
      </c>
      <c r="F98" s="63"/>
      <c r="G98" s="76">
        <v>52</v>
      </c>
      <c r="H98" s="23">
        <f t="shared" si="7"/>
        <v>0</v>
      </c>
      <c r="I98" s="81"/>
    </row>
    <row r="99" spans="1:9" s="24" customFormat="1" ht="13.65" customHeight="1" x14ac:dyDescent="0.3">
      <c r="A99" s="20" t="s">
        <v>125</v>
      </c>
      <c r="B99" s="20" t="s">
        <v>140</v>
      </c>
      <c r="C99" s="21" t="s">
        <v>141</v>
      </c>
      <c r="D99" s="20" t="s">
        <v>7</v>
      </c>
      <c r="E99" s="23">
        <v>115</v>
      </c>
      <c r="F99" s="63"/>
      <c r="G99" s="76">
        <v>95</v>
      </c>
      <c r="H99" s="126">
        <f t="shared" si="7"/>
        <v>20</v>
      </c>
      <c r="I99" s="81">
        <v>2</v>
      </c>
    </row>
    <row r="100" spans="1:9" s="24" customFormat="1" ht="13.65" customHeight="1" x14ac:dyDescent="0.3">
      <c r="A100" s="20" t="s">
        <v>125</v>
      </c>
      <c r="B100" s="20" t="s">
        <v>142</v>
      </c>
      <c r="C100" s="21" t="s">
        <v>143</v>
      </c>
      <c r="D100" s="20" t="s">
        <v>7</v>
      </c>
      <c r="E100" s="23">
        <v>10</v>
      </c>
      <c r="F100" s="63"/>
      <c r="G100" s="76">
        <v>10</v>
      </c>
      <c r="H100" s="23">
        <f t="shared" si="7"/>
        <v>0</v>
      </c>
      <c r="I100" s="81"/>
    </row>
    <row r="101" spans="1:9" s="24" customFormat="1" ht="13.65" customHeight="1" x14ac:dyDescent="0.3">
      <c r="A101" s="20" t="s">
        <v>125</v>
      </c>
      <c r="B101" s="20" t="s">
        <v>144</v>
      </c>
      <c r="C101" s="21" t="s">
        <v>145</v>
      </c>
      <c r="D101" s="20" t="s">
        <v>7</v>
      </c>
      <c r="E101" s="23">
        <v>10</v>
      </c>
      <c r="F101" s="63"/>
      <c r="G101" s="76">
        <v>9</v>
      </c>
      <c r="H101" s="23">
        <f t="shared" si="7"/>
        <v>1</v>
      </c>
      <c r="I101" s="81"/>
    </row>
    <row r="102" spans="1:9" s="24" customFormat="1" ht="13.65" customHeight="1" x14ac:dyDescent="0.3">
      <c r="A102" s="20" t="s">
        <v>125</v>
      </c>
      <c r="B102" s="20" t="s">
        <v>146</v>
      </c>
      <c r="C102" s="21" t="s">
        <v>147</v>
      </c>
      <c r="D102" s="20" t="s">
        <v>7</v>
      </c>
      <c r="E102" s="23">
        <v>20</v>
      </c>
      <c r="F102" s="63"/>
      <c r="G102" s="76">
        <v>19</v>
      </c>
      <c r="H102" s="23">
        <f t="shared" si="7"/>
        <v>1</v>
      </c>
      <c r="I102" s="81"/>
    </row>
    <row r="103" spans="1:9" s="24" customFormat="1" ht="13.65" customHeight="1" x14ac:dyDescent="0.3">
      <c r="A103" s="20" t="s">
        <v>125</v>
      </c>
      <c r="B103" s="20" t="s">
        <v>148</v>
      </c>
      <c r="C103" s="21" t="s">
        <v>149</v>
      </c>
      <c r="D103" s="20" t="s">
        <v>7</v>
      </c>
      <c r="E103" s="23">
        <v>10</v>
      </c>
      <c r="F103" s="63"/>
      <c r="G103" s="76">
        <v>10</v>
      </c>
      <c r="H103" s="23">
        <f t="shared" si="7"/>
        <v>0</v>
      </c>
      <c r="I103" s="81"/>
    </row>
    <row r="104" spans="1:9" s="24" customFormat="1" ht="13.65" customHeight="1" x14ac:dyDescent="0.3">
      <c r="A104" s="20" t="s">
        <v>125</v>
      </c>
      <c r="B104" s="20" t="s">
        <v>150</v>
      </c>
      <c r="C104" s="21" t="s">
        <v>151</v>
      </c>
      <c r="D104" s="20" t="s">
        <v>7</v>
      </c>
      <c r="E104" s="23"/>
      <c r="F104" s="63"/>
      <c r="G104" s="76"/>
      <c r="H104" s="23">
        <f t="shared" si="7"/>
        <v>0</v>
      </c>
      <c r="I104" s="81"/>
    </row>
    <row r="105" spans="1:9" s="24" customFormat="1" ht="13.65" customHeight="1" x14ac:dyDescent="0.3">
      <c r="A105" s="20" t="s">
        <v>125</v>
      </c>
      <c r="B105" s="20" t="s">
        <v>152</v>
      </c>
      <c r="C105" s="21" t="s">
        <v>153</v>
      </c>
      <c r="D105" s="20" t="s">
        <v>7</v>
      </c>
      <c r="E105" s="23"/>
      <c r="F105" s="63"/>
      <c r="G105" s="76"/>
      <c r="H105" s="23">
        <f t="shared" si="7"/>
        <v>0</v>
      </c>
      <c r="I105" s="81"/>
    </row>
    <row r="106" spans="1:9" s="24" customFormat="1" ht="13.65" customHeight="1" x14ac:dyDescent="0.3">
      <c r="A106" s="20" t="s">
        <v>125</v>
      </c>
      <c r="B106" s="20" t="s">
        <v>154</v>
      </c>
      <c r="C106" s="21" t="s">
        <v>155</v>
      </c>
      <c r="D106" s="20" t="s">
        <v>7</v>
      </c>
      <c r="E106" s="23"/>
      <c r="F106" s="63"/>
      <c r="G106" s="76"/>
      <c r="H106" s="23">
        <f t="shared" si="7"/>
        <v>0</v>
      </c>
      <c r="I106" s="81"/>
    </row>
    <row r="107" spans="1:9" s="24" customFormat="1" ht="13.65" customHeight="1" x14ac:dyDescent="0.3">
      <c r="A107" s="20" t="s">
        <v>125</v>
      </c>
      <c r="B107" s="20" t="s">
        <v>156</v>
      </c>
      <c r="C107" s="21" t="s">
        <v>157</v>
      </c>
      <c r="D107" s="20" t="s">
        <v>7</v>
      </c>
      <c r="E107" s="23"/>
      <c r="F107" s="63"/>
      <c r="G107" s="76"/>
      <c r="H107" s="23">
        <f t="shared" si="7"/>
        <v>0</v>
      </c>
      <c r="I107" s="81"/>
    </row>
    <row r="108" spans="1:9" s="24" customFormat="1" ht="13.65" customHeight="1" x14ac:dyDescent="0.3">
      <c r="A108" s="20" t="s">
        <v>125</v>
      </c>
      <c r="B108" s="20" t="s">
        <v>158</v>
      </c>
      <c r="C108" s="21" t="s">
        <v>159</v>
      </c>
      <c r="D108" s="20" t="s">
        <v>7</v>
      </c>
      <c r="E108" s="23"/>
      <c r="F108" s="63"/>
      <c r="G108" s="76"/>
      <c r="H108" s="23">
        <f t="shared" si="7"/>
        <v>0</v>
      </c>
      <c r="I108" s="81"/>
    </row>
    <row r="109" spans="1:9" s="24" customFormat="1" ht="13.65" customHeight="1" x14ac:dyDescent="0.3">
      <c r="A109" s="20" t="s">
        <v>125</v>
      </c>
      <c r="B109" s="20" t="s">
        <v>160</v>
      </c>
      <c r="C109" s="21" t="s">
        <v>161</v>
      </c>
      <c r="D109" s="20" t="s">
        <v>7</v>
      </c>
      <c r="E109" s="23"/>
      <c r="F109" s="63"/>
      <c r="G109" s="76"/>
      <c r="H109" s="23">
        <f t="shared" si="7"/>
        <v>0</v>
      </c>
      <c r="I109" s="81"/>
    </row>
    <row r="110" spans="1:9" s="24" customFormat="1" ht="13.65" customHeight="1" x14ac:dyDescent="0.3">
      <c r="A110" s="20" t="s">
        <v>125</v>
      </c>
      <c r="B110" s="20" t="s">
        <v>162</v>
      </c>
      <c r="C110" s="21" t="s">
        <v>163</v>
      </c>
      <c r="D110" s="20" t="s">
        <v>7</v>
      </c>
      <c r="E110" s="23"/>
      <c r="F110" s="63"/>
      <c r="G110" s="76"/>
      <c r="H110" s="23">
        <f t="shared" si="7"/>
        <v>0</v>
      </c>
      <c r="I110" s="81"/>
    </row>
    <row r="111" spans="1:9" s="24" customFormat="1" ht="13.65" customHeight="1" x14ac:dyDescent="0.3">
      <c r="A111" s="20" t="s">
        <v>125</v>
      </c>
      <c r="B111" s="20" t="s">
        <v>164</v>
      </c>
      <c r="C111" s="21" t="s">
        <v>165</v>
      </c>
      <c r="D111" s="20" t="s">
        <v>7</v>
      </c>
      <c r="E111" s="23"/>
      <c r="F111" s="63"/>
      <c r="G111" s="76"/>
      <c r="H111" s="23">
        <f t="shared" si="7"/>
        <v>0</v>
      </c>
      <c r="I111" s="81"/>
    </row>
    <row r="112" spans="1:9" s="24" customFormat="1" ht="13.65" customHeight="1" x14ac:dyDescent="0.3">
      <c r="A112" s="20" t="s">
        <v>125</v>
      </c>
      <c r="B112" s="20" t="s">
        <v>166</v>
      </c>
      <c r="C112" s="21" t="s">
        <v>167</v>
      </c>
      <c r="D112" s="20" t="s">
        <v>7</v>
      </c>
      <c r="E112" s="23"/>
      <c r="F112" s="63"/>
      <c r="G112" s="76"/>
      <c r="H112" s="23">
        <f t="shared" si="7"/>
        <v>0</v>
      </c>
      <c r="I112" s="81"/>
    </row>
    <row r="113" spans="1:9" s="24" customFormat="1" ht="13.65" customHeight="1" x14ac:dyDescent="0.3">
      <c r="A113" s="20" t="s">
        <v>125</v>
      </c>
      <c r="B113" s="26">
        <v>2502535</v>
      </c>
      <c r="C113" s="27" t="s">
        <v>168</v>
      </c>
      <c r="D113" s="20" t="s">
        <v>7</v>
      </c>
      <c r="E113" s="25">
        <v>7</v>
      </c>
      <c r="F113" s="66"/>
      <c r="G113" s="77">
        <v>7</v>
      </c>
      <c r="H113" s="23">
        <f t="shared" si="7"/>
        <v>0</v>
      </c>
      <c r="I113" s="81"/>
    </row>
    <row r="114" spans="1:9" s="24" customFormat="1" ht="13.65" customHeight="1" thickBot="1" x14ac:dyDescent="0.35">
      <c r="A114" s="20" t="s">
        <v>125</v>
      </c>
      <c r="B114" s="28" t="s">
        <v>169</v>
      </c>
      <c r="C114" s="29" t="s">
        <v>170</v>
      </c>
      <c r="D114" s="20" t="s">
        <v>7</v>
      </c>
      <c r="E114" s="30"/>
      <c r="F114" s="67"/>
      <c r="G114" s="78"/>
      <c r="H114" s="23">
        <f t="shared" si="7"/>
        <v>0</v>
      </c>
      <c r="I114" s="81"/>
    </row>
    <row r="115" spans="1:9" ht="13.65" customHeight="1" thickBot="1" x14ac:dyDescent="0.35">
      <c r="A115" s="1"/>
      <c r="B115" s="1"/>
      <c r="C115" s="13"/>
      <c r="D115" s="1"/>
      <c r="E115" s="14">
        <f>SUM(E92:E114)</f>
        <v>323</v>
      </c>
      <c r="F115" s="14">
        <f t="shared" ref="F115:I115" si="8">SUM(F92:F114)</f>
        <v>0</v>
      </c>
      <c r="G115" s="14">
        <f t="shared" si="8"/>
        <v>318</v>
      </c>
      <c r="H115" s="14">
        <f t="shared" si="8"/>
        <v>5</v>
      </c>
      <c r="I115" s="14">
        <f t="shared" si="8"/>
        <v>2</v>
      </c>
    </row>
    <row r="116" spans="1:9" s="24" customFormat="1" ht="13.65" customHeight="1" x14ac:dyDescent="0.3">
      <c r="A116" s="16" t="s">
        <v>171</v>
      </c>
      <c r="B116" s="16" t="s">
        <v>172</v>
      </c>
      <c r="C116" s="17" t="s">
        <v>173</v>
      </c>
      <c r="D116" s="16" t="s">
        <v>174</v>
      </c>
      <c r="E116" s="81"/>
      <c r="G116" s="128"/>
      <c r="H116" s="81"/>
      <c r="I116" s="81"/>
    </row>
    <row r="117" spans="1:9" s="24" customFormat="1" ht="13.65" customHeight="1" x14ac:dyDescent="0.3">
      <c r="A117" s="20" t="s">
        <v>175</v>
      </c>
      <c r="B117" s="20">
        <v>50736306</v>
      </c>
      <c r="C117" s="21" t="s">
        <v>176</v>
      </c>
      <c r="D117" s="20" t="s">
        <v>177</v>
      </c>
      <c r="E117" s="81"/>
      <c r="F117" s="81"/>
      <c r="G117" s="128"/>
      <c r="H117" s="81"/>
      <c r="I117" s="81"/>
    </row>
    <row r="118" spans="1:9" s="24" customFormat="1" ht="13.65" customHeight="1" x14ac:dyDescent="0.3">
      <c r="A118" s="20" t="s">
        <v>175</v>
      </c>
      <c r="B118" s="20">
        <v>56553321</v>
      </c>
      <c r="C118" s="21" t="s">
        <v>178</v>
      </c>
      <c r="D118" s="20" t="s">
        <v>177</v>
      </c>
      <c r="E118" s="81"/>
      <c r="F118" s="81"/>
      <c r="G118" s="128"/>
      <c r="H118" s="81"/>
      <c r="I118" s="43"/>
    </row>
    <row r="119" spans="1:9" s="24" customFormat="1" ht="13.65" customHeight="1" x14ac:dyDescent="0.3">
      <c r="A119" s="20" t="s">
        <v>175</v>
      </c>
      <c r="B119" s="20">
        <v>51715481</v>
      </c>
      <c r="C119" s="21" t="s">
        <v>179</v>
      </c>
      <c r="D119" s="20" t="s">
        <v>177</v>
      </c>
      <c r="E119" s="81"/>
      <c r="F119" s="129"/>
      <c r="H119" s="81"/>
      <c r="I119" s="43"/>
    </row>
    <row r="120" spans="1:9" s="24" customFormat="1" ht="13.65" customHeight="1" x14ac:dyDescent="0.3">
      <c r="A120" s="20" t="s">
        <v>175</v>
      </c>
      <c r="B120" s="20">
        <v>486308</v>
      </c>
      <c r="C120" s="21" t="s">
        <v>180</v>
      </c>
      <c r="D120" s="20" t="s">
        <v>181</v>
      </c>
      <c r="E120" s="81"/>
      <c r="F120" s="129"/>
      <c r="G120" s="128"/>
      <c r="H120" s="81"/>
      <c r="I120" s="43"/>
    </row>
    <row r="121" spans="1:9" s="24" customFormat="1" ht="13.65" customHeight="1" x14ac:dyDescent="0.3">
      <c r="A121" s="20"/>
      <c r="B121" s="20"/>
      <c r="C121" s="21"/>
      <c r="D121" s="20"/>
      <c r="E121" s="23"/>
      <c r="F121" s="63"/>
      <c r="G121" s="76"/>
      <c r="H121" s="23"/>
      <c r="I121" s="43"/>
    </row>
    <row r="122" spans="1:9" ht="13.65" customHeight="1" thickBot="1" x14ac:dyDescent="0.35">
      <c r="A122" s="9"/>
      <c r="B122" s="9"/>
      <c r="C122" s="10"/>
      <c r="D122" s="9"/>
      <c r="E122" s="11"/>
      <c r="F122" s="73"/>
      <c r="G122" s="80"/>
      <c r="H122" s="101"/>
      <c r="I122" s="103"/>
    </row>
  </sheetData>
  <protectedRanges>
    <protectedRange sqref="E78:I78" name="Range2_3"/>
    <protectedRange sqref="E78:I78" name="Range1_3"/>
    <protectedRange sqref="H2" name="Range2_5"/>
    <protectedRange sqref="H2" name="Range1_5"/>
    <protectedRange sqref="H1" name="Range2_1_3"/>
    <protectedRange sqref="H1" name="Range1_1_3"/>
    <protectedRange sqref="E36:H36" name="Range2_3_1"/>
    <protectedRange sqref="E36:H36" name="Range1_3_1"/>
  </protectedRanges>
  <conditionalFormatting sqref="C6">
    <cfRule type="duplicateValues" dxfId="45" priority="5"/>
  </conditionalFormatting>
  <conditionalFormatting sqref="C23:C24">
    <cfRule type="duplicateValues" dxfId="44" priority="7"/>
  </conditionalFormatting>
  <conditionalFormatting sqref="C26">
    <cfRule type="duplicateValues" dxfId="43" priority="6"/>
  </conditionalFormatting>
  <conditionalFormatting sqref="C29 C4">
    <cfRule type="duplicateValues" dxfId="42" priority="10"/>
  </conditionalFormatting>
  <conditionalFormatting sqref="C30 C25 C27:C28 C7:C13 C3 C15:C22">
    <cfRule type="duplicateValues" dxfId="41" priority="9"/>
  </conditionalFormatting>
  <conditionalFormatting sqref="C31:C35">
    <cfRule type="duplicateValues" dxfId="40" priority="8"/>
  </conditionalFormatting>
  <conditionalFormatting sqref="E2:G36 H2:H77 E79:H82 E84:H89 E92:H114">
    <cfRule type="cellIs" dxfId="39" priority="1" stopIfTrue="1" operator="lessThan">
      <formula>0</formula>
    </cfRule>
  </conditionalFormatting>
  <conditionalFormatting sqref="E38:G77 E78:I78 E83:I83 E90:I91 E115:I115">
    <cfRule type="cellIs" dxfId="38" priority="3" stopIfTrue="1" operator="lessThan">
      <formula>0</formula>
    </cfRule>
  </conditionalFormatting>
  <conditionalFormatting sqref="E121:H122">
    <cfRule type="cellIs" dxfId="37" priority="2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4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2B6C-6B89-4550-8697-BFFE02E1F90E}">
  <dimension ref="A1:H140"/>
  <sheetViews>
    <sheetView topLeftCell="A107" zoomScale="102" zoomScaleNormal="102" workbookViewId="0">
      <selection activeCell="F126" sqref="F126:F129"/>
    </sheetView>
  </sheetViews>
  <sheetFormatPr defaultRowHeight="14.4" x14ac:dyDescent="0.3"/>
  <cols>
    <col min="1" max="1" width="12" bestFit="1" customWidth="1"/>
    <col min="2" max="2" width="24.5546875" bestFit="1" customWidth="1"/>
    <col min="3" max="3" width="61.109375" customWidth="1"/>
    <col min="4" max="4" width="6.109375" bestFit="1" customWidth="1"/>
    <col min="5" max="5" width="9.88671875" customWidth="1"/>
    <col min="6" max="6" width="9.88671875" style="74" customWidth="1"/>
    <col min="7" max="7" width="8.109375" bestFit="1" customWidth="1"/>
    <col min="8" max="8" width="11.109375" bestFit="1" customWidth="1"/>
  </cols>
  <sheetData>
    <row r="1" spans="1:8" s="36" customFormat="1" ht="30" customHeight="1" thickBot="1" x14ac:dyDescent="0.35">
      <c r="A1" s="35" t="s">
        <v>0</v>
      </c>
      <c r="B1" s="35" t="s">
        <v>1</v>
      </c>
      <c r="C1" s="35" t="s">
        <v>2</v>
      </c>
      <c r="D1" s="35" t="s">
        <v>3</v>
      </c>
      <c r="E1" s="122">
        <v>46143</v>
      </c>
      <c r="F1" s="60" t="s">
        <v>223</v>
      </c>
      <c r="G1" s="123">
        <v>46157</v>
      </c>
      <c r="H1" s="98" t="s">
        <v>210</v>
      </c>
    </row>
    <row r="2" spans="1:8" ht="10.5" customHeight="1" thickBot="1" x14ac:dyDescent="0.35">
      <c r="A2" s="1"/>
      <c r="B2" s="1"/>
      <c r="C2" s="2"/>
      <c r="D2" s="3"/>
      <c r="E2" s="4"/>
      <c r="F2" s="61"/>
      <c r="G2" s="4"/>
      <c r="H2" s="99"/>
    </row>
    <row r="3" spans="1:8" ht="13.65" customHeight="1" x14ac:dyDescent="0.3">
      <c r="A3" s="16" t="s">
        <v>4</v>
      </c>
      <c r="B3" s="16" t="s">
        <v>5</v>
      </c>
      <c r="C3" s="17" t="s">
        <v>6</v>
      </c>
      <c r="D3" s="16" t="s">
        <v>7</v>
      </c>
      <c r="E3" s="19">
        <v>26</v>
      </c>
      <c r="F3" s="62"/>
      <c r="G3" s="44">
        <v>25</v>
      </c>
      <c r="H3" s="19">
        <f>E3-G3</f>
        <v>1</v>
      </c>
    </row>
    <row r="4" spans="1:8" ht="13.65" customHeight="1" x14ac:dyDescent="0.3">
      <c r="A4" s="20" t="s">
        <v>4</v>
      </c>
      <c r="B4" s="20" t="s">
        <v>206</v>
      </c>
      <c r="C4" s="21" t="s">
        <v>207</v>
      </c>
      <c r="D4" s="20" t="s">
        <v>7</v>
      </c>
      <c r="E4" s="23">
        <v>15</v>
      </c>
      <c r="F4" s="63">
        <v>50</v>
      </c>
      <c r="G4" s="76">
        <f>14+20</f>
        <v>34</v>
      </c>
      <c r="H4" s="19">
        <f>E4-G4</f>
        <v>-19</v>
      </c>
    </row>
    <row r="5" spans="1:8" s="24" customFormat="1" ht="13.65" customHeight="1" x14ac:dyDescent="0.3">
      <c r="A5" s="20" t="s">
        <v>4</v>
      </c>
      <c r="B5" s="20" t="s">
        <v>197</v>
      </c>
      <c r="C5" s="21" t="s">
        <v>198</v>
      </c>
      <c r="D5" s="20" t="s">
        <v>7</v>
      </c>
      <c r="E5" s="23">
        <v>39</v>
      </c>
      <c r="F5" s="63">
        <v>30</v>
      </c>
      <c r="G5" s="76">
        <v>30</v>
      </c>
      <c r="H5" s="19">
        <f>F5-G5</f>
        <v>0</v>
      </c>
    </row>
    <row r="6" spans="1:8" ht="13.65" customHeight="1" x14ac:dyDescent="0.3">
      <c r="A6" s="20" t="s">
        <v>4</v>
      </c>
      <c r="B6" s="20" t="s">
        <v>193</v>
      </c>
      <c r="C6" s="21" t="s">
        <v>194</v>
      </c>
      <c r="D6" s="20" t="s">
        <v>7</v>
      </c>
      <c r="E6" s="23">
        <v>13</v>
      </c>
      <c r="F6" s="63"/>
      <c r="G6" s="76">
        <v>13</v>
      </c>
      <c r="H6" s="19">
        <f t="shared" ref="H4:H58" si="0">E6-G6</f>
        <v>0</v>
      </c>
    </row>
    <row r="7" spans="1:8" ht="13.65" customHeight="1" x14ac:dyDescent="0.3">
      <c r="A7" s="20" t="s">
        <v>4</v>
      </c>
      <c r="B7" s="20" t="s">
        <v>8</v>
      </c>
      <c r="C7" s="21" t="s">
        <v>9</v>
      </c>
      <c r="D7" s="20" t="s">
        <v>7</v>
      </c>
      <c r="E7" s="22">
        <v>55</v>
      </c>
      <c r="F7" s="62"/>
      <c r="G7" s="93">
        <v>55</v>
      </c>
      <c r="H7" s="19">
        <f t="shared" si="0"/>
        <v>0</v>
      </c>
    </row>
    <row r="8" spans="1:8" ht="13.65" customHeight="1" x14ac:dyDescent="0.3">
      <c r="A8" s="20" t="s">
        <v>4</v>
      </c>
      <c r="B8" s="20" t="s">
        <v>10</v>
      </c>
      <c r="C8" s="21" t="s">
        <v>11</v>
      </c>
      <c r="D8" s="20" t="s">
        <v>7</v>
      </c>
      <c r="E8" s="22">
        <v>85</v>
      </c>
      <c r="F8" s="62">
        <v>50</v>
      </c>
      <c r="G8" s="93">
        <f>45+50</f>
        <v>95</v>
      </c>
      <c r="H8" s="19">
        <f>E8-G8</f>
        <v>-10</v>
      </c>
    </row>
    <row r="9" spans="1:8" ht="13.65" customHeight="1" x14ac:dyDescent="0.3">
      <c r="A9" s="20" t="s">
        <v>4</v>
      </c>
      <c r="B9" s="20" t="s">
        <v>12</v>
      </c>
      <c r="C9" s="21" t="s">
        <v>13</v>
      </c>
      <c r="D9" s="20" t="s">
        <v>7</v>
      </c>
      <c r="E9" s="93">
        <v>330</v>
      </c>
      <c r="F9" s="62"/>
      <c r="G9" s="93">
        <v>288</v>
      </c>
      <c r="H9" s="19">
        <f>E9-G9</f>
        <v>42</v>
      </c>
    </row>
    <row r="10" spans="1:8" ht="13.65" customHeight="1" x14ac:dyDescent="0.3">
      <c r="A10" s="20" t="s">
        <v>4</v>
      </c>
      <c r="B10" s="20" t="s">
        <v>14</v>
      </c>
      <c r="C10" s="21" t="s">
        <v>15</v>
      </c>
      <c r="D10" s="20" t="s">
        <v>7</v>
      </c>
      <c r="E10" s="22">
        <v>0</v>
      </c>
      <c r="F10" s="62"/>
      <c r="G10" s="93">
        <v>0</v>
      </c>
      <c r="H10" s="19">
        <f t="shared" si="0"/>
        <v>0</v>
      </c>
    </row>
    <row r="11" spans="1:8" ht="13.65" customHeight="1" x14ac:dyDescent="0.3">
      <c r="A11" s="20" t="s">
        <v>4</v>
      </c>
      <c r="B11" s="20" t="s">
        <v>16</v>
      </c>
      <c r="C11" s="21" t="s">
        <v>17</v>
      </c>
      <c r="D11" s="20" t="s">
        <v>7</v>
      </c>
      <c r="E11" s="22">
        <v>30</v>
      </c>
      <c r="F11" s="62"/>
      <c r="G11" s="93">
        <v>30</v>
      </c>
      <c r="H11" s="19">
        <f t="shared" si="0"/>
        <v>0</v>
      </c>
    </row>
    <row r="12" spans="1:8" ht="13.65" customHeight="1" x14ac:dyDescent="0.3">
      <c r="A12" s="20" t="s">
        <v>4</v>
      </c>
      <c r="B12" s="20" t="s">
        <v>18</v>
      </c>
      <c r="C12" s="21" t="s">
        <v>19</v>
      </c>
      <c r="D12" s="20" t="s">
        <v>7</v>
      </c>
      <c r="E12" s="18">
        <v>38</v>
      </c>
      <c r="F12" s="62"/>
      <c r="G12" s="94">
        <v>31</v>
      </c>
      <c r="H12" s="19">
        <f t="shared" si="0"/>
        <v>7</v>
      </c>
    </row>
    <row r="13" spans="1:8" ht="13.65" customHeight="1" x14ac:dyDescent="0.3">
      <c r="A13" s="20" t="s">
        <v>4</v>
      </c>
      <c r="B13" s="20" t="s">
        <v>20</v>
      </c>
      <c r="C13" s="21" t="s">
        <v>21</v>
      </c>
      <c r="D13" s="20" t="s">
        <v>7</v>
      </c>
      <c r="E13" s="18">
        <v>3</v>
      </c>
      <c r="F13" s="62">
        <v>40</v>
      </c>
      <c r="G13" s="94">
        <v>40</v>
      </c>
      <c r="H13" s="19">
        <f t="shared" si="0"/>
        <v>-37</v>
      </c>
    </row>
    <row r="14" spans="1:8" s="24" customFormat="1" ht="13.65" customHeight="1" x14ac:dyDescent="0.3">
      <c r="A14" s="20" t="s">
        <v>4</v>
      </c>
      <c r="B14" s="20" t="s">
        <v>204</v>
      </c>
      <c r="C14" s="21" t="s">
        <v>205</v>
      </c>
      <c r="D14" s="20" t="s">
        <v>7</v>
      </c>
      <c r="E14" s="23">
        <v>70</v>
      </c>
      <c r="F14" s="63">
        <v>100</v>
      </c>
      <c r="G14" s="76">
        <f>48+100</f>
        <v>148</v>
      </c>
      <c r="H14" s="19">
        <f t="shared" si="0"/>
        <v>-78</v>
      </c>
    </row>
    <row r="15" spans="1:8" ht="13.65" customHeight="1" x14ac:dyDescent="0.3">
      <c r="A15" s="32" t="s">
        <v>4</v>
      </c>
      <c r="B15" s="32" t="s">
        <v>22</v>
      </c>
      <c r="C15" s="33" t="s">
        <v>23</v>
      </c>
      <c r="D15" s="32" t="s">
        <v>7</v>
      </c>
      <c r="E15" s="48">
        <v>81</v>
      </c>
      <c r="F15" s="64">
        <v>30</v>
      </c>
      <c r="G15" s="95">
        <f>79+30</f>
        <v>109</v>
      </c>
      <c r="H15" s="19">
        <f t="shared" si="0"/>
        <v>-28</v>
      </c>
    </row>
    <row r="16" spans="1:8" ht="13.65" customHeight="1" x14ac:dyDescent="0.3">
      <c r="A16" s="20" t="s">
        <v>4</v>
      </c>
      <c r="B16" s="20" t="s">
        <v>24</v>
      </c>
      <c r="C16" s="21" t="s">
        <v>25</v>
      </c>
      <c r="D16" s="20" t="s">
        <v>7</v>
      </c>
      <c r="E16" s="18">
        <v>27</v>
      </c>
      <c r="F16" s="62"/>
      <c r="G16" s="93">
        <v>26</v>
      </c>
      <c r="H16" s="19">
        <f t="shared" si="0"/>
        <v>1</v>
      </c>
    </row>
    <row r="17" spans="1:8" ht="13.65" customHeight="1" x14ac:dyDescent="0.3">
      <c r="A17" s="20" t="s">
        <v>4</v>
      </c>
      <c r="B17" s="20" t="s">
        <v>26</v>
      </c>
      <c r="C17" s="21" t="s">
        <v>27</v>
      </c>
      <c r="D17" s="20" t="s">
        <v>7</v>
      </c>
      <c r="E17" s="22">
        <v>75</v>
      </c>
      <c r="F17" s="62"/>
      <c r="G17" s="93">
        <v>69</v>
      </c>
      <c r="H17" s="19">
        <f t="shared" si="0"/>
        <v>6</v>
      </c>
    </row>
    <row r="18" spans="1:8" ht="13.65" customHeight="1" x14ac:dyDescent="0.3">
      <c r="A18" s="20" t="s">
        <v>4</v>
      </c>
      <c r="B18" s="20" t="s">
        <v>28</v>
      </c>
      <c r="C18" s="21" t="s">
        <v>29</v>
      </c>
      <c r="D18" s="20" t="s">
        <v>7</v>
      </c>
      <c r="E18" s="22">
        <v>202</v>
      </c>
      <c r="F18" s="62"/>
      <c r="G18" s="93">
        <v>196</v>
      </c>
      <c r="H18" s="19">
        <f t="shared" si="0"/>
        <v>6</v>
      </c>
    </row>
    <row r="19" spans="1:8" ht="13.65" customHeight="1" x14ac:dyDescent="0.3">
      <c r="A19" s="20" t="s">
        <v>4</v>
      </c>
      <c r="B19" s="20" t="s">
        <v>30</v>
      </c>
      <c r="C19" s="21" t="s">
        <v>31</v>
      </c>
      <c r="D19" s="20" t="s">
        <v>7</v>
      </c>
      <c r="E19" s="19">
        <v>59</v>
      </c>
      <c r="F19" s="62"/>
      <c r="G19" s="44">
        <v>44</v>
      </c>
      <c r="H19" s="19">
        <f t="shared" si="0"/>
        <v>15</v>
      </c>
    </row>
    <row r="20" spans="1:8" ht="13.65" customHeight="1" x14ac:dyDescent="0.3">
      <c r="A20" s="20" t="s">
        <v>4</v>
      </c>
      <c r="B20" s="20" t="s">
        <v>32</v>
      </c>
      <c r="C20" s="21" t="s">
        <v>33</v>
      </c>
      <c r="D20" s="20" t="s">
        <v>7</v>
      </c>
      <c r="E20" s="19">
        <v>36</v>
      </c>
      <c r="F20" s="62"/>
      <c r="G20" s="44">
        <v>29</v>
      </c>
      <c r="H20" s="19">
        <f t="shared" si="0"/>
        <v>7</v>
      </c>
    </row>
    <row r="21" spans="1:8" ht="13.65" customHeight="1" x14ac:dyDescent="0.3">
      <c r="A21" s="20" t="s">
        <v>4</v>
      </c>
      <c r="B21" s="20" t="s">
        <v>34</v>
      </c>
      <c r="C21" s="21" t="s">
        <v>35</v>
      </c>
      <c r="D21" s="20" t="s">
        <v>7</v>
      </c>
      <c r="E21" s="19">
        <v>7</v>
      </c>
      <c r="F21" s="62"/>
      <c r="G21" s="44">
        <v>7</v>
      </c>
      <c r="H21" s="19">
        <f t="shared" si="0"/>
        <v>0</v>
      </c>
    </row>
    <row r="22" spans="1:8" ht="13.65" customHeight="1" x14ac:dyDescent="0.3">
      <c r="A22" s="20" t="s">
        <v>4</v>
      </c>
      <c r="B22" s="20" t="s">
        <v>36</v>
      </c>
      <c r="C22" s="21" t="s">
        <v>37</v>
      </c>
      <c r="D22" s="20" t="s">
        <v>7</v>
      </c>
      <c r="E22" s="19">
        <v>6</v>
      </c>
      <c r="F22" s="62"/>
      <c r="G22" s="44">
        <v>6</v>
      </c>
      <c r="H22" s="19">
        <f t="shared" si="0"/>
        <v>0</v>
      </c>
    </row>
    <row r="23" spans="1:8" ht="13.65" customHeight="1" x14ac:dyDescent="0.3">
      <c r="A23" s="20"/>
      <c r="B23" s="20"/>
      <c r="C23" s="21"/>
      <c r="D23" s="20"/>
      <c r="E23" s="23"/>
      <c r="F23" s="63"/>
      <c r="G23" s="76"/>
      <c r="H23" s="19"/>
    </row>
    <row r="24" spans="1:8" ht="13.65" customHeight="1" x14ac:dyDescent="0.3">
      <c r="A24" s="20" t="s">
        <v>4</v>
      </c>
      <c r="B24" s="20" t="s">
        <v>38</v>
      </c>
      <c r="C24" s="21" t="s">
        <v>39</v>
      </c>
      <c r="D24" s="20" t="s">
        <v>7</v>
      </c>
      <c r="E24" s="23">
        <v>46</v>
      </c>
      <c r="F24" s="63"/>
      <c r="G24" s="76">
        <v>46</v>
      </c>
      <c r="H24" s="19">
        <f t="shared" si="0"/>
        <v>0</v>
      </c>
    </row>
    <row r="25" spans="1:8" ht="13.65" customHeight="1" x14ac:dyDescent="0.3">
      <c r="A25" s="20" t="s">
        <v>4</v>
      </c>
      <c r="B25" s="20" t="s">
        <v>40</v>
      </c>
      <c r="C25" s="21" t="s">
        <v>41</v>
      </c>
      <c r="D25" s="20" t="s">
        <v>7</v>
      </c>
      <c r="E25" s="23">
        <v>7</v>
      </c>
      <c r="F25" s="63"/>
      <c r="G25" s="76">
        <v>7</v>
      </c>
      <c r="H25" s="19">
        <f t="shared" si="0"/>
        <v>0</v>
      </c>
    </row>
    <row r="26" spans="1:8" ht="13.65" customHeight="1" x14ac:dyDescent="0.3">
      <c r="A26" s="20"/>
      <c r="B26" s="20"/>
      <c r="C26" s="21"/>
      <c r="D26" s="20"/>
      <c r="E26" s="23"/>
      <c r="F26" s="63"/>
      <c r="G26" s="76"/>
      <c r="H26" s="19"/>
    </row>
    <row r="27" spans="1:8" ht="13.65" customHeight="1" x14ac:dyDescent="0.3">
      <c r="A27" s="20" t="s">
        <v>42</v>
      </c>
      <c r="B27" s="20" t="s">
        <v>43</v>
      </c>
      <c r="C27" s="21" t="s">
        <v>44</v>
      </c>
      <c r="D27" s="20" t="s">
        <v>7</v>
      </c>
      <c r="E27" s="23">
        <v>26</v>
      </c>
      <c r="F27" s="63"/>
      <c r="G27" s="76">
        <v>21</v>
      </c>
      <c r="H27" s="19">
        <f t="shared" si="0"/>
        <v>5</v>
      </c>
    </row>
    <row r="28" spans="1:8" ht="13.65" customHeight="1" x14ac:dyDescent="0.3">
      <c r="A28" s="20" t="s">
        <v>42</v>
      </c>
      <c r="B28" s="20" t="s">
        <v>45</v>
      </c>
      <c r="C28" s="21" t="s">
        <v>46</v>
      </c>
      <c r="D28" s="20" t="s">
        <v>7</v>
      </c>
      <c r="E28" s="23"/>
      <c r="F28" s="63"/>
      <c r="G28" s="76"/>
      <c r="H28" s="19">
        <f t="shared" si="0"/>
        <v>0</v>
      </c>
    </row>
    <row r="29" spans="1:8" ht="13.65" customHeight="1" x14ac:dyDescent="0.3">
      <c r="A29" s="20"/>
      <c r="B29" s="20"/>
      <c r="C29" s="21"/>
      <c r="D29" s="20"/>
      <c r="E29" s="23">
        <v>26</v>
      </c>
      <c r="F29" s="63"/>
      <c r="G29" s="76">
        <v>21</v>
      </c>
      <c r="H29" s="19">
        <f t="shared" ref="H29:H35" si="1">E29-G29</f>
        <v>5</v>
      </c>
    </row>
    <row r="30" spans="1:8" ht="13.65" customHeight="1" x14ac:dyDescent="0.3">
      <c r="A30" s="20" t="s">
        <v>47</v>
      </c>
      <c r="B30" s="20" t="s">
        <v>48</v>
      </c>
      <c r="C30" s="21" t="s">
        <v>49</v>
      </c>
      <c r="D30" s="20" t="s">
        <v>7</v>
      </c>
      <c r="E30" s="23"/>
      <c r="F30" s="63"/>
      <c r="G30" s="76"/>
      <c r="H30" s="19">
        <f t="shared" si="1"/>
        <v>0</v>
      </c>
    </row>
    <row r="31" spans="1:8" ht="13.65" customHeight="1" x14ac:dyDescent="0.3">
      <c r="A31" s="20" t="s">
        <v>47</v>
      </c>
      <c r="B31" s="20" t="s">
        <v>50</v>
      </c>
      <c r="C31" s="21" t="s">
        <v>51</v>
      </c>
      <c r="D31" s="20" t="s">
        <v>7</v>
      </c>
      <c r="E31" s="23">
        <v>26</v>
      </c>
      <c r="F31" s="63"/>
      <c r="G31" s="76">
        <v>21</v>
      </c>
      <c r="H31" s="19">
        <f t="shared" si="1"/>
        <v>5</v>
      </c>
    </row>
    <row r="32" spans="1:8" ht="13.65" customHeight="1" x14ac:dyDescent="0.3">
      <c r="A32" s="20" t="s">
        <v>47</v>
      </c>
      <c r="B32" s="20" t="s">
        <v>54</v>
      </c>
      <c r="C32" s="21" t="s">
        <v>55</v>
      </c>
      <c r="D32" s="20" t="s">
        <v>7</v>
      </c>
      <c r="E32" s="23"/>
      <c r="F32" s="63"/>
      <c r="G32" s="76"/>
      <c r="H32" s="19">
        <f t="shared" si="1"/>
        <v>0</v>
      </c>
    </row>
    <row r="33" spans="1:8" ht="13.65" customHeight="1" x14ac:dyDescent="0.3">
      <c r="A33" s="20" t="s">
        <v>4</v>
      </c>
      <c r="B33" s="20">
        <v>33191231</v>
      </c>
      <c r="C33" s="21" t="s">
        <v>57</v>
      </c>
      <c r="D33" s="20" t="s">
        <v>7</v>
      </c>
      <c r="E33" s="23">
        <v>26</v>
      </c>
      <c r="F33" s="63"/>
      <c r="G33" s="76">
        <v>21</v>
      </c>
      <c r="H33" s="19">
        <f t="shared" si="1"/>
        <v>5</v>
      </c>
    </row>
    <row r="34" spans="1:8" ht="13.65" customHeight="1" x14ac:dyDescent="0.3">
      <c r="A34" s="20" t="s">
        <v>4</v>
      </c>
      <c r="B34" s="20">
        <v>33191232</v>
      </c>
      <c r="C34" s="21" t="s">
        <v>55</v>
      </c>
      <c r="D34" s="20" t="s">
        <v>7</v>
      </c>
      <c r="E34" s="23"/>
      <c r="F34" s="63"/>
      <c r="G34" s="76"/>
      <c r="H34" s="19">
        <f t="shared" si="1"/>
        <v>0</v>
      </c>
    </row>
    <row r="35" spans="1:8" ht="13.65" customHeight="1" x14ac:dyDescent="0.3">
      <c r="A35" s="20" t="s">
        <v>4</v>
      </c>
      <c r="B35" s="20">
        <v>33191234</v>
      </c>
      <c r="C35" s="21" t="s">
        <v>185</v>
      </c>
      <c r="D35" s="20" t="s">
        <v>7</v>
      </c>
      <c r="E35" s="23">
        <v>26</v>
      </c>
      <c r="F35" s="63"/>
      <c r="G35" s="76">
        <v>21</v>
      </c>
      <c r="H35" s="19">
        <f t="shared" si="1"/>
        <v>5</v>
      </c>
    </row>
    <row r="36" spans="1:8" ht="13.65" customHeight="1" thickBot="1" x14ac:dyDescent="0.35">
      <c r="A36" s="5"/>
      <c r="B36" s="5"/>
      <c r="C36" s="6"/>
      <c r="D36" s="5"/>
      <c r="E36" s="100">
        <f>SUM(E3:E35)</f>
        <v>1380</v>
      </c>
      <c r="F36" s="100">
        <f>SUM(F3:F35)</f>
        <v>300</v>
      </c>
      <c r="G36" s="100">
        <f>SUM(G3:G35)</f>
        <v>1433</v>
      </c>
      <c r="H36" s="100">
        <f>SUM(H3:H35)</f>
        <v>-62</v>
      </c>
    </row>
    <row r="37" spans="1:8" s="24" customFormat="1" ht="13.65" customHeight="1" x14ac:dyDescent="0.3">
      <c r="A37" s="16" t="s">
        <v>4</v>
      </c>
      <c r="B37" s="16">
        <v>7358771515</v>
      </c>
      <c r="C37" s="17" t="s">
        <v>58</v>
      </c>
      <c r="D37" s="16" t="s">
        <v>7</v>
      </c>
      <c r="E37" s="20"/>
      <c r="F37" s="65"/>
      <c r="G37" s="79"/>
      <c r="H37" s="19">
        <f t="shared" si="0"/>
        <v>0</v>
      </c>
    </row>
    <row r="38" spans="1:8" s="24" customFormat="1" ht="13.65" customHeight="1" x14ac:dyDescent="0.3">
      <c r="A38" s="20" t="s">
        <v>4</v>
      </c>
      <c r="B38" s="20">
        <v>7378761826</v>
      </c>
      <c r="C38" s="21" t="s">
        <v>59</v>
      </c>
      <c r="D38" s="20" t="s">
        <v>7</v>
      </c>
      <c r="E38" s="23"/>
      <c r="F38" s="63"/>
      <c r="G38" s="76"/>
      <c r="H38" s="19">
        <f t="shared" si="0"/>
        <v>0</v>
      </c>
    </row>
    <row r="39" spans="1:8" s="24" customFormat="1" ht="13.65" customHeight="1" x14ac:dyDescent="0.3">
      <c r="A39" s="20" t="s">
        <v>4</v>
      </c>
      <c r="B39" s="20" t="s">
        <v>60</v>
      </c>
      <c r="C39" s="21" t="s">
        <v>61</v>
      </c>
      <c r="D39" s="20" t="s">
        <v>7</v>
      </c>
      <c r="E39" s="23"/>
      <c r="F39" s="63"/>
      <c r="G39" s="76"/>
      <c r="H39" s="19">
        <f t="shared" si="0"/>
        <v>0</v>
      </c>
    </row>
    <row r="40" spans="1:8" s="24" customFormat="1" ht="13.65" customHeight="1" x14ac:dyDescent="0.3">
      <c r="A40" s="20" t="s">
        <v>4</v>
      </c>
      <c r="B40" s="20" t="s">
        <v>62</v>
      </c>
      <c r="C40" s="21" t="s">
        <v>63</v>
      </c>
      <c r="D40" s="20" t="s">
        <v>7</v>
      </c>
      <c r="E40" s="23"/>
      <c r="F40" s="63"/>
      <c r="G40" s="76"/>
      <c r="H40" s="19">
        <f t="shared" si="0"/>
        <v>0</v>
      </c>
    </row>
    <row r="41" spans="1:8" s="24" customFormat="1" ht="13.65" customHeight="1" x14ac:dyDescent="0.3">
      <c r="A41" s="20" t="s">
        <v>4</v>
      </c>
      <c r="B41" s="20" t="s">
        <v>64</v>
      </c>
      <c r="C41" s="21" t="s">
        <v>65</v>
      </c>
      <c r="D41" s="20" t="s">
        <v>7</v>
      </c>
      <c r="E41" s="23"/>
      <c r="F41" s="63"/>
      <c r="G41" s="76"/>
      <c r="H41" s="19">
        <f t="shared" si="0"/>
        <v>0</v>
      </c>
    </row>
    <row r="42" spans="1:8" s="24" customFormat="1" ht="13.65" customHeight="1" x14ac:dyDescent="0.3">
      <c r="A42" s="20" t="s">
        <v>4</v>
      </c>
      <c r="B42" s="20" t="s">
        <v>66</v>
      </c>
      <c r="C42" s="21" t="s">
        <v>67</v>
      </c>
      <c r="D42" s="20" t="s">
        <v>7</v>
      </c>
      <c r="E42" s="23"/>
      <c r="F42" s="63"/>
      <c r="G42" s="76"/>
      <c r="H42" s="19">
        <f t="shared" si="0"/>
        <v>0</v>
      </c>
    </row>
    <row r="43" spans="1:8" s="24" customFormat="1" ht="13.65" customHeight="1" x14ac:dyDescent="0.3">
      <c r="A43" s="20" t="s">
        <v>4</v>
      </c>
      <c r="B43" s="20" t="s">
        <v>68</v>
      </c>
      <c r="C43" s="21" t="s">
        <v>69</v>
      </c>
      <c r="D43" s="20" t="s">
        <v>7</v>
      </c>
      <c r="E43" s="23"/>
      <c r="F43" s="63"/>
      <c r="G43" s="76"/>
      <c r="H43" s="19">
        <f t="shared" si="0"/>
        <v>0</v>
      </c>
    </row>
    <row r="44" spans="1:8" s="24" customFormat="1" ht="13.65" customHeight="1" x14ac:dyDescent="0.3">
      <c r="A44" s="20" t="s">
        <v>4</v>
      </c>
      <c r="B44" s="20" t="s">
        <v>70</v>
      </c>
      <c r="C44" s="21" t="s">
        <v>69</v>
      </c>
      <c r="D44" s="20" t="s">
        <v>7</v>
      </c>
      <c r="E44" s="23"/>
      <c r="F44" s="63"/>
      <c r="G44" s="76"/>
      <c r="H44" s="19">
        <f t="shared" si="0"/>
        <v>0</v>
      </c>
    </row>
    <row r="45" spans="1:8" s="24" customFormat="1" ht="13.65" customHeight="1" x14ac:dyDescent="0.3">
      <c r="A45" s="20" t="s">
        <v>4</v>
      </c>
      <c r="B45" s="20" t="s">
        <v>71</v>
      </c>
      <c r="C45" s="21" t="s">
        <v>72</v>
      </c>
      <c r="D45" s="20" t="s">
        <v>7</v>
      </c>
      <c r="E45" s="23"/>
      <c r="F45" s="63"/>
      <c r="G45" s="76"/>
      <c r="H45" s="19">
        <f t="shared" si="0"/>
        <v>0</v>
      </c>
    </row>
    <row r="46" spans="1:8" s="24" customFormat="1" ht="13.65" customHeight="1" x14ac:dyDescent="0.3">
      <c r="A46" s="20" t="s">
        <v>4</v>
      </c>
      <c r="B46" s="20">
        <v>7951697</v>
      </c>
      <c r="C46" s="21" t="s">
        <v>73</v>
      </c>
      <c r="D46" s="20" t="s">
        <v>7</v>
      </c>
      <c r="E46" s="23"/>
      <c r="F46" s="63"/>
      <c r="G46" s="76"/>
      <c r="H46" s="19">
        <f t="shared" si="0"/>
        <v>0</v>
      </c>
    </row>
    <row r="47" spans="1:8" s="24" customFormat="1" ht="13.65" customHeight="1" x14ac:dyDescent="0.3">
      <c r="A47" s="20" t="s">
        <v>4</v>
      </c>
      <c r="B47" s="20">
        <v>7952606</v>
      </c>
      <c r="C47" s="21" t="s">
        <v>74</v>
      </c>
      <c r="D47" s="20" t="s">
        <v>7</v>
      </c>
      <c r="E47" s="23"/>
      <c r="F47" s="63"/>
      <c r="G47" s="76"/>
      <c r="H47" s="19">
        <f t="shared" si="0"/>
        <v>0</v>
      </c>
    </row>
    <row r="48" spans="1:8" s="24" customFormat="1" ht="13.65" customHeight="1" x14ac:dyDescent="0.3">
      <c r="A48" s="20" t="s">
        <v>4</v>
      </c>
      <c r="B48" s="20" t="s">
        <v>75</v>
      </c>
      <c r="C48" s="21" t="s">
        <v>76</v>
      </c>
      <c r="D48" s="20" t="s">
        <v>7</v>
      </c>
      <c r="E48" s="23"/>
      <c r="F48" s="63"/>
      <c r="G48" s="76"/>
      <c r="H48" s="19">
        <f t="shared" si="0"/>
        <v>0</v>
      </c>
    </row>
    <row r="49" spans="1:8" s="24" customFormat="1" ht="13.65" customHeight="1" x14ac:dyDescent="0.3">
      <c r="A49" s="20"/>
      <c r="B49" s="20"/>
      <c r="C49" s="21"/>
      <c r="D49" s="20"/>
      <c r="E49" s="23"/>
      <c r="F49" s="63"/>
      <c r="G49" s="76"/>
      <c r="H49" s="19">
        <f t="shared" si="0"/>
        <v>0</v>
      </c>
    </row>
    <row r="50" spans="1:8" s="24" customFormat="1" ht="13.65" customHeight="1" x14ac:dyDescent="0.3">
      <c r="A50" s="20" t="s">
        <v>4</v>
      </c>
      <c r="B50" s="20">
        <v>7305771415</v>
      </c>
      <c r="C50" s="21" t="s">
        <v>77</v>
      </c>
      <c r="D50" s="20" t="s">
        <v>7</v>
      </c>
      <c r="E50" s="23"/>
      <c r="F50" s="63"/>
      <c r="G50" s="76"/>
      <c r="H50" s="19">
        <f t="shared" si="0"/>
        <v>0</v>
      </c>
    </row>
    <row r="51" spans="1:8" s="24" customFormat="1" ht="13.65" customHeight="1" x14ac:dyDescent="0.3">
      <c r="A51" s="20" t="s">
        <v>4</v>
      </c>
      <c r="B51" s="20" t="s">
        <v>78</v>
      </c>
      <c r="C51" s="21" t="s">
        <v>79</v>
      </c>
      <c r="D51" s="20" t="s">
        <v>7</v>
      </c>
      <c r="E51" s="23"/>
      <c r="F51" s="63"/>
      <c r="G51" s="76"/>
      <c r="H51" s="19">
        <f t="shared" si="0"/>
        <v>0</v>
      </c>
    </row>
    <row r="52" spans="1:8" s="24" customFormat="1" ht="13.65" customHeight="1" x14ac:dyDescent="0.3">
      <c r="A52" s="20" t="s">
        <v>4</v>
      </c>
      <c r="B52" s="20" t="s">
        <v>80</v>
      </c>
      <c r="C52" s="21" t="s">
        <v>81</v>
      </c>
      <c r="D52" s="20" t="s">
        <v>7</v>
      </c>
      <c r="E52" s="23"/>
      <c r="F52" s="63"/>
      <c r="G52" s="76"/>
      <c r="H52" s="19">
        <f t="shared" si="0"/>
        <v>0</v>
      </c>
    </row>
    <row r="53" spans="1:8" s="24" customFormat="1" ht="13.65" customHeight="1" x14ac:dyDescent="0.3">
      <c r="A53" s="20"/>
      <c r="B53" s="20"/>
      <c r="C53" s="21"/>
      <c r="D53" s="20"/>
      <c r="E53" s="23"/>
      <c r="F53" s="63"/>
      <c r="G53" s="76"/>
      <c r="H53" s="19">
        <f t="shared" si="0"/>
        <v>0</v>
      </c>
    </row>
    <row r="54" spans="1:8" s="24" customFormat="1" ht="13.65" customHeight="1" x14ac:dyDescent="0.3">
      <c r="A54" s="20" t="s">
        <v>4</v>
      </c>
      <c r="B54" s="20" t="s">
        <v>82</v>
      </c>
      <c r="C54" s="21" t="s">
        <v>83</v>
      </c>
      <c r="D54" s="20" t="s">
        <v>7</v>
      </c>
      <c r="E54" s="23"/>
      <c r="F54" s="63"/>
      <c r="G54" s="76"/>
      <c r="H54" s="19">
        <f t="shared" si="0"/>
        <v>0</v>
      </c>
    </row>
    <row r="55" spans="1:8" s="24" customFormat="1" ht="13.65" customHeight="1" x14ac:dyDescent="0.3">
      <c r="A55" s="20"/>
      <c r="B55" s="20"/>
      <c r="C55" s="21"/>
      <c r="D55" s="20"/>
      <c r="E55" s="23"/>
      <c r="F55" s="63"/>
      <c r="G55" s="76"/>
      <c r="H55" s="19">
        <f t="shared" si="0"/>
        <v>0</v>
      </c>
    </row>
    <row r="56" spans="1:8" s="24" customFormat="1" ht="13.65" customHeight="1" x14ac:dyDescent="0.3">
      <c r="A56" s="26" t="s">
        <v>4</v>
      </c>
      <c r="B56" s="26">
        <v>7328602001</v>
      </c>
      <c r="C56" s="27" t="s">
        <v>84</v>
      </c>
      <c r="D56" s="26" t="s">
        <v>7</v>
      </c>
      <c r="E56" s="25"/>
      <c r="F56" s="66"/>
      <c r="G56" s="77"/>
      <c r="H56" s="19">
        <f t="shared" si="0"/>
        <v>0</v>
      </c>
    </row>
    <row r="57" spans="1:8" s="24" customFormat="1" ht="13.65" customHeight="1" x14ac:dyDescent="0.3">
      <c r="A57" s="20" t="s">
        <v>4</v>
      </c>
      <c r="B57" s="20" t="s">
        <v>85</v>
      </c>
      <c r="C57" s="21" t="s">
        <v>86</v>
      </c>
      <c r="D57" s="20" t="s">
        <v>7</v>
      </c>
      <c r="E57" s="23"/>
      <c r="F57" s="63"/>
      <c r="G57" s="76"/>
      <c r="H57" s="19">
        <f t="shared" si="0"/>
        <v>0</v>
      </c>
    </row>
    <row r="58" spans="1:8" s="24" customFormat="1" ht="13.65" customHeight="1" x14ac:dyDescent="0.3">
      <c r="A58" s="20" t="s">
        <v>4</v>
      </c>
      <c r="B58" s="20">
        <v>7951698</v>
      </c>
      <c r="C58" s="21" t="s">
        <v>87</v>
      </c>
      <c r="D58" s="20" t="s">
        <v>7</v>
      </c>
      <c r="E58" s="23"/>
      <c r="F58" s="63"/>
      <c r="G58" s="76"/>
      <c r="H58" s="19">
        <f t="shared" si="0"/>
        <v>0</v>
      </c>
    </row>
    <row r="59" spans="1:8" s="24" customFormat="1" ht="13.65" customHeight="1" thickBot="1" x14ac:dyDescent="0.35">
      <c r="A59" s="28"/>
      <c r="B59" s="28"/>
      <c r="C59" s="29"/>
      <c r="D59" s="26"/>
      <c r="E59" s="25"/>
      <c r="F59" s="66"/>
      <c r="G59" s="77"/>
      <c r="H59" s="19"/>
    </row>
    <row r="60" spans="1:8" s="24" customFormat="1" ht="13.65" customHeight="1" thickBot="1" x14ac:dyDescent="0.35">
      <c r="A60" s="37"/>
      <c r="B60" s="37"/>
      <c r="C60" s="38"/>
      <c r="D60" s="20"/>
      <c r="E60" s="23"/>
      <c r="F60" s="63"/>
      <c r="G60" s="23"/>
      <c r="H60" s="19"/>
    </row>
    <row r="61" spans="1:8" s="24" customFormat="1" ht="13.65" customHeight="1" thickBot="1" x14ac:dyDescent="0.35">
      <c r="A61" s="37"/>
      <c r="B61" s="37"/>
      <c r="C61" s="38"/>
      <c r="D61" s="20"/>
      <c r="E61" s="23"/>
      <c r="F61" s="63"/>
      <c r="G61" s="23"/>
      <c r="H61" s="19"/>
    </row>
    <row r="62" spans="1:8" s="24" customFormat="1" ht="13.65" customHeight="1" thickBot="1" x14ac:dyDescent="0.35">
      <c r="A62" s="111"/>
      <c r="B62" s="111"/>
      <c r="C62" s="112"/>
      <c r="D62" s="111"/>
      <c r="E62" s="113"/>
      <c r="F62" s="114"/>
      <c r="G62" s="113"/>
      <c r="H62" s="115"/>
    </row>
    <row r="63" spans="1:8" ht="13.65" customHeight="1" thickBot="1" x14ac:dyDescent="0.35">
      <c r="A63" s="118"/>
      <c r="B63" s="1"/>
      <c r="C63" s="13"/>
      <c r="D63" s="1"/>
      <c r="E63" s="119"/>
      <c r="F63" s="120"/>
      <c r="G63" s="119"/>
      <c r="H63" s="14"/>
    </row>
    <row r="64" spans="1:8" s="24" customFormat="1" ht="13.65" customHeight="1" x14ac:dyDescent="0.3">
      <c r="A64" s="32" t="s">
        <v>42</v>
      </c>
      <c r="B64" s="32" t="s">
        <v>88</v>
      </c>
      <c r="C64" s="33" t="s">
        <v>208</v>
      </c>
      <c r="D64" s="32" t="s">
        <v>7</v>
      </c>
      <c r="E64" s="50">
        <f>3333+150</f>
        <v>3483</v>
      </c>
      <c r="F64" s="69"/>
      <c r="G64" s="96">
        <f>3333+150</f>
        <v>3483</v>
      </c>
      <c r="H64" s="105">
        <f t="shared" ref="H64:H90" si="2">E64-G64</f>
        <v>0</v>
      </c>
    </row>
    <row r="65" spans="1:8" s="24" customFormat="1" ht="13.65" customHeight="1" x14ac:dyDescent="0.3">
      <c r="A65" s="20" t="s">
        <v>42</v>
      </c>
      <c r="B65" s="20" t="s">
        <v>90</v>
      </c>
      <c r="C65" s="21" t="s">
        <v>91</v>
      </c>
      <c r="D65" s="20" t="s">
        <v>7</v>
      </c>
      <c r="E65" s="23">
        <v>3560</v>
      </c>
      <c r="F65" s="63"/>
      <c r="G65" s="76">
        <v>3560</v>
      </c>
      <c r="H65" s="19">
        <f t="shared" si="2"/>
        <v>0</v>
      </c>
    </row>
    <row r="66" spans="1:8" s="24" customFormat="1" ht="13.65" customHeight="1" x14ac:dyDescent="0.3">
      <c r="A66" s="20" t="s">
        <v>42</v>
      </c>
      <c r="B66" s="20" t="s">
        <v>92</v>
      </c>
      <c r="C66" s="21" t="s">
        <v>209</v>
      </c>
      <c r="D66" s="20" t="s">
        <v>7</v>
      </c>
      <c r="E66" s="23">
        <f>3450+300</f>
        <v>3750</v>
      </c>
      <c r="F66" s="63"/>
      <c r="G66" s="76">
        <f>3450+300</f>
        <v>3750</v>
      </c>
      <c r="H66" s="19">
        <f t="shared" si="2"/>
        <v>0</v>
      </c>
    </row>
    <row r="67" spans="1:8" s="24" customFormat="1" ht="13.65" customHeight="1" x14ac:dyDescent="0.3">
      <c r="A67" s="20" t="s">
        <v>42</v>
      </c>
      <c r="B67" s="20" t="s">
        <v>94</v>
      </c>
      <c r="C67" s="21" t="s">
        <v>95</v>
      </c>
      <c r="D67" s="20" t="s">
        <v>7</v>
      </c>
      <c r="E67" s="23"/>
      <c r="F67" s="63"/>
      <c r="G67" s="76"/>
      <c r="H67" s="19">
        <f t="shared" si="2"/>
        <v>0</v>
      </c>
    </row>
    <row r="68" spans="1:8" s="24" customFormat="1" ht="13.65" customHeight="1" x14ac:dyDescent="0.3">
      <c r="A68" s="20" t="s">
        <v>96</v>
      </c>
      <c r="B68" s="20" t="s">
        <v>97</v>
      </c>
      <c r="C68" s="21" t="s">
        <v>98</v>
      </c>
      <c r="D68" s="20" t="s">
        <v>7</v>
      </c>
      <c r="E68" s="23"/>
      <c r="F68" s="63"/>
      <c r="G68" s="76"/>
      <c r="H68" s="19">
        <f t="shared" si="2"/>
        <v>0</v>
      </c>
    </row>
    <row r="69" spans="1:8" s="24" customFormat="1" ht="13.65" customHeight="1" x14ac:dyDescent="0.3">
      <c r="A69" s="20" t="s">
        <v>96</v>
      </c>
      <c r="B69" s="20" t="s">
        <v>99</v>
      </c>
      <c r="C69" s="21" t="s">
        <v>186</v>
      </c>
      <c r="D69" s="20" t="s">
        <v>7</v>
      </c>
      <c r="E69" s="23">
        <f>1535+293</f>
        <v>1828</v>
      </c>
      <c r="F69" s="127"/>
      <c r="G69" s="76">
        <f>1535+293</f>
        <v>1828</v>
      </c>
      <c r="H69" s="19">
        <f>E69-G69</f>
        <v>0</v>
      </c>
    </row>
    <row r="70" spans="1:8" s="24" customFormat="1" ht="14.1" customHeight="1" x14ac:dyDescent="0.3">
      <c r="A70" s="20" t="s">
        <v>96</v>
      </c>
      <c r="B70" s="20" t="s">
        <v>214</v>
      </c>
      <c r="C70" s="21" t="s">
        <v>202</v>
      </c>
      <c r="D70" s="20" t="s">
        <v>7</v>
      </c>
      <c r="E70" s="23">
        <v>888</v>
      </c>
      <c r="F70" s="63"/>
      <c r="G70" s="76">
        <v>600</v>
      </c>
      <c r="H70" s="19">
        <f>SUM(E70-G70)</f>
        <v>288</v>
      </c>
    </row>
    <row r="71" spans="1:8" s="24" customFormat="1" ht="14.1" customHeight="1" x14ac:dyDescent="0.3">
      <c r="A71" s="20" t="s">
        <v>96</v>
      </c>
      <c r="B71" s="20" t="s">
        <v>215</v>
      </c>
      <c r="C71" s="43" t="s">
        <v>201</v>
      </c>
      <c r="D71" s="20" t="s">
        <v>7</v>
      </c>
      <c r="E71" s="23">
        <v>2250</v>
      </c>
      <c r="F71" s="63"/>
      <c r="G71" s="76">
        <v>1812</v>
      </c>
      <c r="H71" s="19">
        <f>E71-G71</f>
        <v>438</v>
      </c>
    </row>
    <row r="72" spans="1:8" s="24" customFormat="1" ht="13.65" customHeight="1" x14ac:dyDescent="0.3">
      <c r="A72" s="20"/>
      <c r="B72" s="20"/>
      <c r="C72" s="21"/>
      <c r="D72" s="20"/>
      <c r="E72" s="23"/>
      <c r="F72" s="63"/>
      <c r="G72" s="76"/>
      <c r="H72" s="19">
        <f t="shared" si="2"/>
        <v>0</v>
      </c>
    </row>
    <row r="73" spans="1:8" s="24" customFormat="1" ht="13.65" customHeight="1" x14ac:dyDescent="0.3">
      <c r="A73" s="20" t="s">
        <v>4</v>
      </c>
      <c r="B73" s="20" t="s">
        <v>101</v>
      </c>
      <c r="C73" s="21" t="s">
        <v>102</v>
      </c>
      <c r="D73" s="20" t="s">
        <v>7</v>
      </c>
      <c r="E73" s="23">
        <f>10508+587</f>
        <v>11095</v>
      </c>
      <c r="F73" s="63"/>
      <c r="G73" s="76">
        <f>9840+140+120</f>
        <v>10100</v>
      </c>
      <c r="H73" s="19">
        <f>E73-G73</f>
        <v>995</v>
      </c>
    </row>
    <row r="74" spans="1:8" s="24" customFormat="1" ht="13.65" customHeight="1" x14ac:dyDescent="0.3">
      <c r="A74" s="20" t="s">
        <v>4</v>
      </c>
      <c r="B74" s="20" t="s">
        <v>103</v>
      </c>
      <c r="C74" s="21" t="s">
        <v>104</v>
      </c>
      <c r="D74" s="20" t="s">
        <v>7</v>
      </c>
      <c r="E74" s="23">
        <v>10560</v>
      </c>
      <c r="F74" s="63"/>
      <c r="G74" s="76">
        <v>10080</v>
      </c>
      <c r="H74" s="19">
        <f>E74-G74</f>
        <v>480</v>
      </c>
    </row>
    <row r="75" spans="1:8" s="24" customFormat="1" ht="13.65" customHeight="1" x14ac:dyDescent="0.3">
      <c r="A75" s="20" t="s">
        <v>4</v>
      </c>
      <c r="B75" s="20" t="s">
        <v>105</v>
      </c>
      <c r="C75" s="21" t="s">
        <v>106</v>
      </c>
      <c r="D75" s="20" t="s">
        <v>7</v>
      </c>
      <c r="E75" s="23">
        <v>600</v>
      </c>
      <c r="F75" s="63"/>
      <c r="G75" s="76">
        <v>600</v>
      </c>
      <c r="H75" s="19">
        <f t="shared" si="2"/>
        <v>0</v>
      </c>
    </row>
    <row r="76" spans="1:8" s="24" customFormat="1" ht="13.65" customHeight="1" x14ac:dyDescent="0.3">
      <c r="A76" s="20" t="s">
        <v>4</v>
      </c>
      <c r="B76" s="20" t="s">
        <v>188</v>
      </c>
      <c r="C76" s="21" t="s">
        <v>189</v>
      </c>
      <c r="D76" s="20" t="s">
        <v>7</v>
      </c>
      <c r="E76" s="23"/>
      <c r="F76" s="63"/>
      <c r="G76" s="76"/>
      <c r="H76" s="19">
        <f t="shared" si="2"/>
        <v>0</v>
      </c>
    </row>
    <row r="77" spans="1:8" s="24" customFormat="1" ht="13.65" customHeight="1" x14ac:dyDescent="0.3">
      <c r="A77" s="32"/>
      <c r="B77" s="32"/>
      <c r="C77" s="33"/>
      <c r="D77" s="32"/>
      <c r="E77" s="50"/>
      <c r="F77" s="69"/>
      <c r="G77" s="96"/>
      <c r="H77" s="19">
        <f t="shared" si="2"/>
        <v>0</v>
      </c>
    </row>
    <row r="78" spans="1:8" ht="13.65" customHeight="1" thickBot="1" x14ac:dyDescent="0.35">
      <c r="A78" s="5"/>
      <c r="B78" s="5"/>
      <c r="C78" s="6"/>
      <c r="D78" s="5"/>
      <c r="E78" s="7">
        <v>35952</v>
      </c>
      <c r="F78" s="7">
        <f t="shared" ref="F78" si="3">SUM(F64:F77)</f>
        <v>0</v>
      </c>
      <c r="G78" s="7">
        <f>SUM(G64:G76)</f>
        <v>35813</v>
      </c>
      <c r="H78" s="7">
        <f t="shared" ref="H78" si="4">SUM(H64:H77)</f>
        <v>2201</v>
      </c>
    </row>
    <row r="79" spans="1:8" s="24" customFormat="1" ht="13.65" customHeight="1" x14ac:dyDescent="0.3">
      <c r="A79" s="16" t="s">
        <v>107</v>
      </c>
      <c r="B79" s="16" t="s">
        <v>108</v>
      </c>
      <c r="C79" s="17" t="s">
        <v>109</v>
      </c>
      <c r="D79" s="16" t="s">
        <v>7</v>
      </c>
      <c r="E79" s="31">
        <f>1875+291+45+45</f>
        <v>2256</v>
      </c>
      <c r="F79" s="70">
        <f>2100-525</f>
        <v>1575</v>
      </c>
      <c r="G79" s="75">
        <v>3325</v>
      </c>
      <c r="H79" s="19">
        <f>E79-G79</f>
        <v>-1069</v>
      </c>
    </row>
    <row r="80" spans="1:8" s="24" customFormat="1" ht="13.65" customHeight="1" x14ac:dyDescent="0.3">
      <c r="A80" s="26" t="s">
        <v>107</v>
      </c>
      <c r="B80" s="26" t="s">
        <v>110</v>
      </c>
      <c r="C80" s="27" t="s">
        <v>111</v>
      </c>
      <c r="D80" s="26" t="s">
        <v>7</v>
      </c>
      <c r="E80" s="25">
        <v>496</v>
      </c>
      <c r="F80" s="66"/>
      <c r="G80" s="77">
        <v>475</v>
      </c>
      <c r="H80" s="19">
        <f t="shared" si="2"/>
        <v>21</v>
      </c>
    </row>
    <row r="81" spans="1:8" s="24" customFormat="1" ht="13.65" customHeight="1" x14ac:dyDescent="0.3">
      <c r="A81" s="26" t="s">
        <v>107</v>
      </c>
      <c r="B81" s="26" t="s">
        <v>112</v>
      </c>
      <c r="C81" s="27" t="s">
        <v>113</v>
      </c>
      <c r="D81" s="26" t="s">
        <v>114</v>
      </c>
      <c r="E81" s="25"/>
      <c r="F81" s="66"/>
      <c r="G81" s="77">
        <v>0</v>
      </c>
      <c r="H81" s="19">
        <f t="shared" si="2"/>
        <v>0</v>
      </c>
    </row>
    <row r="82" spans="1:8" s="24" customFormat="1" ht="13.65" customHeight="1" thickBot="1" x14ac:dyDescent="0.35">
      <c r="A82" s="26"/>
      <c r="B82" s="26"/>
      <c r="C82" s="27"/>
      <c r="D82" s="26"/>
      <c r="E82" s="25"/>
      <c r="F82" s="66"/>
      <c r="G82" s="77"/>
      <c r="H82" s="19"/>
    </row>
    <row r="83" spans="1:8" ht="13.65" customHeight="1" thickBot="1" x14ac:dyDescent="0.35">
      <c r="A83" s="1"/>
      <c r="B83" s="1"/>
      <c r="C83" s="13"/>
      <c r="D83" s="13"/>
      <c r="E83" s="14">
        <v>2296</v>
      </c>
      <c r="F83" s="14">
        <f t="shared" ref="F83" si="5">SUM(F79:F81)</f>
        <v>1575</v>
      </c>
      <c r="G83" s="14"/>
      <c r="H83" s="14">
        <f t="shared" ref="H83" si="6">SUM(H79:H81)</f>
        <v>-1048</v>
      </c>
    </row>
    <row r="84" spans="1:8" s="24" customFormat="1" ht="13.65" customHeight="1" x14ac:dyDescent="0.3">
      <c r="A84" s="32" t="s">
        <v>42</v>
      </c>
      <c r="B84" s="32" t="s">
        <v>115</v>
      </c>
      <c r="C84" s="33" t="s">
        <v>116</v>
      </c>
      <c r="D84" s="32" t="s">
        <v>7</v>
      </c>
      <c r="E84" s="34"/>
      <c r="F84" s="71"/>
      <c r="G84" s="97"/>
      <c r="H84" s="19">
        <f t="shared" si="2"/>
        <v>0</v>
      </c>
    </row>
    <row r="85" spans="1:8" s="24" customFormat="1" ht="13.65" customHeight="1" x14ac:dyDescent="0.3">
      <c r="A85" s="20" t="s">
        <v>42</v>
      </c>
      <c r="B85" s="20" t="s">
        <v>117</v>
      </c>
      <c r="C85" s="21" t="s">
        <v>118</v>
      </c>
      <c r="D85" s="20" t="s">
        <v>7</v>
      </c>
      <c r="E85" s="23">
        <v>1850</v>
      </c>
      <c r="F85" s="63"/>
      <c r="G85" s="76">
        <v>1850</v>
      </c>
      <c r="H85" s="19">
        <f t="shared" si="2"/>
        <v>0</v>
      </c>
    </row>
    <row r="86" spans="1:8" s="24" customFormat="1" ht="13.65" customHeight="1" x14ac:dyDescent="0.3">
      <c r="A86" s="20" t="s">
        <v>42</v>
      </c>
      <c r="B86" s="20" t="s">
        <v>119</v>
      </c>
      <c r="C86" s="21" t="s">
        <v>120</v>
      </c>
      <c r="D86" s="20" t="s">
        <v>7</v>
      </c>
      <c r="E86" s="23">
        <f>2190+300</f>
        <v>2490</v>
      </c>
      <c r="F86" s="63"/>
      <c r="G86" s="76">
        <v>2184</v>
      </c>
      <c r="H86" s="19">
        <f>E86-G86</f>
        <v>306</v>
      </c>
    </row>
    <row r="87" spans="1:8" s="24" customFormat="1" ht="13.65" customHeight="1" x14ac:dyDescent="0.3">
      <c r="A87" s="20" t="s">
        <v>42</v>
      </c>
      <c r="B87" s="20" t="s">
        <v>121</v>
      </c>
      <c r="C87" s="21" t="s">
        <v>122</v>
      </c>
      <c r="D87" s="20" t="s">
        <v>7</v>
      </c>
      <c r="E87" s="23">
        <v>400</v>
      </c>
      <c r="F87" s="63"/>
      <c r="G87" s="76">
        <v>400</v>
      </c>
      <c r="H87" s="19">
        <f t="shared" si="2"/>
        <v>0</v>
      </c>
    </row>
    <row r="88" spans="1:8" s="24" customFormat="1" ht="13.65" customHeight="1" x14ac:dyDescent="0.3">
      <c r="A88" s="20" t="s">
        <v>42</v>
      </c>
      <c r="B88" s="20" t="s">
        <v>221</v>
      </c>
      <c r="C88" s="21" t="s">
        <v>220</v>
      </c>
      <c r="D88" s="20" t="s">
        <v>7</v>
      </c>
      <c r="E88" s="23">
        <f>1750+27</f>
        <v>1777</v>
      </c>
      <c r="F88" s="63"/>
      <c r="G88" s="76">
        <v>1750</v>
      </c>
      <c r="H88" s="19">
        <f>E88-G88</f>
        <v>27</v>
      </c>
    </row>
    <row r="89" spans="1:8" s="24" customFormat="1" ht="13.65" customHeight="1" x14ac:dyDescent="0.3">
      <c r="A89" s="20" t="s">
        <v>42</v>
      </c>
      <c r="B89" s="20" t="s">
        <v>225</v>
      </c>
      <c r="C89" s="21" t="s">
        <v>226</v>
      </c>
      <c r="D89" s="20" t="s">
        <v>7</v>
      </c>
      <c r="E89" s="23">
        <v>260</v>
      </c>
      <c r="F89" s="23"/>
      <c r="G89" s="150">
        <v>260</v>
      </c>
      <c r="H89" s="150">
        <f t="shared" si="2"/>
        <v>0</v>
      </c>
    </row>
    <row r="90" spans="1:8" s="24" customFormat="1" ht="13.65" customHeight="1" x14ac:dyDescent="0.3">
      <c r="A90" s="135"/>
      <c r="B90" s="135"/>
      <c r="C90" s="147"/>
      <c r="D90" s="135"/>
      <c r="E90" s="23"/>
      <c r="F90" s="148"/>
      <c r="G90" s="76"/>
      <c r="H90" s="19">
        <f t="shared" si="2"/>
        <v>0</v>
      </c>
    </row>
    <row r="91" spans="1:8" s="24" customFormat="1" ht="13.65" customHeight="1" thickBot="1" x14ac:dyDescent="0.35">
      <c r="A91" s="37"/>
      <c r="B91" s="37"/>
      <c r="C91" s="38"/>
      <c r="D91" s="37"/>
      <c r="E91" s="40"/>
      <c r="F91" s="40"/>
      <c r="G91" s="40"/>
      <c r="H91" s="40"/>
    </row>
    <row r="92" spans="1:8" ht="13.65" customHeight="1" thickBot="1" x14ac:dyDescent="0.35">
      <c r="A92" s="5"/>
      <c r="B92" s="5"/>
      <c r="C92" s="6"/>
      <c r="D92" s="5"/>
      <c r="E92" s="7">
        <f>SUM(E84:E90)</f>
        <v>6777</v>
      </c>
      <c r="F92" s="7">
        <f t="shared" ref="F92" si="7">SUM(F84:F90)</f>
        <v>0</v>
      </c>
      <c r="G92" s="7">
        <f t="shared" ref="G92:H92" si="8">SUM(G84:G90)</f>
        <v>6444</v>
      </c>
      <c r="H92" s="7">
        <f t="shared" si="8"/>
        <v>333</v>
      </c>
    </row>
    <row r="93" spans="1:8" s="24" customFormat="1" ht="13.65" customHeight="1" x14ac:dyDescent="0.3">
      <c r="A93" s="16" t="s">
        <v>125</v>
      </c>
      <c r="B93" s="16" t="s">
        <v>126</v>
      </c>
      <c r="C93" s="17" t="s">
        <v>127</v>
      </c>
      <c r="D93" s="16" t="s">
        <v>7</v>
      </c>
      <c r="E93" s="31">
        <v>18</v>
      </c>
      <c r="F93" s="70"/>
      <c r="G93" s="75">
        <v>18</v>
      </c>
      <c r="H93" s="23">
        <f t="shared" ref="H93:H116" si="9">E93-G93</f>
        <v>0</v>
      </c>
    </row>
    <row r="94" spans="1:8" s="24" customFormat="1" ht="13.65" customHeight="1" x14ac:dyDescent="0.3">
      <c r="A94" s="20" t="s">
        <v>125</v>
      </c>
      <c r="B94" s="20" t="s">
        <v>128</v>
      </c>
      <c r="C94" s="21" t="s">
        <v>129</v>
      </c>
      <c r="D94" s="20" t="s">
        <v>7</v>
      </c>
      <c r="E94" s="23">
        <v>19</v>
      </c>
      <c r="F94" s="63"/>
      <c r="G94" s="76">
        <v>19</v>
      </c>
      <c r="H94" s="23">
        <f t="shared" si="9"/>
        <v>0</v>
      </c>
    </row>
    <row r="95" spans="1:8" s="24" customFormat="1" ht="13.65" customHeight="1" x14ac:dyDescent="0.3">
      <c r="A95" s="20" t="s">
        <v>125</v>
      </c>
      <c r="B95" s="20" t="s">
        <v>130</v>
      </c>
      <c r="C95" s="21" t="s">
        <v>131</v>
      </c>
      <c r="D95" s="20" t="s">
        <v>7</v>
      </c>
      <c r="E95" s="23">
        <v>43</v>
      </c>
      <c r="F95" s="63"/>
      <c r="G95" s="76">
        <v>25</v>
      </c>
      <c r="H95" s="23">
        <f>E95-G95</f>
        <v>18</v>
      </c>
    </row>
    <row r="96" spans="1:8" s="24" customFormat="1" ht="13.65" customHeight="1" x14ac:dyDescent="0.3">
      <c r="A96" s="20" t="s">
        <v>125</v>
      </c>
      <c r="B96" s="20" t="s">
        <v>132</v>
      </c>
      <c r="C96" s="21" t="s">
        <v>133</v>
      </c>
      <c r="D96" s="20" t="s">
        <v>7</v>
      </c>
      <c r="E96" s="23">
        <v>10</v>
      </c>
      <c r="F96" s="63"/>
      <c r="G96" s="76">
        <v>10</v>
      </c>
      <c r="H96" s="23">
        <f t="shared" si="9"/>
        <v>0</v>
      </c>
    </row>
    <row r="97" spans="1:8" s="24" customFormat="1" ht="13.65" customHeight="1" x14ac:dyDescent="0.3">
      <c r="A97" s="20" t="s">
        <v>125</v>
      </c>
      <c r="B97" s="20" t="s">
        <v>134</v>
      </c>
      <c r="C97" s="21" t="s">
        <v>135</v>
      </c>
      <c r="D97" s="20" t="s">
        <v>7</v>
      </c>
      <c r="E97" s="23">
        <v>6</v>
      </c>
      <c r="F97" s="63"/>
      <c r="G97" s="76">
        <v>6</v>
      </c>
      <c r="H97" s="23">
        <f t="shared" si="9"/>
        <v>0</v>
      </c>
    </row>
    <row r="98" spans="1:8" s="24" customFormat="1" ht="13.65" customHeight="1" x14ac:dyDescent="0.3">
      <c r="A98" s="20" t="s">
        <v>125</v>
      </c>
      <c r="B98" s="20" t="s">
        <v>136</v>
      </c>
      <c r="C98" s="21" t="s">
        <v>137</v>
      </c>
      <c r="D98" s="20" t="s">
        <v>7</v>
      </c>
      <c r="E98" s="23">
        <v>20</v>
      </c>
      <c r="F98" s="63"/>
      <c r="G98" s="76">
        <v>20</v>
      </c>
      <c r="H98" s="23">
        <f t="shared" si="9"/>
        <v>0</v>
      </c>
    </row>
    <row r="99" spans="1:8" s="24" customFormat="1" ht="13.65" customHeight="1" x14ac:dyDescent="0.3">
      <c r="A99" s="20" t="s">
        <v>125</v>
      </c>
      <c r="B99" s="20" t="s">
        <v>138</v>
      </c>
      <c r="C99" s="21" t="s">
        <v>139</v>
      </c>
      <c r="D99" s="20" t="s">
        <v>7</v>
      </c>
      <c r="E99" s="23">
        <v>52</v>
      </c>
      <c r="F99" s="63"/>
      <c r="G99" s="76">
        <v>52</v>
      </c>
      <c r="H99" s="23">
        <f t="shared" si="9"/>
        <v>0</v>
      </c>
    </row>
    <row r="100" spans="1:8" s="24" customFormat="1" ht="13.65" customHeight="1" x14ac:dyDescent="0.3">
      <c r="A100" s="20" t="s">
        <v>125</v>
      </c>
      <c r="B100" s="20" t="s">
        <v>140</v>
      </c>
      <c r="C100" s="21" t="s">
        <v>141</v>
      </c>
      <c r="D100" s="20" t="s">
        <v>7</v>
      </c>
      <c r="E100" s="23">
        <v>95</v>
      </c>
      <c r="F100" s="63"/>
      <c r="G100" s="76">
        <v>87</v>
      </c>
      <c r="H100" s="154">
        <f t="shared" si="9"/>
        <v>8</v>
      </c>
    </row>
    <row r="101" spans="1:8" s="24" customFormat="1" ht="13.65" customHeight="1" x14ac:dyDescent="0.3">
      <c r="A101" s="20" t="s">
        <v>125</v>
      </c>
      <c r="B101" s="20" t="s">
        <v>142</v>
      </c>
      <c r="C101" s="21" t="s">
        <v>143</v>
      </c>
      <c r="D101" s="20" t="s">
        <v>7</v>
      </c>
      <c r="E101" s="23">
        <v>10</v>
      </c>
      <c r="F101" s="63"/>
      <c r="G101" s="76">
        <v>10</v>
      </c>
      <c r="H101" s="23">
        <f t="shared" si="9"/>
        <v>0</v>
      </c>
    </row>
    <row r="102" spans="1:8" s="24" customFormat="1" ht="13.65" customHeight="1" x14ac:dyDescent="0.3">
      <c r="A102" s="20" t="s">
        <v>125</v>
      </c>
      <c r="B102" s="20" t="s">
        <v>144</v>
      </c>
      <c r="C102" s="21" t="s">
        <v>145</v>
      </c>
      <c r="D102" s="20" t="s">
        <v>7</v>
      </c>
      <c r="E102" s="23">
        <v>9</v>
      </c>
      <c r="F102" s="63"/>
      <c r="G102" s="76">
        <v>9</v>
      </c>
      <c r="H102" s="23">
        <f t="shared" si="9"/>
        <v>0</v>
      </c>
    </row>
    <row r="103" spans="1:8" s="24" customFormat="1" ht="13.65" customHeight="1" x14ac:dyDescent="0.3">
      <c r="A103" s="20" t="s">
        <v>125</v>
      </c>
      <c r="B103" s="20" t="s">
        <v>146</v>
      </c>
      <c r="C103" s="21" t="s">
        <v>147</v>
      </c>
      <c r="D103" s="20" t="s">
        <v>7</v>
      </c>
      <c r="E103" s="23">
        <v>19</v>
      </c>
      <c r="F103" s="63"/>
      <c r="G103" s="76">
        <v>19</v>
      </c>
      <c r="H103" s="23">
        <f t="shared" si="9"/>
        <v>0</v>
      </c>
    </row>
    <row r="104" spans="1:8" s="24" customFormat="1" ht="13.65" customHeight="1" x14ac:dyDescent="0.3">
      <c r="A104" s="20" t="s">
        <v>125</v>
      </c>
      <c r="B104" s="20" t="s">
        <v>148</v>
      </c>
      <c r="C104" s="21" t="s">
        <v>149</v>
      </c>
      <c r="D104" s="20" t="s">
        <v>7</v>
      </c>
      <c r="E104" s="23">
        <v>10</v>
      </c>
      <c r="F104" s="63"/>
      <c r="G104" s="76">
        <v>7</v>
      </c>
      <c r="H104" s="23">
        <f>E104-G104</f>
        <v>3</v>
      </c>
    </row>
    <row r="105" spans="1:8" s="24" customFormat="1" ht="13.65" customHeight="1" x14ac:dyDescent="0.3">
      <c r="A105" s="20" t="s">
        <v>125</v>
      </c>
      <c r="B105" s="20" t="s">
        <v>150</v>
      </c>
      <c r="C105" s="21" t="s">
        <v>151</v>
      </c>
      <c r="D105" s="20" t="s">
        <v>7</v>
      </c>
      <c r="E105" s="23"/>
      <c r="F105" s="63"/>
      <c r="G105" s="76"/>
      <c r="H105" s="23">
        <f t="shared" si="9"/>
        <v>0</v>
      </c>
    </row>
    <row r="106" spans="1:8" s="24" customFormat="1" ht="13.65" customHeight="1" x14ac:dyDescent="0.3">
      <c r="A106" s="20" t="s">
        <v>125</v>
      </c>
      <c r="B106" s="20" t="s">
        <v>229</v>
      </c>
      <c r="C106" s="21" t="s">
        <v>230</v>
      </c>
      <c r="D106" s="20" t="s">
        <v>7</v>
      </c>
      <c r="E106" s="23">
        <v>10</v>
      </c>
      <c r="F106" s="23"/>
      <c r="G106" s="150">
        <v>10</v>
      </c>
      <c r="H106" s="150">
        <f t="shared" ref="H106" si="10">E106-G106</f>
        <v>0</v>
      </c>
    </row>
    <row r="107" spans="1:8" s="24" customFormat="1" ht="13.65" customHeight="1" x14ac:dyDescent="0.3">
      <c r="A107" s="20" t="s">
        <v>125</v>
      </c>
      <c r="B107" s="20" t="s">
        <v>152</v>
      </c>
      <c r="C107" s="21" t="s">
        <v>153</v>
      </c>
      <c r="D107" s="20" t="s">
        <v>7</v>
      </c>
      <c r="E107" s="23"/>
      <c r="F107" s="63"/>
      <c r="G107" s="76"/>
      <c r="H107" s="23">
        <f t="shared" si="9"/>
        <v>0</v>
      </c>
    </row>
    <row r="108" spans="1:8" s="24" customFormat="1" ht="13.65" customHeight="1" x14ac:dyDescent="0.3">
      <c r="A108" s="20" t="s">
        <v>125</v>
      </c>
      <c r="B108" s="20" t="s">
        <v>154</v>
      </c>
      <c r="C108" s="21" t="s">
        <v>155</v>
      </c>
      <c r="D108" s="20" t="s">
        <v>7</v>
      </c>
      <c r="E108" s="23"/>
      <c r="F108" s="63"/>
      <c r="G108" s="76"/>
      <c r="H108" s="23">
        <f t="shared" si="9"/>
        <v>0</v>
      </c>
    </row>
    <row r="109" spans="1:8" s="24" customFormat="1" ht="13.65" customHeight="1" x14ac:dyDescent="0.3">
      <c r="A109" s="20" t="s">
        <v>125</v>
      </c>
      <c r="B109" s="20" t="s">
        <v>156</v>
      </c>
      <c r="C109" s="21" t="s">
        <v>157</v>
      </c>
      <c r="D109" s="20" t="s">
        <v>7</v>
      </c>
      <c r="E109" s="23"/>
      <c r="F109" s="63"/>
      <c r="G109" s="76"/>
      <c r="H109" s="23">
        <f t="shared" si="9"/>
        <v>0</v>
      </c>
    </row>
    <row r="110" spans="1:8" s="24" customFormat="1" ht="13.65" customHeight="1" x14ac:dyDescent="0.3">
      <c r="A110" s="20" t="s">
        <v>125</v>
      </c>
      <c r="B110" s="20" t="s">
        <v>158</v>
      </c>
      <c r="C110" s="21" t="s">
        <v>159</v>
      </c>
      <c r="D110" s="20" t="s">
        <v>7</v>
      </c>
      <c r="E110" s="23"/>
      <c r="F110" s="63"/>
      <c r="G110" s="76"/>
      <c r="H110" s="23">
        <f t="shared" si="9"/>
        <v>0</v>
      </c>
    </row>
    <row r="111" spans="1:8" s="24" customFormat="1" ht="13.65" customHeight="1" x14ac:dyDescent="0.3">
      <c r="A111" s="20" t="s">
        <v>125</v>
      </c>
      <c r="B111" s="20" t="s">
        <v>160</v>
      </c>
      <c r="C111" s="21" t="s">
        <v>161</v>
      </c>
      <c r="D111" s="20" t="s">
        <v>7</v>
      </c>
      <c r="E111" s="23"/>
      <c r="F111" s="63"/>
      <c r="G111" s="76"/>
      <c r="H111" s="23">
        <f t="shared" si="9"/>
        <v>0</v>
      </c>
    </row>
    <row r="112" spans="1:8" s="24" customFormat="1" ht="13.65" customHeight="1" x14ac:dyDescent="0.3">
      <c r="A112" s="20" t="s">
        <v>125</v>
      </c>
      <c r="B112" s="20" t="s">
        <v>162</v>
      </c>
      <c r="C112" s="21" t="s">
        <v>163</v>
      </c>
      <c r="D112" s="20" t="s">
        <v>7</v>
      </c>
      <c r="E112" s="23"/>
      <c r="F112" s="63"/>
      <c r="G112" s="76"/>
      <c r="H112" s="23">
        <f t="shared" si="9"/>
        <v>0</v>
      </c>
    </row>
    <row r="113" spans="1:8" s="24" customFormat="1" ht="13.65" customHeight="1" x14ac:dyDescent="0.3">
      <c r="A113" s="20" t="s">
        <v>125</v>
      </c>
      <c r="B113" s="20" t="s">
        <v>164</v>
      </c>
      <c r="C113" s="21" t="s">
        <v>165</v>
      </c>
      <c r="D113" s="20" t="s">
        <v>7</v>
      </c>
      <c r="E113" s="23"/>
      <c r="F113" s="63"/>
      <c r="G113" s="76"/>
      <c r="H113" s="23">
        <f t="shared" si="9"/>
        <v>0</v>
      </c>
    </row>
    <row r="114" spans="1:8" s="24" customFormat="1" ht="13.65" customHeight="1" x14ac:dyDescent="0.3">
      <c r="A114" s="20" t="s">
        <v>125</v>
      </c>
      <c r="B114" s="20" t="s">
        <v>166</v>
      </c>
      <c r="C114" s="21" t="s">
        <v>167</v>
      </c>
      <c r="D114" s="20" t="s">
        <v>7</v>
      </c>
      <c r="E114" s="23"/>
      <c r="F114" s="63"/>
      <c r="G114" s="76"/>
      <c r="H114" s="23">
        <f>E114-G114</f>
        <v>0</v>
      </c>
    </row>
    <row r="115" spans="1:8" s="24" customFormat="1" ht="13.65" customHeight="1" x14ac:dyDescent="0.3">
      <c r="A115" s="20" t="s">
        <v>125</v>
      </c>
      <c r="B115" s="26">
        <v>2502535</v>
      </c>
      <c r="C115" s="27" t="s">
        <v>168</v>
      </c>
      <c r="D115" s="20" t="s">
        <v>7</v>
      </c>
      <c r="E115" s="25">
        <v>7</v>
      </c>
      <c r="F115" s="66"/>
      <c r="G115" s="77">
        <v>7</v>
      </c>
      <c r="H115" s="23">
        <f t="shared" si="9"/>
        <v>0</v>
      </c>
    </row>
    <row r="116" spans="1:8" s="24" customFormat="1" ht="13.65" customHeight="1" thickBot="1" x14ac:dyDescent="0.35">
      <c r="A116" s="20" t="s">
        <v>125</v>
      </c>
      <c r="B116" s="28" t="s">
        <v>169</v>
      </c>
      <c r="C116" s="29" t="s">
        <v>170</v>
      </c>
      <c r="D116" s="20" t="s">
        <v>7</v>
      </c>
      <c r="E116" s="30"/>
      <c r="F116" s="67"/>
      <c r="G116" s="78"/>
      <c r="H116" s="23">
        <f t="shared" si="9"/>
        <v>0</v>
      </c>
    </row>
    <row r="117" spans="1:8" ht="13.65" customHeight="1" thickBot="1" x14ac:dyDescent="0.35">
      <c r="A117" s="1"/>
      <c r="B117" s="1"/>
      <c r="C117" s="13"/>
      <c r="D117" s="1"/>
      <c r="E117" s="14">
        <f>SUM(E93:E116)</f>
        <v>328</v>
      </c>
      <c r="F117" s="14">
        <f t="shared" ref="F117" si="11">SUM(F93:F116)</f>
        <v>0</v>
      </c>
      <c r="G117" s="14">
        <f t="shared" ref="G117:H117" si="12">SUM(G93:G116)</f>
        <v>299</v>
      </c>
      <c r="H117" s="14">
        <f t="shared" si="12"/>
        <v>29</v>
      </c>
    </row>
    <row r="118" spans="1:8" s="24" customFormat="1" ht="13.65" customHeight="1" x14ac:dyDescent="0.3">
      <c r="A118" s="16" t="s">
        <v>171</v>
      </c>
      <c r="B118" s="16" t="s">
        <v>172</v>
      </c>
      <c r="C118" s="17" t="s">
        <v>173</v>
      </c>
      <c r="D118" s="16" t="s">
        <v>174</v>
      </c>
      <c r="E118" s="81"/>
      <c r="G118" s="151">
        <v>0</v>
      </c>
      <c r="H118" s="90"/>
    </row>
    <row r="119" spans="1:8" s="24" customFormat="1" ht="13.65" customHeight="1" x14ac:dyDescent="0.3">
      <c r="A119" s="20" t="s">
        <v>175</v>
      </c>
      <c r="B119" s="20">
        <v>50736306</v>
      </c>
      <c r="C119" s="21" t="s">
        <v>176</v>
      </c>
      <c r="D119" s="20" t="s">
        <v>177</v>
      </c>
      <c r="E119" s="81">
        <v>2</v>
      </c>
      <c r="F119" s="81"/>
      <c r="G119" s="151">
        <v>1</v>
      </c>
      <c r="H119" s="90">
        <f t="shared" ref="H119:H121" si="13">E119-G119</f>
        <v>1</v>
      </c>
    </row>
    <row r="120" spans="1:8" s="24" customFormat="1" ht="13.65" customHeight="1" x14ac:dyDescent="0.3">
      <c r="A120" s="20" t="s">
        <v>175</v>
      </c>
      <c r="B120" s="20">
        <v>56553321</v>
      </c>
      <c r="C120" s="21" t="s">
        <v>178</v>
      </c>
      <c r="D120" s="20" t="s">
        <v>177</v>
      </c>
      <c r="E120" s="81">
        <v>1</v>
      </c>
      <c r="F120" s="81"/>
      <c r="G120" s="151">
        <v>1</v>
      </c>
      <c r="H120" s="90">
        <f t="shared" si="13"/>
        <v>0</v>
      </c>
    </row>
    <row r="121" spans="1:8" s="24" customFormat="1" ht="13.65" customHeight="1" x14ac:dyDescent="0.3">
      <c r="A121" s="20" t="s">
        <v>175</v>
      </c>
      <c r="B121" s="20">
        <v>51715481</v>
      </c>
      <c r="C121" s="21" t="s">
        <v>179</v>
      </c>
      <c r="D121" s="20" t="s">
        <v>177</v>
      </c>
      <c r="E121" s="81">
        <v>1</v>
      </c>
      <c r="F121" s="129"/>
      <c r="G121" s="152">
        <v>1</v>
      </c>
      <c r="H121" s="90">
        <f t="shared" si="13"/>
        <v>0</v>
      </c>
    </row>
    <row r="122" spans="1:8" s="24" customFormat="1" ht="13.65" customHeight="1" x14ac:dyDescent="0.3">
      <c r="A122" s="20" t="s">
        <v>175</v>
      </c>
      <c r="B122" s="20">
        <v>486308</v>
      </c>
      <c r="C122" s="21" t="s">
        <v>180</v>
      </c>
      <c r="D122" s="20" t="s">
        <v>181</v>
      </c>
      <c r="E122" s="81"/>
      <c r="F122" s="129"/>
      <c r="G122" s="151"/>
      <c r="H122" s="90"/>
    </row>
    <row r="123" spans="1:8" s="24" customFormat="1" ht="13.65" customHeight="1" x14ac:dyDescent="0.3">
      <c r="A123" s="20" t="s">
        <v>231</v>
      </c>
      <c r="B123" s="20" t="s">
        <v>232</v>
      </c>
      <c r="C123" s="21" t="s">
        <v>233</v>
      </c>
      <c r="D123" s="20" t="s">
        <v>181</v>
      </c>
      <c r="E123" s="23">
        <v>80</v>
      </c>
      <c r="F123" s="23"/>
      <c r="G123" s="150">
        <v>54</v>
      </c>
      <c r="H123" s="161">
        <f>E123-G123</f>
        <v>26</v>
      </c>
    </row>
    <row r="124" spans="1:8" s="24" customFormat="1" ht="13.65" customHeight="1" x14ac:dyDescent="0.3">
      <c r="A124" s="20"/>
      <c r="B124" s="20"/>
      <c r="C124" s="21"/>
      <c r="D124" s="20"/>
      <c r="E124" s="23"/>
      <c r="F124" s="63"/>
      <c r="G124" s="23"/>
      <c r="H124" s="23"/>
    </row>
    <row r="125" spans="1:8" ht="15.75" customHeight="1" thickBot="1" x14ac:dyDescent="0.35">
      <c r="A125" s="138"/>
      <c r="B125" s="139"/>
      <c r="C125" s="140"/>
      <c r="D125" s="138"/>
      <c r="E125" s="141">
        <f>SUM(E119:E124)</f>
        <v>84</v>
      </c>
      <c r="F125" s="141"/>
      <c r="G125" s="153">
        <f>SUM(G118:G124)</f>
        <v>57</v>
      </c>
      <c r="H125" s="153"/>
    </row>
    <row r="126" spans="1:8" s="24" customFormat="1" ht="13.65" customHeight="1" x14ac:dyDescent="0.3">
      <c r="A126" s="20" t="s">
        <v>234</v>
      </c>
      <c r="B126" s="16" t="s">
        <v>239</v>
      </c>
      <c r="C126" s="17" t="s">
        <v>235</v>
      </c>
      <c r="D126" s="20" t="s">
        <v>114</v>
      </c>
      <c r="E126" s="31">
        <v>10</v>
      </c>
      <c r="F126" s="162">
        <v>10</v>
      </c>
      <c r="G126" s="150">
        <v>9</v>
      </c>
      <c r="H126" s="150">
        <f t="shared" ref="H126:H131" si="14">E126-G126</f>
        <v>1</v>
      </c>
    </row>
    <row r="127" spans="1:8" s="24" customFormat="1" ht="13.65" customHeight="1" x14ac:dyDescent="0.3">
      <c r="A127" s="20" t="s">
        <v>234</v>
      </c>
      <c r="B127" s="20" t="s">
        <v>240</v>
      </c>
      <c r="C127" s="21" t="s">
        <v>236</v>
      </c>
      <c r="D127" s="20" t="s">
        <v>114</v>
      </c>
      <c r="E127" s="23">
        <v>15</v>
      </c>
      <c r="F127" s="163">
        <v>15</v>
      </c>
      <c r="G127" s="150">
        <v>15</v>
      </c>
      <c r="H127" s="161">
        <f>E127-G127</f>
        <v>0</v>
      </c>
    </row>
    <row r="128" spans="1:8" s="24" customFormat="1" ht="13.65" customHeight="1" x14ac:dyDescent="0.3">
      <c r="A128" s="20" t="s">
        <v>234</v>
      </c>
      <c r="B128" s="20" t="s">
        <v>242</v>
      </c>
      <c r="C128" s="21" t="s">
        <v>237</v>
      </c>
      <c r="D128" s="20" t="s">
        <v>114</v>
      </c>
      <c r="E128" s="20">
        <v>20</v>
      </c>
      <c r="F128" s="164">
        <v>20</v>
      </c>
      <c r="G128" s="150">
        <v>20</v>
      </c>
      <c r="H128" s="150">
        <f t="shared" si="14"/>
        <v>0</v>
      </c>
    </row>
    <row r="129" spans="1:8" s="24" customFormat="1" ht="13.65" customHeight="1" x14ac:dyDescent="0.3">
      <c r="A129" s="20" t="s">
        <v>234</v>
      </c>
      <c r="B129" s="20" t="s">
        <v>241</v>
      </c>
      <c r="C129" s="21" t="s">
        <v>238</v>
      </c>
      <c r="D129" s="20" t="s">
        <v>114</v>
      </c>
      <c r="E129" s="23">
        <v>20</v>
      </c>
      <c r="F129" s="163">
        <v>20</v>
      </c>
      <c r="G129" s="150">
        <v>45</v>
      </c>
      <c r="H129" s="161">
        <f>E129-G129</f>
        <v>-25</v>
      </c>
    </row>
    <row r="130" spans="1:8" s="24" customFormat="1" ht="13.65" customHeight="1" x14ac:dyDescent="0.3">
      <c r="A130" s="20" t="s">
        <v>234</v>
      </c>
      <c r="B130" s="20" t="s">
        <v>262</v>
      </c>
      <c r="C130" s="21" t="s">
        <v>263</v>
      </c>
      <c r="D130" s="20" t="s">
        <v>114</v>
      </c>
      <c r="E130" s="23">
        <v>10</v>
      </c>
      <c r="F130" s="23"/>
      <c r="G130" s="150">
        <v>10</v>
      </c>
      <c r="H130" s="150">
        <f t="shared" si="14"/>
        <v>0</v>
      </c>
    </row>
    <row r="131" spans="1:8" s="24" customFormat="1" ht="13.65" customHeight="1" x14ac:dyDescent="0.3">
      <c r="A131" s="20" t="s">
        <v>234</v>
      </c>
      <c r="B131" s="20" t="s">
        <v>261</v>
      </c>
      <c r="C131" s="21" t="s">
        <v>264</v>
      </c>
      <c r="D131" s="20" t="s">
        <v>114</v>
      </c>
      <c r="E131" s="23">
        <v>3</v>
      </c>
      <c r="F131" s="23"/>
      <c r="G131" s="150">
        <v>3</v>
      </c>
      <c r="H131" s="150">
        <f t="shared" si="14"/>
        <v>0</v>
      </c>
    </row>
    <row r="132" spans="1:8" s="137" customFormat="1" ht="13.65" customHeight="1" x14ac:dyDescent="0.3">
      <c r="A132" s="142"/>
      <c r="B132" s="142"/>
      <c r="C132" s="143"/>
      <c r="D132" s="142"/>
      <c r="E132" s="144">
        <f>SUM(E126:E129)</f>
        <v>65</v>
      </c>
      <c r="F132" s="144">
        <f>SUM(F126:F131)</f>
        <v>65</v>
      </c>
      <c r="G132" s="155">
        <f>SUM(G126:G131)</f>
        <v>102</v>
      </c>
      <c r="H132" s="149"/>
    </row>
    <row r="133" spans="1:8" s="24" customFormat="1" ht="13.65" customHeight="1" x14ac:dyDescent="0.3">
      <c r="A133" s="20" t="s">
        <v>243</v>
      </c>
      <c r="B133" s="20">
        <v>38033502</v>
      </c>
      <c r="C133" s="21" t="s">
        <v>257</v>
      </c>
      <c r="D133" s="20" t="s">
        <v>7</v>
      </c>
      <c r="E133" s="23">
        <v>1140</v>
      </c>
      <c r="F133" s="23"/>
      <c r="G133" s="150">
        <v>1056</v>
      </c>
      <c r="H133" s="150">
        <f t="shared" ref="H133:H137" si="15">E133-G133</f>
        <v>84</v>
      </c>
    </row>
    <row r="134" spans="1:8" s="24" customFormat="1" ht="13.65" customHeight="1" x14ac:dyDescent="0.3">
      <c r="A134" s="20" t="s">
        <v>243</v>
      </c>
      <c r="B134" s="20">
        <v>38043501</v>
      </c>
      <c r="C134" s="21" t="s">
        <v>258</v>
      </c>
      <c r="D134" s="20" t="s">
        <v>7</v>
      </c>
      <c r="E134" s="23">
        <v>144</v>
      </c>
      <c r="F134" s="23"/>
      <c r="G134" s="150">
        <v>144</v>
      </c>
      <c r="H134" s="150">
        <f t="shared" si="15"/>
        <v>0</v>
      </c>
    </row>
    <row r="135" spans="1:8" s="24" customFormat="1" ht="13.65" customHeight="1" x14ac:dyDescent="0.3">
      <c r="A135" s="20" t="s">
        <v>243</v>
      </c>
      <c r="B135" s="20">
        <v>38003505</v>
      </c>
      <c r="C135" s="21" t="s">
        <v>259</v>
      </c>
      <c r="D135" s="20" t="s">
        <v>7</v>
      </c>
      <c r="E135" s="23">
        <v>2160</v>
      </c>
      <c r="F135" s="23"/>
      <c r="G135" s="150">
        <v>2004</v>
      </c>
      <c r="H135" s="150">
        <f t="shared" si="15"/>
        <v>156</v>
      </c>
    </row>
    <row r="136" spans="1:8" s="24" customFormat="1" ht="13.65" customHeight="1" x14ac:dyDescent="0.3">
      <c r="A136" s="20" t="s">
        <v>243</v>
      </c>
      <c r="B136" s="20">
        <v>38033511</v>
      </c>
      <c r="C136" s="21" t="s">
        <v>260</v>
      </c>
      <c r="D136" s="20" t="s">
        <v>7</v>
      </c>
      <c r="E136" s="20">
        <v>996</v>
      </c>
      <c r="F136" s="20"/>
      <c r="G136" s="150">
        <v>972</v>
      </c>
      <c r="H136" s="150">
        <f t="shared" si="15"/>
        <v>24</v>
      </c>
    </row>
    <row r="137" spans="1:8" s="24" customFormat="1" ht="13.65" customHeight="1" x14ac:dyDescent="0.3">
      <c r="A137" s="145"/>
      <c r="B137" s="145"/>
      <c r="C137" s="146"/>
      <c r="D137" s="145"/>
      <c r="E137" s="100">
        <f>SUM(E133:E136)</f>
        <v>4440</v>
      </c>
      <c r="F137" s="100"/>
      <c r="G137" s="153">
        <f>SUM(G133:G136)</f>
        <v>4176</v>
      </c>
      <c r="H137" s="153">
        <f t="shared" si="15"/>
        <v>264</v>
      </c>
    </row>
    <row r="138" spans="1:8" s="24" customFormat="1" ht="13.65" customHeight="1" x14ac:dyDescent="0.3">
      <c r="A138" s="20"/>
      <c r="B138" s="20"/>
      <c r="C138" s="21"/>
      <c r="D138" s="20"/>
      <c r="E138" s="23"/>
      <c r="F138" s="23"/>
      <c r="G138" s="150"/>
      <c r="H138" s="43"/>
    </row>
    <row r="139" spans="1:8" s="24" customFormat="1" ht="13.65" customHeight="1" x14ac:dyDescent="0.3">
      <c r="A139" s="20"/>
      <c r="B139" s="20"/>
      <c r="C139" s="21"/>
      <c r="D139" s="20"/>
      <c r="E139" s="23"/>
      <c r="F139" s="23"/>
      <c r="G139" s="150"/>
      <c r="H139" s="43"/>
    </row>
    <row r="140" spans="1:8" ht="13.65" customHeight="1" thickBot="1" x14ac:dyDescent="0.35">
      <c r="A140" s="9"/>
      <c r="B140" s="9"/>
      <c r="C140" s="10"/>
      <c r="D140" s="9"/>
      <c r="E140" s="11"/>
      <c r="F140" s="73"/>
      <c r="G140" s="80"/>
      <c r="H140" s="101"/>
    </row>
  </sheetData>
  <protectedRanges>
    <protectedRange sqref="E78 G78:H78" name="Range2_3"/>
    <protectedRange sqref="E78 G78:H78" name="Range1_3"/>
    <protectedRange sqref="H2" name="Range2_5"/>
    <protectedRange sqref="H2" name="Range1_5"/>
    <protectedRange sqref="H1" name="Range2_1_3"/>
    <protectedRange sqref="H1" name="Range1_1_3"/>
    <protectedRange sqref="E36 G36:H36" name="Range2_3_1"/>
    <protectedRange sqref="E36 G36:H36" name="Range1_3_1"/>
    <protectedRange sqref="F78" name="Range2_3_3"/>
    <protectedRange sqref="F78" name="Range1_3_3"/>
    <protectedRange sqref="F36" name="Range2_3_1_2"/>
    <protectedRange sqref="F36" name="Range1_3_1_2"/>
  </protectedRanges>
  <conditionalFormatting sqref="C6">
    <cfRule type="duplicateValues" dxfId="36" priority="19"/>
  </conditionalFormatting>
  <conditionalFormatting sqref="C23:C24">
    <cfRule type="duplicateValues" dxfId="35" priority="21"/>
  </conditionalFormatting>
  <conditionalFormatting sqref="C26">
    <cfRule type="duplicateValues" dxfId="34" priority="20"/>
  </conditionalFormatting>
  <conditionalFormatting sqref="C29 C4">
    <cfRule type="duplicateValues" dxfId="33" priority="24"/>
  </conditionalFormatting>
  <conditionalFormatting sqref="C30 C25 C27:C28 C7:C13 C3 C15:C22">
    <cfRule type="duplicateValues" dxfId="32" priority="23"/>
  </conditionalFormatting>
  <conditionalFormatting sqref="C31:C35">
    <cfRule type="duplicateValues" dxfId="31" priority="22"/>
  </conditionalFormatting>
  <conditionalFormatting sqref="E3:F36">
    <cfRule type="cellIs" dxfId="30" priority="7" stopIfTrue="1" operator="lessThan">
      <formula>0</formula>
    </cfRule>
  </conditionalFormatting>
  <conditionalFormatting sqref="E38:F117">
    <cfRule type="cellIs" dxfId="29" priority="1" stopIfTrue="1" operator="lessThan">
      <formula>0</formula>
    </cfRule>
  </conditionalFormatting>
  <conditionalFormatting sqref="E123:F127">
    <cfRule type="cellIs" dxfId="28" priority="3" stopIfTrue="1" operator="lessThan">
      <formula>0</formula>
    </cfRule>
  </conditionalFormatting>
  <conditionalFormatting sqref="E129:F135">
    <cfRule type="cellIs" dxfId="27" priority="2" stopIfTrue="1" operator="lessThan">
      <formula>0</formula>
    </cfRule>
  </conditionalFormatting>
  <conditionalFormatting sqref="E137:F140">
    <cfRule type="cellIs" dxfId="26" priority="4" stopIfTrue="1" operator="lessThan">
      <formula>0</formula>
    </cfRule>
  </conditionalFormatting>
  <conditionalFormatting sqref="E2:H2 G36 H36:H77 G78:H88 G90:H105 G107:H117 G3:H35">
    <cfRule type="cellIs" dxfId="6" priority="16" stopIfTrue="1" operator="lessThan">
      <formula>0</formula>
    </cfRule>
  </conditionalFormatting>
  <conditionalFormatting sqref="G38:G77">
    <cfRule type="cellIs" dxfId="25" priority="18" stopIfTrue="1" operator="lessThan">
      <formula>0</formula>
    </cfRule>
  </conditionalFormatting>
  <conditionalFormatting sqref="G124:H124 G140:H140">
    <cfRule type="cellIs" dxfId="24" priority="17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B1CF-A706-495B-92BC-D57ACD00710F}">
  <dimension ref="A1:R140"/>
  <sheetViews>
    <sheetView tabSelected="1" topLeftCell="B1" zoomScale="80" zoomScaleNormal="80" workbookViewId="0">
      <selection activeCell="M24" sqref="M24"/>
    </sheetView>
  </sheetViews>
  <sheetFormatPr defaultRowHeight="14.4" x14ac:dyDescent="0.3"/>
  <cols>
    <col min="1" max="1" width="12" bestFit="1" customWidth="1"/>
    <col min="2" max="2" width="24.5546875" bestFit="1" customWidth="1"/>
    <col min="3" max="3" width="61.109375" customWidth="1"/>
    <col min="4" max="4" width="6.109375" bestFit="1" customWidth="1"/>
    <col min="5" max="5" width="9.88671875" customWidth="1"/>
    <col min="6" max="6" width="9.88671875" style="74" customWidth="1"/>
    <col min="7" max="7" width="8.109375" bestFit="1" customWidth="1"/>
    <col min="8" max="8" width="11.109375" bestFit="1" customWidth="1"/>
  </cols>
  <sheetData>
    <row r="1" spans="1:18" s="36" customFormat="1" ht="30" customHeight="1" thickBot="1" x14ac:dyDescent="0.35">
      <c r="A1" s="35" t="s">
        <v>0</v>
      </c>
      <c r="B1" s="35" t="s">
        <v>1</v>
      </c>
      <c r="C1" s="35" t="s">
        <v>2</v>
      </c>
      <c r="D1" s="35" t="s">
        <v>3</v>
      </c>
      <c r="E1" s="122">
        <v>46157</v>
      </c>
      <c r="F1" s="60" t="s">
        <v>223</v>
      </c>
      <c r="G1" s="123">
        <v>46172</v>
      </c>
      <c r="H1" s="98" t="s">
        <v>210</v>
      </c>
    </row>
    <row r="2" spans="1:18" ht="10.5" customHeight="1" thickBot="1" x14ac:dyDescent="0.35">
      <c r="A2" s="1"/>
      <c r="B2" s="1"/>
      <c r="C2" s="2"/>
      <c r="D2" s="3"/>
      <c r="E2" s="4"/>
      <c r="F2" s="4"/>
      <c r="G2" s="4"/>
      <c r="H2" s="4"/>
    </row>
    <row r="3" spans="1:18" ht="13.65" customHeight="1" x14ac:dyDescent="0.3">
      <c r="A3" s="16" t="s">
        <v>4</v>
      </c>
      <c r="B3" s="16" t="s">
        <v>5</v>
      </c>
      <c r="C3" s="17" t="s">
        <v>6</v>
      </c>
      <c r="D3" s="16" t="s">
        <v>7</v>
      </c>
      <c r="E3" s="44">
        <v>26</v>
      </c>
      <c r="F3" s="62"/>
      <c r="G3" s="44">
        <v>25</v>
      </c>
      <c r="H3" s="19">
        <f>E3-G3</f>
        <v>1</v>
      </c>
    </row>
    <row r="4" spans="1:18" ht="13.65" customHeight="1" x14ac:dyDescent="0.3">
      <c r="A4" s="20" t="s">
        <v>4</v>
      </c>
      <c r="B4" s="20" t="s">
        <v>206</v>
      </c>
      <c r="C4" s="21" t="s">
        <v>207</v>
      </c>
      <c r="D4" s="20" t="s">
        <v>7</v>
      </c>
      <c r="E4" s="76">
        <v>15</v>
      </c>
      <c r="F4" s="63">
        <v>50</v>
      </c>
      <c r="G4" s="76">
        <v>57</v>
      </c>
      <c r="H4" s="19">
        <f>E4+F4-G4</f>
        <v>8</v>
      </c>
    </row>
    <row r="5" spans="1:18" s="24" customFormat="1" ht="13.65" customHeight="1" x14ac:dyDescent="0.3">
      <c r="A5" s="20" t="s">
        <v>4</v>
      </c>
      <c r="B5" s="20" t="s">
        <v>197</v>
      </c>
      <c r="C5" s="21" t="s">
        <v>198</v>
      </c>
      <c r="D5" s="20" t="s">
        <v>7</v>
      </c>
      <c r="E5" s="76">
        <v>39</v>
      </c>
      <c r="F5" s="63">
        <v>30</v>
      </c>
      <c r="G5" s="76">
        <v>54</v>
      </c>
      <c r="H5" s="19">
        <f t="shared" ref="H5:H35" si="0">E5+F5-G5</f>
        <v>15</v>
      </c>
      <c r="I5"/>
      <c r="J5"/>
      <c r="K5"/>
      <c r="L5"/>
      <c r="M5"/>
      <c r="N5"/>
      <c r="O5"/>
      <c r="P5"/>
      <c r="Q5"/>
      <c r="R5"/>
    </row>
    <row r="6" spans="1:18" ht="13.65" customHeight="1" x14ac:dyDescent="0.3">
      <c r="A6" s="20" t="s">
        <v>4</v>
      </c>
      <c r="B6" s="20" t="s">
        <v>193</v>
      </c>
      <c r="C6" s="21" t="s">
        <v>194</v>
      </c>
      <c r="D6" s="20" t="s">
        <v>7</v>
      </c>
      <c r="E6" s="76">
        <v>13</v>
      </c>
      <c r="F6" s="63"/>
      <c r="G6" s="76">
        <v>2</v>
      </c>
      <c r="H6" s="19">
        <f t="shared" si="0"/>
        <v>11</v>
      </c>
    </row>
    <row r="7" spans="1:18" ht="13.65" customHeight="1" x14ac:dyDescent="0.3">
      <c r="A7" s="20" t="s">
        <v>4</v>
      </c>
      <c r="B7" s="20" t="s">
        <v>8</v>
      </c>
      <c r="C7" s="21" t="s">
        <v>9</v>
      </c>
      <c r="D7" s="20" t="s">
        <v>7</v>
      </c>
      <c r="E7" s="93">
        <v>55</v>
      </c>
      <c r="F7" s="62"/>
      <c r="G7" s="93">
        <v>50</v>
      </c>
      <c r="H7" s="19">
        <f t="shared" si="0"/>
        <v>5</v>
      </c>
    </row>
    <row r="8" spans="1:18" ht="13.65" customHeight="1" x14ac:dyDescent="0.3">
      <c r="A8" s="20" t="s">
        <v>4</v>
      </c>
      <c r="B8" s="20" t="s">
        <v>10</v>
      </c>
      <c r="C8" s="21" t="s">
        <v>11</v>
      </c>
      <c r="D8" s="20" t="s">
        <v>7</v>
      </c>
      <c r="E8" s="93">
        <v>85</v>
      </c>
      <c r="F8" s="62">
        <v>50</v>
      </c>
      <c r="G8" s="93">
        <v>20</v>
      </c>
      <c r="H8" s="19">
        <f t="shared" si="0"/>
        <v>115</v>
      </c>
    </row>
    <row r="9" spans="1:18" ht="13.65" customHeight="1" x14ac:dyDescent="0.3">
      <c r="A9" s="20" t="s">
        <v>4</v>
      </c>
      <c r="B9" s="20" t="s">
        <v>12</v>
      </c>
      <c r="C9" s="21" t="s">
        <v>13</v>
      </c>
      <c r="D9" s="20" t="s">
        <v>7</v>
      </c>
      <c r="E9" s="93">
        <v>330</v>
      </c>
      <c r="F9" s="62"/>
      <c r="G9" s="93">
        <v>258</v>
      </c>
      <c r="H9" s="19">
        <f t="shared" si="0"/>
        <v>72</v>
      </c>
    </row>
    <row r="10" spans="1:18" ht="13.65" customHeight="1" x14ac:dyDescent="0.3">
      <c r="A10" s="20" t="s">
        <v>4</v>
      </c>
      <c r="B10" s="20" t="s">
        <v>14</v>
      </c>
      <c r="C10" s="21" t="s">
        <v>15</v>
      </c>
      <c r="D10" s="20" t="s">
        <v>7</v>
      </c>
      <c r="E10" s="93">
        <v>0</v>
      </c>
      <c r="F10" s="62"/>
      <c r="G10" s="93">
        <v>0</v>
      </c>
      <c r="H10" s="19">
        <f t="shared" si="0"/>
        <v>0</v>
      </c>
    </row>
    <row r="11" spans="1:18" ht="13.65" customHeight="1" x14ac:dyDescent="0.3">
      <c r="A11" s="20" t="s">
        <v>4</v>
      </c>
      <c r="B11" s="20" t="s">
        <v>16</v>
      </c>
      <c r="C11" s="21" t="s">
        <v>17</v>
      </c>
      <c r="D11" s="20" t="s">
        <v>7</v>
      </c>
      <c r="E11" s="93">
        <v>30</v>
      </c>
      <c r="F11" s="62"/>
      <c r="G11" s="93">
        <v>20</v>
      </c>
      <c r="H11" s="19">
        <f t="shared" si="0"/>
        <v>10</v>
      </c>
    </row>
    <row r="12" spans="1:18" ht="13.65" customHeight="1" x14ac:dyDescent="0.3">
      <c r="A12" s="20" t="s">
        <v>4</v>
      </c>
      <c r="B12" s="20" t="s">
        <v>18</v>
      </c>
      <c r="C12" s="21" t="s">
        <v>19</v>
      </c>
      <c r="D12" s="20" t="s">
        <v>7</v>
      </c>
      <c r="E12" s="94">
        <v>38</v>
      </c>
      <c r="F12" s="62"/>
      <c r="G12" s="94">
        <v>24</v>
      </c>
      <c r="H12" s="19">
        <f t="shared" si="0"/>
        <v>14</v>
      </c>
    </row>
    <row r="13" spans="1:18" ht="13.65" customHeight="1" x14ac:dyDescent="0.3">
      <c r="A13" s="20" t="s">
        <v>4</v>
      </c>
      <c r="B13" s="20" t="s">
        <v>20</v>
      </c>
      <c r="C13" s="21" t="s">
        <v>21</v>
      </c>
      <c r="D13" s="20" t="s">
        <v>7</v>
      </c>
      <c r="E13" s="94">
        <v>3</v>
      </c>
      <c r="F13" s="62">
        <v>40</v>
      </c>
      <c r="G13" s="94">
        <v>21</v>
      </c>
      <c r="H13" s="19">
        <f t="shared" si="0"/>
        <v>22</v>
      </c>
    </row>
    <row r="14" spans="1:18" s="24" customFormat="1" ht="13.65" customHeight="1" x14ac:dyDescent="0.3">
      <c r="A14" s="20" t="s">
        <v>4</v>
      </c>
      <c r="B14" s="20" t="s">
        <v>204</v>
      </c>
      <c r="C14" s="21" t="s">
        <v>205</v>
      </c>
      <c r="D14" s="20" t="s">
        <v>7</v>
      </c>
      <c r="E14" s="76">
        <v>70</v>
      </c>
      <c r="F14" s="63">
        <v>100</v>
      </c>
      <c r="G14" s="76">
        <v>108</v>
      </c>
      <c r="H14" s="19">
        <f t="shared" si="0"/>
        <v>62</v>
      </c>
      <c r="I14"/>
      <c r="J14"/>
      <c r="K14"/>
      <c r="L14"/>
      <c r="M14"/>
      <c r="N14"/>
      <c r="O14"/>
      <c r="P14"/>
      <c r="Q14"/>
      <c r="R14"/>
    </row>
    <row r="15" spans="1:18" ht="13.65" customHeight="1" x14ac:dyDescent="0.3">
      <c r="A15" s="32" t="s">
        <v>4</v>
      </c>
      <c r="B15" s="32" t="s">
        <v>22</v>
      </c>
      <c r="C15" s="33" t="s">
        <v>23</v>
      </c>
      <c r="D15" s="32" t="s">
        <v>7</v>
      </c>
      <c r="E15" s="95">
        <v>81</v>
      </c>
      <c r="F15" s="64">
        <v>30</v>
      </c>
      <c r="G15" s="95">
        <v>102</v>
      </c>
      <c r="H15" s="19">
        <f t="shared" si="0"/>
        <v>9</v>
      </c>
    </row>
    <row r="16" spans="1:18" ht="13.65" customHeight="1" x14ac:dyDescent="0.3">
      <c r="A16" s="20" t="s">
        <v>4</v>
      </c>
      <c r="B16" s="20" t="s">
        <v>24</v>
      </c>
      <c r="C16" s="21" t="s">
        <v>25</v>
      </c>
      <c r="D16" s="20" t="s">
        <v>7</v>
      </c>
      <c r="E16" s="93">
        <v>27</v>
      </c>
      <c r="F16" s="62"/>
      <c r="G16" s="93">
        <v>26</v>
      </c>
      <c r="H16" s="19">
        <f t="shared" si="0"/>
        <v>1</v>
      </c>
    </row>
    <row r="17" spans="1:8" ht="13.65" customHeight="1" x14ac:dyDescent="0.3">
      <c r="A17" s="20" t="s">
        <v>4</v>
      </c>
      <c r="B17" s="20" t="s">
        <v>26</v>
      </c>
      <c r="C17" s="21" t="s">
        <v>27</v>
      </c>
      <c r="D17" s="20" t="s">
        <v>7</v>
      </c>
      <c r="E17" s="93">
        <v>75</v>
      </c>
      <c r="F17" s="62"/>
      <c r="G17" s="93">
        <v>68</v>
      </c>
      <c r="H17" s="19">
        <f t="shared" si="0"/>
        <v>7</v>
      </c>
    </row>
    <row r="18" spans="1:8" ht="13.65" customHeight="1" x14ac:dyDescent="0.3">
      <c r="A18" s="20" t="s">
        <v>4</v>
      </c>
      <c r="B18" s="20" t="s">
        <v>28</v>
      </c>
      <c r="C18" s="21" t="s">
        <v>29</v>
      </c>
      <c r="D18" s="20" t="s">
        <v>7</v>
      </c>
      <c r="E18" s="93">
        <v>202</v>
      </c>
      <c r="F18" s="62"/>
      <c r="G18" s="93">
        <v>187</v>
      </c>
      <c r="H18" s="19">
        <f t="shared" si="0"/>
        <v>15</v>
      </c>
    </row>
    <row r="19" spans="1:8" ht="13.65" customHeight="1" x14ac:dyDescent="0.3">
      <c r="A19" s="20" t="s">
        <v>4</v>
      </c>
      <c r="B19" s="20" t="s">
        <v>30</v>
      </c>
      <c r="C19" s="21" t="s">
        <v>31</v>
      </c>
      <c r="D19" s="20" t="s">
        <v>7</v>
      </c>
      <c r="E19" s="44">
        <v>59</v>
      </c>
      <c r="F19" s="62"/>
      <c r="G19" s="44">
        <v>57</v>
      </c>
      <c r="H19" s="19">
        <f t="shared" si="0"/>
        <v>2</v>
      </c>
    </row>
    <row r="20" spans="1:8" ht="13.65" customHeight="1" x14ac:dyDescent="0.3">
      <c r="A20" s="20" t="s">
        <v>4</v>
      </c>
      <c r="B20" s="20" t="s">
        <v>32</v>
      </c>
      <c r="C20" s="21" t="s">
        <v>33</v>
      </c>
      <c r="D20" s="20" t="s">
        <v>7</v>
      </c>
      <c r="E20" s="44">
        <v>36</v>
      </c>
      <c r="F20" s="62"/>
      <c r="G20" s="44">
        <v>21</v>
      </c>
      <c r="H20" s="19">
        <f t="shared" si="0"/>
        <v>15</v>
      </c>
    </row>
    <row r="21" spans="1:8" ht="13.65" customHeight="1" x14ac:dyDescent="0.3">
      <c r="A21" s="20" t="s">
        <v>4</v>
      </c>
      <c r="B21" s="20" t="s">
        <v>34</v>
      </c>
      <c r="C21" s="21" t="s">
        <v>35</v>
      </c>
      <c r="D21" s="20" t="s">
        <v>7</v>
      </c>
      <c r="E21" s="44">
        <v>7</v>
      </c>
      <c r="F21" s="62"/>
      <c r="G21" s="44">
        <v>7</v>
      </c>
      <c r="H21" s="19">
        <f t="shared" si="0"/>
        <v>0</v>
      </c>
    </row>
    <row r="22" spans="1:8" ht="13.65" customHeight="1" x14ac:dyDescent="0.3">
      <c r="A22" s="20" t="s">
        <v>4</v>
      </c>
      <c r="B22" s="20" t="s">
        <v>36</v>
      </c>
      <c r="C22" s="21" t="s">
        <v>37</v>
      </c>
      <c r="D22" s="20" t="s">
        <v>7</v>
      </c>
      <c r="E22" s="44">
        <v>6</v>
      </c>
      <c r="F22" s="62"/>
      <c r="G22" s="44">
        <v>6</v>
      </c>
      <c r="H22" s="19">
        <f t="shared" si="0"/>
        <v>0</v>
      </c>
    </row>
    <row r="23" spans="1:8" ht="13.65" customHeight="1" x14ac:dyDescent="0.3">
      <c r="A23" s="20"/>
      <c r="B23" s="20"/>
      <c r="C23" s="21"/>
      <c r="D23" s="20"/>
      <c r="E23" s="76"/>
      <c r="F23" s="63"/>
      <c r="G23" s="76"/>
      <c r="H23" s="19">
        <f t="shared" si="0"/>
        <v>0</v>
      </c>
    </row>
    <row r="24" spans="1:8" ht="13.65" customHeight="1" x14ac:dyDescent="0.3">
      <c r="A24" s="20" t="s">
        <v>4</v>
      </c>
      <c r="B24" s="20" t="s">
        <v>38</v>
      </c>
      <c r="C24" s="21" t="s">
        <v>39</v>
      </c>
      <c r="D24" s="20" t="s">
        <v>7</v>
      </c>
      <c r="E24" s="76">
        <v>46</v>
      </c>
      <c r="F24" s="63"/>
      <c r="G24" s="76">
        <v>46</v>
      </c>
      <c r="H24" s="19">
        <f t="shared" si="0"/>
        <v>0</v>
      </c>
    </row>
    <row r="25" spans="1:8" ht="13.65" customHeight="1" x14ac:dyDescent="0.3">
      <c r="A25" s="20" t="s">
        <v>4</v>
      </c>
      <c r="B25" s="20" t="s">
        <v>40</v>
      </c>
      <c r="C25" s="21" t="s">
        <v>41</v>
      </c>
      <c r="D25" s="20" t="s">
        <v>7</v>
      </c>
      <c r="E25" s="76">
        <v>7</v>
      </c>
      <c r="F25" s="63"/>
      <c r="G25" s="76">
        <v>7</v>
      </c>
      <c r="H25" s="19">
        <f t="shared" si="0"/>
        <v>0</v>
      </c>
    </row>
    <row r="26" spans="1:8" ht="13.65" customHeight="1" x14ac:dyDescent="0.3">
      <c r="A26" s="20"/>
      <c r="B26" s="20"/>
      <c r="C26" s="21"/>
      <c r="D26" s="20"/>
      <c r="E26" s="76"/>
      <c r="F26" s="63"/>
      <c r="G26" s="76"/>
      <c r="H26" s="19">
        <f t="shared" si="0"/>
        <v>0</v>
      </c>
    </row>
    <row r="27" spans="1:8" ht="13.65" customHeight="1" x14ac:dyDescent="0.3">
      <c r="A27" s="20" t="s">
        <v>42</v>
      </c>
      <c r="B27" s="20" t="s">
        <v>43</v>
      </c>
      <c r="C27" s="21" t="s">
        <v>44</v>
      </c>
      <c r="D27" s="20" t="s">
        <v>7</v>
      </c>
      <c r="E27" s="76">
        <v>26</v>
      </c>
      <c r="F27" s="63"/>
      <c r="G27" s="76">
        <v>15</v>
      </c>
      <c r="H27" s="19">
        <f t="shared" si="0"/>
        <v>11</v>
      </c>
    </row>
    <row r="28" spans="1:8" ht="13.65" customHeight="1" x14ac:dyDescent="0.3">
      <c r="A28" s="20" t="s">
        <v>42</v>
      </c>
      <c r="B28" s="20" t="s">
        <v>45</v>
      </c>
      <c r="C28" s="21" t="s">
        <v>46</v>
      </c>
      <c r="D28" s="20" t="s">
        <v>7</v>
      </c>
      <c r="E28" s="76"/>
      <c r="F28" s="63"/>
      <c r="G28" s="76"/>
      <c r="H28" s="19">
        <f t="shared" si="0"/>
        <v>0</v>
      </c>
    </row>
    <row r="29" spans="1:8" ht="13.65" customHeight="1" x14ac:dyDescent="0.3">
      <c r="A29" s="20"/>
      <c r="B29" s="20"/>
      <c r="C29" s="21"/>
      <c r="D29" s="20"/>
      <c r="E29" s="76"/>
      <c r="F29" s="63"/>
      <c r="G29" s="76"/>
      <c r="H29" s="19">
        <f t="shared" si="0"/>
        <v>0</v>
      </c>
    </row>
    <row r="30" spans="1:8" ht="13.65" customHeight="1" x14ac:dyDescent="0.3">
      <c r="A30" s="20" t="s">
        <v>47</v>
      </c>
      <c r="B30" s="20" t="s">
        <v>48</v>
      </c>
      <c r="C30" s="21" t="s">
        <v>49</v>
      </c>
      <c r="D30" s="20" t="s">
        <v>7</v>
      </c>
      <c r="E30" s="76">
        <v>48</v>
      </c>
      <c r="F30" s="63"/>
      <c r="G30" s="76">
        <v>48</v>
      </c>
      <c r="H30" s="19">
        <f t="shared" si="0"/>
        <v>0</v>
      </c>
    </row>
    <row r="31" spans="1:8" ht="13.65" customHeight="1" x14ac:dyDescent="0.3">
      <c r="A31" s="20" t="s">
        <v>47</v>
      </c>
      <c r="B31" s="20" t="s">
        <v>50</v>
      </c>
      <c r="C31" s="21" t="s">
        <v>51</v>
      </c>
      <c r="D31" s="20" t="s">
        <v>7</v>
      </c>
      <c r="E31" s="76">
        <v>60</v>
      </c>
      <c r="F31" s="63"/>
      <c r="G31" s="76">
        <v>60</v>
      </c>
      <c r="H31" s="19">
        <f t="shared" si="0"/>
        <v>0</v>
      </c>
    </row>
    <row r="32" spans="1:8" ht="13.65" customHeight="1" x14ac:dyDescent="0.3">
      <c r="A32" s="20" t="s">
        <v>47</v>
      </c>
      <c r="B32" s="20" t="s">
        <v>54</v>
      </c>
      <c r="C32" s="21" t="s">
        <v>55</v>
      </c>
      <c r="D32" s="20" t="s">
        <v>7</v>
      </c>
      <c r="E32" s="76">
        <v>48</v>
      </c>
      <c r="F32" s="63"/>
      <c r="G32" s="76">
        <v>48</v>
      </c>
      <c r="H32" s="19">
        <f t="shared" si="0"/>
        <v>0</v>
      </c>
    </row>
    <row r="33" spans="1:8" ht="13.65" customHeight="1" x14ac:dyDescent="0.3">
      <c r="A33" s="20" t="s">
        <v>4</v>
      </c>
      <c r="B33" s="20">
        <v>33191231</v>
      </c>
      <c r="C33" s="21" t="s">
        <v>57</v>
      </c>
      <c r="D33" s="20" t="s">
        <v>7</v>
      </c>
      <c r="E33" s="76">
        <v>39</v>
      </c>
      <c r="F33" s="63">
        <v>50</v>
      </c>
      <c r="G33" s="76">
        <v>87</v>
      </c>
      <c r="H33" s="19">
        <f t="shared" si="0"/>
        <v>2</v>
      </c>
    </row>
    <row r="34" spans="1:8" ht="13.65" customHeight="1" x14ac:dyDescent="0.3">
      <c r="A34" s="20" t="s">
        <v>4</v>
      </c>
      <c r="B34" s="20">
        <v>33191232</v>
      </c>
      <c r="C34" s="21" t="s">
        <v>55</v>
      </c>
      <c r="D34" s="20" t="s">
        <v>7</v>
      </c>
      <c r="E34" s="76">
        <v>43</v>
      </c>
      <c r="F34" s="63">
        <v>50</v>
      </c>
      <c r="G34" s="76">
        <v>93</v>
      </c>
      <c r="H34" s="19">
        <f t="shared" si="0"/>
        <v>0</v>
      </c>
    </row>
    <row r="35" spans="1:8" ht="13.65" customHeight="1" x14ac:dyDescent="0.3">
      <c r="A35" s="20" t="s">
        <v>4</v>
      </c>
      <c r="B35" s="20">
        <v>33191234</v>
      </c>
      <c r="C35" s="21" t="s">
        <v>185</v>
      </c>
      <c r="D35" s="20" t="s">
        <v>7</v>
      </c>
      <c r="E35" s="76">
        <v>30</v>
      </c>
      <c r="F35" s="63">
        <v>150</v>
      </c>
      <c r="G35" s="76">
        <v>171</v>
      </c>
      <c r="H35" s="19">
        <f t="shared" si="0"/>
        <v>9</v>
      </c>
    </row>
    <row r="36" spans="1:8" ht="13.65" customHeight="1" thickBot="1" x14ac:dyDescent="0.35">
      <c r="A36" s="5"/>
      <c r="B36" s="5"/>
      <c r="C36" s="6"/>
      <c r="D36" s="5"/>
      <c r="E36" s="100">
        <f>SUM(E3:E35)</f>
        <v>1544</v>
      </c>
      <c r="F36" s="100">
        <f>SUM(F3:F35)</f>
        <v>550</v>
      </c>
      <c r="G36" s="100">
        <f>SUM(G3:G35)</f>
        <v>1688</v>
      </c>
      <c r="H36" s="100">
        <f>SUM(H3:H35)</f>
        <v>406</v>
      </c>
    </row>
    <row r="37" spans="1:8" s="24" customFormat="1" ht="13.65" customHeight="1" x14ac:dyDescent="0.3">
      <c r="A37" s="16" t="s">
        <v>4</v>
      </c>
      <c r="B37" s="16">
        <v>7358771515</v>
      </c>
      <c r="C37" s="17" t="s">
        <v>58</v>
      </c>
      <c r="D37" s="16" t="s">
        <v>7</v>
      </c>
      <c r="E37" s="79"/>
      <c r="F37" s="65"/>
      <c r="G37" s="79"/>
      <c r="H37" s="19">
        <f t="shared" ref="H37:H58" si="1">E37-G37</f>
        <v>0</v>
      </c>
    </row>
    <row r="38" spans="1:8" s="24" customFormat="1" ht="13.65" customHeight="1" x14ac:dyDescent="0.3">
      <c r="A38" s="20" t="s">
        <v>4</v>
      </c>
      <c r="B38" s="20">
        <v>7378761826</v>
      </c>
      <c r="C38" s="21" t="s">
        <v>59</v>
      </c>
      <c r="D38" s="20" t="s">
        <v>7</v>
      </c>
      <c r="E38" s="76"/>
      <c r="F38" s="63"/>
      <c r="G38" s="76"/>
      <c r="H38" s="19">
        <f t="shared" si="1"/>
        <v>0</v>
      </c>
    </row>
    <row r="39" spans="1:8" s="24" customFormat="1" ht="13.65" customHeight="1" x14ac:dyDescent="0.3">
      <c r="A39" s="20" t="s">
        <v>4</v>
      </c>
      <c r="B39" s="20" t="s">
        <v>60</v>
      </c>
      <c r="C39" s="21" t="s">
        <v>61</v>
      </c>
      <c r="D39" s="20" t="s">
        <v>7</v>
      </c>
      <c r="E39" s="76"/>
      <c r="F39" s="63"/>
      <c r="G39" s="76"/>
      <c r="H39" s="19">
        <f t="shared" si="1"/>
        <v>0</v>
      </c>
    </row>
    <row r="40" spans="1:8" s="24" customFormat="1" ht="13.65" customHeight="1" x14ac:dyDescent="0.3">
      <c r="A40" s="20" t="s">
        <v>4</v>
      </c>
      <c r="B40" s="20" t="s">
        <v>62</v>
      </c>
      <c r="C40" s="21" t="s">
        <v>63</v>
      </c>
      <c r="D40" s="20" t="s">
        <v>7</v>
      </c>
      <c r="E40" s="76"/>
      <c r="F40" s="63"/>
      <c r="G40" s="76"/>
      <c r="H40" s="19">
        <f t="shared" si="1"/>
        <v>0</v>
      </c>
    </row>
    <row r="41" spans="1:8" s="24" customFormat="1" ht="13.65" customHeight="1" x14ac:dyDescent="0.3">
      <c r="A41" s="20" t="s">
        <v>4</v>
      </c>
      <c r="B41" s="20" t="s">
        <v>64</v>
      </c>
      <c r="C41" s="21" t="s">
        <v>65</v>
      </c>
      <c r="D41" s="20" t="s">
        <v>7</v>
      </c>
      <c r="E41" s="76"/>
      <c r="F41" s="63"/>
      <c r="G41" s="76"/>
      <c r="H41" s="19">
        <f t="shared" si="1"/>
        <v>0</v>
      </c>
    </row>
    <row r="42" spans="1:8" s="24" customFormat="1" ht="13.65" customHeight="1" x14ac:dyDescent="0.3">
      <c r="A42" s="20" t="s">
        <v>4</v>
      </c>
      <c r="B42" s="20" t="s">
        <v>66</v>
      </c>
      <c r="C42" s="21" t="s">
        <v>67</v>
      </c>
      <c r="D42" s="20" t="s">
        <v>7</v>
      </c>
      <c r="E42" s="76"/>
      <c r="F42" s="63"/>
      <c r="G42" s="76"/>
      <c r="H42" s="19">
        <f t="shared" si="1"/>
        <v>0</v>
      </c>
    </row>
    <row r="43" spans="1:8" s="24" customFormat="1" ht="13.65" customHeight="1" x14ac:dyDescent="0.3">
      <c r="A43" s="20" t="s">
        <v>4</v>
      </c>
      <c r="B43" s="20" t="s">
        <v>68</v>
      </c>
      <c r="C43" s="21" t="s">
        <v>69</v>
      </c>
      <c r="D43" s="20" t="s">
        <v>7</v>
      </c>
      <c r="E43" s="76"/>
      <c r="F43" s="63"/>
      <c r="G43" s="76"/>
      <c r="H43" s="19">
        <f t="shared" si="1"/>
        <v>0</v>
      </c>
    </row>
    <row r="44" spans="1:8" s="24" customFormat="1" ht="13.65" customHeight="1" x14ac:dyDescent="0.3">
      <c r="A44" s="20" t="s">
        <v>4</v>
      </c>
      <c r="B44" s="20" t="s">
        <v>70</v>
      </c>
      <c r="C44" s="21" t="s">
        <v>69</v>
      </c>
      <c r="D44" s="20" t="s">
        <v>7</v>
      </c>
      <c r="E44" s="76"/>
      <c r="F44" s="63"/>
      <c r="G44" s="76"/>
      <c r="H44" s="19">
        <f t="shared" si="1"/>
        <v>0</v>
      </c>
    </row>
    <row r="45" spans="1:8" s="24" customFormat="1" ht="13.65" customHeight="1" x14ac:dyDescent="0.3">
      <c r="A45" s="20" t="s">
        <v>4</v>
      </c>
      <c r="B45" s="20" t="s">
        <v>71</v>
      </c>
      <c r="C45" s="21" t="s">
        <v>72</v>
      </c>
      <c r="D45" s="20" t="s">
        <v>7</v>
      </c>
      <c r="E45" s="76"/>
      <c r="F45" s="63"/>
      <c r="G45" s="76"/>
      <c r="H45" s="19">
        <f t="shared" si="1"/>
        <v>0</v>
      </c>
    </row>
    <row r="46" spans="1:8" s="24" customFormat="1" ht="13.65" customHeight="1" x14ac:dyDescent="0.3">
      <c r="A46" s="20" t="s">
        <v>4</v>
      </c>
      <c r="B46" s="20">
        <v>7951697</v>
      </c>
      <c r="C46" s="21" t="s">
        <v>73</v>
      </c>
      <c r="D46" s="20" t="s">
        <v>7</v>
      </c>
      <c r="E46" s="76"/>
      <c r="F46" s="63"/>
      <c r="G46" s="76"/>
      <c r="H46" s="19">
        <f t="shared" si="1"/>
        <v>0</v>
      </c>
    </row>
    <row r="47" spans="1:8" s="24" customFormat="1" ht="13.65" customHeight="1" x14ac:dyDescent="0.3">
      <c r="A47" s="20" t="s">
        <v>4</v>
      </c>
      <c r="B47" s="20">
        <v>7952606</v>
      </c>
      <c r="C47" s="21" t="s">
        <v>74</v>
      </c>
      <c r="D47" s="20" t="s">
        <v>7</v>
      </c>
      <c r="E47" s="76"/>
      <c r="F47" s="63"/>
      <c r="G47" s="76"/>
      <c r="H47" s="19">
        <f t="shared" si="1"/>
        <v>0</v>
      </c>
    </row>
    <row r="48" spans="1:8" s="24" customFormat="1" ht="13.65" customHeight="1" x14ac:dyDescent="0.3">
      <c r="A48" s="20" t="s">
        <v>4</v>
      </c>
      <c r="B48" s="20" t="s">
        <v>75</v>
      </c>
      <c r="C48" s="21" t="s">
        <v>76</v>
      </c>
      <c r="D48" s="20" t="s">
        <v>7</v>
      </c>
      <c r="E48" s="76"/>
      <c r="F48" s="63"/>
      <c r="G48" s="76"/>
      <c r="H48" s="19">
        <f t="shared" si="1"/>
        <v>0</v>
      </c>
    </row>
    <row r="49" spans="1:8" s="24" customFormat="1" ht="13.65" customHeight="1" x14ac:dyDescent="0.3">
      <c r="A49" s="20"/>
      <c r="B49" s="20"/>
      <c r="C49" s="21"/>
      <c r="D49" s="20"/>
      <c r="E49" s="76"/>
      <c r="F49" s="63"/>
      <c r="G49" s="76"/>
      <c r="H49" s="19">
        <f t="shared" si="1"/>
        <v>0</v>
      </c>
    </row>
    <row r="50" spans="1:8" s="24" customFormat="1" ht="13.65" customHeight="1" x14ac:dyDescent="0.3">
      <c r="A50" s="20" t="s">
        <v>4</v>
      </c>
      <c r="B50" s="20">
        <v>7305771415</v>
      </c>
      <c r="C50" s="21" t="s">
        <v>77</v>
      </c>
      <c r="D50" s="20" t="s">
        <v>7</v>
      </c>
      <c r="E50" s="76"/>
      <c r="F50" s="63"/>
      <c r="G50" s="76"/>
      <c r="H50" s="19">
        <f t="shared" si="1"/>
        <v>0</v>
      </c>
    </row>
    <row r="51" spans="1:8" s="24" customFormat="1" ht="13.65" customHeight="1" x14ac:dyDescent="0.3">
      <c r="A51" s="20" t="s">
        <v>4</v>
      </c>
      <c r="B51" s="20" t="s">
        <v>78</v>
      </c>
      <c r="C51" s="21" t="s">
        <v>79</v>
      </c>
      <c r="D51" s="20" t="s">
        <v>7</v>
      </c>
      <c r="E51" s="76"/>
      <c r="F51" s="63"/>
      <c r="G51" s="76"/>
      <c r="H51" s="19">
        <f t="shared" si="1"/>
        <v>0</v>
      </c>
    </row>
    <row r="52" spans="1:8" s="24" customFormat="1" ht="13.65" customHeight="1" x14ac:dyDescent="0.3">
      <c r="A52" s="20" t="s">
        <v>4</v>
      </c>
      <c r="B52" s="20" t="s">
        <v>80</v>
      </c>
      <c r="C52" s="21" t="s">
        <v>81</v>
      </c>
      <c r="D52" s="20" t="s">
        <v>7</v>
      </c>
      <c r="E52" s="76"/>
      <c r="F52" s="63"/>
      <c r="G52" s="76"/>
      <c r="H52" s="19">
        <f t="shared" si="1"/>
        <v>0</v>
      </c>
    </row>
    <row r="53" spans="1:8" s="24" customFormat="1" ht="13.65" customHeight="1" x14ac:dyDescent="0.3">
      <c r="A53" s="20"/>
      <c r="B53" s="20"/>
      <c r="C53" s="21"/>
      <c r="D53" s="20"/>
      <c r="E53" s="76"/>
      <c r="F53" s="63"/>
      <c r="G53" s="76"/>
      <c r="H53" s="19">
        <f t="shared" si="1"/>
        <v>0</v>
      </c>
    </row>
    <row r="54" spans="1:8" s="24" customFormat="1" ht="13.65" customHeight="1" x14ac:dyDescent="0.3">
      <c r="A54" s="20" t="s">
        <v>4</v>
      </c>
      <c r="B54" s="20" t="s">
        <v>82</v>
      </c>
      <c r="C54" s="21" t="s">
        <v>83</v>
      </c>
      <c r="D54" s="20" t="s">
        <v>7</v>
      </c>
      <c r="E54" s="76"/>
      <c r="F54" s="63"/>
      <c r="G54" s="76"/>
      <c r="H54" s="19">
        <f t="shared" si="1"/>
        <v>0</v>
      </c>
    </row>
    <row r="55" spans="1:8" s="24" customFormat="1" ht="13.65" customHeight="1" x14ac:dyDescent="0.3">
      <c r="A55" s="20"/>
      <c r="B55" s="20"/>
      <c r="C55" s="21"/>
      <c r="D55" s="20"/>
      <c r="E55" s="76"/>
      <c r="F55" s="63"/>
      <c r="G55" s="76"/>
      <c r="H55" s="19">
        <f t="shared" si="1"/>
        <v>0</v>
      </c>
    </row>
    <row r="56" spans="1:8" s="24" customFormat="1" ht="13.65" customHeight="1" x14ac:dyDescent="0.3">
      <c r="A56" s="26" t="s">
        <v>4</v>
      </c>
      <c r="B56" s="26">
        <v>7328602001</v>
      </c>
      <c r="C56" s="27" t="s">
        <v>84</v>
      </c>
      <c r="D56" s="26" t="s">
        <v>7</v>
      </c>
      <c r="E56" s="77"/>
      <c r="F56" s="66"/>
      <c r="G56" s="77"/>
      <c r="H56" s="19">
        <f t="shared" si="1"/>
        <v>0</v>
      </c>
    </row>
    <row r="57" spans="1:8" s="24" customFormat="1" ht="13.65" customHeight="1" x14ac:dyDescent="0.3">
      <c r="A57" s="20" t="s">
        <v>4</v>
      </c>
      <c r="B57" s="20" t="s">
        <v>85</v>
      </c>
      <c r="C57" s="21" t="s">
        <v>86</v>
      </c>
      <c r="D57" s="20" t="s">
        <v>7</v>
      </c>
      <c r="E57" s="76"/>
      <c r="F57" s="63"/>
      <c r="G57" s="76"/>
      <c r="H57" s="19">
        <f t="shared" si="1"/>
        <v>0</v>
      </c>
    </row>
    <row r="58" spans="1:8" s="24" customFormat="1" ht="13.65" customHeight="1" x14ac:dyDescent="0.3">
      <c r="A58" s="20" t="s">
        <v>4</v>
      </c>
      <c r="B58" s="20">
        <v>7951698</v>
      </c>
      <c r="C58" s="21" t="s">
        <v>87</v>
      </c>
      <c r="D58" s="20" t="s">
        <v>7</v>
      </c>
      <c r="E58" s="76"/>
      <c r="F58" s="63"/>
      <c r="G58" s="76"/>
      <c r="H58" s="19">
        <f t="shared" si="1"/>
        <v>0</v>
      </c>
    </row>
    <row r="59" spans="1:8" s="24" customFormat="1" ht="13.65" customHeight="1" thickBot="1" x14ac:dyDescent="0.35">
      <c r="A59" s="28"/>
      <c r="B59" s="28"/>
      <c r="C59" s="29"/>
      <c r="D59" s="26"/>
      <c r="E59" s="77"/>
      <c r="F59" s="66"/>
      <c r="G59" s="77"/>
      <c r="H59" s="19"/>
    </row>
    <row r="60" spans="1:8" s="24" customFormat="1" ht="13.65" customHeight="1" thickBot="1" x14ac:dyDescent="0.35">
      <c r="A60" s="37"/>
      <c r="B60" s="37"/>
      <c r="C60" s="38"/>
      <c r="D60" s="20"/>
      <c r="E60" s="23"/>
      <c r="F60" s="63"/>
      <c r="G60" s="23"/>
      <c r="H60" s="19"/>
    </row>
    <row r="61" spans="1:8" s="24" customFormat="1" ht="13.65" customHeight="1" thickBot="1" x14ac:dyDescent="0.35">
      <c r="A61" s="37"/>
      <c r="B61" s="37"/>
      <c r="C61" s="38"/>
      <c r="D61" s="20"/>
      <c r="E61" s="23"/>
      <c r="F61" s="63"/>
      <c r="G61" s="23"/>
      <c r="H61" s="19"/>
    </row>
    <row r="62" spans="1:8" s="24" customFormat="1" ht="13.65" customHeight="1" thickBot="1" x14ac:dyDescent="0.35">
      <c r="A62" s="111"/>
      <c r="B62" s="111"/>
      <c r="C62" s="112"/>
      <c r="D62" s="111"/>
      <c r="E62" s="113"/>
      <c r="F62" s="114"/>
      <c r="G62" s="113"/>
      <c r="H62" s="115"/>
    </row>
    <row r="63" spans="1:8" ht="13.65" customHeight="1" thickBot="1" x14ac:dyDescent="0.35">
      <c r="A63" s="118"/>
      <c r="B63" s="1"/>
      <c r="C63" s="13"/>
      <c r="D63" s="1"/>
      <c r="E63" s="119"/>
      <c r="F63" s="120"/>
      <c r="G63" s="119"/>
      <c r="H63" s="14"/>
    </row>
    <row r="64" spans="1:8" s="24" customFormat="1" ht="13.65" customHeight="1" x14ac:dyDescent="0.3">
      <c r="A64" s="32" t="s">
        <v>42</v>
      </c>
      <c r="B64" s="32" t="s">
        <v>88</v>
      </c>
      <c r="C64" s="33" t="s">
        <v>208</v>
      </c>
      <c r="D64" s="32" t="s">
        <v>7</v>
      </c>
      <c r="E64" s="96">
        <v>3483</v>
      </c>
      <c r="F64" s="69"/>
      <c r="G64" s="96">
        <f>3300</f>
        <v>3300</v>
      </c>
      <c r="H64" s="105">
        <f t="shared" ref="H64:H90" si="2">E64-G64</f>
        <v>183</v>
      </c>
    </row>
    <row r="65" spans="1:9" s="24" customFormat="1" ht="13.65" customHeight="1" x14ac:dyDescent="0.3">
      <c r="A65" s="20" t="s">
        <v>42</v>
      </c>
      <c r="B65" s="20" t="s">
        <v>90</v>
      </c>
      <c r="C65" s="21" t="s">
        <v>91</v>
      </c>
      <c r="D65" s="20" t="s">
        <v>7</v>
      </c>
      <c r="E65" s="76">
        <v>3560</v>
      </c>
      <c r="F65" s="63"/>
      <c r="G65" s="76">
        <v>3560</v>
      </c>
      <c r="H65" s="19">
        <f t="shared" si="2"/>
        <v>0</v>
      </c>
    </row>
    <row r="66" spans="1:9" s="24" customFormat="1" ht="13.65" customHeight="1" x14ac:dyDescent="0.3">
      <c r="A66" s="20" t="s">
        <v>42</v>
      </c>
      <c r="B66" s="20" t="s">
        <v>92</v>
      </c>
      <c r="C66" s="21" t="s">
        <v>209</v>
      </c>
      <c r="D66" s="20" t="s">
        <v>7</v>
      </c>
      <c r="E66" s="76">
        <f>3450+300</f>
        <v>3750</v>
      </c>
      <c r="F66" s="63"/>
      <c r="G66" s="76">
        <v>3450</v>
      </c>
      <c r="H66" s="19">
        <f t="shared" si="2"/>
        <v>300</v>
      </c>
    </row>
    <row r="67" spans="1:9" s="24" customFormat="1" ht="13.65" customHeight="1" x14ac:dyDescent="0.3">
      <c r="A67" s="20" t="s">
        <v>42</v>
      </c>
      <c r="B67" s="20" t="s">
        <v>94</v>
      </c>
      <c r="C67" s="21" t="s">
        <v>95</v>
      </c>
      <c r="D67" s="20" t="s">
        <v>7</v>
      </c>
      <c r="E67" s="76"/>
      <c r="F67" s="63"/>
      <c r="G67" s="76"/>
      <c r="H67" s="19">
        <f t="shared" si="2"/>
        <v>0</v>
      </c>
    </row>
    <row r="68" spans="1:9" s="24" customFormat="1" ht="13.65" customHeight="1" x14ac:dyDescent="0.3">
      <c r="A68" s="20" t="s">
        <v>96</v>
      </c>
      <c r="B68" s="20" t="s">
        <v>97</v>
      </c>
      <c r="C68" s="21" t="s">
        <v>98</v>
      </c>
      <c r="D68" s="20" t="s">
        <v>7</v>
      </c>
      <c r="E68" s="76"/>
      <c r="F68" s="63"/>
      <c r="G68" s="76"/>
      <c r="H68" s="19">
        <f t="shared" si="2"/>
        <v>0</v>
      </c>
    </row>
    <row r="69" spans="1:9" s="24" customFormat="1" ht="13.65" customHeight="1" x14ac:dyDescent="0.3">
      <c r="A69" s="20" t="s">
        <v>96</v>
      </c>
      <c r="B69" s="20" t="s">
        <v>99</v>
      </c>
      <c r="C69" s="21" t="s">
        <v>186</v>
      </c>
      <c r="D69" s="20" t="s">
        <v>7</v>
      </c>
      <c r="E69" s="76">
        <f>1535+293</f>
        <v>1828</v>
      </c>
      <c r="F69" s="127"/>
      <c r="G69" s="76">
        <v>1626</v>
      </c>
      <c r="H69" s="19">
        <f>E69-G69</f>
        <v>202</v>
      </c>
    </row>
    <row r="70" spans="1:9" s="24" customFormat="1" ht="14.1" customHeight="1" x14ac:dyDescent="0.3">
      <c r="A70" s="20" t="s">
        <v>96</v>
      </c>
      <c r="B70" s="20" t="s">
        <v>214</v>
      </c>
      <c r="C70" s="21" t="s">
        <v>202</v>
      </c>
      <c r="D70" s="20" t="s">
        <v>7</v>
      </c>
      <c r="E70" s="76">
        <v>600</v>
      </c>
      <c r="F70" s="63"/>
      <c r="G70" s="76">
        <v>145</v>
      </c>
      <c r="H70" s="19">
        <f t="shared" ref="H70:H72" si="3">E70-G70</f>
        <v>455</v>
      </c>
    </row>
    <row r="71" spans="1:9" s="24" customFormat="1" ht="14.1" customHeight="1" x14ac:dyDescent="0.3">
      <c r="A71" s="20" t="s">
        <v>96</v>
      </c>
      <c r="B71" s="20" t="s">
        <v>215</v>
      </c>
      <c r="C71" s="43" t="s">
        <v>201</v>
      </c>
      <c r="D71" s="20" t="s">
        <v>7</v>
      </c>
      <c r="E71" s="76">
        <v>1812</v>
      </c>
      <c r="F71" s="63"/>
      <c r="G71" s="76">
        <v>1812</v>
      </c>
      <c r="H71" s="19">
        <f t="shared" si="3"/>
        <v>0</v>
      </c>
    </row>
    <row r="72" spans="1:9" s="24" customFormat="1" ht="13.65" customHeight="1" x14ac:dyDescent="0.3">
      <c r="A72" s="20"/>
      <c r="B72" s="20"/>
      <c r="C72" s="21"/>
      <c r="D72" s="20"/>
      <c r="E72" s="76"/>
      <c r="F72" s="63"/>
      <c r="G72" s="76"/>
      <c r="H72" s="19">
        <f t="shared" si="3"/>
        <v>0</v>
      </c>
    </row>
    <row r="73" spans="1:9" s="24" customFormat="1" ht="13.65" customHeight="1" x14ac:dyDescent="0.3">
      <c r="A73" s="20" t="s">
        <v>4</v>
      </c>
      <c r="B73" s="20" t="s">
        <v>101</v>
      </c>
      <c r="C73" s="21" t="s">
        <v>102</v>
      </c>
      <c r="D73" s="20" t="s">
        <v>7</v>
      </c>
      <c r="E73" s="76">
        <f>9840+140+120</f>
        <v>10100</v>
      </c>
      <c r="F73" s="63"/>
      <c r="G73" s="76">
        <v>8520</v>
      </c>
      <c r="H73" s="19">
        <f>E73-G73</f>
        <v>1580</v>
      </c>
    </row>
    <row r="74" spans="1:9" s="24" customFormat="1" ht="13.65" customHeight="1" x14ac:dyDescent="0.3">
      <c r="A74" s="20" t="s">
        <v>4</v>
      </c>
      <c r="B74" s="20" t="s">
        <v>103</v>
      </c>
      <c r="C74" s="21" t="s">
        <v>104</v>
      </c>
      <c r="D74" s="20" t="s">
        <v>7</v>
      </c>
      <c r="E74" s="76">
        <v>10080</v>
      </c>
      <c r="F74" s="63"/>
      <c r="G74" s="76">
        <v>7820</v>
      </c>
      <c r="H74" s="19">
        <f>E74-G74</f>
        <v>2260</v>
      </c>
    </row>
    <row r="75" spans="1:9" s="24" customFormat="1" ht="13.65" customHeight="1" x14ac:dyDescent="0.3">
      <c r="A75" s="20" t="s">
        <v>4</v>
      </c>
      <c r="B75" s="20" t="s">
        <v>105</v>
      </c>
      <c r="C75" s="21" t="s">
        <v>106</v>
      </c>
      <c r="D75" s="20" t="s">
        <v>7</v>
      </c>
      <c r="E75" s="76">
        <v>500</v>
      </c>
      <c r="F75" s="23"/>
      <c r="G75" s="76">
        <v>500</v>
      </c>
      <c r="H75" s="19">
        <f t="shared" si="2"/>
        <v>0</v>
      </c>
      <c r="I75" s="160"/>
    </row>
    <row r="76" spans="1:9" s="24" customFormat="1" ht="13.65" customHeight="1" x14ac:dyDescent="0.3">
      <c r="A76" s="20" t="s">
        <v>4</v>
      </c>
      <c r="B76" s="20" t="s">
        <v>188</v>
      </c>
      <c r="C76" s="21" t="s">
        <v>189</v>
      </c>
      <c r="D76" s="20" t="s">
        <v>7</v>
      </c>
      <c r="E76" s="76"/>
      <c r="F76" s="63"/>
      <c r="G76" s="76"/>
      <c r="H76" s="19">
        <f t="shared" si="2"/>
        <v>0</v>
      </c>
    </row>
    <row r="77" spans="1:9" s="24" customFormat="1" ht="13.65" customHeight="1" x14ac:dyDescent="0.3">
      <c r="A77" s="32"/>
      <c r="B77" s="32"/>
      <c r="C77" s="33"/>
      <c r="D77" s="32"/>
      <c r="E77" s="96"/>
      <c r="F77" s="69"/>
      <c r="G77" s="96"/>
      <c r="H77" s="19">
        <f t="shared" si="2"/>
        <v>0</v>
      </c>
    </row>
    <row r="78" spans="1:9" ht="13.65" customHeight="1" thickBot="1" x14ac:dyDescent="0.35">
      <c r="A78" s="5"/>
      <c r="B78" s="5"/>
      <c r="C78" s="6"/>
      <c r="D78" s="5"/>
      <c r="E78" s="7">
        <f>SUM(E64:E76)</f>
        <v>35713</v>
      </c>
      <c r="F78" s="7">
        <f t="shared" ref="F78:G78" si="4">SUM(F64:F76)</f>
        <v>0</v>
      </c>
      <c r="G78" s="7">
        <f t="shared" si="4"/>
        <v>30733</v>
      </c>
      <c r="H78" s="7">
        <f t="shared" ref="H78" si="5">SUM(H64:H77)</f>
        <v>4980</v>
      </c>
    </row>
    <row r="79" spans="1:9" s="24" customFormat="1" ht="13.65" customHeight="1" x14ac:dyDescent="0.3">
      <c r="A79" s="16" t="s">
        <v>107</v>
      </c>
      <c r="B79" s="16" t="s">
        <v>108</v>
      </c>
      <c r="C79" s="17" t="s">
        <v>109</v>
      </c>
      <c r="D79" s="16" t="s">
        <v>7</v>
      </c>
      <c r="E79" s="76">
        <v>3325</v>
      </c>
      <c r="F79" s="70">
        <v>2100</v>
      </c>
      <c r="G79" s="76">
        <v>3640</v>
      </c>
      <c r="H79" s="19">
        <f>E79+F79-G79</f>
        <v>1785</v>
      </c>
    </row>
    <row r="80" spans="1:9" s="24" customFormat="1" ht="13.65" customHeight="1" x14ac:dyDescent="0.3">
      <c r="A80" s="26" t="s">
        <v>107</v>
      </c>
      <c r="B80" s="26" t="s">
        <v>110</v>
      </c>
      <c r="C80" s="27" t="s">
        <v>111</v>
      </c>
      <c r="D80" s="26" t="s">
        <v>7</v>
      </c>
      <c r="E80" s="77">
        <v>475</v>
      </c>
      <c r="F80" s="66"/>
      <c r="G80" s="77">
        <v>463</v>
      </c>
      <c r="H80" s="19">
        <f t="shared" si="2"/>
        <v>12</v>
      </c>
    </row>
    <row r="81" spans="1:9" s="24" customFormat="1" ht="13.65" customHeight="1" x14ac:dyDescent="0.3">
      <c r="A81" s="26" t="s">
        <v>107</v>
      </c>
      <c r="B81" s="26" t="s">
        <v>112</v>
      </c>
      <c r="C81" s="27" t="s">
        <v>113</v>
      </c>
      <c r="D81" s="26" t="s">
        <v>114</v>
      </c>
      <c r="E81" s="77">
        <v>0</v>
      </c>
      <c r="F81" s="66"/>
      <c r="G81" s="77">
        <v>0</v>
      </c>
      <c r="H81" s="19">
        <f t="shared" si="2"/>
        <v>0</v>
      </c>
    </row>
    <row r="82" spans="1:9" s="24" customFormat="1" ht="13.65" customHeight="1" thickBot="1" x14ac:dyDescent="0.35">
      <c r="A82" s="26"/>
      <c r="B82" s="26"/>
      <c r="C82" s="27"/>
      <c r="D82" s="26"/>
      <c r="E82" s="77"/>
      <c r="F82" s="66"/>
      <c r="G82" s="77"/>
      <c r="H82" s="19"/>
    </row>
    <row r="83" spans="1:9" ht="13.65" customHeight="1" thickBot="1" x14ac:dyDescent="0.35">
      <c r="A83" s="1"/>
      <c r="B83" s="1"/>
      <c r="C83" s="13"/>
      <c r="D83" s="13"/>
      <c r="E83" s="14">
        <f t="shared" ref="E83:H83" si="6">SUM(E79:E81)</f>
        <v>3800</v>
      </c>
      <c r="F83" s="14">
        <f t="shared" si="6"/>
        <v>2100</v>
      </c>
      <c r="G83" s="14">
        <f t="shared" si="6"/>
        <v>4103</v>
      </c>
      <c r="H83" s="14">
        <f t="shared" si="6"/>
        <v>1797</v>
      </c>
    </row>
    <row r="84" spans="1:9" s="24" customFormat="1" ht="13.65" customHeight="1" x14ac:dyDescent="0.3">
      <c r="A84" s="32" t="s">
        <v>42</v>
      </c>
      <c r="B84" s="32" t="s">
        <v>115</v>
      </c>
      <c r="C84" s="33" t="s">
        <v>116</v>
      </c>
      <c r="D84" s="32" t="s">
        <v>7</v>
      </c>
      <c r="E84" s="97"/>
      <c r="F84" s="71"/>
      <c r="G84" s="97"/>
      <c r="H84" s="19">
        <f t="shared" si="2"/>
        <v>0</v>
      </c>
    </row>
    <row r="85" spans="1:9" s="24" customFormat="1" ht="13.65" customHeight="1" x14ac:dyDescent="0.3">
      <c r="A85" s="20" t="s">
        <v>42</v>
      </c>
      <c r="B85" s="20" t="s">
        <v>117</v>
      </c>
      <c r="C85" s="21" t="s">
        <v>118</v>
      </c>
      <c r="D85" s="20" t="s">
        <v>7</v>
      </c>
      <c r="E85" s="76">
        <v>1850</v>
      </c>
      <c r="F85" s="63"/>
      <c r="G85" s="76">
        <v>1847</v>
      </c>
      <c r="H85" s="19">
        <f t="shared" si="2"/>
        <v>3</v>
      </c>
    </row>
    <row r="86" spans="1:9" s="24" customFormat="1" ht="13.65" customHeight="1" x14ac:dyDescent="0.3">
      <c r="A86" s="20" t="s">
        <v>42</v>
      </c>
      <c r="B86" s="20" t="s">
        <v>119</v>
      </c>
      <c r="C86" s="21" t="s">
        <v>120</v>
      </c>
      <c r="D86" s="20" t="s">
        <v>7</v>
      </c>
      <c r="E86" s="76">
        <v>2184</v>
      </c>
      <c r="F86" s="63"/>
      <c r="G86" s="76">
        <v>2184</v>
      </c>
      <c r="H86" s="19">
        <f>E86-G86</f>
        <v>0</v>
      </c>
    </row>
    <row r="87" spans="1:9" s="24" customFormat="1" ht="13.65" customHeight="1" x14ac:dyDescent="0.3">
      <c r="A87" s="20" t="s">
        <v>42</v>
      </c>
      <c r="B87" s="20" t="s">
        <v>121</v>
      </c>
      <c r="C87" s="21" t="s">
        <v>122</v>
      </c>
      <c r="D87" s="20" t="s">
        <v>7</v>
      </c>
      <c r="E87" s="76">
        <v>400</v>
      </c>
      <c r="F87" s="63"/>
      <c r="G87" s="76">
        <v>400</v>
      </c>
      <c r="H87" s="19">
        <f t="shared" si="2"/>
        <v>0</v>
      </c>
    </row>
    <row r="88" spans="1:9" s="24" customFormat="1" ht="13.65" customHeight="1" x14ac:dyDescent="0.3">
      <c r="A88" s="20" t="s">
        <v>42</v>
      </c>
      <c r="B88" s="20" t="s">
        <v>221</v>
      </c>
      <c r="C88" s="21" t="s">
        <v>220</v>
      </c>
      <c r="D88" s="20" t="s">
        <v>7</v>
      </c>
      <c r="E88" s="76">
        <v>1750</v>
      </c>
      <c r="F88" s="23"/>
      <c r="G88" s="76">
        <v>1750</v>
      </c>
      <c r="H88" s="19">
        <f t="shared" si="2"/>
        <v>0</v>
      </c>
      <c r="I88" s="160"/>
    </row>
    <row r="89" spans="1:9" s="24" customFormat="1" ht="13.65" customHeight="1" x14ac:dyDescent="0.3">
      <c r="A89" s="20" t="s">
        <v>42</v>
      </c>
      <c r="B89" s="20" t="s">
        <v>225</v>
      </c>
      <c r="C89" s="21" t="s">
        <v>226</v>
      </c>
      <c r="D89" s="20" t="s">
        <v>7</v>
      </c>
      <c r="E89" s="150">
        <v>260</v>
      </c>
      <c r="F89" s="23"/>
      <c r="G89" s="150">
        <v>230</v>
      </c>
      <c r="H89" s="150">
        <f t="shared" si="2"/>
        <v>30</v>
      </c>
    </row>
    <row r="90" spans="1:9" s="24" customFormat="1" ht="13.65" customHeight="1" x14ac:dyDescent="0.3">
      <c r="A90" s="135"/>
      <c r="B90" s="135"/>
      <c r="C90" s="147"/>
      <c r="D90" s="135"/>
      <c r="E90" s="76"/>
      <c r="F90" s="148"/>
      <c r="G90" s="76"/>
      <c r="H90" s="19">
        <f t="shared" si="2"/>
        <v>0</v>
      </c>
    </row>
    <row r="91" spans="1:9" s="24" customFormat="1" ht="13.65" customHeight="1" thickBot="1" x14ac:dyDescent="0.35">
      <c r="A91" s="37"/>
      <c r="B91" s="37"/>
      <c r="C91" s="38"/>
      <c r="D91" s="37"/>
      <c r="E91" s="40"/>
      <c r="F91" s="40"/>
      <c r="G91" s="40"/>
      <c r="H91" s="40"/>
    </row>
    <row r="92" spans="1:9" ht="13.65" customHeight="1" thickBot="1" x14ac:dyDescent="0.35">
      <c r="A92" s="5"/>
      <c r="B92" s="5"/>
      <c r="C92" s="6"/>
      <c r="D92" s="5"/>
      <c r="E92" s="7">
        <f t="shared" ref="E92:H92" si="7">SUM(E84:E90)</f>
        <v>6444</v>
      </c>
      <c r="F92" s="7">
        <f t="shared" si="7"/>
        <v>0</v>
      </c>
      <c r="G92" s="7">
        <f t="shared" si="7"/>
        <v>6411</v>
      </c>
      <c r="H92" s="7">
        <f t="shared" si="7"/>
        <v>33</v>
      </c>
    </row>
    <row r="93" spans="1:9" s="24" customFormat="1" ht="13.65" customHeight="1" x14ac:dyDescent="0.3">
      <c r="A93" s="16" t="s">
        <v>125</v>
      </c>
      <c r="B93" s="16" t="s">
        <v>126</v>
      </c>
      <c r="C93" s="17" t="s">
        <v>127</v>
      </c>
      <c r="D93" s="16" t="s">
        <v>7</v>
      </c>
      <c r="E93" s="75">
        <v>18</v>
      </c>
      <c r="F93" s="70"/>
      <c r="G93" s="75">
        <v>18</v>
      </c>
      <c r="H93" s="23">
        <f t="shared" ref="H93:H116" si="8">E93-G93</f>
        <v>0</v>
      </c>
    </row>
    <row r="94" spans="1:9" s="24" customFormat="1" ht="13.65" customHeight="1" x14ac:dyDescent="0.3">
      <c r="A94" s="20" t="s">
        <v>125</v>
      </c>
      <c r="B94" s="20" t="s">
        <v>128</v>
      </c>
      <c r="C94" s="21" t="s">
        <v>129</v>
      </c>
      <c r="D94" s="20" t="s">
        <v>7</v>
      </c>
      <c r="E94" s="76">
        <v>19</v>
      </c>
      <c r="F94" s="63"/>
      <c r="G94" s="76">
        <v>19</v>
      </c>
      <c r="H94" s="23">
        <f t="shared" si="8"/>
        <v>0</v>
      </c>
    </row>
    <row r="95" spans="1:9" s="24" customFormat="1" ht="13.65" customHeight="1" x14ac:dyDescent="0.3">
      <c r="A95" s="20" t="s">
        <v>125</v>
      </c>
      <c r="B95" s="20" t="s">
        <v>130</v>
      </c>
      <c r="C95" s="21" t="s">
        <v>131</v>
      </c>
      <c r="D95" s="20" t="s">
        <v>7</v>
      </c>
      <c r="E95" s="76">
        <v>25</v>
      </c>
      <c r="F95" s="63"/>
      <c r="G95" s="76">
        <v>25</v>
      </c>
      <c r="H95" s="23">
        <f t="shared" si="8"/>
        <v>0</v>
      </c>
    </row>
    <row r="96" spans="1:9" s="24" customFormat="1" ht="13.65" customHeight="1" x14ac:dyDescent="0.3">
      <c r="A96" s="20" t="s">
        <v>125</v>
      </c>
      <c r="B96" s="20" t="s">
        <v>132</v>
      </c>
      <c r="C96" s="21" t="s">
        <v>133</v>
      </c>
      <c r="D96" s="20" t="s">
        <v>7</v>
      </c>
      <c r="E96" s="76">
        <v>10</v>
      </c>
      <c r="F96" s="63"/>
      <c r="G96" s="76">
        <v>10</v>
      </c>
      <c r="H96" s="23">
        <f t="shared" si="8"/>
        <v>0</v>
      </c>
    </row>
    <row r="97" spans="1:8" s="24" customFormat="1" ht="13.65" customHeight="1" x14ac:dyDescent="0.3">
      <c r="A97" s="20" t="s">
        <v>125</v>
      </c>
      <c r="B97" s="20" t="s">
        <v>134</v>
      </c>
      <c r="C97" s="21" t="s">
        <v>135</v>
      </c>
      <c r="D97" s="20" t="s">
        <v>7</v>
      </c>
      <c r="E97" s="76">
        <v>6</v>
      </c>
      <c r="F97" s="63"/>
      <c r="G97" s="76">
        <v>6</v>
      </c>
      <c r="H97" s="23">
        <f t="shared" si="8"/>
        <v>0</v>
      </c>
    </row>
    <row r="98" spans="1:8" s="24" customFormat="1" ht="13.65" customHeight="1" x14ac:dyDescent="0.3">
      <c r="A98" s="20" t="s">
        <v>125</v>
      </c>
      <c r="B98" s="20" t="s">
        <v>136</v>
      </c>
      <c r="C98" s="21" t="s">
        <v>137</v>
      </c>
      <c r="D98" s="20" t="s">
        <v>7</v>
      </c>
      <c r="E98" s="76">
        <v>20</v>
      </c>
      <c r="F98" s="63"/>
      <c r="G98" s="76">
        <v>18</v>
      </c>
      <c r="H98" s="23">
        <f t="shared" si="8"/>
        <v>2</v>
      </c>
    </row>
    <row r="99" spans="1:8" s="24" customFormat="1" ht="13.65" customHeight="1" x14ac:dyDescent="0.3">
      <c r="A99" s="20" t="s">
        <v>125</v>
      </c>
      <c r="B99" s="20" t="s">
        <v>138</v>
      </c>
      <c r="C99" s="21" t="s">
        <v>139</v>
      </c>
      <c r="D99" s="20" t="s">
        <v>7</v>
      </c>
      <c r="E99" s="76">
        <v>52</v>
      </c>
      <c r="F99" s="63"/>
      <c r="G99" s="76">
        <v>52</v>
      </c>
      <c r="H99" s="23">
        <f t="shared" si="8"/>
        <v>0</v>
      </c>
    </row>
    <row r="100" spans="1:8" s="24" customFormat="1" ht="13.65" customHeight="1" x14ac:dyDescent="0.3">
      <c r="A100" s="20" t="s">
        <v>125</v>
      </c>
      <c r="B100" s="20" t="s">
        <v>140</v>
      </c>
      <c r="C100" s="21" t="s">
        <v>141</v>
      </c>
      <c r="D100" s="20" t="s">
        <v>7</v>
      </c>
      <c r="E100" s="76">
        <v>87</v>
      </c>
      <c r="F100" s="63"/>
      <c r="G100" s="76">
        <v>87</v>
      </c>
      <c r="H100" s="154">
        <f t="shared" si="8"/>
        <v>0</v>
      </c>
    </row>
    <row r="101" spans="1:8" s="24" customFormat="1" ht="13.65" customHeight="1" x14ac:dyDescent="0.3">
      <c r="A101" s="20" t="s">
        <v>125</v>
      </c>
      <c r="B101" s="20" t="s">
        <v>142</v>
      </c>
      <c r="C101" s="21" t="s">
        <v>143</v>
      </c>
      <c r="D101" s="20" t="s">
        <v>7</v>
      </c>
      <c r="E101" s="76">
        <v>10</v>
      </c>
      <c r="F101" s="63"/>
      <c r="G101" s="76">
        <v>9</v>
      </c>
      <c r="H101" s="23">
        <f t="shared" si="8"/>
        <v>1</v>
      </c>
    </row>
    <row r="102" spans="1:8" s="24" customFormat="1" ht="13.65" customHeight="1" x14ac:dyDescent="0.3">
      <c r="A102" s="20" t="s">
        <v>125</v>
      </c>
      <c r="B102" s="20" t="s">
        <v>144</v>
      </c>
      <c r="C102" s="21" t="s">
        <v>145</v>
      </c>
      <c r="D102" s="20" t="s">
        <v>7</v>
      </c>
      <c r="E102" s="76">
        <v>9</v>
      </c>
      <c r="F102" s="63"/>
      <c r="G102" s="76">
        <v>9</v>
      </c>
      <c r="H102" s="23">
        <f t="shared" si="8"/>
        <v>0</v>
      </c>
    </row>
    <row r="103" spans="1:8" s="24" customFormat="1" ht="13.65" customHeight="1" x14ac:dyDescent="0.3">
      <c r="A103" s="20" t="s">
        <v>125</v>
      </c>
      <c r="B103" s="20" t="s">
        <v>146</v>
      </c>
      <c r="C103" s="21" t="s">
        <v>147</v>
      </c>
      <c r="D103" s="20" t="s">
        <v>7</v>
      </c>
      <c r="E103" s="76">
        <v>19</v>
      </c>
      <c r="F103" s="63"/>
      <c r="G103" s="76">
        <v>19</v>
      </c>
      <c r="H103" s="23">
        <f t="shared" si="8"/>
        <v>0</v>
      </c>
    </row>
    <row r="104" spans="1:8" s="24" customFormat="1" ht="13.65" customHeight="1" x14ac:dyDescent="0.3">
      <c r="A104" s="20" t="s">
        <v>125</v>
      </c>
      <c r="B104" s="20" t="s">
        <v>148</v>
      </c>
      <c r="C104" s="21" t="s">
        <v>149</v>
      </c>
      <c r="D104" s="20" t="s">
        <v>7</v>
      </c>
      <c r="E104" s="76">
        <v>7</v>
      </c>
      <c r="F104" s="63"/>
      <c r="G104" s="76">
        <v>7</v>
      </c>
      <c r="H104" s="23">
        <f t="shared" si="8"/>
        <v>0</v>
      </c>
    </row>
    <row r="105" spans="1:8" s="24" customFormat="1" ht="13.65" customHeight="1" x14ac:dyDescent="0.3">
      <c r="A105" s="20" t="s">
        <v>125</v>
      </c>
      <c r="B105" s="20" t="s">
        <v>150</v>
      </c>
      <c r="C105" s="21" t="s">
        <v>151</v>
      </c>
      <c r="D105" s="20" t="s">
        <v>7</v>
      </c>
      <c r="E105" s="76"/>
      <c r="F105" s="63"/>
      <c r="G105" s="76"/>
      <c r="H105" s="23">
        <f t="shared" si="8"/>
        <v>0</v>
      </c>
    </row>
    <row r="106" spans="1:8" s="24" customFormat="1" ht="13.65" customHeight="1" x14ac:dyDescent="0.3">
      <c r="A106" s="20" t="s">
        <v>125</v>
      </c>
      <c r="B106" s="20" t="s">
        <v>229</v>
      </c>
      <c r="C106" s="21" t="s">
        <v>230</v>
      </c>
      <c r="D106" s="20" t="s">
        <v>7</v>
      </c>
      <c r="E106" s="150">
        <v>10</v>
      </c>
      <c r="F106" s="23"/>
      <c r="G106" s="150">
        <v>10</v>
      </c>
      <c r="H106" s="150">
        <f t="shared" si="8"/>
        <v>0</v>
      </c>
    </row>
    <row r="107" spans="1:8" s="24" customFormat="1" ht="13.65" customHeight="1" x14ac:dyDescent="0.3">
      <c r="A107" s="20" t="s">
        <v>125</v>
      </c>
      <c r="B107" s="20" t="s">
        <v>152</v>
      </c>
      <c r="C107" s="21" t="s">
        <v>153</v>
      </c>
      <c r="D107" s="20" t="s">
        <v>7</v>
      </c>
      <c r="E107" s="76"/>
      <c r="F107" s="63"/>
      <c r="G107" s="76"/>
      <c r="H107" s="23">
        <f t="shared" si="8"/>
        <v>0</v>
      </c>
    </row>
    <row r="108" spans="1:8" s="24" customFormat="1" ht="13.65" customHeight="1" x14ac:dyDescent="0.3">
      <c r="A108" s="20" t="s">
        <v>125</v>
      </c>
      <c r="B108" s="20" t="s">
        <v>154</v>
      </c>
      <c r="C108" s="21" t="s">
        <v>155</v>
      </c>
      <c r="D108" s="20" t="s">
        <v>7</v>
      </c>
      <c r="E108" s="76"/>
      <c r="F108" s="63"/>
      <c r="G108" s="76"/>
      <c r="H108" s="23">
        <f t="shared" si="8"/>
        <v>0</v>
      </c>
    </row>
    <row r="109" spans="1:8" s="24" customFormat="1" ht="13.65" customHeight="1" x14ac:dyDescent="0.3">
      <c r="A109" s="20" t="s">
        <v>125</v>
      </c>
      <c r="B109" s="20" t="s">
        <v>156</v>
      </c>
      <c r="C109" s="21" t="s">
        <v>157</v>
      </c>
      <c r="D109" s="20" t="s">
        <v>7</v>
      </c>
      <c r="E109" s="76"/>
      <c r="F109" s="63"/>
      <c r="G109" s="76"/>
      <c r="H109" s="23">
        <f t="shared" si="8"/>
        <v>0</v>
      </c>
    </row>
    <row r="110" spans="1:8" s="24" customFormat="1" ht="13.65" customHeight="1" x14ac:dyDescent="0.3">
      <c r="A110" s="20" t="s">
        <v>125</v>
      </c>
      <c r="B110" s="20" t="s">
        <v>158</v>
      </c>
      <c r="C110" s="21" t="s">
        <v>159</v>
      </c>
      <c r="D110" s="20" t="s">
        <v>7</v>
      </c>
      <c r="E110" s="76"/>
      <c r="F110" s="63"/>
      <c r="G110" s="76"/>
      <c r="H110" s="23">
        <f t="shared" si="8"/>
        <v>0</v>
      </c>
    </row>
    <row r="111" spans="1:8" s="24" customFormat="1" ht="13.65" customHeight="1" x14ac:dyDescent="0.3">
      <c r="A111" s="20" t="s">
        <v>125</v>
      </c>
      <c r="B111" s="20" t="s">
        <v>160</v>
      </c>
      <c r="C111" s="21" t="s">
        <v>161</v>
      </c>
      <c r="D111" s="20" t="s">
        <v>7</v>
      </c>
      <c r="E111" s="76"/>
      <c r="F111" s="63"/>
      <c r="G111" s="76"/>
      <c r="H111" s="23">
        <f t="shared" si="8"/>
        <v>0</v>
      </c>
    </row>
    <row r="112" spans="1:8" s="24" customFormat="1" ht="13.65" customHeight="1" x14ac:dyDescent="0.3">
      <c r="A112" s="20" t="s">
        <v>125</v>
      </c>
      <c r="B112" s="20" t="s">
        <v>162</v>
      </c>
      <c r="C112" s="21" t="s">
        <v>163</v>
      </c>
      <c r="D112" s="20" t="s">
        <v>7</v>
      </c>
      <c r="E112" s="76"/>
      <c r="F112" s="63"/>
      <c r="G112" s="76"/>
      <c r="H112" s="23">
        <f t="shared" si="8"/>
        <v>0</v>
      </c>
    </row>
    <row r="113" spans="1:8" s="24" customFormat="1" ht="13.65" customHeight="1" x14ac:dyDescent="0.3">
      <c r="A113" s="20" t="s">
        <v>125</v>
      </c>
      <c r="B113" s="20" t="s">
        <v>164</v>
      </c>
      <c r="C113" s="21" t="s">
        <v>165</v>
      </c>
      <c r="D113" s="20" t="s">
        <v>7</v>
      </c>
      <c r="E113" s="76"/>
      <c r="F113" s="63"/>
      <c r="G113" s="76"/>
      <c r="H113" s="23">
        <f t="shared" si="8"/>
        <v>0</v>
      </c>
    </row>
    <row r="114" spans="1:8" s="24" customFormat="1" ht="13.65" customHeight="1" x14ac:dyDescent="0.3">
      <c r="A114" s="20" t="s">
        <v>125</v>
      </c>
      <c r="B114" s="20" t="s">
        <v>166</v>
      </c>
      <c r="C114" s="21" t="s">
        <v>167</v>
      </c>
      <c r="D114" s="20" t="s">
        <v>7</v>
      </c>
      <c r="E114" s="76"/>
      <c r="F114" s="63"/>
      <c r="G114" s="76"/>
      <c r="H114" s="23">
        <f t="shared" si="8"/>
        <v>0</v>
      </c>
    </row>
    <row r="115" spans="1:8" s="24" customFormat="1" ht="13.65" customHeight="1" x14ac:dyDescent="0.3">
      <c r="A115" s="20" t="s">
        <v>125</v>
      </c>
      <c r="B115" s="26">
        <v>2502535</v>
      </c>
      <c r="C115" s="27" t="s">
        <v>168</v>
      </c>
      <c r="D115" s="20" t="s">
        <v>7</v>
      </c>
      <c r="E115" s="77">
        <v>7</v>
      </c>
      <c r="F115" s="66"/>
      <c r="G115" s="77">
        <v>5</v>
      </c>
      <c r="H115" s="23">
        <f t="shared" si="8"/>
        <v>2</v>
      </c>
    </row>
    <row r="116" spans="1:8" s="24" customFormat="1" ht="13.65" customHeight="1" thickBot="1" x14ac:dyDescent="0.35">
      <c r="A116" s="20" t="s">
        <v>125</v>
      </c>
      <c r="B116" s="28" t="s">
        <v>169</v>
      </c>
      <c r="C116" s="29" t="s">
        <v>170</v>
      </c>
      <c r="D116" s="20" t="s">
        <v>7</v>
      </c>
      <c r="E116" s="78"/>
      <c r="F116" s="67"/>
      <c r="G116" s="78"/>
      <c r="H116" s="23">
        <f t="shared" si="8"/>
        <v>0</v>
      </c>
    </row>
    <row r="117" spans="1:8" ht="13.65" customHeight="1" thickBot="1" x14ac:dyDescent="0.35">
      <c r="A117" s="1"/>
      <c r="B117" s="1"/>
      <c r="C117" s="13"/>
      <c r="D117" s="1"/>
      <c r="E117" s="14">
        <f t="shared" ref="E117:G117" si="9">SUM(E93:E116)</f>
        <v>299</v>
      </c>
      <c r="F117" s="14">
        <f t="shared" si="9"/>
        <v>0</v>
      </c>
      <c r="G117" s="14">
        <f t="shared" si="9"/>
        <v>294</v>
      </c>
      <c r="H117" s="14">
        <f t="shared" ref="H117" si="10">SUM(H93:H116)</f>
        <v>5</v>
      </c>
    </row>
    <row r="118" spans="1:8" s="24" customFormat="1" ht="13.65" customHeight="1" x14ac:dyDescent="0.3">
      <c r="A118" s="16" t="s">
        <v>171</v>
      </c>
      <c r="B118" s="16" t="s">
        <v>172</v>
      </c>
      <c r="C118" s="17" t="s">
        <v>173</v>
      </c>
      <c r="D118" s="16" t="s">
        <v>174</v>
      </c>
      <c r="E118" s="151">
        <v>0</v>
      </c>
      <c r="G118" s="158">
        <v>0</v>
      </c>
      <c r="H118" s="150"/>
    </row>
    <row r="119" spans="1:8" s="24" customFormat="1" ht="13.65" customHeight="1" x14ac:dyDescent="0.3">
      <c r="A119" s="20" t="s">
        <v>175</v>
      </c>
      <c r="B119" s="20">
        <v>50736306</v>
      </c>
      <c r="C119" s="21" t="s">
        <v>176</v>
      </c>
      <c r="D119" s="20" t="s">
        <v>177</v>
      </c>
      <c r="E119" s="151">
        <v>1</v>
      </c>
      <c r="F119" s="81"/>
      <c r="G119" s="158">
        <v>1</v>
      </c>
      <c r="H119" s="150">
        <f t="shared" ref="H119:H121" si="11">E119-G119</f>
        <v>0</v>
      </c>
    </row>
    <row r="120" spans="1:8" s="24" customFormat="1" ht="13.65" customHeight="1" x14ac:dyDescent="0.3">
      <c r="A120" s="20" t="s">
        <v>175</v>
      </c>
      <c r="B120" s="20">
        <v>56553321</v>
      </c>
      <c r="C120" s="21" t="s">
        <v>178</v>
      </c>
      <c r="D120" s="20" t="s">
        <v>177</v>
      </c>
      <c r="E120" s="151">
        <v>1</v>
      </c>
      <c r="F120" s="81"/>
      <c r="G120" s="158">
        <v>1</v>
      </c>
      <c r="H120" s="150">
        <f t="shared" si="11"/>
        <v>0</v>
      </c>
    </row>
    <row r="121" spans="1:8" s="24" customFormat="1" ht="13.65" customHeight="1" x14ac:dyDescent="0.3">
      <c r="A121" s="20" t="s">
        <v>175</v>
      </c>
      <c r="B121" s="20">
        <v>51715481</v>
      </c>
      <c r="C121" s="21" t="s">
        <v>179</v>
      </c>
      <c r="D121" s="20" t="s">
        <v>177</v>
      </c>
      <c r="E121" s="152">
        <v>1</v>
      </c>
      <c r="F121" s="129"/>
      <c r="G121" s="152">
        <v>1</v>
      </c>
      <c r="H121" s="150">
        <f t="shared" si="11"/>
        <v>0</v>
      </c>
    </row>
    <row r="122" spans="1:8" s="24" customFormat="1" ht="13.65" customHeight="1" x14ac:dyDescent="0.3">
      <c r="A122" s="20" t="s">
        <v>175</v>
      </c>
      <c r="B122" s="20">
        <v>486308</v>
      </c>
      <c r="C122" s="21" t="s">
        <v>180</v>
      </c>
      <c r="D122" s="20" t="s">
        <v>181</v>
      </c>
      <c r="E122" s="151"/>
      <c r="F122" s="129"/>
      <c r="G122" s="158"/>
      <c r="H122" s="150"/>
    </row>
    <row r="123" spans="1:8" s="24" customFormat="1" ht="13.65" customHeight="1" x14ac:dyDescent="0.3">
      <c r="A123" s="20" t="s">
        <v>231</v>
      </c>
      <c r="B123" s="20" t="s">
        <v>232</v>
      </c>
      <c r="C123" s="21" t="s">
        <v>233</v>
      </c>
      <c r="D123" s="20" t="s">
        <v>181</v>
      </c>
      <c r="E123" s="150">
        <v>54</v>
      </c>
      <c r="F123" s="23"/>
      <c r="G123" s="150">
        <v>40</v>
      </c>
      <c r="H123" s="150">
        <f t="shared" ref="H123" si="12">E123-G123</f>
        <v>14</v>
      </c>
    </row>
    <row r="124" spans="1:8" s="24" customFormat="1" ht="13.65" customHeight="1" x14ac:dyDescent="0.3">
      <c r="A124" s="20"/>
      <c r="B124" s="20"/>
      <c r="C124" s="21"/>
      <c r="D124" s="20"/>
      <c r="E124" s="23"/>
      <c r="F124" s="63"/>
      <c r="G124" s="23"/>
      <c r="H124" s="23"/>
    </row>
    <row r="125" spans="1:8" ht="15.75" customHeight="1" thickBot="1" x14ac:dyDescent="0.35">
      <c r="A125" s="138"/>
      <c r="B125" s="139"/>
      <c r="C125" s="140"/>
      <c r="D125" s="138"/>
      <c r="E125" s="153">
        <f>SUM(E118:E124)</f>
        <v>57</v>
      </c>
      <c r="F125" s="153">
        <f t="shared" ref="F125:H125" si="13">SUM(F118:F124)</f>
        <v>0</v>
      </c>
      <c r="G125" s="153">
        <f t="shared" si="13"/>
        <v>43</v>
      </c>
      <c r="H125" s="153">
        <f t="shared" si="13"/>
        <v>14</v>
      </c>
    </row>
    <row r="126" spans="1:8" s="24" customFormat="1" ht="13.65" customHeight="1" x14ac:dyDescent="0.3">
      <c r="A126" s="20" t="s">
        <v>234</v>
      </c>
      <c r="B126" s="16" t="s">
        <v>239</v>
      </c>
      <c r="C126" s="17" t="s">
        <v>235</v>
      </c>
      <c r="D126" s="20" t="s">
        <v>114</v>
      </c>
      <c r="E126" s="150">
        <v>9</v>
      </c>
      <c r="F126" s="162">
        <v>10</v>
      </c>
      <c r="G126" s="150">
        <v>8</v>
      </c>
      <c r="H126" s="150">
        <f>E126-G126</f>
        <v>1</v>
      </c>
    </row>
    <row r="127" spans="1:8" s="24" customFormat="1" ht="13.65" customHeight="1" x14ac:dyDescent="0.3">
      <c r="A127" s="20" t="s">
        <v>234</v>
      </c>
      <c r="B127" s="20" t="s">
        <v>240</v>
      </c>
      <c r="C127" s="21" t="s">
        <v>236</v>
      </c>
      <c r="D127" s="20" t="s">
        <v>114</v>
      </c>
      <c r="E127" s="150">
        <v>15</v>
      </c>
      <c r="F127" s="163">
        <v>15</v>
      </c>
      <c r="G127" s="150">
        <v>15</v>
      </c>
      <c r="H127" s="150">
        <f t="shared" ref="H126:H131" si="14">E127-G127</f>
        <v>0</v>
      </c>
    </row>
    <row r="128" spans="1:8" s="24" customFormat="1" ht="13.65" customHeight="1" x14ac:dyDescent="0.3">
      <c r="A128" s="20" t="s">
        <v>234</v>
      </c>
      <c r="B128" s="20" t="s">
        <v>242</v>
      </c>
      <c r="C128" s="21" t="s">
        <v>237</v>
      </c>
      <c r="D128" s="20" t="s">
        <v>114</v>
      </c>
      <c r="E128" s="150">
        <v>20</v>
      </c>
      <c r="F128" s="164">
        <v>20</v>
      </c>
      <c r="G128" s="150">
        <v>19</v>
      </c>
      <c r="H128" s="150">
        <f t="shared" si="14"/>
        <v>1</v>
      </c>
    </row>
    <row r="129" spans="1:8" s="24" customFormat="1" ht="13.65" customHeight="1" x14ac:dyDescent="0.3">
      <c r="A129" s="20" t="s">
        <v>234</v>
      </c>
      <c r="B129" s="20" t="s">
        <v>241</v>
      </c>
      <c r="C129" s="21" t="s">
        <v>238</v>
      </c>
      <c r="D129" s="20" t="s">
        <v>114</v>
      </c>
      <c r="E129" s="150">
        <v>45</v>
      </c>
      <c r="F129" s="163">
        <v>20</v>
      </c>
      <c r="G129" s="150">
        <v>40</v>
      </c>
      <c r="H129" s="150">
        <f t="shared" si="14"/>
        <v>5</v>
      </c>
    </row>
    <row r="130" spans="1:8" s="24" customFormat="1" ht="13.65" customHeight="1" x14ac:dyDescent="0.3">
      <c r="A130" s="20" t="s">
        <v>234</v>
      </c>
      <c r="B130" s="20" t="s">
        <v>262</v>
      </c>
      <c r="C130" s="21" t="s">
        <v>263</v>
      </c>
      <c r="D130" s="20" t="s">
        <v>114</v>
      </c>
      <c r="E130" s="150">
        <v>10</v>
      </c>
      <c r="F130" s="23"/>
      <c r="G130" s="150">
        <v>10</v>
      </c>
      <c r="H130" s="150">
        <f t="shared" si="14"/>
        <v>0</v>
      </c>
    </row>
    <row r="131" spans="1:8" s="24" customFormat="1" ht="13.65" customHeight="1" x14ac:dyDescent="0.3">
      <c r="A131" s="20" t="s">
        <v>234</v>
      </c>
      <c r="B131" s="20" t="s">
        <v>261</v>
      </c>
      <c r="C131" s="21" t="s">
        <v>264</v>
      </c>
      <c r="D131" s="20" t="s">
        <v>114</v>
      </c>
      <c r="E131" s="150">
        <v>3</v>
      </c>
      <c r="F131" s="23"/>
      <c r="G131" s="150">
        <v>1</v>
      </c>
      <c r="H131" s="150">
        <f t="shared" si="14"/>
        <v>2</v>
      </c>
    </row>
    <row r="132" spans="1:8" s="137" customFormat="1" ht="13.65" customHeight="1" x14ac:dyDescent="0.3">
      <c r="A132" s="142"/>
      <c r="B132" s="142"/>
      <c r="C132" s="143"/>
      <c r="D132" s="142"/>
      <c r="E132" s="159">
        <f>SUM(E126:E131)</f>
        <v>102</v>
      </c>
      <c r="F132" s="100">
        <f>SUM(F126:F131)</f>
        <v>65</v>
      </c>
      <c r="G132" s="100">
        <f t="shared" ref="G132" si="15">SUM(G126:G131)</f>
        <v>93</v>
      </c>
      <c r="H132" s="100">
        <f>SUM(H126:H131)</f>
        <v>9</v>
      </c>
    </row>
    <row r="133" spans="1:8" s="24" customFormat="1" ht="13.65" customHeight="1" x14ac:dyDescent="0.3">
      <c r="A133" s="20" t="s">
        <v>243</v>
      </c>
      <c r="B133" s="20">
        <v>38033502</v>
      </c>
      <c r="C133" s="21" t="s">
        <v>257</v>
      </c>
      <c r="D133" s="20" t="s">
        <v>7</v>
      </c>
      <c r="E133" s="150">
        <v>1056</v>
      </c>
      <c r="F133" s="23"/>
      <c r="G133" s="157">
        <v>996</v>
      </c>
      <c r="H133" s="157">
        <f t="shared" ref="H133:H137" si="16">E133-G133</f>
        <v>60</v>
      </c>
    </row>
    <row r="134" spans="1:8" s="24" customFormat="1" ht="13.65" customHeight="1" x14ac:dyDescent="0.3">
      <c r="A134" s="20" t="s">
        <v>243</v>
      </c>
      <c r="B134" s="20">
        <v>38043501</v>
      </c>
      <c r="C134" s="21" t="s">
        <v>258</v>
      </c>
      <c r="D134" s="20" t="s">
        <v>7</v>
      </c>
      <c r="E134" s="150">
        <v>144</v>
      </c>
      <c r="F134" s="23"/>
      <c r="G134" s="157">
        <v>144</v>
      </c>
      <c r="H134" s="157">
        <f t="shared" si="16"/>
        <v>0</v>
      </c>
    </row>
    <row r="135" spans="1:8" s="24" customFormat="1" ht="13.65" customHeight="1" x14ac:dyDescent="0.3">
      <c r="A135" s="20" t="s">
        <v>243</v>
      </c>
      <c r="B135" s="20">
        <v>38003505</v>
      </c>
      <c r="C135" s="21" t="s">
        <v>259</v>
      </c>
      <c r="D135" s="20" t="s">
        <v>7</v>
      </c>
      <c r="E135" s="150">
        <v>2004</v>
      </c>
      <c r="F135" s="23"/>
      <c r="G135" s="157">
        <v>1901</v>
      </c>
      <c r="H135" s="157">
        <f t="shared" si="16"/>
        <v>103</v>
      </c>
    </row>
    <row r="136" spans="1:8" s="24" customFormat="1" ht="13.65" customHeight="1" x14ac:dyDescent="0.3">
      <c r="A136" s="20" t="s">
        <v>243</v>
      </c>
      <c r="B136" s="20">
        <v>38033511</v>
      </c>
      <c r="C136" s="21" t="s">
        <v>260</v>
      </c>
      <c r="D136" s="20" t="s">
        <v>7</v>
      </c>
      <c r="E136" s="150">
        <v>972</v>
      </c>
      <c r="F136" s="20"/>
      <c r="G136" s="157">
        <v>900</v>
      </c>
      <c r="H136" s="157">
        <f t="shared" si="16"/>
        <v>72</v>
      </c>
    </row>
    <row r="137" spans="1:8" s="24" customFormat="1" ht="13.65" customHeight="1" x14ac:dyDescent="0.3">
      <c r="A137" s="145"/>
      <c r="B137" s="145"/>
      <c r="C137" s="146"/>
      <c r="D137" s="145"/>
      <c r="E137" s="153">
        <f>SUM(E133:E136)</f>
        <v>4176</v>
      </c>
      <c r="F137" s="153">
        <f t="shared" ref="F137:G137" si="17">SUM(F133:F136)</f>
        <v>0</v>
      </c>
      <c r="G137" s="153">
        <f t="shared" si="17"/>
        <v>3941</v>
      </c>
      <c r="H137" s="153">
        <f t="shared" si="16"/>
        <v>235</v>
      </c>
    </row>
    <row r="138" spans="1:8" s="24" customFormat="1" ht="13.65" customHeight="1" x14ac:dyDescent="0.3">
      <c r="A138" s="20"/>
      <c r="B138" s="20"/>
      <c r="C138" s="21"/>
      <c r="D138" s="20"/>
      <c r="E138" s="150"/>
      <c r="F138" s="23"/>
      <c r="G138" s="156"/>
      <c r="H138" s="43"/>
    </row>
    <row r="139" spans="1:8" s="24" customFormat="1" ht="13.65" customHeight="1" x14ac:dyDescent="0.3">
      <c r="A139" s="20"/>
      <c r="B139" s="20"/>
      <c r="C139" s="21"/>
      <c r="D139" s="20"/>
      <c r="E139" s="150"/>
      <c r="F139" s="23"/>
      <c r="G139" s="156"/>
      <c r="H139" s="43"/>
    </row>
    <row r="140" spans="1:8" ht="13.65" customHeight="1" thickBot="1" x14ac:dyDescent="0.35">
      <c r="A140" s="9"/>
      <c r="B140" s="9"/>
      <c r="C140" s="10"/>
      <c r="D140" s="9"/>
      <c r="E140" s="80"/>
      <c r="F140" s="73"/>
      <c r="G140" s="101"/>
      <c r="H140" s="101"/>
    </row>
  </sheetData>
  <protectedRanges>
    <protectedRange sqref="E78:H78" name="Range2_3"/>
    <protectedRange sqref="E78:H78" name="Range1_3"/>
    <protectedRange sqref="H1" name="Range2_1_3"/>
    <protectedRange sqref="H1" name="Range1_1_3"/>
    <protectedRange sqref="E36:H36" name="Range2_3_1"/>
    <protectedRange sqref="E36:H36" name="Range1_3_1"/>
  </protectedRanges>
  <conditionalFormatting sqref="C6">
    <cfRule type="duplicateValues" dxfId="23" priority="17"/>
  </conditionalFormatting>
  <conditionalFormatting sqref="C23:C24">
    <cfRule type="duplicateValues" dxfId="22" priority="19"/>
  </conditionalFormatting>
  <conditionalFormatting sqref="C26">
    <cfRule type="duplicateValues" dxfId="21" priority="18"/>
  </conditionalFormatting>
  <conditionalFormatting sqref="C29 C4">
    <cfRule type="duplicateValues" dxfId="20" priority="22"/>
  </conditionalFormatting>
  <conditionalFormatting sqref="C30 C25 C27:C28 C7:C13 C3 C15:C22">
    <cfRule type="duplicateValues" dxfId="19" priority="21"/>
  </conditionalFormatting>
  <conditionalFormatting sqref="C31:C35">
    <cfRule type="duplicateValues" dxfId="18" priority="20"/>
  </conditionalFormatting>
  <conditionalFormatting sqref="E38:G77">
    <cfRule type="cellIs" dxfId="17" priority="16" stopIfTrue="1" operator="lessThan">
      <formula>0</formula>
    </cfRule>
  </conditionalFormatting>
  <conditionalFormatting sqref="E2:H2 F2:H29 E3:E36 G30:H30 G31:G35 H31:H77 F36:G36 E90:H105 E107:H117">
    <cfRule type="cellIs" dxfId="16" priority="14" stopIfTrue="1" operator="lessThan">
      <formula>0</formula>
    </cfRule>
  </conditionalFormatting>
  <conditionalFormatting sqref="E78:H88">
    <cfRule type="cellIs" dxfId="15" priority="4" stopIfTrue="1" operator="lessThan">
      <formula>0</formula>
    </cfRule>
  </conditionalFormatting>
  <conditionalFormatting sqref="E124:H124 E140:H140">
    <cfRule type="cellIs" dxfId="14" priority="15" stopIfTrue="1" operator="lessThan">
      <formula>0</formula>
    </cfRule>
  </conditionalFormatting>
  <conditionalFormatting sqref="F30:F35">
    <cfRule type="cellIs" dxfId="13" priority="3" stopIfTrue="1" operator="lessThan">
      <formula>0</formula>
    </cfRule>
  </conditionalFormatting>
  <conditionalFormatting sqref="F89">
    <cfRule type="cellIs" dxfId="12" priority="13" stopIfTrue="1" operator="lessThan">
      <formula>0</formula>
    </cfRule>
  </conditionalFormatting>
  <conditionalFormatting sqref="F106">
    <cfRule type="cellIs" dxfId="11" priority="8" stopIfTrue="1" operator="lessThan">
      <formula>0</formula>
    </cfRule>
  </conditionalFormatting>
  <conditionalFormatting sqref="F123">
    <cfRule type="cellIs" dxfId="10" priority="12" stopIfTrue="1" operator="lessThan">
      <formula>0</formula>
    </cfRule>
  </conditionalFormatting>
  <conditionalFormatting sqref="F130:F135 G132:H132">
    <cfRule type="cellIs" dxfId="8" priority="9" stopIfTrue="1" operator="lessThan">
      <formula>0</formula>
    </cfRule>
  </conditionalFormatting>
  <conditionalFormatting sqref="F138:F139">
    <cfRule type="cellIs" dxfId="7" priority="11" stopIfTrue="1" operator="lessThan">
      <formula>0</formula>
    </cfRule>
  </conditionalFormatting>
  <conditionalFormatting sqref="F126:F127">
    <cfRule type="cellIs" dxfId="1" priority="2" stopIfTrue="1" operator="lessThan">
      <formula>0</formula>
    </cfRule>
  </conditionalFormatting>
  <conditionalFormatting sqref="F129">
    <cfRule type="cellIs" dxfId="0" priority="1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4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Dec'25</vt:lpstr>
      <vt:lpstr>March'26 ISSUED MONTH END </vt:lpstr>
      <vt:lpstr>March'26 ISSUED MIDMONTH</vt:lpstr>
      <vt:lpstr>Jan'26</vt:lpstr>
      <vt:lpstr>Feb'26</vt:lpstr>
      <vt:lpstr>April'26</vt:lpstr>
      <vt:lpstr>March'26</vt:lpstr>
      <vt:lpstr>April'26 Issued Mid-Month</vt:lpstr>
      <vt:lpstr>April'26 Issued Month-End</vt:lpstr>
      <vt:lpstr>May'26 Issued Mid Month</vt:lpstr>
      <vt:lpstr>May'26 Issued Month-End  </vt:lpstr>
      <vt:lpstr>'April''26'!Print_Titles</vt:lpstr>
      <vt:lpstr>'April''26 Issued Mid-Month'!Print_Titles</vt:lpstr>
      <vt:lpstr>'April''26 Issued Month-End'!Print_Titles</vt:lpstr>
      <vt:lpstr>'Dec''25'!Print_Titles</vt:lpstr>
      <vt:lpstr>'Feb''26'!Print_Titles</vt:lpstr>
      <vt:lpstr>'Jan''26'!Print_Titles</vt:lpstr>
      <vt:lpstr>'March''26'!Print_Titles</vt:lpstr>
      <vt:lpstr>'March''26 ISSUED MIDMONTH'!Print_Titles</vt:lpstr>
      <vt:lpstr>'March''26 ISSUED MONTH END '!Print_Titles</vt:lpstr>
      <vt:lpstr>'May''26 Issued Mid Month'!Print_Titles</vt:lpstr>
      <vt:lpstr>'May''26 Issued Month-End  '!Print_Titles</vt:lpstr>
    </vt:vector>
  </TitlesOfParts>
  <Company>Byrnecut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Horne</dc:creator>
  <cp:lastModifiedBy>Anna Hango</cp:lastModifiedBy>
  <cp:lastPrinted>2026-05-28T16:32:04Z</cp:lastPrinted>
  <dcterms:created xsi:type="dcterms:W3CDTF">2026-01-22T09:29:09Z</dcterms:created>
  <dcterms:modified xsi:type="dcterms:W3CDTF">2026-06-01T05:24:41Z</dcterms:modified>
</cp:coreProperties>
</file>