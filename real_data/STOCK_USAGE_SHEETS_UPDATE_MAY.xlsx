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MINING AND DRILL CON SHEETS\MAY 2026\"/>
    </mc:Choice>
  </mc:AlternateContent>
  <xr:revisionPtr revIDLastSave="0" documentId="13_ncr:1_{AB86CA02-0819-4C29-8959-500F2A158E21}" xr6:coauthVersionLast="47" xr6:coauthVersionMax="47" xr10:uidLastSave="{00000000-0000-0000-0000-000000000000}"/>
  <bookViews>
    <workbookView xWindow="-120" yWindow="-120" windowWidth="29040" windowHeight="15720" activeTab="4" xr2:uid="{6BFFC150-5277-4BF3-B550-DF095D484C54}"/>
  </bookViews>
  <sheets>
    <sheet name="GS &amp; VENT ISS UPDAE" sheetId="4" r:id="rId1"/>
    <sheet name="MSC ISSUING UPDATE" sheetId="5" r:id="rId2"/>
    <sheet name="Drill Cons Iss Update" sheetId="1" r:id="rId3"/>
    <sheet name="SIGNS" sheetId="8" r:id="rId4"/>
    <sheet name="TOOLS " sheetId="7" r:id="rId5"/>
  </sheets>
  <externalReferences>
    <externalReference r:id="rId6"/>
    <externalReference r:id="rId7"/>
  </externalReferences>
  <definedNames>
    <definedName name="_xlnm._FilterDatabase" localSheetId="2" hidden="1">'Drill Cons Iss Update'!$J$1:$O$74</definedName>
    <definedName name="_xlnm._FilterDatabase" localSheetId="0" hidden="1">'GS &amp; VENT ISS UPDAE'!$E$1:$I$1</definedName>
    <definedName name="_xlnm._FilterDatabase" localSheetId="1" hidden="1">'MSC ISSUING UPDATE'!$A$2:$M$166</definedName>
    <definedName name="_xlnm._FilterDatabase" localSheetId="3" hidden="1">SIGNS!$B$1:$G$54</definedName>
    <definedName name="_xlnm._FilterDatabase" localSheetId="4" hidden="1">'TOOLS '!$B$7:$XFD$68</definedName>
    <definedName name="bcm">[1]BCM!$E:$G</definedName>
    <definedName name="MAINT">[2]MINING!$D$7:$AC$766</definedName>
    <definedName name="ORDER">[2]MINING!$AB:$AD</definedName>
    <definedName name="PRICE">'[2]HISTORY PRICING'!$L:$Y</definedName>
  </definedNames>
  <calcPr calcId="191029"/>
  <pivotCaches>
    <pivotCache cacheId="8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" i="1" l="1"/>
  <c r="M33" i="4" l="1"/>
  <c r="L39" i="4"/>
  <c r="L38" i="4"/>
  <c r="G9" i="7" l="1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8" i="7"/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A46" i="8"/>
  <c r="A47" i="8" s="1"/>
  <c r="A48" i="8" s="1"/>
  <c r="A49" i="8" s="1"/>
  <c r="A50" i="8" s="1"/>
  <c r="A51" i="8" s="1"/>
  <c r="A52" i="8" s="1"/>
  <c r="A53" i="8" s="1"/>
  <c r="A54" i="8" s="1"/>
  <c r="D46" i="8"/>
  <c r="D47" i="8"/>
  <c r="D48" i="8"/>
  <c r="D49" i="8"/>
  <c r="D50" i="8"/>
  <c r="D51" i="8"/>
  <c r="D52" i="8"/>
  <c r="D53" i="8"/>
  <c r="D5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</authors>
  <commentList>
    <comment ref="I4" authorId="0" shapeId="0" xr:uid="{2C76DDF5-DEFF-40D7-9013-35A658CD3E43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NAV045
PO503604
QTY: 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tc={4C30CC13-A282-4FD8-BDD4-83114C808D99}</author>
    <author>tc={A6FD445F-C00D-4B4F-B0BB-AA34C26726ED}</author>
    <author>tc={5D09B0F6-A39D-43A8-B1EB-623478997343}</author>
    <author>tc={DF5BE23B-84D1-48E9-A8FB-51E6967C7586}</author>
    <author>tc={380682FC-303F-42CD-B11A-86B6C6AA0993}</author>
    <author>tc={5687488A-9FA1-4B90-92D7-477A9FAF11D1}</author>
    <author>tc={89AA9D75-71A5-4635-B13A-E433AAE7751A}</author>
    <author>tc={AB137417-B933-4802-A4BB-C965C1A2D036}</author>
    <author>tc={CA29FF35-60CB-4E23-9A73-7B6AEF7C798D}</author>
  </authors>
  <commentList>
    <comment ref="B12" authorId="0" shapeId="0" xr:uid="{4C30CC13-A282-4FD8-BDD4-83114C80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1" shapeId="0" xr:uid="{A6FD445F-C00D-4B4F-B0BB-AA34C26726E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4" authorId="2" shapeId="0" xr:uid="{5D09B0F6-A39D-43A8-B1EB-62347899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3" shapeId="0" xr:uid="{DF5BE23B-84D1-48E9-A8FB-51E6967C758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4" shapeId="0" xr:uid="{380682FC-303F-42CD-B11A-86B6C6AA099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3" authorId="5" shapeId="0" xr:uid="{5687488A-9FA1-4B90-92D7-477A9FAF11D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4" authorId="6" shapeId="0" xr:uid="{89AA9D75-71A5-4635-B13A-E433AAE7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7" authorId="7" shapeId="0" xr:uid="{AB137417-B933-4802-A4BB-C965C1A2D03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8" authorId="8" shapeId="0" xr:uid="{CA29FF35-60CB-4E23-9A73-7B6AEF7C798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  <author>tc={246B3CAA-0530-4B1E-9DEC-94504DE9C0BE}</author>
    <author>tc={D26E6A6D-E488-43CD-A219-2512138C87FE}</author>
  </authors>
  <commentList>
    <comment ref="J10" authorId="0" shapeId="0" xr:uid="{01C5689D-C55F-4B61-9B3A-5215035CB9D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Quinton 
</t>
        </r>
      </text>
    </comment>
    <comment ref="H12" authorId="0" shapeId="0" xr:uid="{45D5BEE4-9314-4606-83C3-7B80E04170A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Martin
</t>
        </r>
      </text>
    </comment>
    <comment ref="I12" authorId="0" shapeId="0" xr:uid="{DA59ED8F-F5C4-4A2B-BBEC-356DD3523883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Melick - will return</t>
        </r>
      </text>
    </comment>
    <comment ref="K27" authorId="1" shapeId="0" xr:uid="{246B3CAA-0530-4B1E-9DEC-94504DE9C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1x Festus Thomas
</t>
      </text>
    </comment>
    <comment ref="L27" authorId="2" shapeId="0" xr:uid="{D26E6A6D-E488-43CD-A219-2512138C87FE}">
      <text>
        <t>[Threaded comment]
Your version of Excel allows you to read this threaded comment; however, any edits to it will get removed if the file is opened in a newer version of Excel. Learn more: https://go.microsoft.com/fwlink/?linkid=870924
Comment:
    1x Victor Ndeutapo</t>
      </text>
    </comment>
    <comment ref="J37" authorId="0" shapeId="0" xr:uid="{F50C40A5-D312-4E43-9EC3-766B79A13B6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Quinton</t>
        </r>
      </text>
    </comment>
    <comment ref="K59" authorId="0" shapeId="0" xr:uid="{8A38AEE6-F171-44A6-A5CB-216673F613A3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John
</t>
        </r>
      </text>
    </comment>
  </commentList>
</comments>
</file>

<file path=xl/sharedStrings.xml><?xml version="1.0" encoding="utf-8"?>
<sst xmlns="http://schemas.openxmlformats.org/spreadsheetml/2006/main" count="2173" uniqueCount="629">
  <si>
    <t>Supplier</t>
  </si>
  <si>
    <t>Supplier Code</t>
  </si>
  <si>
    <t>Description</t>
  </si>
  <si>
    <t>UOM</t>
  </si>
  <si>
    <t>SANDVIK</t>
  </si>
  <si>
    <t>7304-7669-01</t>
  </si>
  <si>
    <t>SHANK T38 RD520/525 D45 L525</t>
  </si>
  <si>
    <t>EACH</t>
  </si>
  <si>
    <t>7314-3652</t>
  </si>
  <si>
    <t>COUPLING SLEEVE T38/T38</t>
  </si>
  <si>
    <t>7580-5243A-S70</t>
  </si>
  <si>
    <t>A340X43MM BUTTON BIT</t>
  </si>
  <si>
    <t>7580-5345A-R48</t>
  </si>
  <si>
    <t>A340X45MM BUTTON BIT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</si>
  <si>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</si>
  <si>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</si>
  <si>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</si>
  <si>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</si>
  <si>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</si>
  <si>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</si>
  <si>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</si>
  <si>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</si>
  <si>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</si>
  <si>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</si>
  <si>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</si>
  <si>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</si>
  <si>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</si>
  <si>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</si>
  <si>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</si>
  <si>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</si>
  <si>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</si>
  <si>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</si>
  <si>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</si>
  <si>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</si>
  <si>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</si>
  <si>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</si>
  <si>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</si>
  <si>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</si>
  <si>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</si>
  <si>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</si>
  <si>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</si>
  <si>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</si>
  <si>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</si>
  <si>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</si>
  <si>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</si>
  <si>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</si>
  <si>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</si>
  <si>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MASPRO</t>
  </si>
  <si>
    <t>M2000354</t>
  </si>
  <si>
    <t>BOLTING CENTRALISER DIA 70MM FRONT</t>
  </si>
  <si>
    <t>M2000353</t>
  </si>
  <si>
    <t>BOLTING CENTRALISER DIA 70MM BACK</t>
  </si>
  <si>
    <t>BOLTING CENTRALISER DIA 66MM</t>
  </si>
  <si>
    <t>BORING CENTRALISER DIA 48MM</t>
  </si>
  <si>
    <t xml:space="preserve">BORING CENTRALISER DIA 41MM      </t>
  </si>
  <si>
    <t xml:space="preserve">FRICTION BOLT 39 X 900 GAL WA   </t>
  </si>
  <si>
    <t xml:space="preserve">PLATE DOME 150X150X4 41H GALV   </t>
  </si>
  <si>
    <t xml:space="preserve">FRICTION BOLT 47 X 900 GALV WA  </t>
  </si>
  <si>
    <t xml:space="preserve">PULL RING CAST 47MM WA          </t>
  </si>
  <si>
    <t xml:space="preserve">FRICTION BOLT 47 X 2400 GALV    </t>
  </si>
  <si>
    <t xml:space="preserve">D/FLY 300X280 GALV              </t>
  </si>
  <si>
    <t xml:space="preserve">MD BOLT 2.4M LONG GALVANIZED    </t>
  </si>
  <si>
    <t xml:space="preserve">COMBI PLATE 300X280X6MM GALVAN  </t>
  </si>
  <si>
    <t xml:space="preserve">PULL TEST RINGS (COLLARS)       </t>
  </si>
  <si>
    <t>MESH - 2.40 X 4.50 M - GALV</t>
  </si>
  <si>
    <t>MESH - 2.40 X 4.50 M - NON-GALV</t>
  </si>
  <si>
    <t>1800 X 100 X 4MM X 25M ROLL FULLY GALV</t>
  </si>
  <si>
    <t xml:space="preserve">CBOLT (TS BULB) - 15.2MM - 10M  </t>
  </si>
  <si>
    <t xml:space="preserve">BARREL &amp; 3 PIECE WEDGE ANCHOR   </t>
  </si>
  <si>
    <t xml:space="preserve">PLATE FLAT 200X200X12MM 2X 22D  </t>
  </si>
  <si>
    <t xml:space="preserve">CBOLT (TS BULB) - 15.2MM - 4.5M   </t>
  </si>
  <si>
    <t xml:space="preserve">CBOLT (TS BULB) - 15.2MM - 6M   </t>
  </si>
  <si>
    <t>DRILL CONSUMABLES REQ SHEET</t>
  </si>
  <si>
    <t xml:space="preserve">TYPHOON 300 1220 X 5M           </t>
  </si>
  <si>
    <t xml:space="preserve">TYPHOON 300 1220 X10M           </t>
  </si>
  <si>
    <t xml:space="preserve">TYPHOON 300 1220 X 20M          </t>
  </si>
  <si>
    <t xml:space="preserve">TYPHOON 300 1200 T              </t>
  </si>
  <si>
    <t xml:space="preserve">TYPHOON 300 1400 T              </t>
  </si>
  <si>
    <t xml:space="preserve">TYPHOON 300 1400 X 5M           </t>
  </si>
  <si>
    <t xml:space="preserve">TYPHOON 300 1400 X10M           </t>
  </si>
  <si>
    <t xml:space="preserve">TYPHOON 300 1400 X 20M          </t>
  </si>
  <si>
    <t>TYPHOON 300 REDUCER 1400 X 1220</t>
  </si>
  <si>
    <t xml:space="preserve">TWINE FOR VENT BAG              </t>
  </si>
  <si>
    <t xml:space="preserve">VENT NEEDLE                     </t>
  </si>
  <si>
    <t>TYPHOON 300 SILVER 1400MM JUNC</t>
  </si>
  <si>
    <t xml:space="preserve">TYPHOON 300 1200 Y           </t>
  </si>
  <si>
    <t xml:space="preserve">TYPHOON 300 1400 Y          </t>
  </si>
  <si>
    <t xml:space="preserve">TYPHOON 300 SILVER TWIN DUCT 1045MM (1400) X 05M </t>
  </si>
  <si>
    <t xml:space="preserve">TYPHOON 300 SILVER TWIN DUCT 1045MM (1400) X 10M </t>
  </si>
  <si>
    <t xml:space="preserve">TYPHOON 300 SILVER TWIN DUCT 1045MM (1400) X 20M </t>
  </si>
  <si>
    <t>TYPHOON 300 SILVER TWIN DUCT 1045MM ( 1400) JUNCTION</t>
  </si>
  <si>
    <t>TYPHOON 300 SILVER TWIN DUCT 1045MM 90 DEGREE BEND</t>
  </si>
  <si>
    <t>TYPHOON 300 SILVER TWIN DUCT 1045MM 45 DEGREE BEND</t>
  </si>
  <si>
    <t>VENT TRANS 1400 &gt; 1045 TWINDUCT</t>
  </si>
  <si>
    <t>TYPHOON 300 SILVER CONCERTINA</t>
  </si>
  <si>
    <t>TYPHOON 300 JUNCTION PIECE 122</t>
  </si>
  <si>
    <t>7305-7669-01</t>
  </si>
  <si>
    <t>7314-6261</t>
  </si>
  <si>
    <t>7580-6045-F49</t>
  </si>
  <si>
    <t>SPEEDY BIT A340X45MM XT49</t>
  </si>
  <si>
    <t>7335-4401</t>
  </si>
  <si>
    <t>BIT ADAPTOR T45/T38M</t>
  </si>
  <si>
    <t>M33191234</t>
  </si>
  <si>
    <t>BOLTING CENTRALISER DIA 66MM (GUIDE PIECE)</t>
  </si>
  <si>
    <t>Qty issued</t>
  </si>
  <si>
    <t>Date</t>
  </si>
  <si>
    <t>Requester</t>
  </si>
  <si>
    <t>Area</t>
  </si>
  <si>
    <t>Requster</t>
  </si>
  <si>
    <t>JUNIAS</t>
  </si>
  <si>
    <t>KAMBATA</t>
  </si>
  <si>
    <t>SEPSON</t>
  </si>
  <si>
    <t>SIMON</t>
  </si>
  <si>
    <t>SMILEY</t>
  </si>
  <si>
    <t>TOMMY</t>
  </si>
  <si>
    <t>LAY-DOWN</t>
  </si>
  <si>
    <t>SOUTH PORTAL</t>
  </si>
  <si>
    <t>NORTH PORTAL</t>
  </si>
  <si>
    <t>OFFICE</t>
  </si>
  <si>
    <t>UNOTJARI</t>
  </si>
  <si>
    <t>KAZAPUA</t>
  </si>
  <si>
    <t>PETE</t>
  </si>
  <si>
    <t>DAVID</t>
  </si>
  <si>
    <t>DARYL</t>
  </si>
  <si>
    <t>EYE BOLT</t>
  </si>
  <si>
    <t>HOSEA</t>
  </si>
  <si>
    <t>M33191232</t>
  </si>
  <si>
    <t>COLLIN</t>
  </si>
  <si>
    <t>MHANI</t>
  </si>
  <si>
    <t>JULIUS</t>
  </si>
  <si>
    <t>HOGES</t>
  </si>
  <si>
    <t>UNDERGROUND</t>
  </si>
  <si>
    <t>KYLE</t>
  </si>
  <si>
    <t>OHORONGO CEMENT 50KG</t>
  </si>
  <si>
    <t>BAG</t>
  </si>
  <si>
    <t>ISAK</t>
  </si>
  <si>
    <t xml:space="preserve">                                MINING SERVICE CONSUMABLES</t>
  </si>
  <si>
    <t>Product Group</t>
  </si>
  <si>
    <t>Unit of Issue</t>
  </si>
  <si>
    <t>WORK AREA</t>
  </si>
  <si>
    <t>Rceived Qty</t>
  </si>
  <si>
    <t>Qty Issued</t>
  </si>
  <si>
    <t>N/S Portal</t>
  </si>
  <si>
    <t>HOSE 25MM SUPER AIR</t>
  </si>
  <si>
    <t>MINING CONSUMABLES</t>
  </si>
  <si>
    <t>ROLL</t>
  </si>
  <si>
    <t>HOSE 75MM SUPER AIR</t>
  </si>
  <si>
    <t>GALV WIRE ROPE 7 X 7</t>
  </si>
  <si>
    <t>POLY ROPE 125M</t>
  </si>
  <si>
    <t>6MM GAL CHAIN 25KG PACK</t>
  </si>
  <si>
    <t>SHACKLE 6MM DEE GAL UNTESTED</t>
  </si>
  <si>
    <t>SHACKLE 20MM DEE GAL UNTESTED</t>
  </si>
  <si>
    <t>COUPLING SURELOCK M 25MM</t>
  </si>
  <si>
    <t>COUPLING SURELOCK F 25MM</t>
  </si>
  <si>
    <t>COUPLING SURELOCK H END 12MM</t>
  </si>
  <si>
    <t>COUPLING SURELOCK HOSE END 25M</t>
  </si>
  <si>
    <t>COUPLING 3 WAY SURELOCK</t>
  </si>
  <si>
    <t>COUPLING SURELOCK M 75MM</t>
  </si>
  <si>
    <t>COUPLING SURELOCK F 75MM</t>
  </si>
  <si>
    <t>COUPLING SURELOCK HOSE END 75M</t>
  </si>
  <si>
    <t>SEAL 3/8 - 1 1/4 INSERT 07/07</t>
  </si>
  <si>
    <t>SEAL 3HP INSERT 07/09</t>
  </si>
  <si>
    <t>PIN LOCKING 10/02</t>
  </si>
  <si>
    <t>BOX</t>
  </si>
  <si>
    <t>TAPE THREAD</t>
  </si>
  <si>
    <t>WHIP CHECK 23/90 SMALL</t>
  </si>
  <si>
    <t>WHIP CHECK 23/91 MEDIUM</t>
  </si>
  <si>
    <t>WHIP CHECK 23/92 LARGE</t>
  </si>
  <si>
    <t>PUNCHLOCK TOOL</t>
  </si>
  <si>
    <t>1 3/4" PRE FORMED CLAMP SS</t>
  </si>
  <si>
    <t>CLAMP PREFORMED 3.1/2 X 5/8 X</t>
  </si>
  <si>
    <t>CLAMP PRE-FORMED 41/2 IN S/S</t>
  </si>
  <si>
    <t>BANDIT TOOL</t>
  </si>
  <si>
    <t>STEEL HOSE MENDER 25 MM</t>
  </si>
  <si>
    <t>STEEL HOSE MENDER 75 MM</t>
  </si>
  <si>
    <t>KC NIPPLE BSP 25MM (1") ZINC</t>
  </si>
  <si>
    <t>KC NIPPLE BSP 75MM (3") ZINC P</t>
  </si>
  <si>
    <t>TAIL HOSE TO BSP 25MM 34/01- M</t>
  </si>
  <si>
    <t>RBR NAT INSERT 2PLY 6.0MM</t>
  </si>
  <si>
    <t>KC NIPPLE SHLD ZP STL 75MM</t>
  </si>
  <si>
    <t>20MM AL DIE CAST CAM TYPE A  B</t>
  </si>
  <si>
    <t>CAMLOCK 633A80 ALUM MALE-FEMAL</t>
  </si>
  <si>
    <t>20MM AL DIE CAST CAM TYPE B  B</t>
  </si>
  <si>
    <t>CAMLOCK 633B80 ALUM</t>
  </si>
  <si>
    <t>20MM AL DIE CAST CAM TYPE C</t>
  </si>
  <si>
    <t>CAMLOCK 633C80 ALUM</t>
  </si>
  <si>
    <t>20MM AL DIE CAST CAM TYPE D  B</t>
  </si>
  <si>
    <t>CAMLOCK 633D80 ALUM</t>
  </si>
  <si>
    <t>20MM AL DIE CAST CAM TYPE E</t>
  </si>
  <si>
    <t>CAMLOCK 633E80 ALUM</t>
  </si>
  <si>
    <t>20MM AL DIE CAST CAM TYPE F  B</t>
  </si>
  <si>
    <t>CAMLOCK 633F80 ALUM</t>
  </si>
  <si>
    <t>20MM AL D/CAST CAM TYPE DC</t>
  </si>
  <si>
    <t>20MM AL D/CAST CAM TYPE DP</t>
  </si>
  <si>
    <t>50MM AL TYPE C BEND 68DEG</t>
  </si>
  <si>
    <t>25MM SIN SS STD HANDLE &amp; PIN</t>
  </si>
  <si>
    <t>75-125MM SIN SS HANDLE RING &amp;</t>
  </si>
  <si>
    <t>ANFO LO STAT 20MM SEMI RIGID H</t>
  </si>
  <si>
    <t>25MM BRASS BALL VALVE F/F</t>
  </si>
  <si>
    <t>65MM BRASS BALL VALVE F/F F/B</t>
  </si>
  <si>
    <t>BALL VALVE 100MM</t>
  </si>
  <si>
    <t>65MM CI WAF B/FLY VALVE LOP SS</t>
  </si>
  <si>
    <t>100MM CI WAF B/FLY VALVE LOP E</t>
  </si>
  <si>
    <t>50MM BRASS Y STRAINER SCRD</t>
  </si>
  <si>
    <t>TAB E RATIO VALVE 2:1</t>
  </si>
  <si>
    <t>ECONOVALVE "A" X "A" 1"</t>
  </si>
  <si>
    <t>ECONOVALVE 2" SHLD X 1" BSP F</t>
  </si>
  <si>
    <t>VALVE ECONO 50 BSPX50SLD</t>
  </si>
  <si>
    <t>VALVE ECONOVALVE</t>
  </si>
  <si>
    <t>ECONOVALVE 1" BSPF 500PSI WP</t>
  </si>
  <si>
    <t>ECONOVALVE 2" BSPF 300PSI WP</t>
  </si>
  <si>
    <t>VALVE ECONO 25 MM FEM</t>
  </si>
  <si>
    <t>ECONO 2" BSP FEM X  MED S/L</t>
  </si>
  <si>
    <t>NIPPLE 25MM HEX</t>
  </si>
  <si>
    <t>NIPPLE 50MM HEX</t>
  </si>
  <si>
    <t>GAL MAL HEX NIPPLE 80MM</t>
  </si>
  <si>
    <t>NIPPLE 100MM HEX</t>
  </si>
  <si>
    <t>GAL MAL NIPPLE RED. 25 X 15MM</t>
  </si>
  <si>
    <t>REDUCING NIPPLE 50 X 25MM</t>
  </si>
  <si>
    <t>REDUCING NIPPLE 80 X 50MM</t>
  </si>
  <si>
    <t>REDUCING NIPPLE 100 X 80MM</t>
  </si>
  <si>
    <t>GAL MAL HOLLOW PLUG 25MM</t>
  </si>
  <si>
    <t>GAL MAL HOLLOW PLUG 100MM</t>
  </si>
  <si>
    <t>SOCKET 25MM</t>
  </si>
  <si>
    <t>SOCKET 50MM</t>
  </si>
  <si>
    <t>GAL MAL SOCKET BANDED 80MM</t>
  </si>
  <si>
    <t>SOCKET 100MM GALV</t>
  </si>
  <si>
    <t>SOCKET REDUCING 50 X 25MM</t>
  </si>
  <si>
    <t>SOCKET REDUCING 80X50 GALV MAL</t>
  </si>
  <si>
    <t>SOCKET REDUCING 100 X 80MM</t>
  </si>
  <si>
    <t>TEE 25MM BSP FEMALE</t>
  </si>
  <si>
    <t>TEE 50MM BSP FEMALE</t>
  </si>
  <si>
    <t>GAL MAL EQUAL TEE 80MM</t>
  </si>
  <si>
    <t>TEE 100MM BSP FEMALE</t>
  </si>
  <si>
    <t>25NB GAL MAL UNION B/S F/F</t>
  </si>
  <si>
    <t>GAL MAL UNION BRS SEAT F/F 50</t>
  </si>
  <si>
    <t>GAL MAL UNION BRS SEAT F/F 80</t>
  </si>
  <si>
    <t>GAL MAL UNION BRS SEAT F/F 100</t>
  </si>
  <si>
    <t>FLANGE 25MM SCREWED TABLE D</t>
  </si>
  <si>
    <t>FLANGE 50MM SCREWED TABLE D</t>
  </si>
  <si>
    <t>FLANGE 80MM SCREWED TABLE D</t>
  </si>
  <si>
    <t>FLANGE 100MM SCREWED TABLE D</t>
  </si>
  <si>
    <t>REDUCING BUSH 25 X 15MM</t>
  </si>
  <si>
    <t>REDUCING BUSH 50 X 25MM</t>
  </si>
  <si>
    <t>GAL MAL BUSH 80 X 25MM</t>
  </si>
  <si>
    <t>REDUCING BUSH 80 X 50MM</t>
  </si>
  <si>
    <t>REDUCING BUSH 100 X 50MM</t>
  </si>
  <si>
    <t>REDUCING BUSH 100 X 80MM</t>
  </si>
  <si>
    <t>COUPLING 50 MM SHLD GALVANISED</t>
  </si>
  <si>
    <t>COUPLING 80NB  SHLD GALV</t>
  </si>
  <si>
    <t>COUPLING 100MM SHLD GALVANISED</t>
  </si>
  <si>
    <t>SEAL NITRILE 50MM SHLD</t>
  </si>
  <si>
    <t>SEAL NITRILE 80MM SHLD</t>
  </si>
  <si>
    <t>SEAL NITRILE 100MM SHLD</t>
  </si>
  <si>
    <t>ADAPTOR SCREWED 50NB</t>
  </si>
  <si>
    <t>ADAPTOR SCREWED 80MM SHLD GALV</t>
  </si>
  <si>
    <t>ADAPTOR SCREWED 100NB SHLD GAL</t>
  </si>
  <si>
    <t>REDUCER GALV VICT 75 - 50</t>
  </si>
  <si>
    <t>REDUCER 100 X 50</t>
  </si>
  <si>
    <t>REDUCER CON SHLD 100MM X  80MM</t>
  </si>
  <si>
    <t>BAR SCALING STEEL HEX 6FT</t>
  </si>
  <si>
    <t>SCALING BAR 8' (2400MM) ALUMIN</t>
  </si>
  <si>
    <t>PICK PELICAN COMPLETE</t>
  </si>
  <si>
    <t>SOCKET PLASSON SCREWED 25MM</t>
  </si>
  <si>
    <t>POLY NIPPLE 25 X 25 MM</t>
  </si>
  <si>
    <t>BUSH REDUCER 25MM X 20 MM</t>
  </si>
  <si>
    <t>COUPLING PLASSON 7010 25MM 690</t>
  </si>
  <si>
    <t>COUPLING 63MM</t>
  </si>
  <si>
    <t>COUPLING 110MM</t>
  </si>
  <si>
    <t>POLY COUPLER METRIC 25 X 20 MM</t>
  </si>
  <si>
    <t>POLY COUPLER METRIC 63 X 25 MM</t>
  </si>
  <si>
    <t>TEE 25MM</t>
  </si>
  <si>
    <t>TEE 63MM</t>
  </si>
  <si>
    <t>TEE 110MM</t>
  </si>
  <si>
    <t>TEE REDUCING POLY 110 63MM</t>
  </si>
  <si>
    <t>ELBOW 90DEG 25MM</t>
  </si>
  <si>
    <t>ELBOW 90DEG 63MM</t>
  </si>
  <si>
    <t>ELBOW 90DEG 110MM</t>
  </si>
  <si>
    <t>POLY MALE ADAPTOR METRIC 25 X</t>
  </si>
  <si>
    <t>ADAPTOR 63MM X 50MM MALE</t>
  </si>
  <si>
    <t>ADAPTOR FLANGE  63MM X 50MM TA</t>
  </si>
  <si>
    <t>ADAPTOR FLANGE  110MM X 100MM</t>
  </si>
  <si>
    <t>ADAPTOR SHOULDERED 63MM X 50MM</t>
  </si>
  <si>
    <t>ADAPTOR SHOULDERED 90MM X 100M</t>
  </si>
  <si>
    <t>ADAPTOR SHOULDER 110MM X 100MM</t>
  </si>
  <si>
    <t>POLY O-RING METRIC NITRILE 63</t>
  </si>
  <si>
    <t>ORING NITRILE 7002 110MM 83826</t>
  </si>
  <si>
    <t>SPLIT RING ACETAL 7003 63MM 69</t>
  </si>
  <si>
    <t>POLY SPLIT RING ACETAL 110 MM</t>
  </si>
  <si>
    <t>POLY NUT METRIC BLACK 63 MM</t>
  </si>
  <si>
    <t>NUT PLASSON PP7004 110MM 71599</t>
  </si>
  <si>
    <t>POLY INSERT METRIC 63 MM TO</t>
  </si>
  <si>
    <t>SPANNER PLASSON FITTINGS</t>
  </si>
  <si>
    <t>PAINTSTICK 3M TO 5M</t>
  </si>
  <si>
    <t>DOVE TAIL WATER SPRAY BSP</t>
  </si>
  <si>
    <t xml:space="preserve">FEMALE ADAPTOR </t>
  </si>
  <si>
    <t>SAKARIAS</t>
  </si>
  <si>
    <t>RAGS - BAGS</t>
  </si>
  <si>
    <t>SHIFT</t>
  </si>
  <si>
    <t>RIG TYPE</t>
  </si>
  <si>
    <t>ASET NUMBER</t>
  </si>
  <si>
    <t>REQUESTER</t>
  </si>
  <si>
    <t>D/S</t>
  </si>
  <si>
    <t>JUMBO</t>
  </si>
  <si>
    <t>DD122</t>
  </si>
  <si>
    <t>MARISE</t>
  </si>
  <si>
    <t>N/S</t>
  </si>
  <si>
    <t>SOLO</t>
  </si>
  <si>
    <t>DD159</t>
  </si>
  <si>
    <t>TEX</t>
  </si>
  <si>
    <t>DELTON</t>
  </si>
  <si>
    <t>HAMISH</t>
  </si>
  <si>
    <t>DANIEL</t>
  </si>
  <si>
    <t>TRENT</t>
  </si>
  <si>
    <t>GODFREY</t>
  </si>
  <si>
    <t>NEWBOLT</t>
  </si>
  <si>
    <t>QUINTEN</t>
  </si>
  <si>
    <t>GOMAA</t>
  </si>
  <si>
    <t>UNO</t>
  </si>
  <si>
    <t>VALDEZ</t>
  </si>
  <si>
    <t>GEOFREY</t>
  </si>
  <si>
    <t>LEVEL</t>
  </si>
  <si>
    <t>SOUTH</t>
  </si>
  <si>
    <t>NORTH</t>
  </si>
  <si>
    <t>Shift</t>
  </si>
  <si>
    <t>Machine</t>
  </si>
  <si>
    <t>Sum of Qty issued</t>
  </si>
  <si>
    <t>Row Labels</t>
  </si>
  <si>
    <t>Grand Total</t>
  </si>
  <si>
    <t>Column Labels</t>
  </si>
  <si>
    <t>(All)</t>
  </si>
  <si>
    <t>RAGS - BAG</t>
  </si>
  <si>
    <r>
      <t xml:space="preserve">SHANK </t>
    </r>
    <r>
      <rPr>
        <b/>
        <sz val="12"/>
        <rFont val="Arial"/>
        <family val="2"/>
      </rPr>
      <t xml:space="preserve">T45 </t>
    </r>
    <r>
      <rPr>
        <sz val="12"/>
        <rFont val="Arial"/>
        <family val="2"/>
      </rPr>
      <t>RD520/525 D45 L525</t>
    </r>
  </si>
  <si>
    <r>
      <t>COUPLING SLEEVE T38/</t>
    </r>
    <r>
      <rPr>
        <b/>
        <sz val="12"/>
        <rFont val="Arial"/>
        <family val="2"/>
      </rPr>
      <t>T45</t>
    </r>
  </si>
  <si>
    <t>GRINDING CUP 8MM, SPERICAL</t>
  </si>
  <si>
    <t>GRINDING CUP 9MM, SPERICAL</t>
  </si>
  <si>
    <t>GRINDING CUP 10MM, SPERICAL</t>
  </si>
  <si>
    <t>GRINDING CUP 11MM, SPERICAL</t>
  </si>
  <si>
    <t>GRINDING CUP, 13MM, SPERICAL</t>
  </si>
  <si>
    <t>GRINDING CUP, 14MM, SPERICAL</t>
  </si>
  <si>
    <t>GRINDING CUP, 16MM, SPERICAL</t>
  </si>
  <si>
    <t>GRINDING CUP, 11MM, SEMI BAL</t>
  </si>
  <si>
    <t>GRINDING CUP, 12MM, SEMI BAL</t>
  </si>
  <si>
    <t>GRINDING CUP, 13MM, SEMI BAL</t>
  </si>
  <si>
    <t>GRINDING CUP, 14MM, SEMI BAL</t>
  </si>
  <si>
    <t>GRINDING CUP, 11MM, SUP SPHERE</t>
  </si>
  <si>
    <t>GRINDING CUP, 12MM, SUP SPHERE</t>
  </si>
  <si>
    <t>GRINDING CUP, 14MM, SUP SPHERE</t>
  </si>
  <si>
    <t>GRINDING CUP, 16MM, SUP SPHERE</t>
  </si>
  <si>
    <t>5000-08</t>
  </si>
  <si>
    <t>5000-09</t>
  </si>
  <si>
    <t>5000-10</t>
  </si>
  <si>
    <t>5000-11</t>
  </si>
  <si>
    <t>5000-13</t>
  </si>
  <si>
    <t>5000-14</t>
  </si>
  <si>
    <t>5000-16</t>
  </si>
  <si>
    <t>5100-11</t>
  </si>
  <si>
    <t>5100-12</t>
  </si>
  <si>
    <t>5100-13</t>
  </si>
  <si>
    <t>5100-14</t>
  </si>
  <si>
    <t>5300-11</t>
  </si>
  <si>
    <t>5300-12</t>
  </si>
  <si>
    <t>5300-14</t>
  </si>
  <si>
    <t>5300-16</t>
  </si>
  <si>
    <t xml:space="preserve">POLY PIPES 110MM  </t>
  </si>
  <si>
    <t xml:space="preserve">POLY PIPES 63MM  </t>
  </si>
  <si>
    <t>.</t>
  </si>
  <si>
    <t>JL WILSON</t>
  </si>
  <si>
    <t>CHARLES</t>
  </si>
  <si>
    <t>VICTOR</t>
  </si>
  <si>
    <t>40MM CL.6 LDPE POLY AGRO 100M</t>
  </si>
  <si>
    <t>15MM CL.6 LDPE POLY AGRO 100M</t>
  </si>
  <si>
    <t>20MM POLY PN12.5 PE100 SDR13.6</t>
  </si>
  <si>
    <t>25MM POLY PN12.5 PE100 SDR13.6</t>
  </si>
  <si>
    <t>SAM</t>
  </si>
  <si>
    <t>EXPANSION SHELL 24 MM R/HAND</t>
  </si>
  <si>
    <t>CHARL</t>
  </si>
  <si>
    <t>SHANK T45 RD520/525 D45 L525</t>
  </si>
  <si>
    <t>COUPLING SLEEVE T38/T45</t>
  </si>
  <si>
    <t>MARTIN</t>
  </si>
  <si>
    <t>BRETT</t>
  </si>
  <si>
    <t>KEAU</t>
  </si>
  <si>
    <t>PENDA</t>
  </si>
  <si>
    <t>QUINTIN</t>
  </si>
  <si>
    <t>ERICH</t>
  </si>
  <si>
    <t xml:space="preserve">RIOGEN </t>
  </si>
  <si>
    <t>MARTIN K</t>
  </si>
  <si>
    <t>BATSEB</t>
  </si>
  <si>
    <t>ANNA</t>
  </si>
  <si>
    <t>MEKANDE</t>
  </si>
  <si>
    <t>REINHARD</t>
  </si>
  <si>
    <t>AGNES</t>
  </si>
  <si>
    <t>PAINT (WHITE)</t>
  </si>
  <si>
    <t>PAINT (YELLOW)</t>
  </si>
  <si>
    <t>PAINT(RED)</t>
  </si>
  <si>
    <t>PAINT(BLACK)</t>
  </si>
  <si>
    <t>ABEL</t>
  </si>
  <si>
    <t>RIOGEN</t>
  </si>
  <si>
    <t>LAYDOWN</t>
  </si>
  <si>
    <t>WORKSHOP</t>
  </si>
  <si>
    <t>ALL</t>
  </si>
  <si>
    <t>GERSON</t>
  </si>
  <si>
    <t>MELICK</t>
  </si>
  <si>
    <t>ERT</t>
  </si>
  <si>
    <t>KASITA P</t>
  </si>
  <si>
    <t>PATRICK</t>
  </si>
  <si>
    <t xml:space="preserve">LIFTER TUBE </t>
  </si>
  <si>
    <t xml:space="preserve">SERVICE HANGERS </t>
  </si>
  <si>
    <t xml:space="preserve">EYEBOLT SHELLS </t>
  </si>
  <si>
    <t>JL</t>
  </si>
  <si>
    <t>E3</t>
  </si>
  <si>
    <t>LENS WELD REAR COVER WELDSKILL</t>
  </si>
  <si>
    <t>LENS WELD FRNT COVER WELDSKILL</t>
  </si>
  <si>
    <t>WELDSKILL AUTO DARK HELMET</t>
  </si>
  <si>
    <t>SPANNER COMB CHROME 24MM</t>
  </si>
  <si>
    <t>SPANNER COMB CHROME 30MM</t>
  </si>
  <si>
    <t>E4</t>
  </si>
  <si>
    <t>SPANNER RING - OPEN 27MM</t>
  </si>
  <si>
    <t>SCMT22236</t>
  </si>
  <si>
    <t>Survey</t>
  </si>
  <si>
    <t>HAMMER DRILL BIT TE-CX 12/27 M</t>
  </si>
  <si>
    <t>HAMMER DRILL BIT TE-CX 8/22 MP</t>
  </si>
  <si>
    <t>HAMMER DILL BIT TE-CX 16/27 MP</t>
  </si>
  <si>
    <t>TE-CX CHISEL SET 4PC</t>
  </si>
  <si>
    <t>ABUS PADLOCK KEYED ALIKE NUMBE</t>
  </si>
  <si>
    <t>ABUS 65/50</t>
  </si>
  <si>
    <t>HAMMER DILL BIT TE-CX (12) L1</t>
  </si>
  <si>
    <t>NURON B22-170</t>
  </si>
  <si>
    <t>C 6-22 220V CHARGER</t>
  </si>
  <si>
    <t>HILTI TE30-22 ROTARY HAMMER</t>
  </si>
  <si>
    <t>SPRINKLER IMPACT METAL PC 15MM</t>
  </si>
  <si>
    <t>D4</t>
  </si>
  <si>
    <t>VICE ENGINEERS OFFSET 150MM 6I</t>
  </si>
  <si>
    <t>EC-EOV150</t>
  </si>
  <si>
    <t>A0</t>
  </si>
  <si>
    <t>CHAIN BLOCK 1T X 6M</t>
  </si>
  <si>
    <t>PM Office</t>
  </si>
  <si>
    <t>WOOD BLADES TO SUIT</t>
  </si>
  <si>
    <t>METAL BLADES TO SUIT</t>
  </si>
  <si>
    <t>M18 RECIPROCATING SAW - MILWAU</t>
  </si>
  <si>
    <t>M18CSX2-0</t>
  </si>
  <si>
    <t>DRILL 16MMX 150MM MSNRY TO SUI</t>
  </si>
  <si>
    <t>D6011600</t>
  </si>
  <si>
    <t>DRILL 10MMX 150MM MSNRY TO SUI</t>
  </si>
  <si>
    <t>D6011000</t>
  </si>
  <si>
    <t>DRILL 8MMX 150MM MSNRY TO SUIT</t>
  </si>
  <si>
    <t>D6010800</t>
  </si>
  <si>
    <t>M18 HAMMER DRILL - MILWAUKEE</t>
  </si>
  <si>
    <t>M18FPD30</t>
  </si>
  <si>
    <t>F3</t>
  </si>
  <si>
    <t>GRINDING DISC- 125MM</t>
  </si>
  <si>
    <t>M18 125MM GRINDER - MILWAUKEE</t>
  </si>
  <si>
    <t>M18BLSAG125XPD0</t>
  </si>
  <si>
    <t>M18 REDLITHIUM BATT MILWAUKEE</t>
  </si>
  <si>
    <t>M18FB8M18HB8</t>
  </si>
  <si>
    <t>DYNABOLT M10X100 ZINC</t>
  </si>
  <si>
    <t>DP10100</t>
  </si>
  <si>
    <t>PACK</t>
  </si>
  <si>
    <t>280X3.6MM CABLE TIE PK100</t>
  </si>
  <si>
    <t>ACX1329</t>
  </si>
  <si>
    <t>E2</t>
  </si>
  <si>
    <t>WRECKING BAR 750MM</t>
  </si>
  <si>
    <t>SJ-WB750</t>
  </si>
  <si>
    <t>WRECKING BAR 450MM</t>
  </si>
  <si>
    <t>SJ-WB450</t>
  </si>
  <si>
    <t>RATCHET WRENCH 27-32MM</t>
  </si>
  <si>
    <t>SCMTRH2732</t>
  </si>
  <si>
    <t>CHARGER RAPID</t>
  </si>
  <si>
    <t>M12-18FC</t>
  </si>
  <si>
    <t>SPANNER RING - OPEN 36MM</t>
  </si>
  <si>
    <t>SCMT22241</t>
  </si>
  <si>
    <t>SPANNER RING - OPEN 32 MM</t>
  </si>
  <si>
    <t>SCMT22240</t>
  </si>
  <si>
    <t>SPANNER RING - OPEN 30 MM</t>
  </si>
  <si>
    <t>SCMT22239</t>
  </si>
  <si>
    <t>SPANNER RING - OPEN 24 MM</t>
  </si>
  <si>
    <t>SCMT22233</t>
  </si>
  <si>
    <t>SPANNER RING - OPEN 23 MM</t>
  </si>
  <si>
    <t>SCMT22232</t>
  </si>
  <si>
    <t>SPANNER RING - OPEN 22 MM</t>
  </si>
  <si>
    <t>SCMT22231</t>
  </si>
  <si>
    <t>SPANNER RING - OPEN 20 MM</t>
  </si>
  <si>
    <t>SCMT22229</t>
  </si>
  <si>
    <t>SPANNER RING - OPEN 19 MM</t>
  </si>
  <si>
    <t>SCMT22228</t>
  </si>
  <si>
    <t>WASHER FLAT BLK 16 MM</t>
  </si>
  <si>
    <t>WRMSPM16</t>
  </si>
  <si>
    <t>DYNA BOLT EYE 8MM 100 PK</t>
  </si>
  <si>
    <t>D08045X</t>
  </si>
  <si>
    <t>TIE CABLE 150MMX3.6MM BLK</t>
  </si>
  <si>
    <t>ACX1316</t>
  </si>
  <si>
    <t>CABLE TIES 200 X 8 BLACK(65-90</t>
  </si>
  <si>
    <t>ACX1328</t>
  </si>
  <si>
    <t>TIE CABLE 100X2.5MM EACH</t>
  </si>
  <si>
    <t>ACX1315</t>
  </si>
  <si>
    <t>HEAVY DUTY CABLE TIES</t>
  </si>
  <si>
    <t>ACX1321</t>
  </si>
  <si>
    <t>E0</t>
  </si>
  <si>
    <t>10LB COPPER SLEDGE HAMMER R/HA</t>
  </si>
  <si>
    <t>SACH10WH</t>
  </si>
  <si>
    <t>ABA COMBINATION SMART PADLOCK</t>
  </si>
  <si>
    <t>LG918</t>
  </si>
  <si>
    <t>BAG CRIB CANVAS</t>
  </si>
  <si>
    <t>KNIFE STANLEY BLADE</t>
  </si>
  <si>
    <t>11 700A</t>
  </si>
  <si>
    <t>KNIFE STANLEY TRIMMING</t>
  </si>
  <si>
    <t>10-189C</t>
  </si>
  <si>
    <t>TAPE MEASURE 60MT FIBRE GLASS</t>
  </si>
  <si>
    <t>FE60CME</t>
  </si>
  <si>
    <t>SWEATBAND SUIT AUTO HELMET</t>
  </si>
  <si>
    <t>HACKSAW BLADE 32TPI</t>
  </si>
  <si>
    <t>EC-AE46X</t>
  </si>
  <si>
    <t>HACKSAW SPEAR AND JACKSON</t>
  </si>
  <si>
    <t>SJ-HS10</t>
  </si>
  <si>
    <t>SNIPS STRAIGHT CUT YELLOW GRIP</t>
  </si>
  <si>
    <t>M3RAU</t>
  </si>
  <si>
    <t>SDS HEX + HEAD WASHER 1000</t>
  </si>
  <si>
    <t>AS3566</t>
  </si>
  <si>
    <t>PLIERS</t>
  </si>
  <si>
    <t>K040037-1</t>
  </si>
  <si>
    <t>ARMOUR ALL MULTI PURPOSE 16OZ</t>
  </si>
  <si>
    <t>AMPCT-500-1ANZ</t>
  </si>
  <si>
    <t>BARRIER CREAM 1 LTR B10</t>
  </si>
  <si>
    <t>B10-1</t>
  </si>
  <si>
    <t>PVC APRON</t>
  </si>
  <si>
    <t>AF1BK</t>
  </si>
  <si>
    <t>SHACKLE 1 T DEE</t>
  </si>
  <si>
    <t>IMPACT SOCKET 30MM</t>
  </si>
  <si>
    <t>IMPACT SOCKET 24MM</t>
  </si>
  <si>
    <t>72124-1</t>
  </si>
  <si>
    <t>IMPACT SOCKET 17MM</t>
  </si>
  <si>
    <t>F4</t>
  </si>
  <si>
    <t>RUBBER HAMMER 64OZ</t>
  </si>
  <si>
    <t>K9234</t>
  </si>
  <si>
    <t>TAPE ELECTRICAL PVC WHITE 20M</t>
  </si>
  <si>
    <t>CABLE TIES</t>
  </si>
  <si>
    <t>ACX1320</t>
  </si>
  <si>
    <t>ACX1317</t>
  </si>
  <si>
    <t>HAMMER SLEDGE 6LB COPPER</t>
  </si>
  <si>
    <t>TH316</t>
  </si>
  <si>
    <t>TALLY COUNTER CHROME</t>
  </si>
  <si>
    <t>TRU3025</t>
  </si>
  <si>
    <t>450MM ADUSTABLE WRENCH</t>
  </si>
  <si>
    <t>WRENCH ADJUSTABLE 300MM</t>
  </si>
  <si>
    <t>SHIFTER - 10" 250MM</t>
  </si>
  <si>
    <t>PODGER RATCHET 24 X 30MM</t>
  </si>
  <si>
    <t>SCMTRH2430</t>
  </si>
  <si>
    <t>TAPE MEASURE 8MT (26') LUFKIN</t>
  </si>
  <si>
    <t>UW148MEN</t>
  </si>
  <si>
    <t>CUTTER BOLT 600MM (24"") CENT</t>
  </si>
  <si>
    <t>CT24HLC</t>
  </si>
  <si>
    <t>PLIERS DIAGONAL 200MM INSULATE</t>
  </si>
  <si>
    <t>SCMT28517</t>
  </si>
  <si>
    <t>HAMMER THOR 44MM COPPER/COPPER</t>
  </si>
  <si>
    <t>TH314</t>
  </si>
  <si>
    <t>SAW  ECLIPSE</t>
  </si>
  <si>
    <t>SJ72-66XR</t>
  </si>
  <si>
    <t>CAP LAMP; KL12M 28;000 LUX</t>
  </si>
  <si>
    <t>DCLI-CL-KL12M-C</t>
  </si>
  <si>
    <t>On-Hand</t>
  </si>
  <si>
    <t>Location</t>
  </si>
  <si>
    <t>Part No.</t>
  </si>
  <si>
    <t>Issue Date</t>
  </si>
  <si>
    <t>Tools Register Sheet</t>
  </si>
  <si>
    <t>BYRNECUT - NAMIBIA - NAVACHAB</t>
  </si>
  <si>
    <t>A:B (E) POWDER NON-REFLECTIVE</t>
  </si>
  <si>
    <t>DESIGNATED WIRING IN POINT FOR LEVEL</t>
  </si>
  <si>
    <t xml:space="preserve">DEVELOPMENT FIRING LINE </t>
  </si>
  <si>
    <t xml:space="preserve">PRODUCTION FIRING LINE </t>
  </si>
  <si>
    <t>DEVELOPMENT FIRING LINE ISOLATOR</t>
  </si>
  <si>
    <t>PRODUCTION FIRING LINE ISOLATOR</t>
  </si>
  <si>
    <t xml:space="preserve">REFLECTIVE A:B (E) POWDER </t>
  </si>
  <si>
    <t>WARNING ELECTRICAL  SHOCK (INGO BOARD)</t>
  </si>
  <si>
    <t>DANGER 1100 V NO UNAUTHORIZED ACCES</t>
  </si>
  <si>
    <t>DESIGNATED FIRING POINT</t>
  </si>
  <si>
    <t xml:space="preserve">600x450 MTL C2 REF SPILL KIT </t>
  </si>
  <si>
    <t xml:space="preserve"> ASSEMBLY POINT</t>
  </si>
  <si>
    <t>DANGER DRILLING IN PROGRESS</t>
  </si>
  <si>
    <t>TAG BOARD CLOSED</t>
  </si>
  <si>
    <t>WHITE ON BLUE STENCH GAS RELEASE POINT</t>
  </si>
  <si>
    <t>DANGER TAG BOARD CLOSED</t>
  </si>
  <si>
    <t>NO ENTRY AUTHORISED PERSONNEL</t>
  </si>
  <si>
    <t>DANGER CONTACT OPERATOR BEFORE PROCEEDING</t>
  </si>
  <si>
    <t>TRAILING CABLE</t>
  </si>
  <si>
    <t>DANGER BOGGING IN PROGRESS</t>
  </si>
  <si>
    <t>SIGN, EMERGENCY EYE WASH</t>
  </si>
  <si>
    <t>FIRE EXTINGUISHER</t>
  </si>
  <si>
    <t>CALL UP POINT</t>
  </si>
  <si>
    <t>STOP</t>
  </si>
  <si>
    <t>NO SMOKING</t>
  </si>
  <si>
    <t>SPEED LIMIT 20</t>
  </si>
  <si>
    <t>A-FRAME 450X300</t>
  </si>
  <si>
    <t>WATER PIPE MARKER UNIVERSAL</t>
  </si>
  <si>
    <t>SIGN AIR PIPE MARKER BLUE</t>
  </si>
  <si>
    <t>MANDATORY PPE</t>
  </si>
  <si>
    <t>FOAM FIRE EXTINGUISHER</t>
  </si>
  <si>
    <t>DRY POWDER FIRE EXTINGUISHER</t>
  </si>
  <si>
    <t>SPEED LIMIT 30</t>
  </si>
  <si>
    <t>SPEED LIMIT 10</t>
  </si>
  <si>
    <t>WHITE ARROW GREEN BACKGROUND</t>
  </si>
  <si>
    <t>REFUGE CHAMBER</t>
  </si>
  <si>
    <t>HAVE YOU REMOVED YOUR TAG</t>
  </si>
  <si>
    <t>DANGER RE ENTRY IN PROGRESS</t>
  </si>
  <si>
    <t>DIAMOND HOLDER</t>
  </si>
  <si>
    <t>REFLECTIVE TAPE C2</t>
  </si>
  <si>
    <t>EXPLOSIVE DIAMONDS</t>
  </si>
  <si>
    <t>DANGER EXPLOSIVES</t>
  </si>
  <si>
    <t>DANGER NO ENTRY</t>
  </si>
  <si>
    <t>FIRST AID (GREEN AND WHITE)</t>
  </si>
  <si>
    <t>DANGER FIRING IN PROGRESS</t>
  </si>
  <si>
    <t>NO SMOKING STOP ENGINE</t>
  </si>
  <si>
    <t>DANGER NO SMOKING WITHIN 10 MTRS</t>
  </si>
  <si>
    <t>DANGER BLANK SIGN</t>
  </si>
  <si>
    <t>DANGER UNSUPPORTED GROUND</t>
  </si>
  <si>
    <t>DANGER CHARGING IN PROGRESS</t>
  </si>
  <si>
    <t>DANGER CHARGED FACE</t>
  </si>
  <si>
    <t>DANGER NO UNAUTHORISED ENTRY</t>
  </si>
  <si>
    <t>DANGER SUMP</t>
  </si>
  <si>
    <t>STOCK ON HAND</t>
  </si>
  <si>
    <t>OS</t>
  </si>
  <si>
    <t>SIGN</t>
  </si>
  <si>
    <t>RAGS</t>
  </si>
  <si>
    <t>SEM</t>
  </si>
  <si>
    <t xml:space="preserve"> </t>
  </si>
  <si>
    <t>available s</t>
  </si>
  <si>
    <t>20MM AL DIE CAST CAMLOCK M ADP TYPE E</t>
  </si>
  <si>
    <t>20MM AL DIE CAST CAM TYPE  C</t>
  </si>
  <si>
    <t>EPSON</t>
  </si>
  <si>
    <t>HOSE 75MM AIR-WATER DELIVERY M/P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</si>
</sst>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2" tint="-9.9978637043366805E-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ptos Narrow"/>
      <family val="2"/>
      <scheme val="minor"/>
    </font>
    <font>
      <sz val="8"/>
      <name val="Tahoma"/>
      <family val="2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33">
    <xf numFmtId="0" fontId="0" fillId="0" borderId="0" xfId="0"/>
    <xf numFmtId="0" fontId="0" fillId="0" borderId="4" xfId="0" applyBorder="1"/>
    <xf numFmtId="0" fontId="0" fillId="0" borderId="8" xfId="0" applyBorder="1"/>
    <xf numFmtId="0" fontId="4" fillId="0" borderId="0" xfId="0" applyFont="1"/>
    <xf numFmtId="0" fontId="3" fillId="0" borderId="0" xfId="0" applyFont="1"/>
    <xf numFmtId="0" fontId="4" fillId="0" borderId="4" xfId="0" applyFont="1" applyBorder="1"/>
    <xf numFmtId="14" fontId="4" fillId="0" borderId="3" xfId="0" applyNumberFormat="1" applyFont="1" applyBorder="1"/>
    <xf numFmtId="0" fontId="4" fillId="0" borderId="6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4" fontId="4" fillId="0" borderId="16" xfId="0" applyNumberFormat="1" applyFont="1" applyBorder="1"/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5" fillId="6" borderId="19" xfId="0" applyFont="1" applyFill="1" applyBorder="1" applyAlignment="1">
      <alignment vertical="center"/>
    </xf>
    <xf numFmtId="164" fontId="7" fillId="3" borderId="20" xfId="1" applyNumberFormat="1" applyFont="1" applyFill="1" applyBorder="1" applyAlignment="1"/>
    <xf numFmtId="0" fontId="0" fillId="0" borderId="20" xfId="0" applyBorder="1"/>
    <xf numFmtId="0" fontId="0" fillId="0" borderId="0" xfId="0" applyAlignment="1">
      <alignment horizontal="center"/>
    </xf>
    <xf numFmtId="0" fontId="8" fillId="7" borderId="21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9" fillId="3" borderId="23" xfId="1" applyNumberFormat="1" applyFont="1" applyFill="1" applyBorder="1" applyAlignment="1">
      <alignment horizontal="center"/>
    </xf>
    <xf numFmtId="0" fontId="9" fillId="3" borderId="24" xfId="0" quotePrefix="1" applyFont="1" applyFill="1" applyBorder="1" applyAlignment="1">
      <alignment horizontal="center"/>
    </xf>
    <xf numFmtId="0" fontId="9" fillId="3" borderId="25" xfId="0" applyFont="1" applyFill="1" applyBorder="1" applyAlignment="1">
      <alignment horizontal="left"/>
    </xf>
    <xf numFmtId="0" fontId="9" fillId="3" borderId="26" xfId="0" applyFont="1" applyFill="1" applyBorder="1" applyAlignment="1">
      <alignment horizontal="left"/>
    </xf>
    <xf numFmtId="0" fontId="9" fillId="3" borderId="24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9" fillId="3" borderId="0" xfId="0" applyFont="1" applyFill="1"/>
    <xf numFmtId="164" fontId="9" fillId="3" borderId="28" xfId="1" applyNumberFormat="1" applyFont="1" applyFill="1" applyBorder="1" applyAlignment="1">
      <alignment horizontal="center"/>
    </xf>
    <xf numFmtId="0" fontId="9" fillId="3" borderId="29" xfId="0" quotePrefix="1" applyFont="1" applyFill="1" applyBorder="1" applyAlignment="1">
      <alignment horizontal="center"/>
    </xf>
    <xf numFmtId="0" fontId="9" fillId="3" borderId="30" xfId="0" applyFont="1" applyFill="1" applyBorder="1" applyAlignment="1">
      <alignment horizontal="left"/>
    </xf>
    <xf numFmtId="0" fontId="9" fillId="3" borderId="29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14" fontId="9" fillId="3" borderId="29" xfId="0" quotePrefix="1" applyNumberFormat="1" applyFont="1" applyFill="1" applyBorder="1" applyAlignment="1">
      <alignment horizontal="center"/>
    </xf>
    <xf numFmtId="0" fontId="9" fillId="3" borderId="31" xfId="0" applyFont="1" applyFill="1" applyBorder="1" applyAlignment="1">
      <alignment horizontal="left"/>
    </xf>
    <xf numFmtId="0" fontId="9" fillId="3" borderId="32" xfId="0" applyFont="1" applyFill="1" applyBorder="1" applyAlignment="1">
      <alignment horizontal="left"/>
    </xf>
    <xf numFmtId="0" fontId="9" fillId="3" borderId="33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9" fillId="3" borderId="33" xfId="0" quotePrefix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19" xfId="0" applyFont="1" applyFill="1" applyBorder="1"/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4" fillId="0" borderId="35" xfId="0" applyNumberFormat="1" applyFont="1" applyBorder="1"/>
    <xf numFmtId="0" fontId="4" fillId="0" borderId="16" xfId="0" applyFont="1" applyBorder="1"/>
    <xf numFmtId="0" fontId="4" fillId="0" borderId="36" xfId="0" applyFont="1" applyBorder="1"/>
    <xf numFmtId="0" fontId="3" fillId="0" borderId="1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0" fillId="8" borderId="0" xfId="0" applyFont="1" applyFill="1" applyAlignment="1">
      <alignment vertical="center"/>
    </xf>
    <xf numFmtId="0" fontId="13" fillId="0" borderId="0" xfId="0" applyFont="1"/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/>
    <xf numFmtId="14" fontId="9" fillId="3" borderId="24" xfId="0" quotePrefix="1" applyNumberFormat="1" applyFont="1" applyFill="1" applyBorder="1" applyAlignment="1">
      <alignment horizontal="center"/>
    </xf>
    <xf numFmtId="0" fontId="16" fillId="0" borderId="0" xfId="0" applyFont="1"/>
    <xf numFmtId="0" fontId="17" fillId="3" borderId="0" xfId="0" applyFont="1" applyFill="1" applyAlignment="1">
      <alignment horizontal="left"/>
    </xf>
    <xf numFmtId="0" fontId="17" fillId="3" borderId="0" xfId="0" applyFont="1" applyFill="1"/>
    <xf numFmtId="0" fontId="3" fillId="5" borderId="18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3" borderId="3" xfId="0" applyNumberFormat="1" applyFont="1" applyFill="1" applyBorder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/>
    <xf numFmtId="0" fontId="4" fillId="3" borderId="0" xfId="0" applyFont="1" applyFill="1"/>
    <xf numFmtId="0" fontId="0" fillId="0" borderId="37" xfId="0" applyBorder="1"/>
    <xf numFmtId="0" fontId="0" fillId="0" borderId="7" xfId="0" applyBorder="1" applyAlignment="1">
      <alignment horizontal="center"/>
    </xf>
    <xf numFmtId="0" fontId="0" fillId="0" borderId="15" xfId="0" applyBorder="1"/>
    <xf numFmtId="0" fontId="0" fillId="0" borderId="3" xfId="0" applyBorder="1" applyAlignment="1">
      <alignment horizontal="center"/>
    </xf>
    <xf numFmtId="0" fontId="0" fillId="3" borderId="4" xfId="0" applyFill="1" applyBorder="1"/>
    <xf numFmtId="14" fontId="0" fillId="0" borderId="4" xfId="0" applyNumberFormat="1" applyBorder="1"/>
    <xf numFmtId="0" fontId="1" fillId="9" borderId="38" xfId="0" applyFont="1" applyFill="1" applyBorder="1"/>
    <xf numFmtId="0" fontId="1" fillId="9" borderId="16" xfId="0" applyFont="1" applyFill="1" applyBorder="1"/>
    <xf numFmtId="0" fontId="1" fillId="9" borderId="35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1" fillId="0" borderId="0" xfId="0" applyFont="1"/>
    <xf numFmtId="0" fontId="18" fillId="0" borderId="0" xfId="0" applyFont="1" applyAlignment="1">
      <alignment horizontal="center"/>
    </xf>
    <xf numFmtId="0" fontId="0" fillId="11" borderId="4" xfId="0" applyFill="1" applyBorder="1"/>
    <xf numFmtId="0" fontId="18" fillId="11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9" fillId="3" borderId="41" xfId="0" quotePrefix="1" applyFont="1" applyFill="1" applyBorder="1" applyAlignment="1">
      <alignment horizontal="center"/>
    </xf>
    <xf numFmtId="0" fontId="9" fillId="3" borderId="42" xfId="0" applyFont="1" applyFill="1" applyBorder="1" applyAlignment="1">
      <alignment horizontal="left"/>
    </xf>
    <xf numFmtId="0" fontId="19" fillId="12" borderId="4" xfId="0" applyFont="1" applyFill="1" applyBorder="1" applyAlignment="1">
      <alignment horizontal="center"/>
    </xf>
    <xf numFmtId="0" fontId="1" fillId="12" borderId="38" xfId="0" applyFont="1" applyFill="1" applyBorder="1"/>
    <xf numFmtId="0" fontId="0" fillId="12" borderId="15" xfId="0" applyFill="1" applyBorder="1"/>
    <xf numFmtId="0" fontId="1" fillId="9" borderId="4" xfId="0" applyFont="1" applyFill="1" applyBorder="1" applyAlignment="1">
      <alignment horizontal="center"/>
    </xf>
    <xf numFmtId="0" fontId="1" fillId="9" borderId="4" xfId="0" applyFont="1" applyFill="1" applyBorder="1"/>
    <xf numFmtId="0" fontId="0" fillId="12" borderId="4" xfId="0" applyFill="1" applyBorder="1"/>
    <xf numFmtId="14" fontId="4" fillId="0" borderId="1" xfId="0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0" xfId="0" applyFont="1" applyAlignment="1">
      <alignment horizontal="left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0" fontId="8" fillId="7" borderId="15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19" fillId="10" borderId="40" xfId="0" applyFont="1" applyFill="1" applyBorder="1" applyAlignment="1">
      <alignment horizontal="center"/>
    </xf>
    <xf numFmtId="0" fontId="19" fillId="10" borderId="39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10"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USAGE SHEETS - UPDATE -.xlsx]Drill Cons Iss Update!PivotTable1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GET USAGE PER RIG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'Drill Cons Iss Update'!$S$3:$S$4</c:f>
              <c:strCache>
                <c:ptCount val="1"/>
                <c:pt idx="0">
                  <c:v>DD122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'Drill Cons Iss Update'!$R$5:$R$24</c:f>
              <c:strCache>
                <c:ptCount val="19"/>
                <c:pt idx="0">
                  <c:v>A340X43MM BUTTON BIT</c:v>
                </c:pt>
                <c:pt idx="1">
                  <c:v>A340X45MM BUTTON BIT</c:v>
                </c:pt>
                <c:pt idx="2">
                  <c:v>A340X51MM RETRAC BIT</c:v>
                </c:pt>
                <c:pt idx="3">
                  <c:v>BIT ADAPTOR T45/T38M</c:v>
                </c:pt>
                <c:pt idx="4">
                  <c:v>BOLTING CENTRALISER DIA 66MM (GUIDE PIECE)</c:v>
                </c:pt>
                <c:pt idx="5">
                  <c:v>COUPLING SLEEVE T38/T45</c:v>
                </c:pt>
                <c:pt idx="6">
                  <c:v>MD BOLT DRIVER 900MM ""T"" THREA  </c:v>
                </c:pt>
                <c:pt idx="7">
                  <c:v>REAMING BIT A340 102MM          </c:v>
                </c:pt>
                <c:pt idx="8">
                  <c:v>SHANK T45 RD520/525 D45 L525</c:v>
                </c:pt>
                <c:pt idx="9">
                  <c:v>SPEEDY BIT A340X45MM XT49</c:v>
                </c:pt>
                <c:pt idx="10">
                  <c:v>T38 EXTENSION ROUND ROD L3050MM</c:v>
                </c:pt>
                <c:pt idx="11">
                  <c:v>T38X64MM BUTTON BIT</c:v>
                </c:pt>
                <c:pt idx="12">
                  <c:v>SHANK T38 RD520/525 D45 L525</c:v>
                </c:pt>
                <c:pt idx="13">
                  <c:v>DRIFTER ROD T38 H35 A340 L=309  </c:v>
                </c:pt>
                <c:pt idx="14">
                  <c:v>MF ROD T38 R39 L=3050MM         </c:v>
                </c:pt>
                <c:pt idx="15">
                  <c:v>DRIFTER ROD T38 R39 A340 L=491</c:v>
                </c:pt>
                <c:pt idx="16">
                  <c:v>DRIFTER ROD T38 H35 A340 L=370  </c:v>
                </c:pt>
                <c:pt idx="17">
                  <c:v>BORING CENTRALISER DIA 41MM      </c:v>
                </c:pt>
                <c:pt idx="18">
                  <c:v>COUPLING SLEEVE T38/T38</c:v>
                </c:pt>
              </c:strCache>
            </c:strRef>
          </c:cat>
          <c:val>
            <c:numRef>
              <c:f>'Drill Cons Iss Update'!$S$5:$S$24</c:f>
              <c:numCache>
                <c:formatCode>General</c:formatCode>
                <c:ptCount val="19"/>
                <c:pt idx="0">
                  <c:v>20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10</c:v>
                </c:pt>
                <c:pt idx="11">
                  <c:v>3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0D4-B120-7C993E557CFD}"/>
            </c:ext>
          </c:extLst>
        </c:ser>
        <c:ser>
          <c:idx val="1"/>
          <c:order val="1"/>
          <c:tx>
            <c:strRef>
              <c:f>'Drill Cons Iss Update'!$T$3:$T$4</c:f>
              <c:strCache>
                <c:ptCount val="1"/>
                <c:pt idx="0">
                  <c:v>DD159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'Drill Cons Iss Update'!$R$5:$R$24</c:f>
              <c:strCache>
                <c:ptCount val="19"/>
                <c:pt idx="0">
                  <c:v>A340X43MM BUTTON BIT</c:v>
                </c:pt>
                <c:pt idx="1">
                  <c:v>A340X45MM BUTTON BIT</c:v>
                </c:pt>
                <c:pt idx="2">
                  <c:v>A340X51MM RETRAC BIT</c:v>
                </c:pt>
                <c:pt idx="3">
                  <c:v>BIT ADAPTOR T45/T38M</c:v>
                </c:pt>
                <c:pt idx="4">
                  <c:v>BOLTING CENTRALISER DIA 66MM (GUIDE PIECE)</c:v>
                </c:pt>
                <c:pt idx="5">
                  <c:v>COUPLING SLEEVE T38/T45</c:v>
                </c:pt>
                <c:pt idx="6">
                  <c:v>MD BOLT DRIVER 900MM ""T"" THREA  </c:v>
                </c:pt>
                <c:pt idx="7">
                  <c:v>REAMING BIT A340 102MM          </c:v>
                </c:pt>
                <c:pt idx="8">
                  <c:v>SHANK T45 RD520/525 D45 L525</c:v>
                </c:pt>
                <c:pt idx="9">
                  <c:v>SPEEDY BIT A340X45MM XT49</c:v>
                </c:pt>
                <c:pt idx="10">
                  <c:v>T38 EXTENSION ROUND ROD L3050MM</c:v>
                </c:pt>
                <c:pt idx="11">
                  <c:v>T38X64MM BUTTON BIT</c:v>
                </c:pt>
                <c:pt idx="12">
                  <c:v>SHANK T38 RD520/525 D45 L525</c:v>
                </c:pt>
                <c:pt idx="13">
                  <c:v>DRIFTER ROD T38 H35 A340 L=309  </c:v>
                </c:pt>
                <c:pt idx="14">
                  <c:v>MF ROD T38 R39 L=3050MM         </c:v>
                </c:pt>
                <c:pt idx="15">
                  <c:v>DRIFTER ROD T38 R39 A340 L=491</c:v>
                </c:pt>
                <c:pt idx="16">
                  <c:v>DRIFTER ROD T38 H35 A340 L=370  </c:v>
                </c:pt>
                <c:pt idx="17">
                  <c:v>BORING CENTRALISER DIA 41MM      </c:v>
                </c:pt>
                <c:pt idx="18">
                  <c:v>COUPLING SLEEVE T38/T38</c:v>
                </c:pt>
              </c:strCache>
            </c:strRef>
          </c:cat>
          <c:val>
            <c:numRef>
              <c:f>'Drill Cons Iss Update'!$T$5:$T$24</c:f>
              <c:numCache>
                <c:formatCode>General</c:formatCode>
                <c:ptCount val="19"/>
                <c:pt idx="0">
                  <c:v>90</c:v>
                </c:pt>
                <c:pt idx="1">
                  <c:v>62</c:v>
                </c:pt>
                <c:pt idx="2">
                  <c:v>3</c:v>
                </c:pt>
                <c:pt idx="3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4</c:v>
                </c:pt>
                <c:pt idx="9">
                  <c:v>50</c:v>
                </c:pt>
                <c:pt idx="10">
                  <c:v>4</c:v>
                </c:pt>
                <c:pt idx="11">
                  <c:v>24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D-4C85-A224-9DACD30B1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7668448"/>
        <c:axId val="2057676128"/>
      </c:barChart>
      <c:catAx>
        <c:axId val="20576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76128"/>
        <c:crosses val="autoZero"/>
        <c:auto val="1"/>
        <c:lblAlgn val="ctr"/>
        <c:lblOffset val="100"/>
        <c:noMultiLvlLbl val="0"/>
      </c:catAx>
      <c:valAx>
        <c:axId val="20576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6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0</xdr:row>
      <xdr:rowOff>1</xdr:rowOff>
    </xdr:from>
    <xdr:to>
      <xdr:col>4</xdr:col>
      <xdr:colOff>1264921</xdr:colOff>
      <xdr:row>0</xdr:row>
      <xdr:rowOff>792481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D8EAA-3279-4C4D-85DA-33DC2986C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1264921" cy="792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14354</xdr:colOff>
      <xdr:row>27</xdr:row>
      <xdr:rowOff>34969</xdr:rowOff>
    </xdr:from>
    <xdr:to>
      <xdr:col>24</xdr:col>
      <xdr:colOff>269050</xdr:colOff>
      <xdr:row>45</xdr:row>
      <xdr:rowOff>105428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5A351E-24AB-2B96-D705-E04FD25EF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60960</xdr:rowOff>
    </xdr:from>
    <xdr:ext cx="941705" cy="810895"/>
    <xdr:pic>
      <xdr:nvPicPr>
        <xdr:cNvPr id="2" name="Picture 1">
          <a:extLst>
            <a:ext uri="{FF2B5EF4-FFF2-40B4-BE49-F238E27FC236}">
              <a16:creationId xmlns:a16="http://schemas.microsoft.com/office/drawing/2014/main" id="{0A7AB401-442D-4641-9E35-11FE0F23B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0960"/>
          <a:ext cx="941705" cy="8108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o-dc-2\users\Users\bennyh\Documents\SANBRADO%20WORKSHEETS\REQUISITIONS\MINING\2020%20REQUS\MIN_COS_005%20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4.%20P&amp;L%20STOCKSHEET/2026/4.%20April%202026/STOCK%20SHEET%20MASTER%20APRIL%202026.xlsm" TargetMode="External"/><Relationship Id="rId2" Type="http://schemas.openxmlformats.org/officeDocument/2006/relationships/externalLinkPath" Target="file:///M:\10.%20Stores%20&amp;%20Purchasing\01.%20PURCHASING%20STORES%20M%20DRIVE%20FOLDER%20TEMPLATE\02.%20STOCK%20SHEETS\04.%20P&amp;L%20STOCKSHEET\2026\4.%20April%202026\STOCK%20SHEET%20MASTER%20APRIL%202026.xlsm" TargetMode="External"/><Relationship Id="rId1" Type="http://schemas.openxmlformats.org/officeDocument/2006/relationships/externalLinkPath" Target="/10.%20Stores%20&amp;%20Purchasing/01.%20PURCHASING%20STORES%20M%20DRIVE%20FOLDER%20TEMPLATE/02.%20STOCK%20SHEETS/04.%20P&amp;L%20STOCKSHEET/2026/4.%20April%202026/STOCK%20SHEET%20MASTER%20AP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QUISITION"/>
      <sheetName val="PRONTO MULTIPLE"/>
      <sheetName val="PRONTO INVENTORY"/>
      <sheetName val="PRONTO SPECIALS"/>
      <sheetName val="BCM"/>
      <sheetName val="STAT"/>
      <sheetName val="OLD"/>
      <sheetName val="Sheet4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FULL DESCRIPTION</v>
          </cell>
        </row>
        <row r="2">
          <cell r="E2" t="str">
            <v>20200700</v>
          </cell>
          <cell r="F2" t="str">
            <v>1292025</v>
          </cell>
          <cell r="G2" t="str">
            <v>AF CLEANING WIPES SCREEN CLENE  SACHETS 100 PER BOX</v>
          </cell>
        </row>
        <row r="3">
          <cell r="E3" t="str">
            <v>87000002</v>
          </cell>
          <cell r="F3" t="str">
            <v>1292030</v>
          </cell>
          <cell r="G3" t="str">
            <v>AIR WICK AIR FRESHENER  LAVEND 237G</v>
          </cell>
        </row>
        <row r="4">
          <cell r="E4" t="str">
            <v>010005300</v>
          </cell>
          <cell r="F4" t="str">
            <v>1292035</v>
          </cell>
          <cell r="G4" t="str">
            <v>AIRDUSTER HFC FREE 400ML</v>
          </cell>
        </row>
        <row r="5">
          <cell r="E5" t="str">
            <v>87000283</v>
          </cell>
          <cell r="F5" t="str">
            <v>1292040</v>
          </cell>
          <cell r="G5" t="str">
            <v>AJAX CLEANER SPRAY AND WIPE REFILL CITRUS 750ML</v>
          </cell>
        </row>
        <row r="6">
          <cell r="E6" t="str">
            <v>87000012</v>
          </cell>
          <cell r="F6" t="str">
            <v>1292045</v>
          </cell>
          <cell r="G6" t="str">
            <v>ALLENS LOLLIES KOOL FRUITS SINGLE WRAPPED 5KG</v>
          </cell>
        </row>
        <row r="7">
          <cell r="E7" t="str">
            <v>87000018</v>
          </cell>
          <cell r="F7" t="str">
            <v>1292050</v>
          </cell>
          <cell r="G7" t="str">
            <v>ALLENS LOLLIES MINTIES 1KG</v>
          </cell>
        </row>
        <row r="8">
          <cell r="E8" t="str">
            <v>87000068</v>
          </cell>
          <cell r="F8" t="str">
            <v>1292055</v>
          </cell>
          <cell r="G8" t="str">
            <v>ARNOTTS BISCUITS ASSORTED CREA 3KG</v>
          </cell>
        </row>
        <row r="9">
          <cell r="E9" t="str">
            <v>87000091</v>
          </cell>
          <cell r="F9" t="str">
            <v>1292060</v>
          </cell>
          <cell r="G9" t="str">
            <v>ARNOTTS BISCUITS CLASSIC ASSOR 0.5KG</v>
          </cell>
        </row>
        <row r="10">
          <cell r="E10" t="str">
            <v>925001001</v>
          </cell>
          <cell r="F10" t="str">
            <v>1292065</v>
          </cell>
          <cell r="G10" t="str">
            <v>ARTLINE 200 FINELINER PEN 0.4MM 12 PER BOX</v>
          </cell>
        </row>
        <row r="11">
          <cell r="E11" t="str">
            <v>925010501</v>
          </cell>
          <cell r="F11" t="str">
            <v>1292070</v>
          </cell>
          <cell r="G11" t="str">
            <v>ARTLINE 3400 ERGOLINE FINELINE  PEN 0.4MM BLACK 12 PER BOX</v>
          </cell>
        </row>
        <row r="12">
          <cell r="E12" t="str">
            <v>16118028</v>
          </cell>
          <cell r="F12" t="str">
            <v>1292075</v>
          </cell>
          <cell r="G12" t="str">
            <v>ARTLINE 400XF PAINT MARKER BULLET POINT 2.3MM WHITE</v>
          </cell>
        </row>
        <row r="13">
          <cell r="E13" t="str">
            <v>38825504</v>
          </cell>
          <cell r="F13" t="str">
            <v>1292080</v>
          </cell>
          <cell r="G13" t="str">
            <v>ARTLINE ESA-2N STAMP PAD INK 50CC BLUE</v>
          </cell>
        </row>
        <row r="14">
          <cell r="E14" t="str">
            <v>88004067</v>
          </cell>
          <cell r="F14" t="str">
            <v>1292085</v>
          </cell>
          <cell r="G14" t="str">
            <v>AVERY COLOUR CODE LABELS SIDE TAB 25X38 L 180 PER PACK</v>
          </cell>
        </row>
        <row r="15">
          <cell r="E15" t="str">
            <v>88004059</v>
          </cell>
          <cell r="F15" t="str">
            <v>1292090</v>
          </cell>
          <cell r="G15" t="str">
            <v>AVERY COLOUR CODE LABELS SIDE TAB 25X38 C 180 PER PACK</v>
          </cell>
        </row>
        <row r="16">
          <cell r="E16" t="str">
            <v>88004060</v>
          </cell>
          <cell r="F16" t="str">
            <v>1292095</v>
          </cell>
          <cell r="G16" t="str">
            <v>AVERY COLOUR CODE LABELS SIDE TAB 25X38 D 180 PER PACK</v>
          </cell>
        </row>
        <row r="17">
          <cell r="E17" t="str">
            <v>88004074</v>
          </cell>
          <cell r="F17" t="str">
            <v>1292100</v>
          </cell>
          <cell r="G17" t="str">
            <v>AVERY COLOUR CODE LABELS SIDE TAB 25X38 S 180 PER PACK</v>
          </cell>
        </row>
        <row r="18">
          <cell r="E18" t="str">
            <v>88004078</v>
          </cell>
          <cell r="F18" t="str">
            <v>1292105</v>
          </cell>
          <cell r="G18" t="str">
            <v>AVERY COLOUR CODE LABELS SIDE TAB 25X38 W 180 PER PACK</v>
          </cell>
        </row>
        <row r="19">
          <cell r="E19" t="str">
            <v>88004058</v>
          </cell>
          <cell r="F19" t="str">
            <v>1292110</v>
          </cell>
          <cell r="G19" t="str">
            <v>AVERY COLOUR CODE LABELS SIDE TAB 25X38 B 180 PER PACK</v>
          </cell>
        </row>
        <row r="20">
          <cell r="E20" t="str">
            <v>88004061</v>
          </cell>
          <cell r="F20" t="str">
            <v>1292115</v>
          </cell>
          <cell r="G20" t="str">
            <v>AVERY COLOUR CODE LABELS SIDE TAB 25X38 E 180 PER PACK</v>
          </cell>
        </row>
        <row r="21">
          <cell r="E21" t="str">
            <v>88004070</v>
          </cell>
          <cell r="F21" t="str">
            <v>1292120</v>
          </cell>
          <cell r="G21" t="str">
            <v>AVERY COLOUR CODE LABELS SIDE TAB 25X38 O 180 PER PACK</v>
          </cell>
        </row>
        <row r="22">
          <cell r="E22" t="str">
            <v>88004068</v>
          </cell>
          <cell r="F22" t="str">
            <v>1292125</v>
          </cell>
          <cell r="G22" t="str">
            <v>AVERY COLOUR CODE LABELS SIDE TAB 25X38 M 180 PER PACK</v>
          </cell>
        </row>
        <row r="23">
          <cell r="E23" t="str">
            <v>88004073</v>
          </cell>
          <cell r="F23" t="str">
            <v>1292130</v>
          </cell>
          <cell r="G23" t="str">
            <v>AVERY COLOUR CODE LABELS SIDE TAB 25X38 R 180 PER PACK</v>
          </cell>
        </row>
        <row r="24">
          <cell r="E24" t="str">
            <v>88004057</v>
          </cell>
          <cell r="F24" t="str">
            <v>1292135</v>
          </cell>
          <cell r="G24" t="str">
            <v>AVERY COLOUR CODE LABELS SIDE TAB 25X38 A 180 PER PACK</v>
          </cell>
        </row>
        <row r="25">
          <cell r="E25" t="str">
            <v>39366024</v>
          </cell>
          <cell r="F25" t="str">
            <v>1292140</v>
          </cell>
          <cell r="G25" t="str">
            <v>AVERY FOLDERS MANILLA FOOLSCAP  RED 100 PER BOX</v>
          </cell>
        </row>
        <row r="26">
          <cell r="E26" t="str">
            <v>39366029</v>
          </cell>
          <cell r="F26" t="str">
            <v>1292145</v>
          </cell>
          <cell r="G26" t="str">
            <v>AVERY FOLDERS MANILLA FOOLSCAP  YELLOW 100 PER BOX</v>
          </cell>
        </row>
        <row r="27">
          <cell r="E27" t="str">
            <v>39366018</v>
          </cell>
          <cell r="F27" t="str">
            <v>1292150</v>
          </cell>
          <cell r="G27" t="str">
            <v>AVERY FOLDERS MANILLA FOOLSCAP  LIGHT BLUE 100 PER BOX</v>
          </cell>
        </row>
        <row r="28">
          <cell r="E28" t="str">
            <v>39366022</v>
          </cell>
          <cell r="F28" t="str">
            <v>1292155</v>
          </cell>
          <cell r="G28" t="str">
            <v>AVERY FOLDERS MANILLA FOOLSCAP PINK 100 PER BOX</v>
          </cell>
        </row>
        <row r="29">
          <cell r="E29" t="str">
            <v>22471200</v>
          </cell>
          <cell r="F29" t="str">
            <v>1292160</v>
          </cell>
          <cell r="G29" t="str">
            <v>AVERY LABELS LASER L7656 84UP MULTI-PURPOSE 25 25 PER PACK</v>
          </cell>
        </row>
        <row r="30">
          <cell r="E30" t="str">
            <v>39383900</v>
          </cell>
          <cell r="F30" t="str">
            <v>1292165</v>
          </cell>
          <cell r="G30" t="str">
            <v>AVERY LATERAL FILE SHELF FULLV UE 30MM GUSSET 100 PER BOX</v>
          </cell>
        </row>
        <row r="31">
          <cell r="E31" t="str">
            <v>38874000</v>
          </cell>
          <cell r="F31" t="str">
            <v>1292170</v>
          </cell>
          <cell r="G31" t="str">
            <v>AVERY TUBECLIP FASTENER 3 PCE SET YELLOW 100 PER BOX</v>
          </cell>
        </row>
        <row r="32">
          <cell r="E32" t="str">
            <v>39382400</v>
          </cell>
          <cell r="F32" t="str">
            <v>1292175</v>
          </cell>
          <cell r="G32" t="str">
            <v>AVERY TUBECLIP FILE FOOLSCAP GREEN BLACK PRINT 20 PER BOX</v>
          </cell>
        </row>
        <row r="33">
          <cell r="E33" t="str">
            <v>38875200</v>
          </cell>
          <cell r="F33" t="str">
            <v>1292180</v>
          </cell>
          <cell r="G33" t="str">
            <v>AVERY TUBECLIP SELF ADHESIVE BASE WHITE BOX 100 PER BOX</v>
          </cell>
        </row>
        <row r="34">
          <cell r="E34" t="str">
            <v>39801003</v>
          </cell>
          <cell r="F34" t="str">
            <v>1292185</v>
          </cell>
          <cell r="G34" t="str">
            <v>BANTEX BINDER RING A3 3D 38MM UPRIGHT  BLACK</v>
          </cell>
        </row>
        <row r="35">
          <cell r="E35" t="str">
            <v>39807200</v>
          </cell>
          <cell r="F35" t="str">
            <v>1292190</v>
          </cell>
          <cell r="G35" t="str">
            <v>BANTEX BINDER RING A3 3D 38MM LANDSCAPE BLACK</v>
          </cell>
        </row>
        <row r="36">
          <cell r="E36" t="str">
            <v>1003984</v>
          </cell>
          <cell r="F36" t="str">
            <v>1292195</v>
          </cell>
          <cell r="G36" t="str">
            <v>BANTEX CLIPBOARD A4 STANDARD PVC BLUE</v>
          </cell>
        </row>
        <row r="37">
          <cell r="E37" t="str">
            <v>38929000</v>
          </cell>
          <cell r="F37" t="str">
            <v>1292200</v>
          </cell>
          <cell r="G37" t="str">
            <v>BANTEX HOOK AND LOOP DOTS 22MM X1.8M WHITE 75 PER PACK</v>
          </cell>
        </row>
        <row r="38">
          <cell r="E38" t="str">
            <v>16191004</v>
          </cell>
          <cell r="F38" t="str">
            <v>1292205</v>
          </cell>
          <cell r="G38" t="str">
            <v>BIBBULMUN BALLPOINT PEN MEDIUM  POINT 1MM BLUE 12 PER BOX</v>
          </cell>
        </row>
        <row r="39">
          <cell r="E39" t="str">
            <v>16191003</v>
          </cell>
          <cell r="F39" t="str">
            <v>1292210</v>
          </cell>
          <cell r="G39" t="str">
            <v>BIBBULMUN BALLPOINT PEN MEDIUM  POINT 1MM  BLACK 12 PER BOX</v>
          </cell>
        </row>
        <row r="40">
          <cell r="E40" t="str">
            <v>39193900</v>
          </cell>
          <cell r="F40" t="str">
            <v>1292215</v>
          </cell>
          <cell r="G40" t="str">
            <v>BIBBULMUN BINDING COVER A4 200  MICRON 100 PER PACK</v>
          </cell>
        </row>
        <row r="41">
          <cell r="E41" t="str">
            <v>85105000</v>
          </cell>
          <cell r="F41" t="str">
            <v>1292220</v>
          </cell>
          <cell r="G41" t="str">
            <v>BIBBULMUN CALENDER REFILL TOP PUNCH 2020</v>
          </cell>
        </row>
        <row r="42">
          <cell r="E42" t="str">
            <v>39435000</v>
          </cell>
          <cell r="F42" t="str">
            <v>1292225</v>
          </cell>
          <cell r="G42" t="str">
            <v>BIBBULMUN DIVIDERS MANILLA A4 5 TAB BUFF</v>
          </cell>
        </row>
        <row r="43">
          <cell r="E43" t="str">
            <v>39440000</v>
          </cell>
          <cell r="F43" t="str">
            <v>1292230</v>
          </cell>
          <cell r="G43" t="str">
            <v>BIBBULMUN DIVIDERS MANILLA A4 5 TAB UNPUNCH WHITE</v>
          </cell>
        </row>
        <row r="44">
          <cell r="E44" t="str">
            <v>38887900</v>
          </cell>
          <cell r="F44" t="str">
            <v>1292235</v>
          </cell>
          <cell r="G44" t="str">
            <v>BIBBULMUN FOLDBACK CLIPS NO 0 15MM BLACK 12 PER PACK</v>
          </cell>
        </row>
        <row r="45">
          <cell r="E45" t="str">
            <v>38888000</v>
          </cell>
          <cell r="F45" t="str">
            <v>1292240</v>
          </cell>
          <cell r="G45" t="str">
            <v>BIBBULMUN FOLDBACK CLIPS NO 1 19MM BLACK 12 PER PACK</v>
          </cell>
        </row>
        <row r="46">
          <cell r="E46" t="str">
            <v>38889000</v>
          </cell>
          <cell r="F46" t="str">
            <v>1292245</v>
          </cell>
          <cell r="G46" t="str">
            <v>BIBBULMUN FOLDBACK CLIPS NO 2 25MM BLACK 12 PER PACK</v>
          </cell>
        </row>
        <row r="47">
          <cell r="E47" t="str">
            <v>38890000</v>
          </cell>
          <cell r="F47" t="str">
            <v>1292250</v>
          </cell>
          <cell r="G47" t="str">
            <v>BIBBULMUN FOLDBACK CLIPS NO 3 32MM BLACK 12 PER PACK</v>
          </cell>
        </row>
        <row r="48">
          <cell r="E48" t="str">
            <v>38891000</v>
          </cell>
          <cell r="F48" t="str">
            <v>1292255</v>
          </cell>
          <cell r="G48" t="str">
            <v>BIBBULMUN FOLDBACK CLIPS NO 4 41MM BLACK 12 PER PACK</v>
          </cell>
        </row>
        <row r="49">
          <cell r="E49" t="str">
            <v>38892000</v>
          </cell>
          <cell r="F49" t="str">
            <v>1292260</v>
          </cell>
          <cell r="G49" t="str">
            <v>BIBBULMUN FOLDBACK CLIPS NO 5 51MM BLACK 12 PER PACK</v>
          </cell>
        </row>
        <row r="50">
          <cell r="E50" t="str">
            <v>915040206</v>
          </cell>
          <cell r="F50" t="str">
            <v>1292265</v>
          </cell>
          <cell r="G50" t="str">
            <v>BIBBULMUN HIGHLIGHTER CHISEL POINT YELLOW 12 PER BOX</v>
          </cell>
        </row>
        <row r="51">
          <cell r="E51" t="str">
            <v>915040205</v>
          </cell>
          <cell r="F51" t="str">
            <v>1292270</v>
          </cell>
          <cell r="G51" t="str">
            <v>BIBBULMUN HIGHLIGHTER CHISEL POINT ORANGE 12 PER BOX</v>
          </cell>
        </row>
        <row r="52">
          <cell r="E52" t="str">
            <v>915040204</v>
          </cell>
          <cell r="F52" t="str">
            <v>1292275</v>
          </cell>
          <cell r="G52" t="str">
            <v>BIBBULMUN HIGHLIGHTER CHISEL POINT GREEN 12 PER BOX</v>
          </cell>
        </row>
        <row r="53">
          <cell r="E53" t="str">
            <v>915040207</v>
          </cell>
          <cell r="F53" t="str">
            <v>1292280</v>
          </cell>
          <cell r="G53" t="str">
            <v>BIBBULMUN HIGHLIGHTER CHISEL POINT PINK 12 PER BOX</v>
          </cell>
        </row>
        <row r="54">
          <cell r="E54" t="str">
            <v>915040202</v>
          </cell>
          <cell r="F54" t="str">
            <v>1292290</v>
          </cell>
          <cell r="G54" t="str">
            <v>BIBBULMUN HIGHLIGHTER CHISEL POINT BLUE 12 PER BOX</v>
          </cell>
        </row>
        <row r="55">
          <cell r="E55" t="str">
            <v>87001108</v>
          </cell>
          <cell r="F55" t="str">
            <v>1292300</v>
          </cell>
          <cell r="G55" t="str">
            <v>BIBBULMUN KITCHEN TOWEL ROLL 60 SHEETS 100 PER PACK</v>
          </cell>
        </row>
        <row r="56">
          <cell r="E56" t="str">
            <v>1037602</v>
          </cell>
          <cell r="F56" t="str">
            <v>1292305</v>
          </cell>
          <cell r="G56" t="str">
            <v>BIBBULMUN LAMINATING POUCH A3 100 MICRON CLEAR 100 PER PACK</v>
          </cell>
        </row>
        <row r="57">
          <cell r="E57" t="str">
            <v>1037601</v>
          </cell>
          <cell r="F57" t="str">
            <v>1292310</v>
          </cell>
          <cell r="G57" t="str">
            <v>BIBBULMUN LAMINATING POUCH A4 100 MICRON CLEAR 100 PER PACK</v>
          </cell>
        </row>
        <row r="58">
          <cell r="E58" t="str">
            <v>39402400</v>
          </cell>
          <cell r="F58" t="str">
            <v>1292315</v>
          </cell>
          <cell r="G58" t="str">
            <v>BIBBULMUN LAMINATING POUCH A4 80 MICRON CLEAR 100 PER BOX</v>
          </cell>
        </row>
        <row r="59">
          <cell r="E59" t="str">
            <v>39366000</v>
          </cell>
          <cell r="F59" t="str">
            <v>1292325</v>
          </cell>
          <cell r="G59" t="str">
            <v>BIBBULMUN MANILLA FOLDERS FOOL SCAP BUFF PACK 100 PER BOX</v>
          </cell>
        </row>
        <row r="60">
          <cell r="E60" t="str">
            <v>660185000</v>
          </cell>
          <cell r="F60" t="str">
            <v>1292330</v>
          </cell>
          <cell r="G60" t="str">
            <v>BIBBULMUN NOTEBOOK A4 SPIRAL SIDE OPEN 120 PAGES</v>
          </cell>
        </row>
        <row r="61">
          <cell r="E61" t="str">
            <v>1017867</v>
          </cell>
          <cell r="F61" t="str">
            <v>1292335</v>
          </cell>
          <cell r="G61" t="str">
            <v>BIBBULMUN NOTEBOOK A4 SPIRAL SIDE OPEN 240 PAGES</v>
          </cell>
        </row>
        <row r="62">
          <cell r="E62" t="str">
            <v>34310600</v>
          </cell>
          <cell r="F62" t="str">
            <v>1292340</v>
          </cell>
          <cell r="G62" t="str">
            <v>BIBBULMUN NOTEBOOK A5 SPIRAL SIDE OPEN 300 PAGES</v>
          </cell>
        </row>
        <row r="63">
          <cell r="E63" t="str">
            <v>34184900</v>
          </cell>
          <cell r="F63" t="str">
            <v>1292345</v>
          </cell>
          <cell r="G63" t="str">
            <v>BIBBULMUN NOTEBOOK A5 SPIRAL SIDE OPEN 200 PAGES</v>
          </cell>
        </row>
        <row r="64">
          <cell r="E64" t="str">
            <v>1025260</v>
          </cell>
          <cell r="F64" t="str">
            <v>1292350</v>
          </cell>
          <cell r="G64" t="str">
            <v>BIBBULMUN NOTEBOOK A5 SPIRAL TOP OPEN 300 PAGES</v>
          </cell>
        </row>
        <row r="65">
          <cell r="E65" t="str">
            <v>645203000</v>
          </cell>
          <cell r="F65" t="str">
            <v>1292355</v>
          </cell>
          <cell r="G65" t="str">
            <v>BIBBULMUN PAD PREMIUM RULED A4  BANK WHITE 10 PER PACK</v>
          </cell>
        </row>
        <row r="66">
          <cell r="E66" t="str">
            <v>38882000</v>
          </cell>
          <cell r="F66" t="str">
            <v>1292360</v>
          </cell>
          <cell r="G66" t="str">
            <v>BIBBULMUN PAPER CLIPS GIANT 50MM SILVER 100 PER PACK</v>
          </cell>
        </row>
        <row r="67">
          <cell r="E67" t="str">
            <v>38881000</v>
          </cell>
          <cell r="F67" t="str">
            <v>1292365</v>
          </cell>
          <cell r="G67" t="str">
            <v>BIBBULMUN PAPER CLIPS LARGE 33MM SILVER 100 PER PACK</v>
          </cell>
        </row>
        <row r="68">
          <cell r="E68" t="str">
            <v>38880000</v>
          </cell>
          <cell r="F68" t="str">
            <v>1292370</v>
          </cell>
          <cell r="G68" t="str">
            <v>BIBBULMUN PAPER CLIPS SMALL 28MM SILVER 100 PER PACK</v>
          </cell>
        </row>
        <row r="69">
          <cell r="E69" t="str">
            <v>9027494</v>
          </cell>
          <cell r="F69" t="str">
            <v>1292375</v>
          </cell>
          <cell r="G69" t="str">
            <v>BIBBULMUN PERMANENT MARKER BULLET POINT GREEN 12 PER BOX</v>
          </cell>
        </row>
        <row r="70">
          <cell r="E70" t="str">
            <v>9027493</v>
          </cell>
          <cell r="F70" t="str">
            <v>1292380</v>
          </cell>
          <cell r="G70" t="str">
            <v>BIBBULMUN PERMANENT MARKER BULLET POINT RED 12 PER BOX</v>
          </cell>
        </row>
        <row r="71">
          <cell r="E71" t="str">
            <v>9027492</v>
          </cell>
          <cell r="F71" t="str">
            <v>1292385</v>
          </cell>
          <cell r="G71" t="str">
            <v>BIBBULMUN PERMANENT MARKER BULLET POINT BLUE 12 PER BOX</v>
          </cell>
        </row>
        <row r="72">
          <cell r="E72" t="str">
            <v>1050865</v>
          </cell>
          <cell r="F72" t="str">
            <v>1292390</v>
          </cell>
          <cell r="G72" t="str">
            <v>BIBBULMUN PERMANENT MARKER BULLET POINT BLACK 12 PER BOX</v>
          </cell>
        </row>
        <row r="73">
          <cell r="E73" t="str">
            <v>9025615</v>
          </cell>
          <cell r="F73" t="str">
            <v>1292395</v>
          </cell>
          <cell r="G73" t="str">
            <v>BIBBULMUN RETRACTABLE BALLPOIN T PEN ECONOMY MED BLUE 12 PER BOX</v>
          </cell>
        </row>
        <row r="74">
          <cell r="E74" t="str">
            <v>1048421</v>
          </cell>
          <cell r="F74" t="str">
            <v>1292400</v>
          </cell>
          <cell r="G74" t="str">
            <v>BIBBULMUN RETRACTABLE BALLPOIN T PEN ECONOMY MED BLACK 12 PER BOX</v>
          </cell>
        </row>
        <row r="75">
          <cell r="E75" t="str">
            <v>39112600</v>
          </cell>
          <cell r="F75" t="str">
            <v>1292405</v>
          </cell>
          <cell r="G75" t="str">
            <v>BIBBULMUN SHEET PROTECTORS A4 35 MICRONS CLEAR 100 PER BOX</v>
          </cell>
        </row>
        <row r="76">
          <cell r="E76" t="str">
            <v>1017876</v>
          </cell>
          <cell r="F76" t="str">
            <v>1292410</v>
          </cell>
          <cell r="G76" t="str">
            <v>BIBBULMUN STAPLER FULL STRIP 26 6 BLACK</v>
          </cell>
        </row>
        <row r="77">
          <cell r="E77" t="str">
            <v>1017837</v>
          </cell>
          <cell r="F77" t="str">
            <v>1292415</v>
          </cell>
          <cell r="G77" t="str">
            <v>BIBBULMUN STAPLES 26/6 SILVER  5000 PER BOX</v>
          </cell>
        </row>
        <row r="78">
          <cell r="E78" t="str">
            <v>925700504</v>
          </cell>
          <cell r="F78" t="str">
            <v>1292420</v>
          </cell>
          <cell r="G78" t="str">
            <v>BIBBULMUN WHITEBOARD MARKER BULLET POINT  GREEN 10 PER BOX</v>
          </cell>
        </row>
        <row r="79">
          <cell r="E79" t="str">
            <v>925700503</v>
          </cell>
          <cell r="F79" t="str">
            <v>1292425</v>
          </cell>
          <cell r="G79" t="str">
            <v>BIBBULMUN WHITEBOARD MARKER BULLET POINT  RED 10 PER BOX</v>
          </cell>
        </row>
        <row r="80">
          <cell r="E80" t="str">
            <v>925700501</v>
          </cell>
          <cell r="F80" t="str">
            <v>1292430</v>
          </cell>
          <cell r="G80" t="str">
            <v>BIBBULMUN WHITEBOARD MARKER BULLET POINT  BLACK 10 PER BOX</v>
          </cell>
        </row>
        <row r="81">
          <cell r="E81" t="str">
            <v>925700502</v>
          </cell>
          <cell r="F81" t="str">
            <v>1292435</v>
          </cell>
          <cell r="G81" t="str">
            <v>BIBBULMUN WHITEBOARD MARKER BULLET POINT  BLUE 10 PER BOX</v>
          </cell>
        </row>
        <row r="82">
          <cell r="E82" t="str">
            <v>16196024</v>
          </cell>
          <cell r="F82" t="str">
            <v>1292440</v>
          </cell>
          <cell r="G82" t="str">
            <v>BIC CRISTAL BALLPOINT PEN MED 1MM  RED 12 PER PACK</v>
          </cell>
        </row>
        <row r="83">
          <cell r="E83" t="str">
            <v>16196004</v>
          </cell>
          <cell r="F83" t="str">
            <v>1292445</v>
          </cell>
          <cell r="G83" t="str">
            <v>BIC CRISTAL BALLPOINT PEN MED 1MM  BLUE 12 PER PACK</v>
          </cell>
        </row>
        <row r="84">
          <cell r="E84" t="str">
            <v>16196003</v>
          </cell>
          <cell r="F84" t="str">
            <v>1292450</v>
          </cell>
          <cell r="G84" t="str">
            <v>BIC CRISTAL BALLPOINT PEN MED 1MM  BLACK 12 PER PACK</v>
          </cell>
        </row>
        <row r="85">
          <cell r="E85" t="str">
            <v>9023856</v>
          </cell>
          <cell r="F85" t="str">
            <v>1292455</v>
          </cell>
          <cell r="G85" t="str">
            <v>BINDER A4 LEVER ARCH MARBIG ORANGE</v>
          </cell>
        </row>
        <row r="86">
          <cell r="E86" t="str">
            <v>9023855</v>
          </cell>
          <cell r="F86" t="str">
            <v>1292460</v>
          </cell>
          <cell r="G86" t="str">
            <v>BINDER A4 LEVER ARCH MARBIG BLACK</v>
          </cell>
        </row>
        <row r="87">
          <cell r="E87" t="str">
            <v>9023682</v>
          </cell>
          <cell r="F87" t="str">
            <v>1292465</v>
          </cell>
          <cell r="G87" t="str">
            <v>BINDER A4 LEVER ARCH MARBIG RED</v>
          </cell>
        </row>
        <row r="88">
          <cell r="E88" t="str">
            <v>9033513</v>
          </cell>
          <cell r="F88" t="str">
            <v>1292470</v>
          </cell>
          <cell r="G88" t="str">
            <v>BINDER A4 LEVER ARCH MARBIG GREY</v>
          </cell>
        </row>
        <row r="89">
          <cell r="E89" t="str">
            <v>9033512</v>
          </cell>
          <cell r="F89" t="str">
            <v>1292475</v>
          </cell>
          <cell r="G89" t="str">
            <v>BINDER A4 LEVER ARCH MARBIG WHITE</v>
          </cell>
        </row>
        <row r="90">
          <cell r="E90" t="str">
            <v>39321028</v>
          </cell>
          <cell r="F90" t="str">
            <v>1292480</v>
          </cell>
          <cell r="G90" t="str">
            <v>BINDER INSERT CLEARVIEW RING A4 4D 50MM WHITE</v>
          </cell>
        </row>
        <row r="91">
          <cell r="E91" t="str">
            <v>39299028</v>
          </cell>
          <cell r="F91" t="str">
            <v>1292485</v>
          </cell>
          <cell r="G91" t="str">
            <v>BINDER INSERT CLEARVIEW RING A4 3D 38MM WHITE</v>
          </cell>
        </row>
        <row r="92">
          <cell r="E92" t="str">
            <v>39320028</v>
          </cell>
          <cell r="F92" t="str">
            <v>1292490</v>
          </cell>
          <cell r="G92" t="str">
            <v>BINDER INSERT CLEARVIEW RING A4 3D 50MM WHITE</v>
          </cell>
        </row>
        <row r="93">
          <cell r="E93" t="str">
            <v>39310028</v>
          </cell>
          <cell r="F93" t="str">
            <v>1292495</v>
          </cell>
          <cell r="G93" t="str">
            <v>BINDER INSERT CLEARVIEW RING A4 2D 50MM WHITE</v>
          </cell>
        </row>
        <row r="94">
          <cell r="E94" t="str">
            <v>39296028</v>
          </cell>
          <cell r="F94" t="str">
            <v>1292500</v>
          </cell>
          <cell r="G94" t="str">
            <v>BINDER INSERT CLEARVIEW RING A4 3D 25MM WHITE</v>
          </cell>
        </row>
        <row r="95">
          <cell r="E95" t="str">
            <v>39298028</v>
          </cell>
          <cell r="F95" t="str">
            <v>1292505</v>
          </cell>
          <cell r="G95" t="str">
            <v>BINDER INSERT CLEARVIEW RING A4 2D 38MM WHITE</v>
          </cell>
        </row>
        <row r="96">
          <cell r="E96" t="str">
            <v>39295028</v>
          </cell>
          <cell r="F96" t="str">
            <v>1292510</v>
          </cell>
          <cell r="G96" t="str">
            <v>BINDER INSERT CLEARVIEW RING A4 2D 25MM WHITE</v>
          </cell>
        </row>
        <row r="97">
          <cell r="E97" t="str">
            <v>39194403</v>
          </cell>
          <cell r="F97" t="str">
            <v>1292515</v>
          </cell>
          <cell r="G97" t="str">
            <v>BINDING COMB PLASTIC 10MM 21 RING COIL  BLACK 100 PER BOX</v>
          </cell>
        </row>
        <row r="98">
          <cell r="E98" t="str">
            <v>39194503</v>
          </cell>
          <cell r="F98" t="str">
            <v>1292520</v>
          </cell>
          <cell r="G98" t="str">
            <v>BINDING COMB PLASTIC 12MM 21 RING COIL BLACK 100 PER BOX</v>
          </cell>
        </row>
        <row r="99">
          <cell r="E99" t="str">
            <v>39194703</v>
          </cell>
          <cell r="F99" t="str">
            <v>1292525</v>
          </cell>
          <cell r="G99" t="str">
            <v>BINDING COMB PLASTIC 16MM 21 RING COIL PACK 100 BLACK 100 PER BOX</v>
          </cell>
        </row>
        <row r="100">
          <cell r="E100" t="str">
            <v>39195003</v>
          </cell>
          <cell r="F100" t="str">
            <v>1292530</v>
          </cell>
          <cell r="G100" t="str">
            <v>BINDING COMB PLASTIC 25MM 21 RING COIL PACK 50 BLACK 50 PER BOX</v>
          </cell>
        </row>
        <row r="101">
          <cell r="E101" t="str">
            <v>39194303</v>
          </cell>
          <cell r="F101" t="str">
            <v>1292535</v>
          </cell>
          <cell r="G101" t="str">
            <v>BINDING COMB PLASTIC 8MM 21 RING COIL BLACK 100 PER BOX</v>
          </cell>
        </row>
        <row r="102">
          <cell r="E102" t="str">
            <v>810303001</v>
          </cell>
          <cell r="F102" t="str">
            <v>1292540</v>
          </cell>
          <cell r="G102" t="str">
            <v>BINDING COVERS LEATHERGRAIN A4 BLUE 100 PER PACK</v>
          </cell>
        </row>
        <row r="103">
          <cell r="E103" t="str">
            <v>1053731</v>
          </cell>
          <cell r="F103" t="str">
            <v>1292550</v>
          </cell>
          <cell r="G103" t="str">
            <v>BIOPAK WOODEN STIRRERS 14CM FSC 100% 1000 PER PACK</v>
          </cell>
        </row>
        <row r="104">
          <cell r="E104" t="str">
            <v>9023551</v>
          </cell>
          <cell r="F104" t="str">
            <v>1292555</v>
          </cell>
          <cell r="G104" t="str">
            <v>BOARD RAINBOW A4 200GSM BUFF  200 PER PACK</v>
          </cell>
        </row>
        <row r="105">
          <cell r="E105" t="str">
            <v>38923000</v>
          </cell>
          <cell r="F105" t="str">
            <v>1292560</v>
          </cell>
          <cell r="G105" t="str">
            <v>BOSTIK BLUTACK 75GM BLUE</v>
          </cell>
        </row>
        <row r="106">
          <cell r="E106" t="str">
            <v>135009400</v>
          </cell>
          <cell r="F106" t="str">
            <v>1292565</v>
          </cell>
          <cell r="G106" t="str">
            <v>BOX ARCHIVE 80011 Q/FOLD W/LID  20 PER BOX</v>
          </cell>
        </row>
        <row r="107">
          <cell r="E107" t="str">
            <v>87000973</v>
          </cell>
          <cell r="F107" t="str">
            <v>1292570</v>
          </cell>
          <cell r="G107" t="str">
            <v>BUNDABERG WHITE SUGAR 2KG</v>
          </cell>
        </row>
        <row r="108">
          <cell r="E108" t="str">
            <v>1042257</v>
          </cell>
          <cell r="F108" t="str">
            <v>1292575</v>
          </cell>
          <cell r="G108" t="str">
            <v>CABINET DOCUMENT A4 5 DRAW BLK</v>
          </cell>
        </row>
        <row r="109">
          <cell r="E109" t="str">
            <v>1002243</v>
          </cell>
          <cell r="F109" t="str">
            <v>1292580</v>
          </cell>
          <cell r="G109" t="str">
            <v>CALC CASIO FX100AU SCIENTIFIC</v>
          </cell>
        </row>
        <row r="110">
          <cell r="E110" t="str">
            <v>85109000</v>
          </cell>
          <cell r="F110" t="str">
            <v>1292585</v>
          </cell>
          <cell r="G110" t="str">
            <v>CALENDER STAND TOP PUNCH SMOKE</v>
          </cell>
        </row>
        <row r="111">
          <cell r="E111" t="str">
            <v>12106000</v>
          </cell>
          <cell r="F111" t="str">
            <v>1292590</v>
          </cell>
          <cell r="G111" t="str">
            <v>CANON CALCULATOR LS100TS 10 DIGIT DESKTOP</v>
          </cell>
        </row>
        <row r="112">
          <cell r="E112" t="str">
            <v>1019425</v>
          </cell>
          <cell r="F112" t="str">
            <v>1292595</v>
          </cell>
          <cell r="G112" t="str">
            <v>CAPRI CUP FOAM HOT AND COLD 355ML WHITE 500 PER BOX</v>
          </cell>
        </row>
        <row r="113">
          <cell r="E113" t="str">
            <v>87000400</v>
          </cell>
          <cell r="F113" t="str">
            <v>1292600</v>
          </cell>
          <cell r="G113" t="str">
            <v>CAPRI PLASTIC DESSERT SPOON WHITE 100 PER PACK</v>
          </cell>
        </row>
        <row r="114">
          <cell r="E114" t="str">
            <v>87000575</v>
          </cell>
          <cell r="F114" t="str">
            <v>1292605</v>
          </cell>
          <cell r="G114" t="str">
            <v>CAPRI PLASTIC FORKS WHITE PACK  100 PER PACK</v>
          </cell>
        </row>
        <row r="115">
          <cell r="E115" t="str">
            <v>87000631</v>
          </cell>
          <cell r="F115" t="str">
            <v>1292610</v>
          </cell>
          <cell r="G115" t="str">
            <v>CAPRI PLASTIC KNIVES WHITE  100 PER PACK</v>
          </cell>
        </row>
        <row r="116">
          <cell r="E116" t="str">
            <v>87001050</v>
          </cell>
          <cell r="F116" t="str">
            <v>1292615</v>
          </cell>
          <cell r="G116" t="str">
            <v>CAPRI PLASTIC TEASPOONS WHITE  100 PER PACK</v>
          </cell>
        </row>
        <row r="117">
          <cell r="E117" t="str">
            <v>38117103</v>
          </cell>
          <cell r="F117" t="str">
            <v>1292620</v>
          </cell>
          <cell r="G117" t="str">
            <v>CARVEN DOCUMENT FRAME BLACK A4</v>
          </cell>
        </row>
        <row r="118">
          <cell r="E118" t="str">
            <v>1001425</v>
          </cell>
          <cell r="F118" t="str">
            <v>1292625</v>
          </cell>
          <cell r="G118" t="str">
            <v>CASIO CALCULATOR FX-82AU PLUS II - SCIENTIFIC</v>
          </cell>
        </row>
        <row r="119">
          <cell r="E119" t="str">
            <v>22489900</v>
          </cell>
          <cell r="F119" t="str">
            <v>1292630</v>
          </cell>
          <cell r="G119" t="str">
            <v>CELCAST LABELS LASER DL04 99.1 X139MM 4UP 100 PER BOX</v>
          </cell>
        </row>
        <row r="120">
          <cell r="E120" t="str">
            <v>22489600</v>
          </cell>
          <cell r="F120" t="str">
            <v>1292635</v>
          </cell>
          <cell r="G120" t="str">
            <v>CELCAST LABELS LASER DL14 99.1 X38.1MM 14UP 100 PER BOX</v>
          </cell>
        </row>
        <row r="121">
          <cell r="E121" t="str">
            <v>735040000</v>
          </cell>
          <cell r="F121" t="str">
            <v>1292640</v>
          </cell>
          <cell r="G121" t="str">
            <v>CLEANER RESTORER WHITEBOARD 250ML</v>
          </cell>
        </row>
        <row r="122">
          <cell r="E122" t="str">
            <v>39194603</v>
          </cell>
          <cell r="F122" t="str">
            <v>1292645</v>
          </cell>
          <cell r="G122" t="str">
            <v>COIL BINDERS 14MM 21RING BLACK  100 PER BOX</v>
          </cell>
        </row>
        <row r="123">
          <cell r="E123" t="str">
            <v>34177300</v>
          </cell>
          <cell r="F123" t="str">
            <v>1292650</v>
          </cell>
          <cell r="G123" t="str">
            <v>COLLINS ACCOUNT BOOK 3880 SERIES A4 84 LEAF RED DAY</v>
          </cell>
        </row>
        <row r="124">
          <cell r="E124" t="str">
            <v>38869500</v>
          </cell>
          <cell r="F124" t="str">
            <v>1292655</v>
          </cell>
          <cell r="G124" t="str">
            <v>COLOP P20 CUSTOM SELFINKING STAMPS 4 LINES BLACK</v>
          </cell>
        </row>
        <row r="125">
          <cell r="E125" t="str">
            <v>38869200</v>
          </cell>
          <cell r="F125" t="str">
            <v>1292660</v>
          </cell>
          <cell r="G125" t="str">
            <v>COLOP P30 CUSTOM SELFINKING STAMPS 5 LINES BLACK</v>
          </cell>
        </row>
        <row r="126">
          <cell r="E126" t="str">
            <v>38869300</v>
          </cell>
          <cell r="F126" t="str">
            <v>1292665</v>
          </cell>
          <cell r="G126" t="str">
            <v>COLOP P40 CUSTOM SELFINKING STAMPS 6 LINES BLACK</v>
          </cell>
        </row>
        <row r="127">
          <cell r="E127" t="str">
            <v>530113100</v>
          </cell>
          <cell r="F127" t="str">
            <v>1292670</v>
          </cell>
          <cell r="G127" t="str">
            <v>CONNOISSEUR CURVE FORK SS 12 PER BOX</v>
          </cell>
        </row>
        <row r="128">
          <cell r="E128" t="str">
            <v>530113000</v>
          </cell>
          <cell r="F128" t="str">
            <v>1292675</v>
          </cell>
          <cell r="G128" t="str">
            <v>CONNOISSEUR CURVE KNIFE SS  12 PER BOX</v>
          </cell>
        </row>
        <row r="129">
          <cell r="E129" t="str">
            <v>1034449</v>
          </cell>
          <cell r="F129" t="str">
            <v>1292680</v>
          </cell>
          <cell r="G129" t="str">
            <v>COPY RIGHT COPY PAPER LASER A4  80GSM WHITE</v>
          </cell>
        </row>
        <row r="130">
          <cell r="E130" t="str">
            <v>1007130</v>
          </cell>
          <cell r="F130" t="str">
            <v>1292685</v>
          </cell>
          <cell r="G130" t="str">
            <v>COPY RIGHT LASER PAPER A3 80GSM WHITE</v>
          </cell>
        </row>
        <row r="131">
          <cell r="E131" t="str">
            <v>1039377</v>
          </cell>
          <cell r="F131" t="str">
            <v>1292690</v>
          </cell>
          <cell r="G131" t="str">
            <v>CORKBOARD DELI 1200 X 900</v>
          </cell>
        </row>
        <row r="132">
          <cell r="E132" t="str">
            <v>1006666</v>
          </cell>
          <cell r="F132" t="str">
            <v>1292695</v>
          </cell>
          <cell r="G132" t="str">
            <v>CRYSTALFILE SUSPENSION FILES FOOLSCAP CLASSIC 50 PER BOX</v>
          </cell>
        </row>
        <row r="133">
          <cell r="E133" t="str">
            <v>140020700</v>
          </cell>
          <cell r="F133" t="str">
            <v>1292700</v>
          </cell>
          <cell r="G133" t="str">
            <v>CRYSTALFILE TWIN LOCK CLEAR TABS 50 PER BOX</v>
          </cell>
        </row>
        <row r="134">
          <cell r="E134" t="str">
            <v>1025856</v>
          </cell>
          <cell r="F134" t="str">
            <v>1292705</v>
          </cell>
          <cell r="G134" t="str">
            <v>CSR WHITE SUGAR STICKS 3G  2500 PER BOX</v>
          </cell>
        </row>
        <row r="135">
          <cell r="E135" t="str">
            <v>14266100</v>
          </cell>
          <cell r="F135" t="str">
            <v>1292710</v>
          </cell>
          <cell r="G135" t="str">
            <v>CUMBERLAND ENVELOPE C4 324X229  I/O GOLD 250 PER BOX</v>
          </cell>
        </row>
        <row r="136">
          <cell r="E136" t="str">
            <v>1009957</v>
          </cell>
          <cell r="F136" t="str">
            <v>1292715</v>
          </cell>
          <cell r="G136" t="str">
            <v>CUMBERLAND PACKAGING ENV DOC ENCL 155X115 1000 PER BOX</v>
          </cell>
        </row>
        <row r="137">
          <cell r="E137" t="str">
            <v>14394100</v>
          </cell>
          <cell r="F137" t="str">
            <v>1292720</v>
          </cell>
          <cell r="G137" t="str">
            <v>CUMBERLAND PACKAGING ENVELOPE PLAIN 155X115 1000 PER BOX</v>
          </cell>
        </row>
        <row r="138">
          <cell r="E138" t="str">
            <v>1038556</v>
          </cell>
          <cell r="F138" t="str">
            <v>1292725</v>
          </cell>
          <cell r="G138" t="str">
            <v>DIARY DEBDEN ASSOCIATE A4 1 DAY TO PAGE 2020 BLACK</v>
          </cell>
        </row>
        <row r="139">
          <cell r="E139" t="str">
            <v>85789700</v>
          </cell>
          <cell r="F139" t="str">
            <v>1292730</v>
          </cell>
          <cell r="G139" t="str">
            <v>DIARY VANESSA WIRO 185.V99 A5 1 DAY TO PAGE 2020 BLACK</v>
          </cell>
        </row>
        <row r="140">
          <cell r="E140" t="str">
            <v>85789900</v>
          </cell>
          <cell r="F140" t="str">
            <v>1292735</v>
          </cell>
          <cell r="G140" t="str">
            <v>DIARY VANESSA WIRO 385.V99 A5 WEEK OPENING 2020 BLACK</v>
          </cell>
        </row>
        <row r="141">
          <cell r="E141" t="str">
            <v>85796400</v>
          </cell>
          <cell r="F141" t="str">
            <v>1292740</v>
          </cell>
          <cell r="G141" t="str">
            <v>DEBDEN TABLE TOP PLANNER MONTH TO A VIEW 2020</v>
          </cell>
        </row>
        <row r="142">
          <cell r="E142" t="str">
            <v>1011779</v>
          </cell>
          <cell r="F142" t="str">
            <v>1292745</v>
          </cell>
          <cell r="G142" t="str">
            <v>DELI CALCULATOR L-1217 12-DIGI DIGIT DESKTOP GREY</v>
          </cell>
        </row>
        <row r="143">
          <cell r="E143" t="str">
            <v>1015161</v>
          </cell>
          <cell r="F143" t="str">
            <v>1292750</v>
          </cell>
          <cell r="G143" t="str">
            <v>DELI CORRECTION TAPE SMOOTH 5MMX8M WHITE</v>
          </cell>
        </row>
        <row r="144">
          <cell r="E144" t="str">
            <v>1039344</v>
          </cell>
          <cell r="F144" t="str">
            <v>1292755</v>
          </cell>
          <cell r="G144" t="str">
            <v>DELI ERASER 7536 PLASTIC WHITE</v>
          </cell>
        </row>
        <row r="145">
          <cell r="E145" t="str">
            <v>1039341</v>
          </cell>
          <cell r="F145" t="str">
            <v>1292760</v>
          </cell>
          <cell r="G145" t="str">
            <v>DELI MAGNETIC WHITEBOARD ERASER BLACK</v>
          </cell>
        </row>
        <row r="146">
          <cell r="E146" t="str">
            <v>1039338</v>
          </cell>
          <cell r="F146" t="str">
            <v>1292765</v>
          </cell>
          <cell r="G146" t="str">
            <v>DELI PUNCH 2 HOLE METAL 0120 40 SHEETS</v>
          </cell>
        </row>
        <row r="147">
          <cell r="E147" t="str">
            <v>1039293</v>
          </cell>
          <cell r="F147" t="str">
            <v>1292775</v>
          </cell>
          <cell r="G147" t="str">
            <v>DELI RULER PLASTIC 30CM CLEAR</v>
          </cell>
        </row>
        <row r="148">
          <cell r="E148" t="str">
            <v>16259100</v>
          </cell>
          <cell r="F148" t="str">
            <v>1292780</v>
          </cell>
          <cell r="G148" t="str">
            <v>DELI STAINLESS STEEL RULER 30CM SILVER</v>
          </cell>
        </row>
        <row r="149">
          <cell r="E149" t="str">
            <v>1039336</v>
          </cell>
          <cell r="F149" t="str">
            <v>1292785</v>
          </cell>
          <cell r="G149" t="str">
            <v>DELI TAPE DISPENSER SMALL FOR 18 X 33 TAPE</v>
          </cell>
        </row>
        <row r="150">
          <cell r="E150" t="str">
            <v>39440203</v>
          </cell>
          <cell r="F150" t="str">
            <v>1292790</v>
          </cell>
          <cell r="G150" t="str">
            <v>DESKTOPPER FELLOWES 154XXX</v>
          </cell>
        </row>
        <row r="151">
          <cell r="E151" t="str">
            <v>85799300</v>
          </cell>
          <cell r="F151" t="str">
            <v>1292795</v>
          </cell>
          <cell r="G151" t="str">
            <v>DIARY COMMERCIAL A4 1 DAY PER PAGE 2020 NAVY BLUE</v>
          </cell>
        </row>
        <row r="152">
          <cell r="E152" t="str">
            <v>85799400</v>
          </cell>
          <cell r="F152" t="str">
            <v>1292800</v>
          </cell>
          <cell r="G152" t="str">
            <v>DIARY COMMERCIAL A4 2 DAYS PER PAGE 2020 NAVY BLUE</v>
          </cell>
        </row>
        <row r="153">
          <cell r="E153" t="str">
            <v>85799700</v>
          </cell>
          <cell r="F153" t="str">
            <v>1292805</v>
          </cell>
          <cell r="G153" t="str">
            <v>DIARY COMMERCIAL A5 1 DAY PER PAGE 2020  NAVY BLUE</v>
          </cell>
        </row>
        <row r="154">
          <cell r="E154" t="str">
            <v>85789300</v>
          </cell>
          <cell r="F154" t="str">
            <v>1292815</v>
          </cell>
          <cell r="G154" t="str">
            <v>DIARY VANESSA WIRO 145V99 A4 1 DAY TO PAGE 2020 BLACK</v>
          </cell>
        </row>
        <row r="155">
          <cell r="E155" t="str">
            <v>85789500</v>
          </cell>
          <cell r="F155" t="str">
            <v>1292820</v>
          </cell>
          <cell r="G155" t="str">
            <v>DIARY VANESSA WIRO 345V99 A4 WEEK OPENING 2020 BLACK</v>
          </cell>
        </row>
        <row r="156">
          <cell r="E156" t="str">
            <v>1012315</v>
          </cell>
          <cell r="F156" t="str">
            <v>1292825</v>
          </cell>
          <cell r="G156" t="str">
            <v>DIVIDER 10TAB MANILLA A4 WHITE</v>
          </cell>
        </row>
        <row r="157">
          <cell r="E157" t="str">
            <v>12758000</v>
          </cell>
          <cell r="F157" t="str">
            <v>1292830</v>
          </cell>
          <cell r="G157" t="str">
            <v>DURACELL BATTERY ALKALINE 9V</v>
          </cell>
        </row>
        <row r="158">
          <cell r="E158" t="str">
            <v>425009400</v>
          </cell>
          <cell r="F158" t="str">
            <v>1292835</v>
          </cell>
          <cell r="G158" t="str">
            <v>DYMO LABEL 160P MANAGER BLACK</v>
          </cell>
        </row>
        <row r="159">
          <cell r="E159" t="str">
            <v>1018155</v>
          </cell>
          <cell r="F159" t="str">
            <v>1292840</v>
          </cell>
          <cell r="G159" t="str">
            <v>DYMO LABEL MANAGER MAKER 280P PORTABLE BLACK</v>
          </cell>
        </row>
        <row r="160">
          <cell r="E160" t="str">
            <v>22902100</v>
          </cell>
          <cell r="F160" t="str">
            <v>1292845</v>
          </cell>
          <cell r="G160" t="str">
            <v>DYMO LABEL WRITER ADDRESS SD99 010 89X28 130 2 PER PACK</v>
          </cell>
        </row>
        <row r="161">
          <cell r="E161" t="str">
            <v>22566000</v>
          </cell>
          <cell r="F161" t="str">
            <v>1292850</v>
          </cell>
          <cell r="G161" t="str">
            <v>DYMO LABELLING TAPE D1 12MMX7M  45019 BLACK/GREEN</v>
          </cell>
        </row>
        <row r="162">
          <cell r="E162" t="str">
            <v>22562000</v>
          </cell>
          <cell r="F162" t="str">
            <v>1292855</v>
          </cell>
          <cell r="G162" t="str">
            <v>DYMO LABELLING TAPE D1 12MMX7M  45013 BLACK/WHITE</v>
          </cell>
        </row>
        <row r="163">
          <cell r="E163" t="str">
            <v>22715600</v>
          </cell>
          <cell r="F163" t="str">
            <v>1292860</v>
          </cell>
          <cell r="G163" t="str">
            <v>DYMO LABELLING TAPE D1 19MMX7M  45803 BLACK/WHITE</v>
          </cell>
        </row>
        <row r="164">
          <cell r="E164" t="str">
            <v>22567500</v>
          </cell>
          <cell r="F164" t="str">
            <v>1292865</v>
          </cell>
          <cell r="G164" t="str">
            <v>DYMO LABELLING TAPE D1 24MMX7M  53713 BLACK/WHITE</v>
          </cell>
        </row>
        <row r="165">
          <cell r="E165" t="str">
            <v>22555000</v>
          </cell>
          <cell r="F165" t="str">
            <v>1292870</v>
          </cell>
          <cell r="G165" t="str">
            <v>DYMO LABELLING TAPE D1 9MMX7M 40918 BLACK/YELLOW</v>
          </cell>
        </row>
        <row r="166">
          <cell r="E166" t="str">
            <v>22551000</v>
          </cell>
          <cell r="F166" t="str">
            <v>1292875</v>
          </cell>
          <cell r="G166" t="str">
            <v>DYMO LABELLING TAPE D1 9MMX7M 40913 BLACK/WHITE</v>
          </cell>
        </row>
        <row r="167">
          <cell r="E167" t="str">
            <v>425004400</v>
          </cell>
          <cell r="F167" t="str">
            <v>1292880</v>
          </cell>
          <cell r="G167" t="str">
            <v>DYMO LABELWRITER 450 ELECTRONIC LABELLER BLACK</v>
          </cell>
        </row>
        <row r="168">
          <cell r="E168" t="str">
            <v>70019200</v>
          </cell>
          <cell r="F168" t="str">
            <v>1292885</v>
          </cell>
          <cell r="G168" t="str">
            <v>EARTH CHOICE DISHWASHING LIQUI LEMON FRESH 1LITRE</v>
          </cell>
        </row>
        <row r="169">
          <cell r="E169" t="str">
            <v>12779300</v>
          </cell>
          <cell r="F169" t="str">
            <v>1292890</v>
          </cell>
          <cell r="G169" t="str">
            <v>ENERGIZER BATTERY A76 LR44 2  2 PER PACK</v>
          </cell>
        </row>
        <row r="170">
          <cell r="E170" t="str">
            <v>1020523</v>
          </cell>
          <cell r="F170" t="str">
            <v>1292895</v>
          </cell>
          <cell r="G170" t="str">
            <v>ENERGIZER BATTERY C CELL  12 PER BOX</v>
          </cell>
        </row>
        <row r="171">
          <cell r="E171" t="str">
            <v>1005865</v>
          </cell>
          <cell r="F171" t="str">
            <v>1292900</v>
          </cell>
          <cell r="G171" t="str">
            <v>ENERGIZER BATTERY D CELL  12 PER BOX</v>
          </cell>
        </row>
        <row r="172">
          <cell r="E172" t="str">
            <v>12773500</v>
          </cell>
          <cell r="F172" t="str">
            <v>1292905</v>
          </cell>
          <cell r="G172" t="str">
            <v>ENERGIZER BATTERY INDUSTRIAL AA 24 PER BOX</v>
          </cell>
        </row>
        <row r="173">
          <cell r="E173" t="str">
            <v>12773600</v>
          </cell>
          <cell r="F173" t="str">
            <v>1292910</v>
          </cell>
          <cell r="G173" t="str">
            <v>ENERGIZER BATTERY MAX BULK AAA  BATTERY 24 PER BOX</v>
          </cell>
        </row>
        <row r="174">
          <cell r="E174" t="str">
            <v>14260928</v>
          </cell>
          <cell r="F174" t="str">
            <v>1292915</v>
          </cell>
          <cell r="G174" t="str">
            <v>ENV C4 324X229 WHITE P/S H/D  250 PER BOX</v>
          </cell>
        </row>
        <row r="175">
          <cell r="E175" t="str">
            <v>14265000</v>
          </cell>
          <cell r="F175" t="str">
            <v>1292920</v>
          </cell>
          <cell r="G175" t="str">
            <v>ENVELOPE C4 324X229MM STRIP SE AL GOLD 250 PER BOX</v>
          </cell>
        </row>
        <row r="176">
          <cell r="E176" t="str">
            <v>14221000</v>
          </cell>
          <cell r="F176" t="str">
            <v>1292925</v>
          </cell>
          <cell r="G176" t="str">
            <v>ENVELOPE C5 229X162MM PEEL SEAL POCKET WHITE 500 PER BOX</v>
          </cell>
        </row>
        <row r="177">
          <cell r="E177" t="str">
            <v>14212000</v>
          </cell>
          <cell r="F177" t="str">
            <v>1292930</v>
          </cell>
          <cell r="G177" t="str">
            <v>ENVELOPE DL 110X220 SELF SEAL PLAIN WHITE 500 PER BOX</v>
          </cell>
        </row>
        <row r="178">
          <cell r="E178" t="str">
            <v>38987100</v>
          </cell>
          <cell r="F178" t="str">
            <v>1292935</v>
          </cell>
          <cell r="G178" t="str">
            <v>ESSELTE BROCHURE HOLDER FREE STANDING A4 1 TIER</v>
          </cell>
        </row>
        <row r="179">
          <cell r="E179" t="str">
            <v>38986400</v>
          </cell>
          <cell r="F179" t="str">
            <v>1292940</v>
          </cell>
          <cell r="G179" t="str">
            <v>ESSELTE BROCHURE HOLDER WALL A4 3 TIER CLEAR</v>
          </cell>
        </row>
        <row r="180">
          <cell r="E180" t="str">
            <v>820040200</v>
          </cell>
          <cell r="F180" t="str">
            <v>1292945</v>
          </cell>
          <cell r="G180" t="str">
            <v>ESSELTE BROCHURE HOLDER WALL A4 1 TIER CLEAR</v>
          </cell>
        </row>
        <row r="181">
          <cell r="E181" t="str">
            <v>38729000</v>
          </cell>
          <cell r="F181" t="str">
            <v>1292950</v>
          </cell>
          <cell r="G181" t="str">
            <v>ESSELTE LETTER OPENER SILVER</v>
          </cell>
        </row>
        <row r="182">
          <cell r="E182" t="str">
            <v>38867000</v>
          </cell>
          <cell r="F182" t="str">
            <v>1292955</v>
          </cell>
          <cell r="G182" t="str">
            <v>ESSELTE NALCLIP DISPENSER MEDI UM 8 CLIPS BLACK</v>
          </cell>
        </row>
        <row r="183">
          <cell r="E183" t="str">
            <v>38871300</v>
          </cell>
          <cell r="F183" t="str">
            <v>1292960</v>
          </cell>
          <cell r="G183" t="str">
            <v>ESSELTE NALCLIP REFILLS STEEL MEDIUM 50 PER PACK</v>
          </cell>
        </row>
        <row r="184">
          <cell r="E184" t="str">
            <v>38657103</v>
          </cell>
          <cell r="F184" t="str">
            <v>1292965</v>
          </cell>
          <cell r="G184" t="str">
            <v>ESSELTE NOUVEAU DOCUMENT TRAY BLACK</v>
          </cell>
        </row>
        <row r="185">
          <cell r="E185" t="str">
            <v>38903600</v>
          </cell>
          <cell r="F185" t="str">
            <v>1292970</v>
          </cell>
          <cell r="G185" t="str">
            <v>ESSELTE PINS MAP ASST COLOURS  200 PER PACK</v>
          </cell>
        </row>
        <row r="186">
          <cell r="E186" t="str">
            <v>38725000</v>
          </cell>
          <cell r="F186" t="str">
            <v>1292975</v>
          </cell>
          <cell r="G186" t="str">
            <v>ESSELTE SUPERIOR THIMBLETTES SIZE 0 GREEN</v>
          </cell>
        </row>
        <row r="187">
          <cell r="E187" t="str">
            <v>805033000</v>
          </cell>
          <cell r="F187" t="str">
            <v>1292980</v>
          </cell>
          <cell r="G187" t="str">
            <v>FELLOWES BINDING MACHINE PULSAR+ 300 COMB</v>
          </cell>
        </row>
        <row r="188">
          <cell r="E188" t="str">
            <v>1029064</v>
          </cell>
          <cell r="F188" t="str">
            <v>1292985</v>
          </cell>
          <cell r="G188" t="str">
            <v>FELLOWES LAMINATOR VENUS 2 250  MICRON A3 BLACK</v>
          </cell>
        </row>
        <row r="189">
          <cell r="E189" t="str">
            <v>20191000</v>
          </cell>
          <cell r="F189" t="str">
            <v>1292990</v>
          </cell>
          <cell r="G189" t="str">
            <v>FELLOWES PREMIUM MONITOR RISER  GRAPHITE</v>
          </cell>
        </row>
        <row r="190">
          <cell r="E190" t="str">
            <v>1008136</v>
          </cell>
          <cell r="F190" t="str">
            <v>1292995</v>
          </cell>
          <cell r="G190" t="str">
            <v>FINISH CLEANER DISHWASH CONCENTRATE POWDER 1KG</v>
          </cell>
        </row>
        <row r="191">
          <cell r="E191" t="str">
            <v>87000256</v>
          </cell>
          <cell r="F191" t="str">
            <v>1293000</v>
          </cell>
          <cell r="G191" t="str">
            <v>FINISH CLEANER RINSE AID REGLR 250ML</v>
          </cell>
        </row>
        <row r="192">
          <cell r="E192" t="str">
            <v>39366017</v>
          </cell>
          <cell r="F192" t="str">
            <v>1293005</v>
          </cell>
          <cell r="G192" t="str">
            <v>FOLDER MANILLA F/C PURPLE  100 PER BOX</v>
          </cell>
        </row>
        <row r="193">
          <cell r="E193" t="str">
            <v>88004023</v>
          </cell>
          <cell r="F193" t="str">
            <v>1293010</v>
          </cell>
          <cell r="G193" t="str">
            <v>GLEN 20 DISINFECTANT AIR FRESH 300GM ORIGINAL</v>
          </cell>
        </row>
        <row r="194">
          <cell r="E194" t="str">
            <v>87000263</v>
          </cell>
          <cell r="F194" t="str">
            <v>1293015</v>
          </cell>
          <cell r="G194" t="str">
            <v>HANDY ANDY ALL PURPOSE CLEANER  FRESH SCENT 750ML</v>
          </cell>
        </row>
        <row r="195">
          <cell r="E195" t="str">
            <v>87001154</v>
          </cell>
          <cell r="F195" t="str">
            <v>1293020</v>
          </cell>
          <cell r="G195" t="str">
            <v>HARVEY FRESH LONG LIFE FULL CREAM MILK UHT 1L 12 PER BOX</v>
          </cell>
        </row>
        <row r="196">
          <cell r="E196" t="str">
            <v>87000872</v>
          </cell>
          <cell r="F196" t="str">
            <v>1293025</v>
          </cell>
          <cell r="G196" t="str">
            <v>HARVEY FRESH LONG LIFE SKIM MILK UHT 1L 12 PER BOX</v>
          </cell>
        </row>
        <row r="197">
          <cell r="E197" t="str">
            <v>1025554</v>
          </cell>
          <cell r="F197" t="str">
            <v>1293030</v>
          </cell>
          <cell r="G197" t="str">
            <v>HIGHLIGHTER LUXOR ASSORTED WLT  6 PER PACK</v>
          </cell>
        </row>
        <row r="198">
          <cell r="E198" t="str">
            <v>18202603</v>
          </cell>
          <cell r="F198" t="str">
            <v>1293035</v>
          </cell>
          <cell r="G198" t="str">
            <v>INK CART GEN HP C8765WA BK 94</v>
          </cell>
        </row>
        <row r="199">
          <cell r="E199" t="str">
            <v>18202300</v>
          </cell>
          <cell r="F199" t="str">
            <v>1293040</v>
          </cell>
          <cell r="G199" t="str">
            <v>INK CART GEN HP C9363WA TCO 97</v>
          </cell>
        </row>
        <row r="200">
          <cell r="E200" t="str">
            <v>9024246</v>
          </cell>
          <cell r="F200" t="str">
            <v>1293045</v>
          </cell>
          <cell r="G200" t="str">
            <v>ITALPLAST DESK ORGANISER WATER MELON</v>
          </cell>
        </row>
        <row r="201">
          <cell r="E201" t="str">
            <v>38103400</v>
          </cell>
          <cell r="F201" t="str">
            <v>1293050</v>
          </cell>
          <cell r="G201" t="str">
            <v>JIFFYLITE SIZE NO 7 360MM X 480MM</v>
          </cell>
        </row>
        <row r="202">
          <cell r="E202" t="str">
            <v>1035627</v>
          </cell>
          <cell r="F202" t="str">
            <v>1293055</v>
          </cell>
          <cell r="G202" t="str">
            <v>KENSINGTON MOUSE PAD DUO GEL SERIES BLUE BLACK</v>
          </cell>
        </row>
        <row r="203">
          <cell r="E203" t="str">
            <v>1036201</v>
          </cell>
          <cell r="F203" t="str">
            <v>1293060</v>
          </cell>
          <cell r="G203" t="str">
            <v>KENSINGTON PRO FIT WIRELESS KEYBOARD &amp; MOUSE SET</v>
          </cell>
        </row>
        <row r="204">
          <cell r="E204" t="str">
            <v>38711000</v>
          </cell>
          <cell r="F204" t="str">
            <v>1293065</v>
          </cell>
          <cell r="G204" t="str">
            <v>KEVRON KEY TAG ID5 ASSTD  50 PER PACK</v>
          </cell>
        </row>
        <row r="205">
          <cell r="E205" t="str">
            <v>825015100</v>
          </cell>
          <cell r="F205" t="str">
            <v>1293070</v>
          </cell>
          <cell r="G205" t="str">
            <v>LAMINATOR FELLOWES COSMIC A4</v>
          </cell>
        </row>
        <row r="206">
          <cell r="E206" t="str">
            <v>1000269</v>
          </cell>
          <cell r="F206" t="str">
            <v>1293075</v>
          </cell>
          <cell r="G206" t="str">
            <v>LAVAZZA SUPER CREMA ESPRESSO COFFEE BEANS 1KG</v>
          </cell>
        </row>
        <row r="207">
          <cell r="E207" t="str">
            <v>9024247</v>
          </cell>
          <cell r="F207" t="str">
            <v>1293080</v>
          </cell>
          <cell r="G207" t="str">
            <v>MAGAZINE HOLDER I160 ITALPLAST  LIME</v>
          </cell>
        </row>
        <row r="208">
          <cell r="E208" t="str">
            <v>38210200</v>
          </cell>
          <cell r="F208" t="str">
            <v>1293085</v>
          </cell>
          <cell r="G208" t="str">
            <v>MAILING TUBES 60X600MM  4 PER PACK</v>
          </cell>
        </row>
        <row r="209">
          <cell r="E209" t="str">
            <v>520601500</v>
          </cell>
          <cell r="F209" t="str">
            <v>1293090</v>
          </cell>
          <cell r="G209" t="str">
            <v>MAILING TUBES 60X720MM  4 PER PACK</v>
          </cell>
        </row>
        <row r="210">
          <cell r="E210" t="str">
            <v>12776500</v>
          </cell>
          <cell r="F210" t="str">
            <v>1293095</v>
          </cell>
          <cell r="G210" t="str">
            <v>MALLORY BATTERY INDUSTRIAL 6V LANTERN</v>
          </cell>
        </row>
        <row r="211">
          <cell r="E211" t="str">
            <v>420016100</v>
          </cell>
          <cell r="F211" t="str">
            <v>1293100</v>
          </cell>
          <cell r="G211" t="str">
            <v>MAPED EXPERT GUILLOTINE A3 BLACK GREY</v>
          </cell>
        </row>
        <row r="212">
          <cell r="E212" t="str">
            <v>505033100</v>
          </cell>
          <cell r="F212" t="str">
            <v>1293105</v>
          </cell>
          <cell r="G212" t="str">
            <v>MAPED SCISSORS OFFICE ESSENTIALS SOFT 210MM GREEN</v>
          </cell>
        </row>
        <row r="213">
          <cell r="E213" t="str">
            <v>135010200</v>
          </cell>
          <cell r="F213" t="str">
            <v>1293110</v>
          </cell>
          <cell r="G213" t="str">
            <v>MARBIG ARCHIVE BOX 80020F/20 ENVIRO 25KG 20 PER BOX</v>
          </cell>
        </row>
        <row r="214">
          <cell r="E214" t="str">
            <v>39331004</v>
          </cell>
          <cell r="F214" t="str">
            <v>1293115</v>
          </cell>
          <cell r="G214" t="str">
            <v>MARBIG BINDER RING PE DELUXE A4 2D RING 25MM BLUE</v>
          </cell>
        </row>
        <row r="215">
          <cell r="E215" t="str">
            <v>39335303</v>
          </cell>
          <cell r="F215" t="str">
            <v>1293120</v>
          </cell>
          <cell r="G215" t="str">
            <v>MARBIG BINDER RING PE DELUXE A4 2D RING 38MM BLACK</v>
          </cell>
        </row>
        <row r="216">
          <cell r="E216" t="str">
            <v>39115103</v>
          </cell>
          <cell r="F216" t="str">
            <v>1293125</v>
          </cell>
          <cell r="G216" t="str">
            <v>MARBIG DISPLAY BOOK A4 REFILLABLE 20 POCKET BLACK</v>
          </cell>
        </row>
        <row r="217">
          <cell r="E217" t="str">
            <v>39115104</v>
          </cell>
          <cell r="F217" t="str">
            <v>1293130</v>
          </cell>
          <cell r="G217" t="str">
            <v>MARBIG DISPLAY BOOK A4 REFILLABLE 20 POCKET BLUE</v>
          </cell>
        </row>
        <row r="218">
          <cell r="E218" t="str">
            <v>39116100</v>
          </cell>
          <cell r="F218" t="str">
            <v>1293135</v>
          </cell>
          <cell r="G218" t="str">
            <v>MARBIG DISPLAY BOOK REFILLS  10 PER PACK</v>
          </cell>
        </row>
        <row r="219">
          <cell r="E219" t="str">
            <v>39468600</v>
          </cell>
          <cell r="F219" t="str">
            <v>1293140</v>
          </cell>
          <cell r="G219" t="str">
            <v>MARBIG DIVIDERS MANILLA A4 1-20 TAB BRIGHT COLOUR</v>
          </cell>
        </row>
        <row r="220">
          <cell r="E220" t="str">
            <v>1020582</v>
          </cell>
          <cell r="F220" t="str">
            <v>1293145</v>
          </cell>
          <cell r="G220" t="str">
            <v>MARBIG DIVIDERS MANILLA A4 5 TAB REINFORCED STRIP</v>
          </cell>
        </row>
        <row r="221">
          <cell r="E221" t="str">
            <v>120012410</v>
          </cell>
          <cell r="F221" t="str">
            <v>1293150</v>
          </cell>
          <cell r="G221" t="str">
            <v>MARBIG DIVIDERS MANILLA A4 5 TAB WHITE BULK 20 20 PER PACK</v>
          </cell>
        </row>
        <row r="222">
          <cell r="E222" t="str">
            <v>87000609</v>
          </cell>
          <cell r="F222" t="str">
            <v>1293155</v>
          </cell>
          <cell r="G222" t="str">
            <v>MARBIG DIVIDERS MANILLA A4 A-Z  TAB BRIGHT COLOUR</v>
          </cell>
        </row>
        <row r="223">
          <cell r="E223" t="str">
            <v>39456500</v>
          </cell>
          <cell r="F223" t="str">
            <v>1293160</v>
          </cell>
          <cell r="G223" t="str">
            <v>MARBIG DIVIDERS MANILLA A4 A-Z  TAB REINFORCED</v>
          </cell>
        </row>
        <row r="224">
          <cell r="E224" t="str">
            <v>39442900</v>
          </cell>
          <cell r="F224" t="str">
            <v>1293165</v>
          </cell>
          <cell r="G224" t="str">
            <v>MARBIG DIVIDERS MANILLA A4 JAN -DEC TAB REINF COL</v>
          </cell>
        </row>
        <row r="225">
          <cell r="E225" t="str">
            <v>39448300</v>
          </cell>
          <cell r="F225" t="str">
            <v>1293170</v>
          </cell>
          <cell r="G225" t="str">
            <v>MARBIG DIVIDERS PP A4 10 TAB EXTRA WIDE COLOUR</v>
          </cell>
        </row>
        <row r="226">
          <cell r="E226" t="str">
            <v>39451028</v>
          </cell>
          <cell r="F226" t="str">
            <v>1293175</v>
          </cell>
          <cell r="G226" t="str">
            <v>MARBIG DIVIDERS PP A4 1-10 TAB  WHITE</v>
          </cell>
        </row>
        <row r="227">
          <cell r="E227" t="str">
            <v>39452216</v>
          </cell>
          <cell r="F227" t="str">
            <v>1293180</v>
          </cell>
          <cell r="G227" t="str">
            <v>MARBIG DIVIDERS PP A4 1-20 TAB  GREY</v>
          </cell>
        </row>
        <row r="228">
          <cell r="E228" t="str">
            <v>39453028</v>
          </cell>
          <cell r="F228" t="str">
            <v>1293185</v>
          </cell>
          <cell r="G228" t="str">
            <v>MARBIG DIVIDERS PP A4 1-31 TAB  WHITE</v>
          </cell>
        </row>
        <row r="229">
          <cell r="E229" t="str">
            <v>39444028</v>
          </cell>
          <cell r="F229" t="str">
            <v>1293190</v>
          </cell>
          <cell r="G229" t="str">
            <v>MARBIG DIVIDERS PP A4 A-Z TAB WHITE</v>
          </cell>
        </row>
        <row r="230">
          <cell r="E230" t="str">
            <v>39454028</v>
          </cell>
          <cell r="F230" t="str">
            <v>1293195</v>
          </cell>
          <cell r="G230" t="str">
            <v>MARBIG DIVIDERS PP A4 JAN-DEC TAB WHITE</v>
          </cell>
        </row>
        <row r="231">
          <cell r="E231" t="str">
            <v>38210300</v>
          </cell>
          <cell r="F231" t="str">
            <v>1293200</v>
          </cell>
          <cell r="G231" t="str">
            <v>MARBIG ENVIRO MAILING TUBE 60X 420MM WHITE 4 PER PACK</v>
          </cell>
        </row>
        <row r="232">
          <cell r="E232" t="str">
            <v>38210100</v>
          </cell>
          <cell r="F232" t="str">
            <v>1293205</v>
          </cell>
          <cell r="G232" t="str">
            <v>MARBIG ENVIRO MAILING TUBE 90X 850MM WHITE 4 PER PACK</v>
          </cell>
        </row>
        <row r="233">
          <cell r="E233" t="str">
            <v>215050004</v>
          </cell>
          <cell r="F233" t="str">
            <v>1293210</v>
          </cell>
          <cell r="G233" t="str">
            <v>MARBIG ENVIRO WASTE BIN ENVIRO  BLACK 12L</v>
          </cell>
        </row>
        <row r="234">
          <cell r="E234" t="str">
            <v>39363000</v>
          </cell>
          <cell r="F234" t="str">
            <v>1293215</v>
          </cell>
          <cell r="G234" t="str">
            <v>MARBIG EXPANDING FILE HD 1-31 FOOLSCAP GREEN</v>
          </cell>
        </row>
        <row r="235">
          <cell r="E235" t="str">
            <v>38917000</v>
          </cell>
          <cell r="F235" t="str">
            <v>1293220</v>
          </cell>
          <cell r="G235" t="str">
            <v>MARBIG GLUE STICK CLEAR 21GM</v>
          </cell>
        </row>
        <row r="236">
          <cell r="E236" t="str">
            <v>930053700</v>
          </cell>
          <cell r="F236" t="str">
            <v>1293225</v>
          </cell>
          <cell r="G236" t="str">
            <v>MARBIG PENCILS GRAPHITE HB  20 PER BOX</v>
          </cell>
        </row>
        <row r="237">
          <cell r="E237" t="str">
            <v>87000290</v>
          </cell>
          <cell r="F237" t="str">
            <v>1293230</v>
          </cell>
          <cell r="G237" t="str">
            <v>MARBIG PROFESSIONAL CLIPBOARD STORAGE A4 BLACK</v>
          </cell>
        </row>
        <row r="238">
          <cell r="E238" t="str">
            <v>38230300</v>
          </cell>
          <cell r="F238" t="str">
            <v>1293235</v>
          </cell>
          <cell r="G238" t="str">
            <v>MARBIG PUNCH 2 HOLE 20 SHEET BLACK</v>
          </cell>
        </row>
        <row r="239">
          <cell r="E239" t="str">
            <v>38230600</v>
          </cell>
          <cell r="F239" t="str">
            <v>1293240</v>
          </cell>
          <cell r="G239" t="str">
            <v>MARBIG PUNCH 3 HOLE 10 SHEET METAL BLACK</v>
          </cell>
        </row>
        <row r="240">
          <cell r="E240" t="str">
            <v>38865000</v>
          </cell>
          <cell r="F240" t="str">
            <v>1293245</v>
          </cell>
          <cell r="G240" t="str">
            <v>MARBIG STAPLE REMOVER CLAW TYPE BLACK</v>
          </cell>
        </row>
        <row r="241">
          <cell r="E241" t="str">
            <v>340018001</v>
          </cell>
          <cell r="F241" t="str">
            <v>1293250</v>
          </cell>
          <cell r="G241" t="str">
            <v>MARBIG STAPLER HALF STRIP 26/6  ENVIRO BLACK</v>
          </cell>
        </row>
        <row r="242">
          <cell r="E242" t="str">
            <v>38861200</v>
          </cell>
          <cell r="F242" t="str">
            <v>1293255</v>
          </cell>
          <cell r="G242" t="str">
            <v>MARBIG STAPLES 23/13 HEAVY DUTY 5000 PER PACK</v>
          </cell>
        </row>
        <row r="243">
          <cell r="E243" t="str">
            <v>38847100</v>
          </cell>
          <cell r="F243" t="str">
            <v>1293260</v>
          </cell>
          <cell r="G243" t="str">
            <v>MARBIG STAPLES HEAVY DUTY 23/8  5000 PER BOX</v>
          </cell>
        </row>
        <row r="244">
          <cell r="E244" t="str">
            <v>38757000</v>
          </cell>
          <cell r="F244" t="str">
            <v>1293265</v>
          </cell>
          <cell r="G244" t="str">
            <v>MARBIG STEP FILE 6 SLOT WIRE ORGANISER SMALL SILV</v>
          </cell>
        </row>
        <row r="245">
          <cell r="E245" t="str">
            <v>38758000</v>
          </cell>
          <cell r="F245" t="str">
            <v>1293270</v>
          </cell>
          <cell r="G245" t="str">
            <v>MARBIG STEP FILE WIRE ORGANISER 8 SLOT LARGE SILV</v>
          </cell>
        </row>
        <row r="246">
          <cell r="E246" t="str">
            <v>135009000</v>
          </cell>
          <cell r="F246" t="str">
            <v>1293275</v>
          </cell>
          <cell r="G246" t="str">
            <v>MARBIG STRONG ARCHIVE BOX  20 PER PACK</v>
          </cell>
        </row>
        <row r="247">
          <cell r="E247" t="str">
            <v>38974000</v>
          </cell>
          <cell r="F247" t="str">
            <v>1293280</v>
          </cell>
          <cell r="G247" t="str">
            <v>MARBIG TAPE DISPENSER LARGE BLACK</v>
          </cell>
        </row>
        <row r="248">
          <cell r="E248" t="str">
            <v>1050866</v>
          </cell>
          <cell r="F248" t="str">
            <v>1293285</v>
          </cell>
          <cell r="G248" t="str">
            <v>MARKER BIBLMN PERM BULLET BLACK 12 PER BOX</v>
          </cell>
        </row>
        <row r="249">
          <cell r="E249" t="str">
            <v>1025555</v>
          </cell>
          <cell r="F249" t="str">
            <v>1293290</v>
          </cell>
          <cell r="G249" t="str">
            <v>MARKER LUXOR 810 JUMBO BLACK  6 PER BOX</v>
          </cell>
        </row>
        <row r="250">
          <cell r="E250" t="str">
            <v>1054845</v>
          </cell>
          <cell r="F250" t="str">
            <v>1293295</v>
          </cell>
          <cell r="G250" t="str">
            <v>MARKER LUXOR FINELINER 0.5MM BLACK 12 PER BOX</v>
          </cell>
        </row>
        <row r="251">
          <cell r="E251" t="str">
            <v>530008800</v>
          </cell>
          <cell r="F251" t="str">
            <v>1293300</v>
          </cell>
          <cell r="G251" t="str">
            <v>MOCCONA COFFEE CLASSIC FREEZE DRIED S/S 1000 PER BOX</v>
          </cell>
        </row>
        <row r="252">
          <cell r="E252" t="str">
            <v>1000689</v>
          </cell>
          <cell r="F252" t="str">
            <v>1293305</v>
          </cell>
          <cell r="G252" t="str">
            <v>MONITOR RISER 9169501 STD PLUS</v>
          </cell>
        </row>
        <row r="253">
          <cell r="E253" t="str">
            <v>20190600</v>
          </cell>
          <cell r="F253" t="str">
            <v>1293310</v>
          </cell>
          <cell r="G253" t="str">
            <v>MONITOR RISER STANDARD GRAPHIT</v>
          </cell>
        </row>
        <row r="254">
          <cell r="E254" t="str">
            <v>1011549</v>
          </cell>
          <cell r="F254" t="str">
            <v>1293315</v>
          </cell>
          <cell r="G254" t="str">
            <v>MORTEIN FAST KNOCKDOWN AEROSOL  200G RED</v>
          </cell>
        </row>
        <row r="255">
          <cell r="E255" t="str">
            <v>530068101</v>
          </cell>
          <cell r="F255" t="str">
            <v>1293320</v>
          </cell>
          <cell r="G255" t="str">
            <v>NERO 4 SLICE TOASTER WHITE</v>
          </cell>
        </row>
        <row r="256">
          <cell r="E256" t="str">
            <v>87000329</v>
          </cell>
          <cell r="F256" t="str">
            <v>1293325</v>
          </cell>
          <cell r="G256" t="str">
            <v>NESCAFE COFFEE BLEND 43  1000 SACHETS</v>
          </cell>
        </row>
        <row r="257">
          <cell r="E257" t="str">
            <v>87000327</v>
          </cell>
          <cell r="F257" t="str">
            <v>1293330</v>
          </cell>
          <cell r="G257" t="str">
            <v>NESCAFE COFFEE BLEND 43 TIN 500G</v>
          </cell>
        </row>
        <row r="258">
          <cell r="E258" t="str">
            <v>87000336</v>
          </cell>
          <cell r="F258" t="str">
            <v>1293335</v>
          </cell>
          <cell r="G258" t="str">
            <v>NESCAFE COFFEE FOOD SERVICE TIN 1KG</v>
          </cell>
        </row>
        <row r="259">
          <cell r="E259" t="str">
            <v>1050379</v>
          </cell>
          <cell r="F259" t="str">
            <v>1293340</v>
          </cell>
          <cell r="G259" t="str">
            <v>NESCAFE COFFEE GOLD TIN 400G</v>
          </cell>
        </row>
        <row r="260">
          <cell r="E260" t="str">
            <v>87000702</v>
          </cell>
          <cell r="F260" t="str">
            <v>1293345</v>
          </cell>
          <cell r="G260" t="str">
            <v>NESTLE MILO JAR 500GM</v>
          </cell>
        </row>
        <row r="261">
          <cell r="E261" t="str">
            <v>87000703</v>
          </cell>
          <cell r="F261" t="str">
            <v>1293350</v>
          </cell>
          <cell r="G261" t="str">
            <v>NESTLE MILO TIN 1.9KG</v>
          </cell>
        </row>
        <row r="262">
          <cell r="E262" t="str">
            <v>1040388</v>
          </cell>
          <cell r="F262" t="str">
            <v>1293355</v>
          </cell>
          <cell r="G262" t="str">
            <v>NORTHFORK HAND SANITISER GEL COCONUT VANILLA 500ML</v>
          </cell>
        </row>
        <row r="263">
          <cell r="E263" t="str">
            <v>34189600</v>
          </cell>
          <cell r="F263" t="str">
            <v>1293360</v>
          </cell>
          <cell r="G263" t="str">
            <v>NOTEBOOK 596 A4 5 SUBJECT 125L</v>
          </cell>
        </row>
        <row r="264">
          <cell r="E264" t="str">
            <v>1025261</v>
          </cell>
          <cell r="F264" t="str">
            <v>1293365</v>
          </cell>
          <cell r="G264" t="str">
            <v>NOTEBOOK SPIRAL POCKET 90 PAGE  TOP OPEN</v>
          </cell>
        </row>
        <row r="265">
          <cell r="E265" t="str">
            <v>12766000</v>
          </cell>
          <cell r="F265" t="str">
            <v>1293375</v>
          </cell>
          <cell r="G265" t="str">
            <v>PANASONIC BATTERY LITHIUM CE2032</v>
          </cell>
        </row>
        <row r="266">
          <cell r="E266" t="str">
            <v>935102002</v>
          </cell>
          <cell r="F266" t="str">
            <v>1293380</v>
          </cell>
          <cell r="G266" t="str">
            <v>PAPERMATE BALLPOINT PEN FLEXGR ULTRA MEDIUM BLUE 12 PER BOX</v>
          </cell>
        </row>
        <row r="267">
          <cell r="E267" t="str">
            <v>935102102</v>
          </cell>
          <cell r="F267" t="str">
            <v>1293385</v>
          </cell>
          <cell r="G267" t="str">
            <v>PAPERMATE RETRACTABLE FLEXGRIP  ULTRA FINE PACK BLUE 12 PER BOX</v>
          </cell>
        </row>
        <row r="268">
          <cell r="E268" t="str">
            <v>935103401</v>
          </cell>
          <cell r="F268" t="str">
            <v>1293390</v>
          </cell>
          <cell r="G268" t="str">
            <v>PAPERMATE RETRACTABLE PEN PROFILE BROAD  BLACK 12 PER BOX</v>
          </cell>
        </row>
        <row r="269">
          <cell r="E269" t="str">
            <v>16253300</v>
          </cell>
          <cell r="F269" t="str">
            <v>1293395</v>
          </cell>
          <cell r="G269" t="str">
            <v>PENCIL SHARPENER SINGLE HOLE METAL</v>
          </cell>
        </row>
        <row r="270">
          <cell r="E270" t="str">
            <v>16268200</v>
          </cell>
          <cell r="F270" t="str">
            <v>1293400</v>
          </cell>
          <cell r="G270" t="str">
            <v>PENTEL CORRECTION PEN ZL31W STRONG STEEL TIP 12ML</v>
          </cell>
        </row>
        <row r="271">
          <cell r="E271" t="str">
            <v>16219203</v>
          </cell>
          <cell r="F271" t="str">
            <v>1293405</v>
          </cell>
          <cell r="G271" t="str">
            <v>PILOT V7 HITECPOINT PEN FINE BLACK 12 PER PACK</v>
          </cell>
        </row>
        <row r="272">
          <cell r="E272" t="str">
            <v>87000277</v>
          </cell>
          <cell r="F272" t="str">
            <v>1293410</v>
          </cell>
          <cell r="G272" t="str">
            <v>PINE O CLEEN WIPES SURFACE ANTIBACTERIAL LEMON 45</v>
          </cell>
        </row>
        <row r="273">
          <cell r="E273" t="str">
            <v>39807728</v>
          </cell>
          <cell r="F273" t="str">
            <v>1293415</v>
          </cell>
          <cell r="G273" t="str">
            <v>PLASTAFAB BINDER INSERT RING A3 4D 65MM LANDSCAPE WHITE</v>
          </cell>
        </row>
        <row r="274">
          <cell r="E274" t="str">
            <v>305022300</v>
          </cell>
          <cell r="F274" t="str">
            <v>1293420</v>
          </cell>
          <cell r="G274" t="str">
            <v>POST-IT FLAGS 680 TWIN ACTION 25X43MM IGN &amp; DATE 2 PER PACK</v>
          </cell>
        </row>
        <row r="275">
          <cell r="E275" t="str">
            <v>305022000</v>
          </cell>
          <cell r="F275" t="str">
            <v>1293425</v>
          </cell>
          <cell r="G275" t="str">
            <v>POST-IT FLAGS 680 TWIN ACTION 25X43MM SIGN HERE 2 PER PACK</v>
          </cell>
        </row>
        <row r="276">
          <cell r="E276" t="str">
            <v>1010475</v>
          </cell>
          <cell r="F276" t="str">
            <v>1293430</v>
          </cell>
          <cell r="G276" t="str">
            <v>POST-IT FLAGS 680-RYBGVA VALUE  PACK WITH FLAG PEN</v>
          </cell>
        </row>
        <row r="277">
          <cell r="E277" t="str">
            <v>14193200</v>
          </cell>
          <cell r="F277" t="str">
            <v>1293435</v>
          </cell>
          <cell r="G277" t="str">
            <v>POST-IT FLAGS 684-ARR2 ARROW 1 2X45 BRIGHT COL 100 PER PACK</v>
          </cell>
        </row>
        <row r="278">
          <cell r="E278" t="str">
            <v>1018238</v>
          </cell>
          <cell r="F278" t="str">
            <v>1293440</v>
          </cell>
          <cell r="G278" t="str">
            <v>QUARTET GEOTAPE WHITEBOARD LINER 3MMX8M BLACK</v>
          </cell>
        </row>
        <row r="279">
          <cell r="E279" t="str">
            <v>1019455</v>
          </cell>
          <cell r="F279" t="str">
            <v>1293445</v>
          </cell>
          <cell r="G279" t="str">
            <v>QUARTET MAGNETIC TAPE ROLL 2.1M CHARCOAL</v>
          </cell>
        </row>
        <row r="280">
          <cell r="E280" t="str">
            <v>NSI</v>
          </cell>
          <cell r="F280" t="str">
            <v>1293450</v>
          </cell>
          <cell r="G280" t="str">
            <v>RAPID STAPLES 9/14 14MM  5000 PER BOX</v>
          </cell>
        </row>
        <row r="281">
          <cell r="E281" t="str">
            <v>1039295</v>
          </cell>
          <cell r="F281" t="str">
            <v>1293455</v>
          </cell>
          <cell r="G281" t="str">
            <v>RAZORLINE CLIPFOLDER PP A4 BLACK</v>
          </cell>
        </row>
        <row r="282">
          <cell r="E282" t="str">
            <v>1054876</v>
          </cell>
          <cell r="F282" t="str">
            <v>1293460</v>
          </cell>
          <cell r="G282" t="str">
            <v>RAZORLINE STICKY ADHESIVE NOTE 76X127MM YELLOW 12 PER PACK</v>
          </cell>
        </row>
        <row r="283">
          <cell r="E283" t="str">
            <v>1054875</v>
          </cell>
          <cell r="F283" t="str">
            <v>1293465</v>
          </cell>
          <cell r="G283" t="str">
            <v>RAZORLINE STICKY ADHESIVE NOTE 38X50MM YELLOW 12 PER PACK</v>
          </cell>
        </row>
        <row r="284">
          <cell r="E284" t="str">
            <v>1054877</v>
          </cell>
          <cell r="F284" t="str">
            <v>1293470</v>
          </cell>
          <cell r="G284" t="str">
            <v>RAZORLINE STICKY ADHESIVE NOTE 76X76MM YELLOW 12 PER PACK</v>
          </cell>
        </row>
        <row r="285">
          <cell r="E285" t="str">
            <v>14172015</v>
          </cell>
          <cell r="F285" t="str">
            <v>1293475</v>
          </cell>
          <cell r="G285" t="str">
            <v>REFLEX COPY PAPER A4 80GSM TINT GREEN</v>
          </cell>
        </row>
        <row r="286">
          <cell r="E286" t="str">
            <v>14172029</v>
          </cell>
          <cell r="F286" t="str">
            <v>1293480</v>
          </cell>
          <cell r="G286" t="str">
            <v>REFLEX COPY PAPER A4 80GSM TINT YELLOW</v>
          </cell>
        </row>
        <row r="287">
          <cell r="E287" t="str">
            <v>14172022</v>
          </cell>
          <cell r="F287" t="str">
            <v>1293485</v>
          </cell>
          <cell r="G287" t="str">
            <v>REFLEX COPY PAPER A4 80GSM TINT PINK</v>
          </cell>
        </row>
        <row r="288">
          <cell r="E288" t="str">
            <v>14172004</v>
          </cell>
          <cell r="F288" t="str">
            <v>1293490</v>
          </cell>
          <cell r="G288" t="str">
            <v>REFLEX COPY PAPER A4 80GSM TINT BLUE</v>
          </cell>
        </row>
        <row r="289">
          <cell r="E289" t="str">
            <v>14172028</v>
          </cell>
          <cell r="F289" t="str">
            <v>1293495</v>
          </cell>
          <cell r="G289" t="str">
            <v>REFLEX COPY PAPER A4 80GSM ULTRA WHITE 500</v>
          </cell>
        </row>
        <row r="290">
          <cell r="E290" t="str">
            <v>39548000</v>
          </cell>
          <cell r="F290" t="str">
            <v>1293500</v>
          </cell>
          <cell r="G290" t="str">
            <v>REXEL ID CONVENTION CARDHOLDER  WITH PIN CLIP 50 50 PER BOX</v>
          </cell>
        </row>
        <row r="291">
          <cell r="E291" t="str">
            <v>39401800</v>
          </cell>
          <cell r="F291" t="str">
            <v>1293505</v>
          </cell>
          <cell r="G291" t="str">
            <v>REXEL ID SELF SEAL POUCH CLEAR  10 PER PACK</v>
          </cell>
        </row>
        <row r="292">
          <cell r="E292" t="str">
            <v>38229800</v>
          </cell>
          <cell r="F292" t="str">
            <v>1293510</v>
          </cell>
          <cell r="G292" t="str">
            <v>REXEL PUNCH 2H POWER PUNCH 150  SHEET</v>
          </cell>
        </row>
        <row r="293">
          <cell r="E293" t="str">
            <v>340008600</v>
          </cell>
          <cell r="F293" t="str">
            <v>1293515</v>
          </cell>
          <cell r="G293" t="str">
            <v>REXEL STAPLER HEAVY DUTY GLADIATOR BLACK SILVER</v>
          </cell>
        </row>
        <row r="294">
          <cell r="E294" t="str">
            <v>38852800</v>
          </cell>
          <cell r="F294" t="str">
            <v>1293520</v>
          </cell>
          <cell r="G294" t="str">
            <v>REXEL STAPLES NO 16 24/6MM  5000 PER BOX</v>
          </cell>
        </row>
        <row r="295">
          <cell r="E295" t="str">
            <v>88004175</v>
          </cell>
          <cell r="F295" t="str">
            <v>1293525</v>
          </cell>
          <cell r="G295" t="str">
            <v>RUBBER BANDS 500G 109</v>
          </cell>
        </row>
        <row r="296">
          <cell r="E296" t="str">
            <v>38100700</v>
          </cell>
          <cell r="F296" t="str">
            <v>1293530</v>
          </cell>
          <cell r="G296" t="str">
            <v>RUBBER BANDS 500G 16</v>
          </cell>
        </row>
        <row r="297">
          <cell r="E297" t="str">
            <v>38101900</v>
          </cell>
          <cell r="F297" t="str">
            <v>1293535</v>
          </cell>
          <cell r="G297" t="str">
            <v>RUBBER BANDS 500G 65</v>
          </cell>
        </row>
        <row r="298">
          <cell r="E298" t="str">
            <v>16260100</v>
          </cell>
          <cell r="F298" t="str">
            <v>1293540</v>
          </cell>
          <cell r="G298" t="str">
            <v>RULER STAEDT SCALE 56198-4</v>
          </cell>
        </row>
        <row r="299">
          <cell r="E299" t="str">
            <v>36112100</v>
          </cell>
          <cell r="F299" t="str">
            <v>1293545</v>
          </cell>
          <cell r="G299" t="str">
            <v>SASCO WALL PLANNER YEAR ENVIRO  870 X 610MM 2020</v>
          </cell>
        </row>
        <row r="300">
          <cell r="E300" t="str">
            <v>38310500</v>
          </cell>
          <cell r="F300" t="str">
            <v>1293550</v>
          </cell>
          <cell r="G300" t="str">
            <v>SCISSORS HANDLE 8.25INCHES ORANGE</v>
          </cell>
        </row>
        <row r="301">
          <cell r="E301" t="str">
            <v>38934000</v>
          </cell>
          <cell r="F301" t="str">
            <v>1293555</v>
          </cell>
          <cell r="G301" t="str">
            <v>SCOTCH MAGIC TAPE 810 19MM X 32.9M REFILL</v>
          </cell>
        </row>
        <row r="302">
          <cell r="E302" t="str">
            <v>535023100</v>
          </cell>
          <cell r="F302" t="str">
            <v>1293560</v>
          </cell>
          <cell r="G302" t="str">
            <v>SCOTCH TAPE 810 MAGIC 19MM X 25M REFILL PACK 4 4 PER PACK</v>
          </cell>
        </row>
        <row r="303">
          <cell r="E303" t="str">
            <v>510013300</v>
          </cell>
          <cell r="F303" t="str">
            <v>1293565</v>
          </cell>
          <cell r="G303" t="str">
            <v>SCOTCH TAPE DISPENSER BPS-1 DISPENSER PLUS TAPE</v>
          </cell>
        </row>
        <row r="304">
          <cell r="E304" t="str">
            <v>930005200</v>
          </cell>
          <cell r="F304" t="str">
            <v>1293570</v>
          </cell>
          <cell r="G304" t="str">
            <v>STAEDTLER MARS MICRO LEADS HB 0.5MM TUBE 12 12 PER PACK</v>
          </cell>
        </row>
        <row r="305">
          <cell r="E305" t="str">
            <v>335052200</v>
          </cell>
          <cell r="F305" t="str">
            <v>1293575</v>
          </cell>
          <cell r="G305" t="str">
            <v>STAMP DATER SPET300 DATE 3MM</v>
          </cell>
        </row>
        <row r="306">
          <cell r="E306" t="str">
            <v>38819003</v>
          </cell>
          <cell r="F306" t="str">
            <v>1293580</v>
          </cell>
          <cell r="G306" t="str">
            <v>STAMP PAD INK 28ML SHINY BLACK</v>
          </cell>
        </row>
        <row r="307">
          <cell r="E307" t="str">
            <v>38819024</v>
          </cell>
          <cell r="F307" t="str">
            <v>1293585</v>
          </cell>
          <cell r="G307" t="str">
            <v>STAMP PAD INK 28ML SHINY RED</v>
          </cell>
        </row>
        <row r="308">
          <cell r="E308" t="str">
            <v>335031103</v>
          </cell>
          <cell r="F308" t="str">
            <v>1293590</v>
          </cell>
          <cell r="G308" t="str">
            <v>STAMP SHINY APPROVED RED</v>
          </cell>
        </row>
        <row r="309">
          <cell r="E309" t="str">
            <v>335032803</v>
          </cell>
          <cell r="F309" t="str">
            <v>1293595</v>
          </cell>
          <cell r="G309" t="str">
            <v>STAMP SHINY COPY RED</v>
          </cell>
        </row>
        <row r="310">
          <cell r="E310" t="str">
            <v>38824900</v>
          </cell>
          <cell r="F310" t="str">
            <v>1293600</v>
          </cell>
          <cell r="G310" t="str">
            <v>STAMP SHINY DATER 4MM S-400</v>
          </cell>
        </row>
        <row r="311">
          <cell r="E311" t="str">
            <v>38824500</v>
          </cell>
          <cell r="F311" t="str">
            <v>1293605</v>
          </cell>
          <cell r="G311" t="str">
            <v>STAMP SHINY DATER ENTERED BL/R</v>
          </cell>
        </row>
        <row r="312">
          <cell r="E312" t="str">
            <v>335035103</v>
          </cell>
          <cell r="F312" t="str">
            <v>1293610</v>
          </cell>
          <cell r="G312" t="str">
            <v>STAMP SHINY EMAILED W/DATE RED</v>
          </cell>
        </row>
        <row r="313">
          <cell r="E313" t="str">
            <v>335035303</v>
          </cell>
          <cell r="F313" t="str">
            <v>1293615</v>
          </cell>
          <cell r="G313" t="str">
            <v>STAMP SHINY ENTRED O/L AND DATER</v>
          </cell>
        </row>
        <row r="314">
          <cell r="E314" t="str">
            <v>335036003</v>
          </cell>
          <cell r="F314" t="str">
            <v>1293620</v>
          </cell>
          <cell r="G314" t="str">
            <v>STAMP SHINY FAXD O/L AND DT RE</v>
          </cell>
        </row>
        <row r="315">
          <cell r="E315" t="str">
            <v>1029466</v>
          </cell>
          <cell r="F315" t="str">
            <v>1293625</v>
          </cell>
          <cell r="G315" t="str">
            <v>STAPLER MARBIG LOWFORCE HD BLK</v>
          </cell>
        </row>
        <row r="316">
          <cell r="E316" t="str">
            <v>1017835</v>
          </cell>
          <cell r="F316" t="str">
            <v>1293635</v>
          </cell>
          <cell r="G316" t="str">
            <v>STRIPS FABRIC 19MMX72MM  50 PER BOX</v>
          </cell>
        </row>
        <row r="317">
          <cell r="E317" t="str">
            <v>1050691</v>
          </cell>
          <cell r="F317" t="str">
            <v>1293640</v>
          </cell>
          <cell r="G317" t="str">
            <v>STYLUS PP100 ACRYLIC PACKAGING  TAPE 48MMX75M CLEAR</v>
          </cell>
        </row>
        <row r="318">
          <cell r="E318" t="str">
            <v>38965100</v>
          </cell>
          <cell r="F318" t="str">
            <v>1293645</v>
          </cell>
          <cell r="G318" t="str">
            <v>STYLUS TAPE 3933 FRAGILE HANDLE 48MMX66M FL ORANGE</v>
          </cell>
        </row>
        <row r="319">
          <cell r="E319" t="str">
            <v>39310700</v>
          </cell>
          <cell r="F319" t="str">
            <v>1293650</v>
          </cell>
          <cell r="G319" t="str">
            <v>TAGSELL HAND TALLY COUNTER SILVER</v>
          </cell>
        </row>
        <row r="320">
          <cell r="E320" t="str">
            <v>1052987</v>
          </cell>
          <cell r="F320" t="str">
            <v>1293655</v>
          </cell>
          <cell r="G320" t="str">
            <v>TEA BAGS LIPTON ENV  1200 PER BOX</v>
          </cell>
        </row>
        <row r="321">
          <cell r="E321" t="str">
            <v>87003033</v>
          </cell>
          <cell r="F321" t="str">
            <v>1293660</v>
          </cell>
          <cell r="G321" t="str">
            <v>TEA BAGS LIPTONS 100'S  100 PER BOX</v>
          </cell>
        </row>
        <row r="322">
          <cell r="E322" t="str">
            <v>74016100</v>
          </cell>
          <cell r="F322" t="str">
            <v>1293665</v>
          </cell>
          <cell r="G322" t="str">
            <v>TEA LIPTON TEABAGS GREEN TEA  100 PER PACK</v>
          </cell>
        </row>
        <row r="323">
          <cell r="E323" t="str">
            <v>87001048</v>
          </cell>
          <cell r="F323" t="str">
            <v>1293670</v>
          </cell>
          <cell r="G323" t="str">
            <v>TEA TWININGS TEABAGS IRISH  100 PER PACK</v>
          </cell>
        </row>
        <row r="324">
          <cell r="E324" t="str">
            <v>1053224</v>
          </cell>
          <cell r="F324" t="str">
            <v>1293675</v>
          </cell>
          <cell r="G324" t="str">
            <v>TEABAG AUSTRALIAN AFTERNOON  600 PER BOX</v>
          </cell>
        </row>
        <row r="325">
          <cell r="E325" t="str">
            <v>1043736</v>
          </cell>
          <cell r="F325" t="str">
            <v>1293680</v>
          </cell>
          <cell r="G325" t="str">
            <v>TISSUE FACIAL BIBBULMUN 2P200S</v>
          </cell>
        </row>
        <row r="326">
          <cell r="E326" t="str">
            <v>14269100</v>
          </cell>
          <cell r="F326" t="str">
            <v>1293685</v>
          </cell>
          <cell r="G326" t="str">
            <v>TUDOR ENVELOPE B4 353X250MM P/SEAL PKT GLD 250 PER BOX</v>
          </cell>
        </row>
        <row r="327">
          <cell r="E327" t="str">
            <v>87001045</v>
          </cell>
          <cell r="F327" t="str">
            <v>1293690</v>
          </cell>
          <cell r="G327" t="str">
            <v>TWININGS TEA BAGS EARL GREY ENVELOPED 10 PER PACK</v>
          </cell>
        </row>
        <row r="328">
          <cell r="E328" t="str">
            <v>87001044</v>
          </cell>
          <cell r="F328" t="str">
            <v>1293695</v>
          </cell>
          <cell r="G328" t="str">
            <v>TWININGS TEA BAGS EARL GREY  100 PER PACK</v>
          </cell>
        </row>
        <row r="329">
          <cell r="E329" t="str">
            <v>74004300</v>
          </cell>
          <cell r="F329" t="str">
            <v>1293700</v>
          </cell>
          <cell r="G329" t="str">
            <v>TWININGS TEA BAGS IRISH BREAKF BREAKFAST ENVELOPED 10 PER PACK</v>
          </cell>
        </row>
        <row r="330">
          <cell r="E330" t="str">
            <v>74002400</v>
          </cell>
          <cell r="F330" t="str">
            <v>1293705</v>
          </cell>
          <cell r="G330" t="str">
            <v>TWININGS TEA BAGS LEMON GINGER  ENVELOPED 10 PER PACK</v>
          </cell>
        </row>
        <row r="331">
          <cell r="E331" t="str">
            <v>74002300</v>
          </cell>
          <cell r="F331" t="str">
            <v>1293710</v>
          </cell>
          <cell r="G331" t="str">
            <v>TWININGS TEA BAGS LEMON TWIST ENVELOPED 10 PER PACK</v>
          </cell>
        </row>
        <row r="332">
          <cell r="E332" t="str">
            <v>74002800</v>
          </cell>
          <cell r="F332" t="str">
            <v>1293715</v>
          </cell>
          <cell r="G332" t="str">
            <v>TWININGS TEA BAGS PEPPERMINT  ENVELOPED 10 PER PACK</v>
          </cell>
        </row>
        <row r="333">
          <cell r="E333" t="str">
            <v>74002700</v>
          </cell>
          <cell r="F333" t="str">
            <v>1293720</v>
          </cell>
          <cell r="G333" t="str">
            <v>TWININGS TEA BAGS PURE CAMOMIL ENVELOPED 10 PER PACK</v>
          </cell>
        </row>
        <row r="334">
          <cell r="E334" t="str">
            <v>74002500</v>
          </cell>
          <cell r="F334" t="str">
            <v>1293725</v>
          </cell>
          <cell r="G334" t="str">
            <v>TWININGS TEA BAGS PURE GREEN ENVELOPED 10 PER PACK</v>
          </cell>
        </row>
        <row r="335">
          <cell r="E335" t="str">
            <v>16202624</v>
          </cell>
          <cell r="F335" t="str">
            <v>1293730</v>
          </cell>
          <cell r="G335" t="str">
            <v>UNIBALL UB157 EYE FINE LIQUID INK RB PEN 0.7MM RED 12 PER BOX</v>
          </cell>
        </row>
        <row r="336">
          <cell r="E336" t="str">
            <v>16202603</v>
          </cell>
          <cell r="F336" t="str">
            <v>1293735</v>
          </cell>
          <cell r="G336" t="str">
            <v>UNIBALL UB157 EYE FINE LIQUID INK RB PEN 0.7MM BLACK 12 PER BOX</v>
          </cell>
        </row>
        <row r="337">
          <cell r="E337" t="str">
            <v>16202604</v>
          </cell>
          <cell r="F337" t="str">
            <v>1293740</v>
          </cell>
          <cell r="G337" t="str">
            <v>UNIBALL UB157 EYE FINE LIQUID INK RB PEN 0.7MM BLUE 12 PER BOX</v>
          </cell>
        </row>
        <row r="338">
          <cell r="E338" t="str">
            <v>935509802</v>
          </cell>
          <cell r="F338" t="str">
            <v>1293745</v>
          </cell>
          <cell r="G338" t="str">
            <v>UNIBALL UM151S ROLLERBALL PEN SIGNO GEL GRIP BLUE 12 PER BOX</v>
          </cell>
        </row>
        <row r="339">
          <cell r="E339" t="str">
            <v>38111203</v>
          </cell>
          <cell r="F339" t="str">
            <v>1293750</v>
          </cell>
          <cell r="G339" t="str">
            <v>VISTA MAGNETIC BUTTONS 20MM BLACK 10 PER PACK</v>
          </cell>
        </row>
        <row r="340">
          <cell r="E340" t="str">
            <v>38111204</v>
          </cell>
          <cell r="F340" t="str">
            <v>1293755</v>
          </cell>
          <cell r="G340" t="str">
            <v>VISTA MAGNETIC BUTTONS 20MM BLUE 10 PER PACK</v>
          </cell>
        </row>
        <row r="341">
          <cell r="E341" t="str">
            <v>735065001</v>
          </cell>
          <cell r="F341" t="str">
            <v>1293760</v>
          </cell>
          <cell r="G341" t="str">
            <v>VISTA MAGNETIC COLOURED STRIPS  25X300MM BLACK 2 PER PACK</v>
          </cell>
        </row>
        <row r="342">
          <cell r="E342" t="str">
            <v>38112328</v>
          </cell>
          <cell r="F342" t="str">
            <v>1293765</v>
          </cell>
          <cell r="G342" t="str">
            <v>VISTA MAGNETIC COLOURED STRIPS  25X300MM WHITE 2 PER PACK</v>
          </cell>
        </row>
        <row r="343">
          <cell r="E343" t="str">
            <v>1020495</v>
          </cell>
          <cell r="F343" t="str">
            <v>1293770</v>
          </cell>
          <cell r="G343" t="str">
            <v>VITTORIA COFFEE SPECIAL ITALIA BEAN 1KG</v>
          </cell>
        </row>
        <row r="344">
          <cell r="E344" t="str">
            <v>1037504</v>
          </cell>
          <cell r="F344" t="str">
            <v>1293775</v>
          </cell>
          <cell r="G344" t="str">
            <v>WATER STILL NU PURE 600ML  24 PER BOX</v>
          </cell>
        </row>
        <row r="345">
          <cell r="E345" t="str">
            <v>30119600</v>
          </cell>
          <cell r="F345" t="str">
            <v>1293780</v>
          </cell>
          <cell r="G345" t="str">
            <v>WHITEBOARD DELI 1800X1200</v>
          </cell>
        </row>
        <row r="346">
          <cell r="E346" t="str">
            <v>1016016</v>
          </cell>
          <cell r="F346" t="str">
            <v>1293785</v>
          </cell>
          <cell r="G346" t="str">
            <v>X-STAMPER CX-BN STAMP COMPLETE  WITH ICON</v>
          </cell>
        </row>
        <row r="347">
          <cell r="E347" t="str">
            <v>105501101</v>
          </cell>
          <cell r="F347" t="str">
            <v>1293790</v>
          </cell>
          <cell r="G347" t="str">
            <v>CELCO STORAGE CLIPBOARD A4 WITH WHITEBOARD</v>
          </cell>
        </row>
        <row r="348">
          <cell r="E348" t="str">
            <v>070040900</v>
          </cell>
          <cell r="F348" t="str">
            <v>1293795</v>
          </cell>
          <cell r="G348" t="str">
            <v>16GM USB STICK VERBATIM STORE N GO BLACK</v>
          </cell>
        </row>
        <row r="349">
          <cell r="E349" t="str">
            <v>925007301</v>
          </cell>
          <cell r="F349" t="str">
            <v>1293800</v>
          </cell>
          <cell r="G349" t="str">
            <v>MARKER ARTLINE 725 BLACK  BOX OF 12</v>
          </cell>
        </row>
        <row r="350">
          <cell r="E350" t="str">
            <v>87000389</v>
          </cell>
          <cell r="F350" t="str">
            <v>1293805</v>
          </cell>
          <cell r="G350" t="str">
            <v>CUP PLASTIC COLD 200ML BOX OF 1000</v>
          </cell>
        </row>
        <row r="351">
          <cell r="E351" t="str">
            <v>1031342</v>
          </cell>
          <cell r="F351" t="str">
            <v>1293810</v>
          </cell>
          <cell r="G351" t="str">
            <v>PEN ERASABLE PILOT BLUE</v>
          </cell>
        </row>
        <row r="352">
          <cell r="E352" t="str">
            <v>1031341</v>
          </cell>
          <cell r="F352" t="str">
            <v>1293815</v>
          </cell>
          <cell r="G352" t="str">
            <v>PEN ERASABLE PILOT BLACK</v>
          </cell>
        </row>
        <row r="353">
          <cell r="E353" t="str">
            <v>1031343</v>
          </cell>
          <cell r="F353" t="str">
            <v>1293820</v>
          </cell>
          <cell r="G353" t="str">
            <v>PEN ERASABLE PILOT RED</v>
          </cell>
        </row>
        <row r="354">
          <cell r="E354" t="str">
            <v>9023689</v>
          </cell>
          <cell r="F354" t="str">
            <v>1293825</v>
          </cell>
          <cell r="G354" t="str">
            <v>BINDER A4 LEVER ARCH MARBIG BLUE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Y PRICING"/>
      <sheetName val="REQU"/>
      <sheetName val="MINING"/>
      <sheetName val="Sheet1"/>
      <sheetName val="ISSUED"/>
      <sheetName val="RECIEVED"/>
      <sheetName val="ORDERED"/>
      <sheetName val="MONTHLY USAGE"/>
      <sheetName val="PN CONV"/>
      <sheetName val="STOCKTAKE USAGE APRIL MMS"/>
      <sheetName val="STOCKTAKE"/>
      <sheetName val="EOM P&amp;L STK"/>
      <sheetName val="STOCK SHEET MASTER APRIL 2026"/>
    </sheetNames>
    <sheetDataSet>
      <sheetData sheetId="0">
        <row r="1">
          <cell r="L1" t="str">
            <v>Supp. Stk Code</v>
          </cell>
          <cell r="M1" t="str">
            <v>Line Description</v>
          </cell>
          <cell r="N1" t="str">
            <v>Account</v>
          </cell>
          <cell r="O1" t="str">
            <v>Bin</v>
          </cell>
          <cell r="P1" t="str">
            <v>Reqn for</v>
          </cell>
          <cell r="Q1" t="str">
            <v>Unit Price</v>
          </cell>
          <cell r="R1" t="str">
            <v>UOM</v>
          </cell>
          <cell r="S1" t="str">
            <v>Curr</v>
          </cell>
          <cell r="T1" t="str">
            <v>Qty Ordered</v>
          </cell>
          <cell r="U1" t="str">
            <v>Qty Outstdg</v>
          </cell>
          <cell r="V1" t="str">
            <v>Value Outstdg</v>
          </cell>
          <cell r="W1" t="str">
            <v>Rec'd Date</v>
          </cell>
          <cell r="X1" t="str">
            <v>Qty Received</v>
          </cell>
          <cell r="Y1" t="str">
            <v>Value Received</v>
          </cell>
        </row>
        <row r="2">
          <cell r="L2" t="str">
            <v>30004749</v>
          </cell>
          <cell r="M2" t="str">
            <v>GLOVES HYFLEX FOAM SIZE 7</v>
          </cell>
          <cell r="N2" t="str">
            <v>NNAV.E653</v>
          </cell>
          <cell r="P2" t="str">
            <v>MIN_ATOM_004_NNAV</v>
          </cell>
          <cell r="Q2">
            <v>3.25</v>
          </cell>
          <cell r="R2" t="str">
            <v>PAIR</v>
          </cell>
          <cell r="S2" t="str">
            <v>AUD</v>
          </cell>
          <cell r="T2">
            <v>50</v>
          </cell>
          <cell r="U2">
            <v>0</v>
          </cell>
          <cell r="V2">
            <v>0</v>
          </cell>
          <cell r="W2">
            <v>46020</v>
          </cell>
          <cell r="X2">
            <v>50</v>
          </cell>
          <cell r="Y2">
            <v>162.5</v>
          </cell>
        </row>
        <row r="3">
          <cell r="L3" t="str">
            <v>90118137</v>
          </cell>
          <cell r="M3" t="str">
            <v>GLOVES NITRILE SIZE 8</v>
          </cell>
          <cell r="N3" t="str">
            <v>NNAV.E653</v>
          </cell>
          <cell r="P3" t="str">
            <v>MIN_ATOM_004_NNAV</v>
          </cell>
          <cell r="Q3">
            <v>1.65</v>
          </cell>
          <cell r="R3" t="str">
            <v>PAIR</v>
          </cell>
          <cell r="S3" t="str">
            <v>AUD</v>
          </cell>
          <cell r="T3">
            <v>100</v>
          </cell>
          <cell r="U3">
            <v>0</v>
          </cell>
          <cell r="V3">
            <v>0</v>
          </cell>
          <cell r="W3">
            <v>46020</v>
          </cell>
          <cell r="X3">
            <v>100</v>
          </cell>
          <cell r="Y3">
            <v>165</v>
          </cell>
        </row>
        <row r="4">
          <cell r="L4" t="str">
            <v>30004751</v>
          </cell>
          <cell r="M4" t="str">
            <v>GLOVES HYFLEX FOAM SIZE 9</v>
          </cell>
          <cell r="N4" t="str">
            <v>NNAV.E653</v>
          </cell>
          <cell r="P4" t="str">
            <v>MIN_ATOM_004_NNAV</v>
          </cell>
          <cell r="Q4">
            <v>3.25</v>
          </cell>
          <cell r="R4" t="str">
            <v>PAIR</v>
          </cell>
          <cell r="S4" t="str">
            <v>AUD</v>
          </cell>
          <cell r="T4">
            <v>250</v>
          </cell>
          <cell r="U4">
            <v>0</v>
          </cell>
          <cell r="V4">
            <v>0</v>
          </cell>
          <cell r="W4">
            <v>46020</v>
          </cell>
          <cell r="X4">
            <v>250</v>
          </cell>
          <cell r="Y4">
            <v>812.5</v>
          </cell>
        </row>
        <row r="5">
          <cell r="L5" t="str">
            <v>30004752</v>
          </cell>
          <cell r="M5" t="str">
            <v>GLOVES HYFLEX FOAM SIZE 10</v>
          </cell>
          <cell r="N5" t="str">
            <v>NNAV.E653</v>
          </cell>
          <cell r="P5" t="str">
            <v>MIN_ATOM_004_NNAV</v>
          </cell>
          <cell r="Q5">
            <v>3.25</v>
          </cell>
          <cell r="R5" t="str">
            <v>PAIR</v>
          </cell>
          <cell r="S5" t="str">
            <v>AUD</v>
          </cell>
          <cell r="T5">
            <v>250</v>
          </cell>
          <cell r="U5">
            <v>0</v>
          </cell>
          <cell r="V5">
            <v>0</v>
          </cell>
          <cell r="W5">
            <v>46020</v>
          </cell>
          <cell r="X5">
            <v>250</v>
          </cell>
          <cell r="Y5">
            <v>812.5</v>
          </cell>
        </row>
        <row r="6">
          <cell r="L6" t="str">
            <v>30004753</v>
          </cell>
          <cell r="M6" t="str">
            <v>GLOVES HYFLEX FOAM SIZE 11</v>
          </cell>
          <cell r="N6" t="str">
            <v>NNAV.E653</v>
          </cell>
          <cell r="P6" t="str">
            <v>MIN_ATOM_004_NNAV</v>
          </cell>
          <cell r="Q6">
            <v>3.25</v>
          </cell>
          <cell r="R6" t="str">
            <v>PAIR</v>
          </cell>
          <cell r="S6" t="str">
            <v>AUD</v>
          </cell>
          <cell r="T6">
            <v>100</v>
          </cell>
          <cell r="U6">
            <v>0</v>
          </cell>
          <cell r="V6">
            <v>0</v>
          </cell>
          <cell r="W6">
            <v>46020</v>
          </cell>
          <cell r="X6">
            <v>100</v>
          </cell>
          <cell r="Y6">
            <v>325</v>
          </cell>
        </row>
        <row r="7">
          <cell r="L7" t="str">
            <v>36003893</v>
          </cell>
          <cell r="M7" t="str">
            <v>RESPIRATOR DISP MASK P2 PK 10</v>
          </cell>
          <cell r="N7" t="str">
            <v>NNAV.E653</v>
          </cell>
          <cell r="P7" t="str">
            <v>MIN_ATOM_004_NNAV</v>
          </cell>
          <cell r="Q7">
            <v>47.37</v>
          </cell>
          <cell r="R7" t="str">
            <v>BOX</v>
          </cell>
          <cell r="S7" t="str">
            <v>AUD</v>
          </cell>
          <cell r="T7">
            <v>100</v>
          </cell>
          <cell r="U7">
            <v>0</v>
          </cell>
          <cell r="V7">
            <v>0</v>
          </cell>
          <cell r="W7">
            <v>46020</v>
          </cell>
          <cell r="X7">
            <v>100</v>
          </cell>
          <cell r="Y7">
            <v>4737</v>
          </cell>
        </row>
        <row r="8">
          <cell r="L8" t="str">
            <v>B8816075B</v>
          </cell>
          <cell r="M8" t="str">
            <v>HEX BOLT M16X75 GRADE 8.8 BLAC</v>
          </cell>
          <cell r="N8" t="str">
            <v>NNAV.E499</v>
          </cell>
          <cell r="P8" t="str">
            <v>MIN_EXPERT_006_NNAV</v>
          </cell>
          <cell r="Q8">
            <v>20.21</v>
          </cell>
          <cell r="R8" t="str">
            <v>EACH</v>
          </cell>
          <cell r="T8">
            <v>0</v>
          </cell>
          <cell r="U8">
            <v>0</v>
          </cell>
          <cell r="V8">
            <v>0</v>
          </cell>
          <cell r="W8">
            <v>46020</v>
          </cell>
          <cell r="X8">
            <v>0</v>
          </cell>
          <cell r="Y8">
            <v>0</v>
          </cell>
        </row>
        <row r="9">
          <cell r="L9" t="str">
            <v>MR1502</v>
          </cell>
          <cell r="M9" t="str">
            <v>SHUTTER OIL 200LT</v>
          </cell>
          <cell r="N9" t="str">
            <v>NNAV.E499</v>
          </cell>
          <cell r="P9" t="str">
            <v>MIN_EXPERT_006_NNAV</v>
          </cell>
          <cell r="Q9">
            <v>54.56</v>
          </cell>
          <cell r="R9" t="str">
            <v>EACH</v>
          </cell>
          <cell r="T9">
            <v>200</v>
          </cell>
          <cell r="U9">
            <v>0</v>
          </cell>
          <cell r="V9">
            <v>0</v>
          </cell>
          <cell r="W9">
            <v>46020</v>
          </cell>
          <cell r="X9">
            <v>200</v>
          </cell>
          <cell r="Y9">
            <v>10912</v>
          </cell>
        </row>
        <row r="10">
          <cell r="L10" t="str">
            <v>38033511</v>
          </cell>
          <cell r="M10" t="str">
            <v>MINE MARKING VERT WHITE</v>
          </cell>
          <cell r="N10" t="str">
            <v>NNAV.E499</v>
          </cell>
          <cell r="P10" t="str">
            <v>MIN_EXPERT_006_NNAV</v>
          </cell>
          <cell r="Q10">
            <v>136.5</v>
          </cell>
          <cell r="R10" t="str">
            <v>EACH</v>
          </cell>
          <cell r="T10">
            <v>0</v>
          </cell>
          <cell r="U10">
            <v>0</v>
          </cell>
          <cell r="V10">
            <v>0</v>
          </cell>
          <cell r="W10">
            <v>46020</v>
          </cell>
          <cell r="X10">
            <v>0</v>
          </cell>
          <cell r="Y10">
            <v>0</v>
          </cell>
        </row>
        <row r="11">
          <cell r="L11" t="str">
            <v>38033505</v>
          </cell>
          <cell r="M11" t="str">
            <v>MINE MARKING VERT YELLOW</v>
          </cell>
          <cell r="N11" t="str">
            <v>NNAV.E499</v>
          </cell>
          <cell r="P11" t="str">
            <v>MIN_EXPERT_006_NNAV</v>
          </cell>
          <cell r="Q11">
            <v>136.5</v>
          </cell>
          <cell r="R11" t="str">
            <v>EACH</v>
          </cell>
          <cell r="T11">
            <v>0</v>
          </cell>
          <cell r="U11">
            <v>0</v>
          </cell>
          <cell r="V11">
            <v>0</v>
          </cell>
          <cell r="W11">
            <v>46020</v>
          </cell>
          <cell r="X11">
            <v>0</v>
          </cell>
          <cell r="Y11">
            <v>0</v>
          </cell>
        </row>
        <row r="12">
          <cell r="L12" t="str">
            <v>38033502</v>
          </cell>
          <cell r="M12" t="str">
            <v>MINE MARKING VERT RED</v>
          </cell>
          <cell r="N12" t="str">
            <v>NNAV.E499</v>
          </cell>
          <cell r="P12" t="str">
            <v>MIN_EXPERT_006_NNAV</v>
          </cell>
          <cell r="Q12">
            <v>136.5</v>
          </cell>
          <cell r="R12" t="str">
            <v>EACH</v>
          </cell>
          <cell r="T12">
            <v>0</v>
          </cell>
          <cell r="U12">
            <v>0</v>
          </cell>
          <cell r="V12">
            <v>0</v>
          </cell>
          <cell r="W12">
            <v>46020</v>
          </cell>
          <cell r="X12">
            <v>0</v>
          </cell>
          <cell r="Y12">
            <v>0</v>
          </cell>
        </row>
        <row r="13">
          <cell r="L13" t="str">
            <v>B8816075B</v>
          </cell>
          <cell r="M13" t="str">
            <v>HEX BOLT M16X75 GRADE 8.8 BLAC</v>
          </cell>
          <cell r="N13" t="str">
            <v>NNAV.E499</v>
          </cell>
          <cell r="P13" t="str">
            <v>MIN_EXPERT_006_NNAV</v>
          </cell>
          <cell r="Q13">
            <v>20.21</v>
          </cell>
          <cell r="R13" t="str">
            <v>EACH</v>
          </cell>
          <cell r="T13">
            <v>0</v>
          </cell>
          <cell r="U13">
            <v>0</v>
          </cell>
          <cell r="V13">
            <v>0</v>
          </cell>
          <cell r="W13">
            <v>46042</v>
          </cell>
          <cell r="X13">
            <v>0</v>
          </cell>
          <cell r="Y13">
            <v>0</v>
          </cell>
        </row>
        <row r="14">
          <cell r="L14" t="str">
            <v>38033511</v>
          </cell>
          <cell r="M14" t="str">
            <v>MINE MARKING VERT WHITE</v>
          </cell>
          <cell r="N14" t="str">
            <v>NNAV.E499</v>
          </cell>
          <cell r="P14" t="str">
            <v>MIN_EXPERT_006_NNAV</v>
          </cell>
          <cell r="Q14">
            <v>136.5</v>
          </cell>
          <cell r="R14" t="str">
            <v>EACH</v>
          </cell>
          <cell r="T14">
            <v>60</v>
          </cell>
          <cell r="U14">
            <v>0</v>
          </cell>
          <cell r="V14">
            <v>0</v>
          </cell>
          <cell r="W14">
            <v>46042</v>
          </cell>
          <cell r="X14">
            <v>60</v>
          </cell>
          <cell r="Y14">
            <v>8190</v>
          </cell>
        </row>
        <row r="15">
          <cell r="L15" t="str">
            <v>38033505</v>
          </cell>
          <cell r="M15" t="str">
            <v>MINE MARKING VERT YELLOW</v>
          </cell>
          <cell r="N15" t="str">
            <v>NNAV.E499</v>
          </cell>
          <cell r="P15" t="str">
            <v>MIN_EXPERT_006_NNAV</v>
          </cell>
          <cell r="Q15">
            <v>136.5</v>
          </cell>
          <cell r="R15" t="str">
            <v>EACH</v>
          </cell>
          <cell r="T15">
            <v>120</v>
          </cell>
          <cell r="U15">
            <v>0</v>
          </cell>
          <cell r="V15">
            <v>0</v>
          </cell>
          <cell r="W15">
            <v>46042</v>
          </cell>
          <cell r="X15">
            <v>120</v>
          </cell>
          <cell r="Y15">
            <v>16380</v>
          </cell>
        </row>
        <row r="16">
          <cell r="L16" t="str">
            <v>38033502</v>
          </cell>
          <cell r="M16" t="str">
            <v>MINE MARKING VERT RED</v>
          </cell>
          <cell r="N16" t="str">
            <v>NNAV.E499</v>
          </cell>
          <cell r="P16" t="str">
            <v>MIN_EXPERT_006_NNAV</v>
          </cell>
          <cell r="Q16">
            <v>136.5</v>
          </cell>
          <cell r="R16" t="str">
            <v>EACH</v>
          </cell>
          <cell r="T16">
            <v>60</v>
          </cell>
          <cell r="U16">
            <v>0</v>
          </cell>
          <cell r="V16">
            <v>0</v>
          </cell>
          <cell r="W16">
            <v>46042</v>
          </cell>
          <cell r="X16">
            <v>60</v>
          </cell>
          <cell r="Y16">
            <v>8190</v>
          </cell>
        </row>
        <row r="17">
          <cell r="L17" t="str">
            <v>B8816075B</v>
          </cell>
          <cell r="M17" t="str">
            <v>HEX BOLT M16X75 GRADE 8.8 BLAC</v>
          </cell>
          <cell r="N17" t="str">
            <v>NNAV.E499</v>
          </cell>
          <cell r="P17" t="str">
            <v>MIN_EXPERT_006_NNAV</v>
          </cell>
          <cell r="Q17">
            <v>20.21</v>
          </cell>
          <cell r="R17" t="str">
            <v>EACH</v>
          </cell>
          <cell r="T17">
            <v>0</v>
          </cell>
          <cell r="U17">
            <v>0</v>
          </cell>
          <cell r="V17">
            <v>0</v>
          </cell>
          <cell r="W17">
            <v>46042</v>
          </cell>
          <cell r="X17">
            <v>0</v>
          </cell>
          <cell r="Y17">
            <v>0</v>
          </cell>
        </row>
        <row r="18">
          <cell r="L18" t="str">
            <v>B8816075B</v>
          </cell>
          <cell r="M18" t="str">
            <v>HEX BOLT M16X75 GRADE 8.8 BLAC</v>
          </cell>
          <cell r="N18" t="str">
            <v>NNAV.E499</v>
          </cell>
          <cell r="P18" t="str">
            <v>MIN_EXPERT_006_NNAV</v>
          </cell>
          <cell r="Q18">
            <v>20.21</v>
          </cell>
          <cell r="R18" t="str">
            <v>EACH</v>
          </cell>
          <cell r="T18">
            <v>100</v>
          </cell>
          <cell r="U18">
            <v>0</v>
          </cell>
          <cell r="V18">
            <v>0</v>
          </cell>
          <cell r="W18">
            <v>46043</v>
          </cell>
          <cell r="X18">
            <v>100</v>
          </cell>
          <cell r="Y18">
            <v>2021</v>
          </cell>
        </row>
        <row r="19">
          <cell r="L19" t="str">
            <v>33191231</v>
          </cell>
          <cell r="M19" t="str">
            <v>GUIDE PIECE WHOLE, OLD 2640374</v>
          </cell>
          <cell r="N19" t="str">
            <v>NNAV.E155</v>
          </cell>
          <cell r="P19" t="str">
            <v>MIN_SANDVIK_NAMIBIA_</v>
          </cell>
          <cell r="Q19">
            <v>1884.83</v>
          </cell>
          <cell r="R19" t="str">
            <v>EACH</v>
          </cell>
          <cell r="T19">
            <v>50</v>
          </cell>
          <cell r="U19">
            <v>0</v>
          </cell>
          <cell r="V19">
            <v>0</v>
          </cell>
          <cell r="W19">
            <v>45994</v>
          </cell>
          <cell r="X19">
            <v>50</v>
          </cell>
          <cell r="Y19">
            <v>94241.5</v>
          </cell>
        </row>
        <row r="20">
          <cell r="L20" t="str">
            <v>33191232</v>
          </cell>
          <cell r="M20" t="str">
            <v>GUIDE PIECE WHOLE, OLD 2640374</v>
          </cell>
          <cell r="N20" t="str">
            <v>NNAV.E155</v>
          </cell>
          <cell r="P20" t="str">
            <v>MIN_SANDVIK_NAMIBIA_</v>
          </cell>
          <cell r="Q20">
            <v>1733.67</v>
          </cell>
          <cell r="R20" t="str">
            <v>EACH</v>
          </cell>
          <cell r="T20">
            <v>50</v>
          </cell>
          <cell r="U20">
            <v>0</v>
          </cell>
          <cell r="V20">
            <v>0</v>
          </cell>
          <cell r="W20">
            <v>45994</v>
          </cell>
          <cell r="X20">
            <v>50</v>
          </cell>
          <cell r="Y20">
            <v>86683.5</v>
          </cell>
        </row>
        <row r="21">
          <cell r="L21" t="str">
            <v>33191234</v>
          </cell>
          <cell r="M21" t="str">
            <v>GUIDE PIECE, OLD 26403742</v>
          </cell>
          <cell r="N21" t="str">
            <v>NNAV.E155</v>
          </cell>
          <cell r="P21" t="str">
            <v>MIN_SANDVIK_NAMIBIA_</v>
          </cell>
          <cell r="Q21">
            <v>1376.29</v>
          </cell>
          <cell r="R21" t="str">
            <v>EACH</v>
          </cell>
          <cell r="T21">
            <v>50</v>
          </cell>
          <cell r="U21">
            <v>0</v>
          </cell>
          <cell r="V21">
            <v>0</v>
          </cell>
          <cell r="W21">
            <v>45994</v>
          </cell>
          <cell r="X21">
            <v>50</v>
          </cell>
          <cell r="Y21">
            <v>68814.5</v>
          </cell>
        </row>
        <row r="22">
          <cell r="L22" t="str">
            <v>ROPE-GAL-6-1000</v>
          </cell>
          <cell r="M22" t="str">
            <v>GALV WIRE ROPE 7 X 7</v>
          </cell>
          <cell r="N22" t="str">
            <v>NNAV.E499</v>
          </cell>
          <cell r="P22" t="str">
            <v>MIN_DIXON_004_NNAV</v>
          </cell>
          <cell r="Q22">
            <v>721.85</v>
          </cell>
          <cell r="R22" t="str">
            <v>ROLL</v>
          </cell>
          <cell r="S22" t="str">
            <v>AUD</v>
          </cell>
          <cell r="T22">
            <v>4</v>
          </cell>
          <cell r="U22">
            <v>0</v>
          </cell>
          <cell r="V22">
            <v>0</v>
          </cell>
          <cell r="W22">
            <v>46007</v>
          </cell>
          <cell r="X22">
            <v>4</v>
          </cell>
          <cell r="Y22">
            <v>2887.4</v>
          </cell>
        </row>
        <row r="23">
          <cell r="L23" t="str">
            <v>ROPE-POLY-6-125</v>
          </cell>
          <cell r="M23" t="str">
            <v>POLY ROPE 125M</v>
          </cell>
          <cell r="N23" t="str">
            <v>NNAV.E499</v>
          </cell>
          <cell r="P23" t="str">
            <v>MIN_DIXON_004_NNAV</v>
          </cell>
          <cell r="Q23">
            <v>33.22</v>
          </cell>
          <cell r="R23" t="str">
            <v>ROLL</v>
          </cell>
          <cell r="S23" t="str">
            <v>AUD</v>
          </cell>
          <cell r="T23">
            <v>5</v>
          </cell>
          <cell r="U23">
            <v>0</v>
          </cell>
          <cell r="V23">
            <v>0</v>
          </cell>
          <cell r="W23">
            <v>46007</v>
          </cell>
          <cell r="X23">
            <v>5</v>
          </cell>
          <cell r="Y23">
            <v>166.1</v>
          </cell>
        </row>
        <row r="24">
          <cell r="L24" t="str">
            <v>CH-GAL-6-25</v>
          </cell>
          <cell r="M24" t="str">
            <v>6MM GAL CHAIN 25KG PACK</v>
          </cell>
          <cell r="N24" t="str">
            <v>NNAV.E499</v>
          </cell>
          <cell r="P24" t="str">
            <v>MIN_DIXON_004_NNAV</v>
          </cell>
          <cell r="Q24">
            <v>89.97</v>
          </cell>
          <cell r="R24" t="str">
            <v>EACH</v>
          </cell>
          <cell r="S24" t="str">
            <v>AUD</v>
          </cell>
          <cell r="T24">
            <v>10</v>
          </cell>
          <cell r="U24">
            <v>0</v>
          </cell>
          <cell r="V24">
            <v>0</v>
          </cell>
          <cell r="W24">
            <v>46007</v>
          </cell>
          <cell r="X24">
            <v>10</v>
          </cell>
          <cell r="Y24">
            <v>899.7</v>
          </cell>
        </row>
        <row r="25">
          <cell r="L25" t="str">
            <v>SH-D-6</v>
          </cell>
          <cell r="M25" t="str">
            <v>SHACKLE 6MM DEE GAL UNTESTED</v>
          </cell>
          <cell r="N25" t="str">
            <v>NNAV.E499</v>
          </cell>
          <cell r="P25" t="str">
            <v>MIN_DIXON_004_NNAV</v>
          </cell>
          <cell r="Q25">
            <v>0.28000000000000003</v>
          </cell>
          <cell r="R25" t="str">
            <v>EACH</v>
          </cell>
          <cell r="S25" t="str">
            <v>AUD</v>
          </cell>
          <cell r="T25">
            <v>2500</v>
          </cell>
          <cell r="U25">
            <v>0</v>
          </cell>
          <cell r="V25">
            <v>0</v>
          </cell>
          <cell r="W25">
            <v>46007</v>
          </cell>
          <cell r="X25">
            <v>2500</v>
          </cell>
          <cell r="Y25">
            <v>700</v>
          </cell>
        </row>
        <row r="26">
          <cell r="L26" t="str">
            <v>SH-D-20</v>
          </cell>
          <cell r="M26" t="str">
            <v>SHACKLE 20MM DEE GAL UNTESTED</v>
          </cell>
          <cell r="N26" t="str">
            <v>NNAV.E499</v>
          </cell>
          <cell r="P26" t="str">
            <v>MIN_DIXON_004_NNAV</v>
          </cell>
          <cell r="Q26">
            <v>9.34</v>
          </cell>
          <cell r="R26" t="str">
            <v>EACH</v>
          </cell>
          <cell r="S26" t="str">
            <v>AUD</v>
          </cell>
          <cell r="T26">
            <v>20</v>
          </cell>
          <cell r="U26">
            <v>0</v>
          </cell>
          <cell r="V26">
            <v>0</v>
          </cell>
          <cell r="W26">
            <v>46007</v>
          </cell>
          <cell r="X26">
            <v>20</v>
          </cell>
          <cell r="Y26">
            <v>186.8</v>
          </cell>
        </row>
        <row r="27">
          <cell r="L27" t="str">
            <v>TTB50</v>
          </cell>
          <cell r="M27" t="str">
            <v>TAPE THREAD</v>
          </cell>
          <cell r="N27" t="str">
            <v>NNAV.E499</v>
          </cell>
          <cell r="P27" t="str">
            <v>MIN_DIXON_004_NNAV</v>
          </cell>
          <cell r="Q27">
            <v>0.6</v>
          </cell>
          <cell r="R27" t="str">
            <v>EACH</v>
          </cell>
          <cell r="S27" t="str">
            <v>AUD</v>
          </cell>
          <cell r="T27">
            <v>100</v>
          </cell>
          <cell r="U27">
            <v>0</v>
          </cell>
          <cell r="V27">
            <v>0</v>
          </cell>
          <cell r="W27">
            <v>46007</v>
          </cell>
          <cell r="X27">
            <v>100</v>
          </cell>
          <cell r="Y27">
            <v>60</v>
          </cell>
        </row>
        <row r="28">
          <cell r="L28" t="str">
            <v>08/023/90/000</v>
          </cell>
          <cell r="M28" t="str">
            <v>WHIP CHECK 23/90 SMALL</v>
          </cell>
          <cell r="N28" t="str">
            <v>NNAV.E499</v>
          </cell>
          <cell r="P28" t="str">
            <v>MIN_DIXON_004_NNAV</v>
          </cell>
          <cell r="Q28">
            <v>18.670000000000002</v>
          </cell>
          <cell r="R28" t="str">
            <v>EACH</v>
          </cell>
          <cell r="S28" t="str">
            <v>AUD</v>
          </cell>
          <cell r="T28">
            <v>10</v>
          </cell>
          <cell r="U28">
            <v>0</v>
          </cell>
          <cell r="V28">
            <v>0</v>
          </cell>
          <cell r="W28">
            <v>46007</v>
          </cell>
          <cell r="X28">
            <v>10</v>
          </cell>
          <cell r="Y28">
            <v>186.7</v>
          </cell>
        </row>
        <row r="29">
          <cell r="L29" t="str">
            <v>08/023/91/000</v>
          </cell>
          <cell r="M29" t="str">
            <v>WHIP CHECK 23/91 MEDIUM</v>
          </cell>
          <cell r="N29" t="str">
            <v>NNAV.E499</v>
          </cell>
          <cell r="P29" t="str">
            <v>MIN_DIXON_004_NNAV</v>
          </cell>
          <cell r="Q29">
            <v>37.090000000000003</v>
          </cell>
          <cell r="R29" t="str">
            <v>EACH</v>
          </cell>
          <cell r="S29" t="str">
            <v>AUD</v>
          </cell>
          <cell r="T29">
            <v>20</v>
          </cell>
          <cell r="U29">
            <v>0</v>
          </cell>
          <cell r="V29">
            <v>0</v>
          </cell>
          <cell r="W29">
            <v>46007</v>
          </cell>
          <cell r="X29">
            <v>20</v>
          </cell>
          <cell r="Y29">
            <v>741.8</v>
          </cell>
        </row>
        <row r="30">
          <cell r="L30" t="str">
            <v>08/023/92/000</v>
          </cell>
          <cell r="M30" t="str">
            <v>WHIP CHECK 23/92 LARGE</v>
          </cell>
          <cell r="N30" t="str">
            <v>NNAV.E499</v>
          </cell>
          <cell r="P30" t="str">
            <v>MIN_DIXON_004_NNAV</v>
          </cell>
          <cell r="Q30">
            <v>49.69</v>
          </cell>
          <cell r="R30" t="str">
            <v>EACH</v>
          </cell>
          <cell r="S30" t="str">
            <v>AUD</v>
          </cell>
          <cell r="T30">
            <v>10</v>
          </cell>
          <cell r="U30">
            <v>0</v>
          </cell>
          <cell r="V30">
            <v>0</v>
          </cell>
          <cell r="W30">
            <v>46007</v>
          </cell>
          <cell r="X30">
            <v>10</v>
          </cell>
          <cell r="Y30">
            <v>496.9</v>
          </cell>
        </row>
        <row r="31">
          <cell r="L31" t="str">
            <v>05/100/01/124</v>
          </cell>
          <cell r="M31" t="str">
            <v>ANFO LO STAT 20MM SEMI RIGID H</v>
          </cell>
          <cell r="N31" t="str">
            <v>NNAV.E499</v>
          </cell>
          <cell r="P31" t="str">
            <v>MIN_DIXON_004_NNAV</v>
          </cell>
          <cell r="Q31">
            <v>363.68</v>
          </cell>
          <cell r="R31" t="str">
            <v>ROLL</v>
          </cell>
          <cell r="S31" t="str">
            <v>AUD</v>
          </cell>
          <cell r="T31">
            <v>20</v>
          </cell>
          <cell r="U31">
            <v>0</v>
          </cell>
          <cell r="V31">
            <v>0</v>
          </cell>
          <cell r="W31">
            <v>46007</v>
          </cell>
          <cell r="X31">
            <v>20</v>
          </cell>
          <cell r="Y31">
            <v>7273.6</v>
          </cell>
        </row>
        <row r="32">
          <cell r="L32" t="str">
            <v>SBAR22MMX1800F</v>
          </cell>
          <cell r="M32" t="str">
            <v>BAR SCALING STEEL HEX 6FT</v>
          </cell>
          <cell r="N32" t="str">
            <v>NNAV.E499</v>
          </cell>
          <cell r="P32" t="str">
            <v>MIN_DIXON_004_NNAV</v>
          </cell>
          <cell r="Q32">
            <v>163.85</v>
          </cell>
          <cell r="R32" t="str">
            <v>EACH</v>
          </cell>
          <cell r="S32" t="str">
            <v>AUD</v>
          </cell>
          <cell r="T32">
            <v>10</v>
          </cell>
          <cell r="U32">
            <v>0</v>
          </cell>
          <cell r="V32">
            <v>0</v>
          </cell>
          <cell r="W32">
            <v>46007</v>
          </cell>
          <cell r="X32">
            <v>10</v>
          </cell>
          <cell r="Y32">
            <v>1638.5</v>
          </cell>
        </row>
        <row r="33">
          <cell r="L33" t="str">
            <v>08/100/01/861</v>
          </cell>
          <cell r="M33" t="str">
            <v>SCALING BAR 8' (2400MM) ALUMIN</v>
          </cell>
          <cell r="N33" t="str">
            <v>NNAV.E499</v>
          </cell>
          <cell r="P33" t="str">
            <v>MIN_DIXON_004_NNAV</v>
          </cell>
          <cell r="Q33">
            <v>161.63</v>
          </cell>
          <cell r="R33" t="str">
            <v>EACH</v>
          </cell>
          <cell r="S33" t="str">
            <v>AUD</v>
          </cell>
          <cell r="T33">
            <v>5</v>
          </cell>
          <cell r="U33">
            <v>0</v>
          </cell>
          <cell r="V33">
            <v>0</v>
          </cell>
          <cell r="W33">
            <v>46007</v>
          </cell>
          <cell r="X33">
            <v>5</v>
          </cell>
          <cell r="Y33">
            <v>808.15</v>
          </cell>
        </row>
        <row r="34">
          <cell r="L34" t="str">
            <v>08/080/01/000</v>
          </cell>
          <cell r="M34" t="str">
            <v>PICK PELICAN COMPLETE</v>
          </cell>
          <cell r="N34" t="str">
            <v>NNAV.E499</v>
          </cell>
          <cell r="P34" t="str">
            <v>MIN_DIXON_004_NNAV</v>
          </cell>
          <cell r="Q34">
            <v>32.58</v>
          </cell>
          <cell r="R34" t="str">
            <v>EACH</v>
          </cell>
          <cell r="S34" t="str">
            <v>AUD</v>
          </cell>
          <cell r="T34">
            <v>5</v>
          </cell>
          <cell r="U34">
            <v>0</v>
          </cell>
          <cell r="V34">
            <v>0</v>
          </cell>
          <cell r="W34">
            <v>46007</v>
          </cell>
          <cell r="X34">
            <v>5</v>
          </cell>
          <cell r="Y34">
            <v>162.9</v>
          </cell>
        </row>
        <row r="35">
          <cell r="L35" t="str">
            <v>PCF-SPAN-40-75</v>
          </cell>
          <cell r="M35" t="str">
            <v>SPANNER PLASSON FITTINGS</v>
          </cell>
          <cell r="N35" t="str">
            <v>NNAV.E499</v>
          </cell>
          <cell r="P35" t="str">
            <v>MIN_DIXON_004_NNAV</v>
          </cell>
          <cell r="Q35">
            <v>42.18</v>
          </cell>
          <cell r="R35" t="str">
            <v>EACH</v>
          </cell>
          <cell r="S35" t="str">
            <v>AUD</v>
          </cell>
          <cell r="T35">
            <v>10</v>
          </cell>
          <cell r="U35">
            <v>0</v>
          </cell>
          <cell r="V35">
            <v>0</v>
          </cell>
          <cell r="W35">
            <v>46007</v>
          </cell>
          <cell r="X35">
            <v>10</v>
          </cell>
          <cell r="Y35">
            <v>421.8</v>
          </cell>
        </row>
        <row r="36">
          <cell r="L36" t="str">
            <v>S191025020</v>
          </cell>
          <cell r="M36" t="str">
            <v>HOSE 25MM SUPER AIR</v>
          </cell>
          <cell r="N36" t="str">
            <v>NNAV.E500</v>
          </cell>
          <cell r="P36" t="str">
            <v>MIN_DIXON_004_NNAV</v>
          </cell>
          <cell r="Q36">
            <v>105.4</v>
          </cell>
          <cell r="R36" t="str">
            <v>ROLL</v>
          </cell>
          <cell r="S36" t="str">
            <v>AUD</v>
          </cell>
          <cell r="T36">
            <v>40</v>
          </cell>
          <cell r="U36">
            <v>0</v>
          </cell>
          <cell r="V36">
            <v>0</v>
          </cell>
          <cell r="W36">
            <v>46007</v>
          </cell>
          <cell r="X36">
            <v>40</v>
          </cell>
          <cell r="Y36">
            <v>4216</v>
          </cell>
        </row>
        <row r="37">
          <cell r="L37" t="str">
            <v>S191080020</v>
          </cell>
          <cell r="M37" t="str">
            <v>HOSE 75MM SUPER AIR</v>
          </cell>
          <cell r="N37" t="str">
            <v>NNAV.E500</v>
          </cell>
          <cell r="P37" t="str">
            <v>MIN_DIXON_004_NNAV</v>
          </cell>
          <cell r="Q37">
            <v>459</v>
          </cell>
          <cell r="R37" t="str">
            <v>ROLL</v>
          </cell>
          <cell r="S37" t="str">
            <v>AUD</v>
          </cell>
          <cell r="T37">
            <v>15</v>
          </cell>
          <cell r="U37">
            <v>0</v>
          </cell>
          <cell r="V37">
            <v>0</v>
          </cell>
          <cell r="W37">
            <v>46007</v>
          </cell>
          <cell r="X37">
            <v>15</v>
          </cell>
          <cell r="Y37">
            <v>6885</v>
          </cell>
        </row>
        <row r="38">
          <cell r="L38" t="str">
            <v>08/013/14/000</v>
          </cell>
          <cell r="M38" t="str">
            <v>COUPLING SURELOCK M 25MM</v>
          </cell>
          <cell r="N38" t="str">
            <v>NNAV.E500</v>
          </cell>
          <cell r="P38" t="str">
            <v>MIN_DIXON_004_NNAV</v>
          </cell>
          <cell r="Q38">
            <v>3.69</v>
          </cell>
          <cell r="R38" t="str">
            <v>EACH</v>
          </cell>
          <cell r="S38" t="str">
            <v>AUD</v>
          </cell>
          <cell r="T38">
            <v>20</v>
          </cell>
          <cell r="U38">
            <v>0</v>
          </cell>
          <cell r="V38">
            <v>0</v>
          </cell>
          <cell r="W38">
            <v>46007</v>
          </cell>
          <cell r="X38">
            <v>20</v>
          </cell>
          <cell r="Y38">
            <v>73.8</v>
          </cell>
        </row>
        <row r="39">
          <cell r="L39" t="str">
            <v>08/013/15/000</v>
          </cell>
          <cell r="M39" t="str">
            <v>COUPLING SURELOCK F 25MM</v>
          </cell>
          <cell r="N39" t="str">
            <v>NNAV.E500</v>
          </cell>
          <cell r="P39" t="str">
            <v>MIN_DIXON_004_NNAV</v>
          </cell>
          <cell r="Q39">
            <v>3.69</v>
          </cell>
          <cell r="R39" t="str">
            <v>EACH</v>
          </cell>
          <cell r="S39" t="str">
            <v>AUD</v>
          </cell>
          <cell r="T39">
            <v>20</v>
          </cell>
          <cell r="U39">
            <v>0</v>
          </cell>
          <cell r="V39">
            <v>0</v>
          </cell>
          <cell r="W39">
            <v>46007</v>
          </cell>
          <cell r="X39">
            <v>20</v>
          </cell>
          <cell r="Y39">
            <v>73.8</v>
          </cell>
        </row>
        <row r="40">
          <cell r="L40" t="str">
            <v>08/013/22/000</v>
          </cell>
          <cell r="M40" t="str">
            <v>COUPLING SURELOCK H END 12MM</v>
          </cell>
          <cell r="N40" t="str">
            <v>NNAV.E500</v>
          </cell>
          <cell r="P40" t="str">
            <v>MIN_DIXON_004_NNAV</v>
          </cell>
          <cell r="Q40">
            <v>3.92</v>
          </cell>
          <cell r="R40" t="str">
            <v>EACH</v>
          </cell>
          <cell r="S40" t="str">
            <v>AUD</v>
          </cell>
          <cell r="T40">
            <v>10</v>
          </cell>
          <cell r="U40">
            <v>0</v>
          </cell>
          <cell r="V40">
            <v>0</v>
          </cell>
          <cell r="W40">
            <v>46007</v>
          </cell>
          <cell r="X40">
            <v>10</v>
          </cell>
          <cell r="Y40">
            <v>39.200000000000003</v>
          </cell>
        </row>
        <row r="41">
          <cell r="L41" t="str">
            <v>08/013/16/000</v>
          </cell>
          <cell r="M41" t="str">
            <v>COUPLING SURELOCK HOSE END 25M</v>
          </cell>
          <cell r="N41" t="str">
            <v>NNAV.E500</v>
          </cell>
          <cell r="P41" t="str">
            <v>MIN_DIXON_004_NNAV</v>
          </cell>
          <cell r="Q41">
            <v>3.69</v>
          </cell>
          <cell r="R41" t="str">
            <v>EACH</v>
          </cell>
          <cell r="S41" t="str">
            <v>AUD</v>
          </cell>
          <cell r="T41">
            <v>20</v>
          </cell>
          <cell r="U41">
            <v>0</v>
          </cell>
          <cell r="V41">
            <v>0</v>
          </cell>
          <cell r="W41">
            <v>46007</v>
          </cell>
          <cell r="X41">
            <v>20</v>
          </cell>
          <cell r="Y41">
            <v>73.8</v>
          </cell>
        </row>
        <row r="42">
          <cell r="L42" t="str">
            <v>08/013/27/000</v>
          </cell>
          <cell r="M42" t="str">
            <v>COUPLING 3 WAY SURELOCK</v>
          </cell>
          <cell r="N42" t="str">
            <v>NNAV.E500</v>
          </cell>
          <cell r="P42" t="str">
            <v>MIN_DIXON_004_NNAV</v>
          </cell>
          <cell r="Q42">
            <v>15.09</v>
          </cell>
          <cell r="R42" t="str">
            <v>EACH</v>
          </cell>
          <cell r="S42" t="str">
            <v>AUD</v>
          </cell>
          <cell r="T42">
            <v>10</v>
          </cell>
          <cell r="U42">
            <v>0</v>
          </cell>
          <cell r="V42">
            <v>0</v>
          </cell>
          <cell r="W42">
            <v>46007</v>
          </cell>
          <cell r="X42">
            <v>10</v>
          </cell>
          <cell r="Y42">
            <v>150.9</v>
          </cell>
        </row>
        <row r="43">
          <cell r="L43" t="str">
            <v>08/013/01/000</v>
          </cell>
          <cell r="M43" t="str">
            <v>COUPLING SURELOCK M 75MM</v>
          </cell>
          <cell r="N43" t="str">
            <v>NNAV.E500</v>
          </cell>
          <cell r="P43" t="str">
            <v>MIN_DIXON_004_NNAV</v>
          </cell>
          <cell r="Q43">
            <v>58.19</v>
          </cell>
          <cell r="R43" t="str">
            <v>EACH</v>
          </cell>
          <cell r="S43" t="str">
            <v>AUD</v>
          </cell>
          <cell r="T43">
            <v>10</v>
          </cell>
          <cell r="U43">
            <v>0</v>
          </cell>
          <cell r="V43">
            <v>0</v>
          </cell>
          <cell r="W43">
            <v>46007</v>
          </cell>
          <cell r="X43">
            <v>10</v>
          </cell>
          <cell r="Y43">
            <v>581.9</v>
          </cell>
        </row>
        <row r="44">
          <cell r="L44" t="str">
            <v>08/013/02/000</v>
          </cell>
          <cell r="M44" t="str">
            <v>COUPLING SURELOCK F 75MM</v>
          </cell>
          <cell r="N44" t="str">
            <v>NNAV.E500</v>
          </cell>
          <cell r="P44" t="str">
            <v>MIN_DIXON_004_NNAV</v>
          </cell>
          <cell r="Q44">
            <v>58.19</v>
          </cell>
          <cell r="R44" t="str">
            <v>EACH</v>
          </cell>
          <cell r="S44" t="str">
            <v>AUD</v>
          </cell>
          <cell r="T44">
            <v>10</v>
          </cell>
          <cell r="U44">
            <v>0</v>
          </cell>
          <cell r="V44">
            <v>0</v>
          </cell>
          <cell r="W44">
            <v>46007</v>
          </cell>
          <cell r="X44">
            <v>10</v>
          </cell>
          <cell r="Y44">
            <v>581.9</v>
          </cell>
        </row>
        <row r="45">
          <cell r="L45" t="str">
            <v>08/013/35/000</v>
          </cell>
          <cell r="M45" t="str">
            <v>COUPLING SURELOCK HOSE END 75M</v>
          </cell>
          <cell r="N45" t="str">
            <v>NNAV.E500</v>
          </cell>
          <cell r="P45" t="str">
            <v>MIN_DIXON_004_NNAV</v>
          </cell>
          <cell r="Q45">
            <v>58.13</v>
          </cell>
          <cell r="R45" t="str">
            <v>EACH</v>
          </cell>
          <cell r="S45" t="str">
            <v>AUD</v>
          </cell>
          <cell r="T45">
            <v>20</v>
          </cell>
          <cell r="U45">
            <v>0</v>
          </cell>
          <cell r="V45">
            <v>0</v>
          </cell>
          <cell r="W45">
            <v>46007</v>
          </cell>
          <cell r="X45">
            <v>20</v>
          </cell>
          <cell r="Y45">
            <v>1162.5999999999999</v>
          </cell>
        </row>
        <row r="46">
          <cell r="L46" t="str">
            <v>05/007/07/000</v>
          </cell>
          <cell r="M46" t="str">
            <v>SEAL 3/8 - 1 1/4 INSERT 07/07</v>
          </cell>
          <cell r="N46" t="str">
            <v>NNAV.E500</v>
          </cell>
          <cell r="P46" t="str">
            <v>MIN_DIXON_004_NNAV</v>
          </cell>
          <cell r="Q46">
            <v>1.25</v>
          </cell>
          <cell r="R46" t="str">
            <v>EACH</v>
          </cell>
          <cell r="S46" t="str">
            <v>AUD</v>
          </cell>
          <cell r="T46">
            <v>50</v>
          </cell>
          <cell r="U46">
            <v>0</v>
          </cell>
          <cell r="V46">
            <v>0</v>
          </cell>
          <cell r="W46">
            <v>46007</v>
          </cell>
          <cell r="X46">
            <v>50</v>
          </cell>
          <cell r="Y46">
            <v>62.5</v>
          </cell>
        </row>
        <row r="47">
          <cell r="L47" t="str">
            <v>08/007/09/002</v>
          </cell>
          <cell r="M47" t="str">
            <v>SEAL 3HP INSERT 07/09</v>
          </cell>
          <cell r="N47" t="str">
            <v>NNAV.E500</v>
          </cell>
          <cell r="P47" t="str">
            <v>MIN_DIXON_004_NNAV</v>
          </cell>
          <cell r="Q47">
            <v>5.16</v>
          </cell>
          <cell r="R47" t="str">
            <v>EACH</v>
          </cell>
          <cell r="S47" t="str">
            <v>AUD</v>
          </cell>
          <cell r="T47">
            <v>10</v>
          </cell>
          <cell r="U47">
            <v>0</v>
          </cell>
          <cell r="V47">
            <v>0</v>
          </cell>
          <cell r="W47">
            <v>46007</v>
          </cell>
          <cell r="X47">
            <v>10</v>
          </cell>
          <cell r="Y47">
            <v>51.6</v>
          </cell>
        </row>
        <row r="48">
          <cell r="L48" t="str">
            <v>05/010/02/000B</v>
          </cell>
          <cell r="M48" t="str">
            <v>PIN LOCKING 10/02</v>
          </cell>
          <cell r="N48" t="str">
            <v>NNAV.E500</v>
          </cell>
          <cell r="P48" t="str">
            <v>MIN_DIXON_004_NNAV</v>
          </cell>
          <cell r="Q48">
            <v>90.8</v>
          </cell>
          <cell r="R48" t="str">
            <v>BOX</v>
          </cell>
          <cell r="S48" t="str">
            <v>AUD</v>
          </cell>
          <cell r="T48">
            <v>10</v>
          </cell>
          <cell r="U48">
            <v>0</v>
          </cell>
          <cell r="V48">
            <v>0</v>
          </cell>
          <cell r="W48">
            <v>46007</v>
          </cell>
          <cell r="X48">
            <v>10</v>
          </cell>
          <cell r="Y48">
            <v>908</v>
          </cell>
        </row>
        <row r="49">
          <cell r="L49" t="str">
            <v>KS7M</v>
          </cell>
          <cell r="M49" t="str">
            <v>1 3/4" PRE FORMED CLAMP SS</v>
          </cell>
          <cell r="N49" t="str">
            <v>NNAV.E500</v>
          </cell>
          <cell r="P49" t="str">
            <v>MIN_DIXON_004_NNAV</v>
          </cell>
          <cell r="Q49">
            <v>112.84</v>
          </cell>
          <cell r="R49" t="str">
            <v>BOX</v>
          </cell>
          <cell r="S49" t="str">
            <v>AUD</v>
          </cell>
          <cell r="T49">
            <v>1</v>
          </cell>
          <cell r="U49">
            <v>0</v>
          </cell>
          <cell r="V49">
            <v>0</v>
          </cell>
          <cell r="W49">
            <v>46007</v>
          </cell>
          <cell r="X49">
            <v>1</v>
          </cell>
          <cell r="Y49">
            <v>112.84</v>
          </cell>
        </row>
        <row r="50">
          <cell r="L50" t="str">
            <v>KS14M</v>
          </cell>
          <cell r="M50" t="str">
            <v>CLAMP PREFORMED 3.1/2 X 5/8 X</v>
          </cell>
          <cell r="N50" t="str">
            <v>NNAV.E500</v>
          </cell>
          <cell r="P50" t="str">
            <v>MIN_DIXON_004_NNAV</v>
          </cell>
          <cell r="Q50">
            <v>81.97</v>
          </cell>
          <cell r="R50" t="str">
            <v>EACH</v>
          </cell>
          <cell r="S50" t="str">
            <v>AUD</v>
          </cell>
          <cell r="T50">
            <v>1</v>
          </cell>
          <cell r="U50">
            <v>0</v>
          </cell>
          <cell r="V50">
            <v>0</v>
          </cell>
          <cell r="W50">
            <v>46007</v>
          </cell>
          <cell r="X50">
            <v>1</v>
          </cell>
          <cell r="Y50">
            <v>81.97</v>
          </cell>
        </row>
        <row r="51">
          <cell r="L51" t="str">
            <v>KS18M</v>
          </cell>
          <cell r="M51" t="str">
            <v>CLAMP PRE-FORMED 41/2 IN S/S</v>
          </cell>
          <cell r="N51" t="str">
            <v>NNAV.E500</v>
          </cell>
          <cell r="P51" t="str">
            <v>MIN_DIXON_004_NNAV</v>
          </cell>
          <cell r="Q51">
            <v>51.55</v>
          </cell>
          <cell r="R51" t="str">
            <v>BOX</v>
          </cell>
          <cell r="S51" t="str">
            <v>AUD</v>
          </cell>
          <cell r="T51">
            <v>2</v>
          </cell>
          <cell r="U51">
            <v>0</v>
          </cell>
          <cell r="V51">
            <v>0</v>
          </cell>
          <cell r="W51">
            <v>46007</v>
          </cell>
          <cell r="X51">
            <v>2</v>
          </cell>
          <cell r="Y51">
            <v>103.1</v>
          </cell>
        </row>
        <row r="52">
          <cell r="L52" t="str">
            <v>DM11</v>
          </cell>
          <cell r="M52" t="str">
            <v>STEEL HOSE MENDER 25 MM</v>
          </cell>
          <cell r="N52" t="str">
            <v>NNAV.E500</v>
          </cell>
          <cell r="P52" t="str">
            <v>MIN_DIXON_004_NNAV</v>
          </cell>
          <cell r="Q52">
            <v>2.3199999999999998</v>
          </cell>
          <cell r="R52" t="str">
            <v>EACH</v>
          </cell>
          <cell r="S52" t="str">
            <v>AUD</v>
          </cell>
          <cell r="T52">
            <v>20</v>
          </cell>
          <cell r="U52">
            <v>0</v>
          </cell>
          <cell r="V52">
            <v>0</v>
          </cell>
          <cell r="W52">
            <v>46007</v>
          </cell>
          <cell r="X52">
            <v>20</v>
          </cell>
          <cell r="Y52">
            <v>46.4</v>
          </cell>
        </row>
        <row r="53">
          <cell r="L53" t="str">
            <v>DM36</v>
          </cell>
          <cell r="M53" t="str">
            <v>STEEL HOSE MENDER 75 MM</v>
          </cell>
          <cell r="N53" t="str">
            <v>NNAV.E500</v>
          </cell>
          <cell r="P53" t="str">
            <v>MIN_DIXON_004_NNAV</v>
          </cell>
          <cell r="Q53">
            <v>12.93</v>
          </cell>
          <cell r="R53" t="str">
            <v>EACH</v>
          </cell>
          <cell r="S53" t="str">
            <v>AUD</v>
          </cell>
          <cell r="T53">
            <v>10</v>
          </cell>
          <cell r="U53">
            <v>0</v>
          </cell>
          <cell r="V53">
            <v>0</v>
          </cell>
          <cell r="W53">
            <v>46007</v>
          </cell>
          <cell r="X53">
            <v>10</v>
          </cell>
          <cell r="Y53">
            <v>129.30000000000001</v>
          </cell>
        </row>
        <row r="54">
          <cell r="L54" t="str">
            <v>STC10A</v>
          </cell>
          <cell r="M54" t="str">
            <v>KC NIPPLE BSP 25MM (1") ZINC</v>
          </cell>
          <cell r="N54" t="str">
            <v>NNAV.E500</v>
          </cell>
          <cell r="P54" t="str">
            <v>MIN_DIXON_004_NNAV</v>
          </cell>
          <cell r="Q54">
            <v>3.72</v>
          </cell>
          <cell r="R54" t="str">
            <v>EACH</v>
          </cell>
          <cell r="S54" t="str">
            <v>AUD</v>
          </cell>
          <cell r="T54">
            <v>10</v>
          </cell>
          <cell r="U54">
            <v>0</v>
          </cell>
          <cell r="V54">
            <v>0</v>
          </cell>
          <cell r="W54">
            <v>46007</v>
          </cell>
          <cell r="X54">
            <v>10</v>
          </cell>
          <cell r="Y54">
            <v>37.200000000000003</v>
          </cell>
        </row>
        <row r="55">
          <cell r="L55" t="str">
            <v>STC35A</v>
          </cell>
          <cell r="M55" t="str">
            <v>KC NIPPLE BSP 75MM (3") ZINC P</v>
          </cell>
          <cell r="N55" t="str">
            <v>NNAV.E500</v>
          </cell>
          <cell r="P55" t="str">
            <v>MIN_DIXON_004_NNAV</v>
          </cell>
          <cell r="Q55">
            <v>9.8800000000000008</v>
          </cell>
          <cell r="R55" t="str">
            <v>EACH</v>
          </cell>
          <cell r="S55" t="str">
            <v>AUD</v>
          </cell>
          <cell r="T55">
            <v>10</v>
          </cell>
          <cell r="U55">
            <v>0</v>
          </cell>
          <cell r="V55">
            <v>0</v>
          </cell>
          <cell r="W55">
            <v>46007</v>
          </cell>
          <cell r="X55">
            <v>10</v>
          </cell>
          <cell r="Y55">
            <v>98.8</v>
          </cell>
        </row>
        <row r="56">
          <cell r="L56" t="str">
            <v>MS11A</v>
          </cell>
          <cell r="M56" t="str">
            <v>TAIL HOSE TO BSP 25MM 34/01- M</v>
          </cell>
          <cell r="N56" t="str">
            <v>NNAV.E500</v>
          </cell>
          <cell r="P56" t="str">
            <v>MIN_DIXON_004_NNAV</v>
          </cell>
          <cell r="Q56">
            <v>15.57</v>
          </cell>
          <cell r="R56" t="str">
            <v>EACH</v>
          </cell>
          <cell r="S56" t="str">
            <v>AUD</v>
          </cell>
          <cell r="T56">
            <v>10</v>
          </cell>
          <cell r="U56">
            <v>0</v>
          </cell>
          <cell r="V56">
            <v>0</v>
          </cell>
          <cell r="W56">
            <v>46007</v>
          </cell>
          <cell r="X56">
            <v>10</v>
          </cell>
          <cell r="Y56">
            <v>155.69999999999999</v>
          </cell>
        </row>
        <row r="57">
          <cell r="L57" t="str">
            <v>NIR06</v>
          </cell>
          <cell r="M57" t="str">
            <v>RBR NAT INSERT 2PLY 6.0MM</v>
          </cell>
          <cell r="N57" t="str">
            <v>NNAV.E500</v>
          </cell>
          <cell r="P57" t="str">
            <v>MIN_DIXON_004_NNAV</v>
          </cell>
          <cell r="Q57">
            <v>362.33</v>
          </cell>
          <cell r="R57" t="str">
            <v>EACH</v>
          </cell>
          <cell r="S57" t="str">
            <v>AUD</v>
          </cell>
          <cell r="T57">
            <v>10</v>
          </cell>
          <cell r="U57">
            <v>0</v>
          </cell>
          <cell r="V57">
            <v>0</v>
          </cell>
          <cell r="W57">
            <v>46007</v>
          </cell>
          <cell r="X57">
            <v>10</v>
          </cell>
          <cell r="Y57">
            <v>3623.3</v>
          </cell>
        </row>
        <row r="58">
          <cell r="L58" t="str">
            <v>STVS35CS</v>
          </cell>
          <cell r="M58" t="str">
            <v>KC NIPPLE SHLD ZP STL 75MM</v>
          </cell>
          <cell r="N58" t="str">
            <v>NNAV.E500</v>
          </cell>
          <cell r="P58" t="str">
            <v>MIN_DIXON_004_NNAV</v>
          </cell>
          <cell r="Q58">
            <v>57.22</v>
          </cell>
          <cell r="R58" t="str">
            <v>EACH</v>
          </cell>
          <cell r="S58" t="str">
            <v>AUD</v>
          </cell>
          <cell r="T58">
            <v>10</v>
          </cell>
          <cell r="U58">
            <v>0</v>
          </cell>
          <cell r="V58">
            <v>0</v>
          </cell>
          <cell r="W58">
            <v>46007</v>
          </cell>
          <cell r="X58">
            <v>10</v>
          </cell>
          <cell r="Y58">
            <v>572.20000000000005</v>
          </cell>
        </row>
        <row r="59">
          <cell r="L59" t="str">
            <v>ALDC075A</v>
          </cell>
          <cell r="M59" t="str">
            <v>20MM AL DIE CAST CAM TYPE A  B</v>
          </cell>
          <cell r="N59" t="str">
            <v>NNAV.E500</v>
          </cell>
          <cell r="P59" t="str">
            <v>MIN_DIXON_004_NNAV</v>
          </cell>
          <cell r="Q59">
            <v>3.42</v>
          </cell>
          <cell r="R59" t="str">
            <v>EACH</v>
          </cell>
          <cell r="S59" t="str">
            <v>AUD</v>
          </cell>
          <cell r="T59">
            <v>10</v>
          </cell>
          <cell r="U59">
            <v>0</v>
          </cell>
          <cell r="V59">
            <v>0</v>
          </cell>
          <cell r="W59">
            <v>46007</v>
          </cell>
          <cell r="X59">
            <v>10</v>
          </cell>
          <cell r="Y59">
            <v>34.200000000000003</v>
          </cell>
        </row>
        <row r="60">
          <cell r="L60" t="str">
            <v>EAL300A</v>
          </cell>
          <cell r="M60" t="str">
            <v>CAMLOCK 633A80 ALUM MALE-FEMAL</v>
          </cell>
          <cell r="N60" t="str">
            <v>NNAV.E500</v>
          </cell>
          <cell r="P60" t="str">
            <v>MIN_DIXON_004_NNAV</v>
          </cell>
          <cell r="Q60">
            <v>6.06</v>
          </cell>
          <cell r="R60" t="str">
            <v>EACH</v>
          </cell>
          <cell r="S60" t="str">
            <v>AUD</v>
          </cell>
          <cell r="T60">
            <v>5</v>
          </cell>
          <cell r="U60">
            <v>0</v>
          </cell>
          <cell r="V60">
            <v>0</v>
          </cell>
          <cell r="W60">
            <v>46007</v>
          </cell>
          <cell r="X60">
            <v>5</v>
          </cell>
          <cell r="Y60">
            <v>30.3</v>
          </cell>
        </row>
        <row r="61">
          <cell r="L61" t="str">
            <v>EAL075B</v>
          </cell>
          <cell r="M61" t="str">
            <v>20MM AL DIE CAST CAM TYPE B  B</v>
          </cell>
          <cell r="N61" t="str">
            <v>NNAV.E500</v>
          </cell>
          <cell r="P61" t="str">
            <v>MIN_DIXON_004_NNAV</v>
          </cell>
          <cell r="Q61">
            <v>7.88</v>
          </cell>
          <cell r="R61" t="str">
            <v>EACH</v>
          </cell>
          <cell r="S61" t="str">
            <v>AUD</v>
          </cell>
          <cell r="T61">
            <v>10</v>
          </cell>
          <cell r="U61">
            <v>0</v>
          </cell>
          <cell r="V61">
            <v>0</v>
          </cell>
          <cell r="W61">
            <v>46007</v>
          </cell>
          <cell r="X61">
            <v>10</v>
          </cell>
          <cell r="Y61">
            <v>78.8</v>
          </cell>
        </row>
        <row r="62">
          <cell r="L62" t="str">
            <v>EAL300B</v>
          </cell>
          <cell r="M62" t="str">
            <v>CAMLOCK 633B80 ALUM</v>
          </cell>
          <cell r="N62" t="str">
            <v>NNAV.E500</v>
          </cell>
          <cell r="P62" t="str">
            <v>MIN_DIXON_004_NNAV</v>
          </cell>
          <cell r="Q62">
            <v>12.65</v>
          </cell>
          <cell r="R62" t="str">
            <v>EACH</v>
          </cell>
          <cell r="S62" t="str">
            <v>AUD</v>
          </cell>
          <cell r="T62">
            <v>5</v>
          </cell>
          <cell r="U62">
            <v>0</v>
          </cell>
          <cell r="V62">
            <v>0</v>
          </cell>
          <cell r="W62">
            <v>46007</v>
          </cell>
          <cell r="X62">
            <v>5</v>
          </cell>
          <cell r="Y62">
            <v>63.25</v>
          </cell>
        </row>
        <row r="63">
          <cell r="L63" t="str">
            <v>ALDC075C</v>
          </cell>
          <cell r="M63" t="str">
            <v>20MM AL DIE CAST CAM TYPE C</v>
          </cell>
          <cell r="N63" t="str">
            <v>NNAV.E500</v>
          </cell>
          <cell r="P63" t="str">
            <v>MIN_DIXON_004_NNAV</v>
          </cell>
          <cell r="Q63">
            <v>7.37</v>
          </cell>
          <cell r="R63" t="str">
            <v>EACH</v>
          </cell>
          <cell r="S63" t="str">
            <v>AUD</v>
          </cell>
          <cell r="T63">
            <v>10</v>
          </cell>
          <cell r="U63">
            <v>0</v>
          </cell>
          <cell r="V63">
            <v>0</v>
          </cell>
          <cell r="W63">
            <v>46007</v>
          </cell>
          <cell r="X63">
            <v>10</v>
          </cell>
          <cell r="Y63">
            <v>73.7</v>
          </cell>
        </row>
        <row r="64">
          <cell r="L64" t="str">
            <v>EAL300C</v>
          </cell>
          <cell r="M64" t="str">
            <v>CAMLOCK 633C80 ALUM</v>
          </cell>
          <cell r="N64" t="str">
            <v>NNAV.E500</v>
          </cell>
          <cell r="P64" t="str">
            <v>MIN_DIXON_004_NNAV</v>
          </cell>
          <cell r="Q64">
            <v>10.87</v>
          </cell>
          <cell r="R64" t="str">
            <v>EACH</v>
          </cell>
          <cell r="S64" t="str">
            <v>AUD</v>
          </cell>
          <cell r="T64">
            <v>5</v>
          </cell>
          <cell r="U64">
            <v>0</v>
          </cell>
          <cell r="V64">
            <v>0</v>
          </cell>
          <cell r="W64">
            <v>46007</v>
          </cell>
          <cell r="X64">
            <v>5</v>
          </cell>
          <cell r="Y64">
            <v>54.35</v>
          </cell>
        </row>
        <row r="65">
          <cell r="L65" t="str">
            <v>EAL075D</v>
          </cell>
          <cell r="M65" t="str">
            <v>20MM AL DIE CAST CAM TYPE D  B</v>
          </cell>
          <cell r="N65" t="str">
            <v>NNAV.E500</v>
          </cell>
          <cell r="P65" t="str">
            <v>MIN_DIXON_004_NNAV</v>
          </cell>
          <cell r="Q65">
            <v>8.2200000000000006</v>
          </cell>
          <cell r="R65" t="str">
            <v>EACH</v>
          </cell>
          <cell r="S65" t="str">
            <v>AUD</v>
          </cell>
          <cell r="T65">
            <v>10</v>
          </cell>
          <cell r="U65">
            <v>0</v>
          </cell>
          <cell r="V65">
            <v>0</v>
          </cell>
          <cell r="W65">
            <v>46007</v>
          </cell>
          <cell r="X65">
            <v>10</v>
          </cell>
          <cell r="Y65">
            <v>82.2</v>
          </cell>
        </row>
        <row r="66">
          <cell r="L66" t="str">
            <v>EAL300D</v>
          </cell>
          <cell r="M66" t="str">
            <v>CAMLOCK 633D80 ALUM</v>
          </cell>
          <cell r="N66" t="str">
            <v>NNAV.E500</v>
          </cell>
          <cell r="P66" t="str">
            <v>MIN_DIXON_004_NNAV</v>
          </cell>
          <cell r="Q66">
            <v>13.09</v>
          </cell>
          <cell r="R66" t="str">
            <v>EACH</v>
          </cell>
          <cell r="S66" t="str">
            <v>AUD</v>
          </cell>
          <cell r="T66">
            <v>5</v>
          </cell>
          <cell r="U66">
            <v>0</v>
          </cell>
          <cell r="V66">
            <v>0</v>
          </cell>
          <cell r="W66">
            <v>46007</v>
          </cell>
          <cell r="X66">
            <v>5</v>
          </cell>
          <cell r="Y66">
            <v>65.45</v>
          </cell>
        </row>
        <row r="67">
          <cell r="L67" t="str">
            <v>EAL075E</v>
          </cell>
          <cell r="M67" t="str">
            <v>20MM AL DIE CAST CAM TYPE E</v>
          </cell>
          <cell r="N67" t="str">
            <v>NNAV.E500</v>
          </cell>
          <cell r="P67" t="str">
            <v>MIN_DIXON_004_NNAV</v>
          </cell>
          <cell r="Q67">
            <v>2.97</v>
          </cell>
          <cell r="R67" t="str">
            <v>EACH</v>
          </cell>
          <cell r="S67" t="str">
            <v>AUD</v>
          </cell>
          <cell r="T67">
            <v>10</v>
          </cell>
          <cell r="U67">
            <v>0</v>
          </cell>
          <cell r="V67">
            <v>0</v>
          </cell>
          <cell r="W67">
            <v>46007</v>
          </cell>
          <cell r="X67">
            <v>10</v>
          </cell>
          <cell r="Y67">
            <v>29.7</v>
          </cell>
        </row>
        <row r="68">
          <cell r="L68" t="str">
            <v>EAL300E</v>
          </cell>
          <cell r="M68" t="str">
            <v>CAMLOCK 633E80 ALUM</v>
          </cell>
          <cell r="N68" t="str">
            <v>NNAV.E500</v>
          </cell>
          <cell r="P68" t="str">
            <v>MIN_DIXON_004_NNAV</v>
          </cell>
          <cell r="Q68">
            <v>6.67</v>
          </cell>
          <cell r="R68" t="str">
            <v>EACH</v>
          </cell>
          <cell r="S68" t="str">
            <v>AUD</v>
          </cell>
          <cell r="T68">
            <v>5</v>
          </cell>
          <cell r="U68">
            <v>0</v>
          </cell>
          <cell r="V68">
            <v>0</v>
          </cell>
          <cell r="W68">
            <v>46007</v>
          </cell>
          <cell r="X68">
            <v>5</v>
          </cell>
          <cell r="Y68">
            <v>33.35</v>
          </cell>
        </row>
        <row r="69">
          <cell r="L69" t="str">
            <v>ALDC075F</v>
          </cell>
          <cell r="M69" t="str">
            <v>20MM AL DIE CAST CAM TYPE F  B</v>
          </cell>
          <cell r="N69" t="str">
            <v>NNAV.E500</v>
          </cell>
          <cell r="P69" t="str">
            <v>MIN_DIXON_004_NNAV</v>
          </cell>
          <cell r="Q69">
            <v>3.83</v>
          </cell>
          <cell r="R69" t="str">
            <v>EACH</v>
          </cell>
          <cell r="S69" t="str">
            <v>AUD</v>
          </cell>
          <cell r="T69">
            <v>10</v>
          </cell>
          <cell r="U69">
            <v>0</v>
          </cell>
          <cell r="V69">
            <v>0</v>
          </cell>
          <cell r="W69">
            <v>46007</v>
          </cell>
          <cell r="X69">
            <v>10</v>
          </cell>
          <cell r="Y69">
            <v>38.299999999999997</v>
          </cell>
        </row>
        <row r="70">
          <cell r="L70" t="str">
            <v>EAL300F</v>
          </cell>
          <cell r="M70" t="str">
            <v>CAMLOCK 633F80 ALUM</v>
          </cell>
          <cell r="N70" t="str">
            <v>NNAV.E500</v>
          </cell>
          <cell r="P70" t="str">
            <v>MIN_DIXON_004_NNAV</v>
          </cell>
          <cell r="Q70">
            <v>9.33</v>
          </cell>
          <cell r="R70" t="str">
            <v>EACH</v>
          </cell>
          <cell r="S70" t="str">
            <v>AUD</v>
          </cell>
          <cell r="T70">
            <v>5</v>
          </cell>
          <cell r="U70">
            <v>0</v>
          </cell>
          <cell r="V70">
            <v>0</v>
          </cell>
          <cell r="W70">
            <v>46007</v>
          </cell>
          <cell r="X70">
            <v>5</v>
          </cell>
          <cell r="Y70">
            <v>46.65</v>
          </cell>
        </row>
        <row r="71">
          <cell r="L71" t="str">
            <v>ALDC075DC</v>
          </cell>
          <cell r="M71" t="str">
            <v>20MM AL D/CAST CAM TYPE DC</v>
          </cell>
          <cell r="N71" t="str">
            <v>NNAV.E500</v>
          </cell>
          <cell r="P71" t="str">
            <v>MIN_DIXON_004_NNAV</v>
          </cell>
          <cell r="Q71">
            <v>7.28</v>
          </cell>
          <cell r="R71" t="str">
            <v>EACH</v>
          </cell>
          <cell r="S71" t="str">
            <v>AUD</v>
          </cell>
          <cell r="T71">
            <v>5</v>
          </cell>
          <cell r="U71">
            <v>0</v>
          </cell>
          <cell r="V71">
            <v>0</v>
          </cell>
          <cell r="W71">
            <v>46007</v>
          </cell>
          <cell r="X71">
            <v>5</v>
          </cell>
          <cell r="Y71">
            <v>36.4</v>
          </cell>
        </row>
        <row r="72">
          <cell r="L72" t="str">
            <v>ALDC075DP</v>
          </cell>
          <cell r="M72" t="str">
            <v>20MM AL D/CAST CAM TYPE DP</v>
          </cell>
          <cell r="N72" t="str">
            <v>NNAV.E500</v>
          </cell>
          <cell r="P72" t="str">
            <v>MIN_DIXON_004_NNAV</v>
          </cell>
          <cell r="Q72">
            <v>3.25</v>
          </cell>
          <cell r="R72" t="str">
            <v>EACH</v>
          </cell>
          <cell r="S72" t="str">
            <v>AUD</v>
          </cell>
          <cell r="T72">
            <v>5</v>
          </cell>
          <cell r="U72">
            <v>0</v>
          </cell>
          <cell r="V72">
            <v>0</v>
          </cell>
          <cell r="W72">
            <v>46007</v>
          </cell>
          <cell r="X72">
            <v>5</v>
          </cell>
          <cell r="Y72">
            <v>16.25</v>
          </cell>
        </row>
        <row r="73">
          <cell r="L73" t="str">
            <v>20-C68-AL</v>
          </cell>
          <cell r="M73" t="str">
            <v>50MM AL TYPE C BEND 68DEG</v>
          </cell>
          <cell r="N73" t="str">
            <v>NNAV.E500</v>
          </cell>
          <cell r="P73" t="str">
            <v>MIN_DIXON_004_NNAV</v>
          </cell>
          <cell r="Q73">
            <v>31.73</v>
          </cell>
          <cell r="R73" t="str">
            <v>EACH</v>
          </cell>
          <cell r="S73" t="str">
            <v>AUD</v>
          </cell>
          <cell r="T73">
            <v>5</v>
          </cell>
          <cell r="U73">
            <v>0</v>
          </cell>
          <cell r="V73">
            <v>0</v>
          </cell>
          <cell r="W73">
            <v>46007</v>
          </cell>
          <cell r="X73">
            <v>5</v>
          </cell>
          <cell r="Y73">
            <v>158.65</v>
          </cell>
        </row>
        <row r="74">
          <cell r="L74" t="str">
            <v>100-HP-SP</v>
          </cell>
          <cell r="M74" t="str">
            <v>25MM SIN SS STD HANDLE &amp; PIN</v>
          </cell>
          <cell r="N74" t="str">
            <v>NNAV.E500</v>
          </cell>
          <cell r="P74" t="str">
            <v>MIN_DIXON_004_NNAV</v>
          </cell>
          <cell r="Q74">
            <v>2.14</v>
          </cell>
          <cell r="R74" t="str">
            <v>EACH</v>
          </cell>
          <cell r="S74" t="str">
            <v>AUD</v>
          </cell>
          <cell r="T74">
            <v>20</v>
          </cell>
          <cell r="U74">
            <v>0</v>
          </cell>
          <cell r="V74">
            <v>0</v>
          </cell>
          <cell r="W74">
            <v>46007</v>
          </cell>
          <cell r="X74">
            <v>20</v>
          </cell>
          <cell r="Y74">
            <v>42.8</v>
          </cell>
        </row>
        <row r="75">
          <cell r="L75" t="str">
            <v>300-HRP-SP</v>
          </cell>
          <cell r="M75" t="str">
            <v>75-125MM SIN SS HANDLE RING &amp;</v>
          </cell>
          <cell r="N75" t="str">
            <v>NNAV.E500</v>
          </cell>
          <cell r="P75" t="str">
            <v>MIN_DIXON_004_NNAV</v>
          </cell>
          <cell r="Q75">
            <v>9.56</v>
          </cell>
          <cell r="R75" t="str">
            <v>EACH</v>
          </cell>
          <cell r="S75" t="str">
            <v>AUD</v>
          </cell>
          <cell r="T75">
            <v>20</v>
          </cell>
          <cell r="U75">
            <v>0</v>
          </cell>
          <cell r="V75">
            <v>0</v>
          </cell>
          <cell r="W75">
            <v>46007</v>
          </cell>
          <cell r="X75">
            <v>20</v>
          </cell>
          <cell r="Y75">
            <v>191.2</v>
          </cell>
        </row>
        <row r="76">
          <cell r="L76" t="str">
            <v>BBVSTD025SS</v>
          </cell>
          <cell r="M76" t="str">
            <v>25MM BRASS BALL VALVE F/F</v>
          </cell>
          <cell r="N76" t="str">
            <v>NNAV.E500</v>
          </cell>
          <cell r="P76" t="str">
            <v>MIN_DIXON_004_NNAV</v>
          </cell>
          <cell r="Q76">
            <v>9.7200000000000006</v>
          </cell>
          <cell r="R76" t="str">
            <v>EACH</v>
          </cell>
          <cell r="S76" t="str">
            <v>AUD</v>
          </cell>
          <cell r="T76">
            <v>20</v>
          </cell>
          <cell r="U76">
            <v>0</v>
          </cell>
          <cell r="V76">
            <v>0</v>
          </cell>
          <cell r="W76">
            <v>46007</v>
          </cell>
          <cell r="X76">
            <v>20</v>
          </cell>
          <cell r="Y76">
            <v>194.4</v>
          </cell>
        </row>
        <row r="77">
          <cell r="L77" t="str">
            <v>BBVSTD065SS</v>
          </cell>
          <cell r="M77" t="str">
            <v>65MM BRASS BALL VALVE F/F F/B</v>
          </cell>
          <cell r="N77" t="str">
            <v>NNAV.E500</v>
          </cell>
          <cell r="P77" t="str">
            <v>MIN_DIXON_004_NNAV</v>
          </cell>
          <cell r="Q77">
            <v>123.59</v>
          </cell>
          <cell r="R77" t="str">
            <v>EACH</v>
          </cell>
          <cell r="S77" t="str">
            <v>AUD</v>
          </cell>
          <cell r="T77">
            <v>10</v>
          </cell>
          <cell r="U77">
            <v>0</v>
          </cell>
          <cell r="V77">
            <v>0</v>
          </cell>
          <cell r="W77">
            <v>46007</v>
          </cell>
          <cell r="X77">
            <v>10</v>
          </cell>
          <cell r="Y77">
            <v>1235.9000000000001</v>
          </cell>
        </row>
        <row r="78">
          <cell r="L78" t="str">
            <v>BBVSTD100SS</v>
          </cell>
          <cell r="M78" t="str">
            <v>BALL VALVE 100MM</v>
          </cell>
          <cell r="N78" t="str">
            <v>NNAV.E500</v>
          </cell>
          <cell r="P78" t="str">
            <v>MIN_DIXON_004_NNAV</v>
          </cell>
          <cell r="Q78">
            <v>265.8</v>
          </cell>
          <cell r="R78" t="str">
            <v>EACH</v>
          </cell>
          <cell r="S78" t="str">
            <v>AUD</v>
          </cell>
          <cell r="T78">
            <v>10</v>
          </cell>
          <cell r="U78">
            <v>0</v>
          </cell>
          <cell r="V78">
            <v>0</v>
          </cell>
          <cell r="W78">
            <v>46007</v>
          </cell>
          <cell r="X78">
            <v>10</v>
          </cell>
          <cell r="Y78">
            <v>2658</v>
          </cell>
        </row>
        <row r="79">
          <cell r="L79" t="str">
            <v>VBF-IBFW065</v>
          </cell>
          <cell r="M79" t="str">
            <v>65MM CI WAF B/FLY VALVE LOP SS</v>
          </cell>
          <cell r="N79" t="str">
            <v>NNAV.E500</v>
          </cell>
          <cell r="P79" t="str">
            <v>MIN_DIXON_004_NNAV</v>
          </cell>
          <cell r="Q79">
            <v>70.989999999999995</v>
          </cell>
          <cell r="R79" t="str">
            <v>EACH</v>
          </cell>
          <cell r="S79" t="str">
            <v>AUD</v>
          </cell>
          <cell r="T79">
            <v>6</v>
          </cell>
          <cell r="U79">
            <v>0</v>
          </cell>
          <cell r="V79">
            <v>0</v>
          </cell>
          <cell r="W79">
            <v>46007</v>
          </cell>
          <cell r="X79">
            <v>6</v>
          </cell>
          <cell r="Y79">
            <v>425.94</v>
          </cell>
        </row>
        <row r="80">
          <cell r="L80" t="str">
            <v>BFVH100</v>
          </cell>
          <cell r="M80" t="str">
            <v>100MM CI WAF B/FLY VALVE LOP E</v>
          </cell>
          <cell r="N80" t="str">
            <v>NNAV.E500</v>
          </cell>
          <cell r="P80" t="str">
            <v>MIN_DIXON_004_NNAV</v>
          </cell>
          <cell r="Q80">
            <v>75.42</v>
          </cell>
          <cell r="R80" t="str">
            <v>EACH</v>
          </cell>
          <cell r="S80" t="str">
            <v>AUD</v>
          </cell>
          <cell r="T80">
            <v>6</v>
          </cell>
          <cell r="U80">
            <v>0</v>
          </cell>
          <cell r="V80">
            <v>0</v>
          </cell>
          <cell r="W80">
            <v>46007</v>
          </cell>
          <cell r="X80">
            <v>6</v>
          </cell>
          <cell r="Y80">
            <v>452.52</v>
          </cell>
        </row>
        <row r="81">
          <cell r="L81" t="str">
            <v>BYLF050</v>
          </cell>
          <cell r="M81" t="str">
            <v>50MM BRASS Y STRAINER SCRD</v>
          </cell>
          <cell r="N81" t="str">
            <v>NNAV.E500</v>
          </cell>
          <cell r="P81" t="str">
            <v>MIN_DIXON_004_NNAV</v>
          </cell>
          <cell r="Q81">
            <v>57.06</v>
          </cell>
          <cell r="R81" t="str">
            <v>EACH</v>
          </cell>
          <cell r="S81" t="str">
            <v>AUD</v>
          </cell>
          <cell r="T81">
            <v>6</v>
          </cell>
          <cell r="U81">
            <v>0</v>
          </cell>
          <cell r="V81">
            <v>0</v>
          </cell>
          <cell r="W81">
            <v>46007</v>
          </cell>
          <cell r="X81">
            <v>6</v>
          </cell>
          <cell r="Y81">
            <v>342.36</v>
          </cell>
        </row>
        <row r="82">
          <cell r="L82" t="str">
            <v>YH1002</v>
          </cell>
          <cell r="M82" t="str">
            <v>TAB E RATIO VALVE 2:1</v>
          </cell>
          <cell r="N82" t="str">
            <v>NNAV.E500</v>
          </cell>
          <cell r="P82" t="str">
            <v>MIN_DIXON_004_NNAV</v>
          </cell>
          <cell r="Q82">
            <v>2990.72</v>
          </cell>
          <cell r="R82" t="str">
            <v>EACH</v>
          </cell>
          <cell r="S82" t="str">
            <v>AUD</v>
          </cell>
          <cell r="T82">
            <v>2</v>
          </cell>
          <cell r="U82">
            <v>0</v>
          </cell>
          <cell r="V82">
            <v>0</v>
          </cell>
          <cell r="W82">
            <v>46007</v>
          </cell>
          <cell r="X82">
            <v>2</v>
          </cell>
          <cell r="Y82">
            <v>5981.44</v>
          </cell>
        </row>
        <row r="83">
          <cell r="L83" t="str">
            <v>08/062/110/00</v>
          </cell>
          <cell r="M83" t="str">
            <v>ECONOVALVE "A" X "A" 1"</v>
          </cell>
          <cell r="N83" t="str">
            <v>NNAV.E500</v>
          </cell>
          <cell r="P83" t="str">
            <v>MIN_DIXON_004_NNAV</v>
          </cell>
          <cell r="Q83">
            <v>34.1</v>
          </cell>
          <cell r="R83" t="str">
            <v>EACH</v>
          </cell>
          <cell r="S83" t="str">
            <v>AUD</v>
          </cell>
          <cell r="T83">
            <v>10</v>
          </cell>
          <cell r="U83">
            <v>0</v>
          </cell>
          <cell r="V83">
            <v>0</v>
          </cell>
          <cell r="W83">
            <v>46007</v>
          </cell>
          <cell r="X83">
            <v>10</v>
          </cell>
          <cell r="Y83">
            <v>341</v>
          </cell>
        </row>
        <row r="84">
          <cell r="L84" t="str">
            <v>08/062/118/00</v>
          </cell>
          <cell r="M84" t="str">
            <v>ECONOVALVE 2" SHLD X 1" BSP F</v>
          </cell>
          <cell r="N84" t="str">
            <v>NNAV.E500</v>
          </cell>
          <cell r="P84" t="str">
            <v>MIN_DIXON_004_NNAV</v>
          </cell>
          <cell r="Q84">
            <v>36.07</v>
          </cell>
          <cell r="R84" t="str">
            <v>EACH</v>
          </cell>
          <cell r="S84" t="str">
            <v>AUD</v>
          </cell>
          <cell r="T84">
            <v>10</v>
          </cell>
          <cell r="U84">
            <v>0</v>
          </cell>
          <cell r="V84">
            <v>0</v>
          </cell>
          <cell r="W84">
            <v>46007</v>
          </cell>
          <cell r="X84">
            <v>10</v>
          </cell>
          <cell r="Y84">
            <v>360.7</v>
          </cell>
        </row>
        <row r="85">
          <cell r="L85" t="str">
            <v>08/062/56/000LO</v>
          </cell>
          <cell r="M85" t="str">
            <v>VALVE ECONO 50 BSPX50SLD</v>
          </cell>
          <cell r="N85" t="str">
            <v>NNAV.E500</v>
          </cell>
          <cell r="P85" t="str">
            <v>MIN_DIXON_004_NNAV</v>
          </cell>
          <cell r="Q85">
            <v>61.9</v>
          </cell>
          <cell r="R85" t="str">
            <v>EACH</v>
          </cell>
          <cell r="S85" t="str">
            <v>AUD</v>
          </cell>
          <cell r="T85">
            <v>10</v>
          </cell>
          <cell r="U85">
            <v>0</v>
          </cell>
          <cell r="V85">
            <v>0</v>
          </cell>
          <cell r="W85">
            <v>46007</v>
          </cell>
          <cell r="X85">
            <v>10</v>
          </cell>
          <cell r="Y85">
            <v>619</v>
          </cell>
        </row>
        <row r="86">
          <cell r="L86" t="str">
            <v>08/062/849/00LO</v>
          </cell>
          <cell r="M86" t="str">
            <v>VALVE ECONOVALVE</v>
          </cell>
          <cell r="N86" t="str">
            <v>NNAV.E500</v>
          </cell>
          <cell r="P86" t="str">
            <v>MIN_DIXON_004_NNAV</v>
          </cell>
          <cell r="Q86">
            <v>64.03</v>
          </cell>
          <cell r="R86" t="str">
            <v>EACH</v>
          </cell>
          <cell r="S86" t="str">
            <v>AUD</v>
          </cell>
          <cell r="T86">
            <v>10</v>
          </cell>
          <cell r="U86">
            <v>0</v>
          </cell>
          <cell r="V86">
            <v>0</v>
          </cell>
          <cell r="W86">
            <v>46007</v>
          </cell>
          <cell r="X86">
            <v>10</v>
          </cell>
          <cell r="Y86">
            <v>640.29999999999995</v>
          </cell>
        </row>
        <row r="87">
          <cell r="L87" t="str">
            <v>08/062/113/00</v>
          </cell>
          <cell r="M87" t="str">
            <v>ECONOVALVE 1" BSPF 500PSI WP</v>
          </cell>
          <cell r="N87" t="str">
            <v>NNAV.E500</v>
          </cell>
          <cell r="P87" t="str">
            <v>MIN_DIXON_004_NNAV</v>
          </cell>
          <cell r="Q87">
            <v>27.64</v>
          </cell>
          <cell r="R87" t="str">
            <v>EACH</v>
          </cell>
          <cell r="S87" t="str">
            <v>AUD</v>
          </cell>
          <cell r="T87">
            <v>10</v>
          </cell>
          <cell r="U87">
            <v>0</v>
          </cell>
          <cell r="V87">
            <v>0</v>
          </cell>
          <cell r="W87">
            <v>46007</v>
          </cell>
          <cell r="X87">
            <v>10</v>
          </cell>
          <cell r="Y87">
            <v>276.39999999999998</v>
          </cell>
        </row>
        <row r="88">
          <cell r="L88" t="str">
            <v>08/062/848/00</v>
          </cell>
          <cell r="M88" t="str">
            <v>ECONOVALVE 2" BSPF 300PSI WP</v>
          </cell>
          <cell r="N88" t="str">
            <v>NNAV.E500</v>
          </cell>
          <cell r="P88" t="str">
            <v>MIN_DIXON_004_NNAV</v>
          </cell>
          <cell r="Q88">
            <v>73.69</v>
          </cell>
          <cell r="R88" t="str">
            <v>EACH</v>
          </cell>
          <cell r="S88" t="str">
            <v>AUD</v>
          </cell>
          <cell r="T88">
            <v>10</v>
          </cell>
          <cell r="U88">
            <v>0</v>
          </cell>
          <cell r="V88">
            <v>0</v>
          </cell>
          <cell r="W88">
            <v>46007</v>
          </cell>
          <cell r="X88">
            <v>10</v>
          </cell>
          <cell r="Y88">
            <v>736.9</v>
          </cell>
        </row>
        <row r="89">
          <cell r="L89" t="str">
            <v>08/062/172/00LO</v>
          </cell>
          <cell r="M89" t="str">
            <v>VALVE ECONO 25 MM FEM</v>
          </cell>
          <cell r="N89" t="str">
            <v>NNAV.E500</v>
          </cell>
          <cell r="P89" t="str">
            <v>MIN_DIXON_004_NNAV</v>
          </cell>
          <cell r="Q89">
            <v>43.75</v>
          </cell>
          <cell r="R89" t="str">
            <v>EACH</v>
          </cell>
          <cell r="S89" t="str">
            <v>AUD</v>
          </cell>
          <cell r="T89">
            <v>10</v>
          </cell>
          <cell r="U89">
            <v>0</v>
          </cell>
          <cell r="V89">
            <v>0</v>
          </cell>
          <cell r="W89">
            <v>46007</v>
          </cell>
          <cell r="X89">
            <v>10</v>
          </cell>
          <cell r="Y89">
            <v>437.5</v>
          </cell>
        </row>
        <row r="90">
          <cell r="L90" t="str">
            <v>08/062/868/00LO</v>
          </cell>
          <cell r="M90" t="str">
            <v>ECONO 2" BSP FEM X  MED S/L</v>
          </cell>
          <cell r="N90" t="str">
            <v>NNAV.E500</v>
          </cell>
          <cell r="P90" t="str">
            <v>MIN_DIXON_004_NNAV</v>
          </cell>
          <cell r="Q90">
            <v>95.17</v>
          </cell>
          <cell r="R90" t="str">
            <v>EACH</v>
          </cell>
          <cell r="S90" t="str">
            <v>AUD</v>
          </cell>
          <cell r="T90">
            <v>10</v>
          </cell>
          <cell r="U90">
            <v>0</v>
          </cell>
          <cell r="V90">
            <v>0</v>
          </cell>
          <cell r="W90">
            <v>46007</v>
          </cell>
          <cell r="X90">
            <v>10</v>
          </cell>
          <cell r="Y90">
            <v>951.7</v>
          </cell>
        </row>
        <row r="91">
          <cell r="L91" t="str">
            <v>FMG-HN-25</v>
          </cell>
          <cell r="M91" t="str">
            <v>NIPPLE 25MM HEX</v>
          </cell>
          <cell r="N91" t="str">
            <v>NNAV.E500</v>
          </cell>
          <cell r="P91" t="str">
            <v>MIN_DIXON_004_NNAV</v>
          </cell>
          <cell r="Q91">
            <v>1.42</v>
          </cell>
          <cell r="R91" t="str">
            <v>EACH</v>
          </cell>
          <cell r="S91" t="str">
            <v>AUD</v>
          </cell>
          <cell r="T91">
            <v>10</v>
          </cell>
          <cell r="U91">
            <v>0</v>
          </cell>
          <cell r="V91">
            <v>0</v>
          </cell>
          <cell r="W91">
            <v>46007</v>
          </cell>
          <cell r="X91">
            <v>10</v>
          </cell>
          <cell r="Y91">
            <v>14.2</v>
          </cell>
        </row>
        <row r="92">
          <cell r="L92" t="str">
            <v>FMG-HN-50</v>
          </cell>
          <cell r="M92" t="str">
            <v>NIPPLE 50MM HEX</v>
          </cell>
          <cell r="N92" t="str">
            <v>NNAV.E500</v>
          </cell>
          <cell r="P92" t="str">
            <v>MIN_DIXON_004_NNAV</v>
          </cell>
          <cell r="Q92">
            <v>4.5199999999999996</v>
          </cell>
          <cell r="R92" t="str">
            <v>EACH</v>
          </cell>
          <cell r="S92" t="str">
            <v>AUD</v>
          </cell>
          <cell r="T92">
            <v>10</v>
          </cell>
          <cell r="U92">
            <v>0</v>
          </cell>
          <cell r="V92">
            <v>0</v>
          </cell>
          <cell r="W92">
            <v>46007</v>
          </cell>
          <cell r="X92">
            <v>10</v>
          </cell>
          <cell r="Y92">
            <v>45.2</v>
          </cell>
        </row>
        <row r="93">
          <cell r="L93" t="str">
            <v>FMG-HN-80</v>
          </cell>
          <cell r="M93" t="str">
            <v>GAL MAL HEX NIPPLE 80MM</v>
          </cell>
          <cell r="N93" t="str">
            <v>NNAV.E500</v>
          </cell>
          <cell r="P93" t="str">
            <v>MIN_DIXON_004_NNAV</v>
          </cell>
          <cell r="Q93">
            <v>14.62</v>
          </cell>
          <cell r="R93" t="str">
            <v>EACH</v>
          </cell>
          <cell r="S93" t="str">
            <v>AUD</v>
          </cell>
          <cell r="T93">
            <v>10</v>
          </cell>
          <cell r="U93">
            <v>0</v>
          </cell>
          <cell r="V93">
            <v>0</v>
          </cell>
          <cell r="W93">
            <v>46007</v>
          </cell>
          <cell r="X93">
            <v>10</v>
          </cell>
          <cell r="Y93">
            <v>146.19999999999999</v>
          </cell>
        </row>
        <row r="94">
          <cell r="L94" t="str">
            <v>FMG-HN-100</v>
          </cell>
          <cell r="M94" t="str">
            <v>NIPPLE 100MM HEX</v>
          </cell>
          <cell r="N94" t="str">
            <v>NNAV.E500</v>
          </cell>
          <cell r="P94" t="str">
            <v>MIN_DIXON_004_NNAV</v>
          </cell>
          <cell r="Q94">
            <v>17.63</v>
          </cell>
          <cell r="R94" t="str">
            <v>EACH</v>
          </cell>
          <cell r="S94" t="str">
            <v>AUD</v>
          </cell>
          <cell r="T94">
            <v>10</v>
          </cell>
          <cell r="U94">
            <v>0</v>
          </cell>
          <cell r="V94">
            <v>0</v>
          </cell>
          <cell r="W94">
            <v>46007</v>
          </cell>
          <cell r="X94">
            <v>10</v>
          </cell>
          <cell r="Y94">
            <v>176.3</v>
          </cell>
        </row>
        <row r="95">
          <cell r="L95" t="str">
            <v>FMG-HN-25-15</v>
          </cell>
          <cell r="M95" t="str">
            <v>GAL MAL NIPPLE RED. 25 X 15MM</v>
          </cell>
          <cell r="N95" t="str">
            <v>NNAV.E500</v>
          </cell>
          <cell r="P95" t="str">
            <v>MIN_DIXON_004_NNAV</v>
          </cell>
          <cell r="Q95">
            <v>2.13</v>
          </cell>
          <cell r="R95" t="str">
            <v>EACH</v>
          </cell>
          <cell r="S95" t="str">
            <v>AUD</v>
          </cell>
          <cell r="T95">
            <v>10</v>
          </cell>
          <cell r="U95">
            <v>0</v>
          </cell>
          <cell r="V95">
            <v>0</v>
          </cell>
          <cell r="W95">
            <v>46007</v>
          </cell>
          <cell r="X95">
            <v>10</v>
          </cell>
          <cell r="Y95">
            <v>21.3</v>
          </cell>
        </row>
        <row r="96">
          <cell r="L96" t="str">
            <v>FMG-HN-50-25</v>
          </cell>
          <cell r="M96" t="str">
            <v>REDUCING NIPPLE 50 X 25MM</v>
          </cell>
          <cell r="N96" t="str">
            <v>NNAV.E500</v>
          </cell>
          <cell r="P96" t="str">
            <v>MIN_DIXON_004_NNAV</v>
          </cell>
          <cell r="Q96">
            <v>4.8099999999999996</v>
          </cell>
          <cell r="R96" t="str">
            <v>EACH</v>
          </cell>
          <cell r="S96" t="str">
            <v>AUD</v>
          </cell>
          <cell r="T96">
            <v>10</v>
          </cell>
          <cell r="U96">
            <v>0</v>
          </cell>
          <cell r="V96">
            <v>0</v>
          </cell>
          <cell r="W96">
            <v>46007</v>
          </cell>
          <cell r="X96">
            <v>10</v>
          </cell>
          <cell r="Y96">
            <v>48.1</v>
          </cell>
        </row>
        <row r="97">
          <cell r="L97" t="str">
            <v>FMG-HN-80-50</v>
          </cell>
          <cell r="M97" t="str">
            <v>REDUCING NIPPLE 80 X 50MM</v>
          </cell>
          <cell r="N97" t="str">
            <v>NNAV.E500</v>
          </cell>
          <cell r="P97" t="str">
            <v>MIN_DIXON_004_NNAV</v>
          </cell>
          <cell r="Q97">
            <v>15.69</v>
          </cell>
          <cell r="R97" t="str">
            <v>EACH</v>
          </cell>
          <cell r="S97" t="str">
            <v>AUD</v>
          </cell>
          <cell r="T97">
            <v>10</v>
          </cell>
          <cell r="U97">
            <v>0</v>
          </cell>
          <cell r="V97">
            <v>0</v>
          </cell>
          <cell r="W97">
            <v>46007</v>
          </cell>
          <cell r="X97">
            <v>10</v>
          </cell>
          <cell r="Y97">
            <v>156.9</v>
          </cell>
        </row>
        <row r="98">
          <cell r="L98" t="str">
            <v>FMG-HN-100-80</v>
          </cell>
          <cell r="M98" t="str">
            <v>REDUCING NIPPLE 100 X 80MM</v>
          </cell>
          <cell r="N98" t="str">
            <v>NNAV.E500</v>
          </cell>
          <cell r="P98" t="str">
            <v>MIN_DIXON_004_NNAV</v>
          </cell>
          <cell r="Q98">
            <v>29.29</v>
          </cell>
          <cell r="R98" t="str">
            <v>EACH</v>
          </cell>
          <cell r="S98" t="str">
            <v>AUD</v>
          </cell>
          <cell r="T98">
            <v>10</v>
          </cell>
          <cell r="U98">
            <v>0</v>
          </cell>
          <cell r="V98">
            <v>0</v>
          </cell>
          <cell r="W98">
            <v>46007</v>
          </cell>
          <cell r="X98">
            <v>10</v>
          </cell>
          <cell r="Y98">
            <v>292.89999999999998</v>
          </cell>
        </row>
        <row r="99">
          <cell r="L99" t="str">
            <v>FMG-HP-25</v>
          </cell>
          <cell r="M99" t="str">
            <v>GAL MAL HOLLOW PLUG 25MM</v>
          </cell>
          <cell r="N99" t="str">
            <v>NNAV.E500</v>
          </cell>
          <cell r="P99" t="str">
            <v>MIN_DIXON_004_NNAV</v>
          </cell>
          <cell r="Q99">
            <v>1.26</v>
          </cell>
          <cell r="R99" t="str">
            <v>EACH</v>
          </cell>
          <cell r="S99" t="str">
            <v>AUD</v>
          </cell>
          <cell r="T99">
            <v>5</v>
          </cell>
          <cell r="U99">
            <v>0</v>
          </cell>
          <cell r="V99">
            <v>0</v>
          </cell>
          <cell r="W99">
            <v>46007</v>
          </cell>
          <cell r="X99">
            <v>5</v>
          </cell>
          <cell r="Y99">
            <v>6.3</v>
          </cell>
        </row>
        <row r="100">
          <cell r="L100" t="str">
            <v>FMG-HP-100</v>
          </cell>
          <cell r="M100" t="str">
            <v>GAL MAL HOLLOW PLUG 100MM</v>
          </cell>
          <cell r="N100" t="str">
            <v>NNAV.E500</v>
          </cell>
          <cell r="P100" t="str">
            <v>MIN_DIXON_004_NNAV</v>
          </cell>
          <cell r="Q100">
            <v>18.05</v>
          </cell>
          <cell r="R100" t="str">
            <v>EACH</v>
          </cell>
          <cell r="S100" t="str">
            <v>AUD</v>
          </cell>
          <cell r="T100">
            <v>5</v>
          </cell>
          <cell r="U100">
            <v>0</v>
          </cell>
          <cell r="V100">
            <v>0</v>
          </cell>
          <cell r="W100">
            <v>46007</v>
          </cell>
          <cell r="X100">
            <v>5</v>
          </cell>
          <cell r="Y100">
            <v>90.25</v>
          </cell>
        </row>
        <row r="101">
          <cell r="L101" t="str">
            <v>FMG-SOC-25</v>
          </cell>
          <cell r="M101" t="str">
            <v>SOCKET 25MM</v>
          </cell>
          <cell r="N101" t="str">
            <v>NNAV.E500</v>
          </cell>
          <cell r="P101" t="str">
            <v>MIN_DIXON_004_NNAV</v>
          </cell>
          <cell r="Q101">
            <v>1.22</v>
          </cell>
          <cell r="R101" t="str">
            <v>EACH</v>
          </cell>
          <cell r="S101" t="str">
            <v>AUD</v>
          </cell>
          <cell r="T101">
            <v>10</v>
          </cell>
          <cell r="U101">
            <v>0</v>
          </cell>
          <cell r="V101">
            <v>0</v>
          </cell>
          <cell r="W101">
            <v>46007</v>
          </cell>
          <cell r="X101">
            <v>10</v>
          </cell>
          <cell r="Y101">
            <v>12.2</v>
          </cell>
        </row>
        <row r="102">
          <cell r="L102" t="str">
            <v>FMG-SOC-50</v>
          </cell>
          <cell r="M102" t="str">
            <v>SOCKET 50MM</v>
          </cell>
          <cell r="N102" t="str">
            <v>NNAV.E500</v>
          </cell>
          <cell r="P102" t="str">
            <v>MIN_DIXON_004_NNAV</v>
          </cell>
          <cell r="Q102">
            <v>3.77</v>
          </cell>
          <cell r="R102" t="str">
            <v>EACH</v>
          </cell>
          <cell r="S102" t="str">
            <v>AUD</v>
          </cell>
          <cell r="T102">
            <v>10</v>
          </cell>
          <cell r="U102">
            <v>0</v>
          </cell>
          <cell r="V102">
            <v>0</v>
          </cell>
          <cell r="W102">
            <v>46007</v>
          </cell>
          <cell r="X102">
            <v>10</v>
          </cell>
          <cell r="Y102">
            <v>37.700000000000003</v>
          </cell>
        </row>
        <row r="103">
          <cell r="L103" t="str">
            <v>FMG-SOC-80</v>
          </cell>
          <cell r="M103" t="str">
            <v>GAL MAL SOCKET BANDED 80MM</v>
          </cell>
          <cell r="N103" t="str">
            <v>NNAV.E500</v>
          </cell>
          <cell r="P103" t="str">
            <v>MIN_DIXON_004_NNAV</v>
          </cell>
          <cell r="Q103">
            <v>15.42</v>
          </cell>
          <cell r="R103" t="str">
            <v>EACH</v>
          </cell>
          <cell r="S103" t="str">
            <v>AUD</v>
          </cell>
          <cell r="T103">
            <v>5</v>
          </cell>
          <cell r="U103">
            <v>0</v>
          </cell>
          <cell r="V103">
            <v>0</v>
          </cell>
          <cell r="W103">
            <v>46007</v>
          </cell>
          <cell r="X103">
            <v>5</v>
          </cell>
          <cell r="Y103">
            <v>77.099999999999994</v>
          </cell>
        </row>
        <row r="104">
          <cell r="L104" t="str">
            <v>FMG-SOC-100</v>
          </cell>
          <cell r="M104" t="str">
            <v>SOCKET 100MM GALV</v>
          </cell>
          <cell r="N104" t="str">
            <v>NNAV.E500</v>
          </cell>
          <cell r="P104" t="str">
            <v>MIN_DIXON_004_NNAV</v>
          </cell>
          <cell r="Q104">
            <v>30.25</v>
          </cell>
          <cell r="R104" t="str">
            <v>EACH</v>
          </cell>
          <cell r="S104" t="str">
            <v>AUD</v>
          </cell>
          <cell r="T104">
            <v>5</v>
          </cell>
          <cell r="U104">
            <v>0</v>
          </cell>
          <cell r="V104">
            <v>0</v>
          </cell>
          <cell r="W104">
            <v>46007</v>
          </cell>
          <cell r="X104">
            <v>5</v>
          </cell>
          <cell r="Y104">
            <v>151.25</v>
          </cell>
        </row>
        <row r="105">
          <cell r="L105" t="str">
            <v>FMG-SOC-50-25</v>
          </cell>
          <cell r="M105" t="str">
            <v>SOCKET REDUCING 50 X 25MM</v>
          </cell>
          <cell r="N105" t="str">
            <v>NNAV.E500</v>
          </cell>
          <cell r="P105" t="str">
            <v>MIN_DIXON_004_NNAV</v>
          </cell>
          <cell r="Q105">
            <v>4.6100000000000003</v>
          </cell>
          <cell r="R105" t="str">
            <v>EACH</v>
          </cell>
          <cell r="S105" t="str">
            <v>AUD</v>
          </cell>
          <cell r="T105">
            <v>5</v>
          </cell>
          <cell r="U105">
            <v>0</v>
          </cell>
          <cell r="V105">
            <v>0</v>
          </cell>
          <cell r="W105">
            <v>46007</v>
          </cell>
          <cell r="X105">
            <v>5</v>
          </cell>
          <cell r="Y105">
            <v>23.05</v>
          </cell>
        </row>
        <row r="106">
          <cell r="L106" t="str">
            <v>FMG-SOC-80-50</v>
          </cell>
          <cell r="M106" t="str">
            <v>SOCKET REDUCING 80X50 GALV MAL</v>
          </cell>
          <cell r="N106" t="str">
            <v>NNAV.E500</v>
          </cell>
          <cell r="P106" t="str">
            <v>MIN_DIXON_004_NNAV</v>
          </cell>
          <cell r="Q106">
            <v>10.7</v>
          </cell>
          <cell r="R106" t="str">
            <v>EACH</v>
          </cell>
          <cell r="S106" t="str">
            <v>AUD</v>
          </cell>
          <cell r="T106">
            <v>5</v>
          </cell>
          <cell r="U106">
            <v>0</v>
          </cell>
          <cell r="V106">
            <v>0</v>
          </cell>
          <cell r="W106">
            <v>46007</v>
          </cell>
          <cell r="X106">
            <v>5</v>
          </cell>
          <cell r="Y106">
            <v>53.5</v>
          </cell>
        </row>
        <row r="107">
          <cell r="L107" t="str">
            <v>FMG-SOC-100-80</v>
          </cell>
          <cell r="M107" t="str">
            <v>SOCKET REDUCING 100 X 80MM</v>
          </cell>
          <cell r="N107" t="str">
            <v>NNAV.E500</v>
          </cell>
          <cell r="P107" t="str">
            <v>MIN_DIXON_004_NNAV</v>
          </cell>
          <cell r="Q107">
            <v>19.37</v>
          </cell>
          <cell r="R107" t="str">
            <v>EACH</v>
          </cell>
          <cell r="S107" t="str">
            <v>AUD</v>
          </cell>
          <cell r="T107">
            <v>5</v>
          </cell>
          <cell r="U107">
            <v>0</v>
          </cell>
          <cell r="V107">
            <v>0</v>
          </cell>
          <cell r="W107">
            <v>46007</v>
          </cell>
          <cell r="X107">
            <v>5</v>
          </cell>
          <cell r="Y107">
            <v>96.85</v>
          </cell>
        </row>
        <row r="108">
          <cell r="L108" t="str">
            <v>FMG-TEE-25</v>
          </cell>
          <cell r="M108" t="str">
            <v>TEE 25MM BSP FEMALE</v>
          </cell>
          <cell r="N108" t="str">
            <v>NNAV.E500</v>
          </cell>
          <cell r="P108" t="str">
            <v>MIN_DIXON_004_NNAV</v>
          </cell>
          <cell r="Q108">
            <v>2.71</v>
          </cell>
          <cell r="R108" t="str">
            <v>EACH</v>
          </cell>
          <cell r="S108" t="str">
            <v>AUD</v>
          </cell>
          <cell r="T108">
            <v>5</v>
          </cell>
          <cell r="U108">
            <v>0</v>
          </cell>
          <cell r="V108">
            <v>0</v>
          </cell>
          <cell r="W108">
            <v>46007</v>
          </cell>
          <cell r="X108">
            <v>5</v>
          </cell>
          <cell r="Y108">
            <v>13.55</v>
          </cell>
        </row>
        <row r="109">
          <cell r="L109" t="str">
            <v>FMG-TEE-50</v>
          </cell>
          <cell r="M109" t="str">
            <v>TEE 50MM BSP FEMALE</v>
          </cell>
          <cell r="N109" t="str">
            <v>NNAV.E500</v>
          </cell>
          <cell r="P109" t="str">
            <v>MIN_DIXON_004_NNAV</v>
          </cell>
          <cell r="Q109">
            <v>8.2899999999999991</v>
          </cell>
          <cell r="R109" t="str">
            <v>EACH</v>
          </cell>
          <cell r="S109" t="str">
            <v>AUD</v>
          </cell>
          <cell r="T109">
            <v>5</v>
          </cell>
          <cell r="U109">
            <v>0</v>
          </cell>
          <cell r="V109">
            <v>0</v>
          </cell>
          <cell r="W109">
            <v>46007</v>
          </cell>
          <cell r="X109">
            <v>5</v>
          </cell>
          <cell r="Y109">
            <v>41.45</v>
          </cell>
        </row>
        <row r="110">
          <cell r="L110" t="str">
            <v>FMG-TEE-80</v>
          </cell>
          <cell r="M110" t="str">
            <v>GAL MAL EQUAL TEE 80MM</v>
          </cell>
          <cell r="N110" t="str">
            <v>NNAV.E500</v>
          </cell>
          <cell r="P110" t="str">
            <v>MIN_DIXON_004_NNAV</v>
          </cell>
          <cell r="Q110">
            <v>25.07</v>
          </cell>
          <cell r="R110" t="str">
            <v>EACH</v>
          </cell>
          <cell r="S110" t="str">
            <v>AUD</v>
          </cell>
          <cell r="T110">
            <v>5</v>
          </cell>
          <cell r="U110">
            <v>0</v>
          </cell>
          <cell r="V110">
            <v>0</v>
          </cell>
          <cell r="W110">
            <v>46007</v>
          </cell>
          <cell r="X110">
            <v>5</v>
          </cell>
          <cell r="Y110">
            <v>125.35</v>
          </cell>
        </row>
        <row r="111">
          <cell r="L111" t="str">
            <v>FMG-TEE-100</v>
          </cell>
          <cell r="M111" t="str">
            <v>TEE 100MM BSP FEMALE</v>
          </cell>
          <cell r="N111" t="str">
            <v>NNAV.E500</v>
          </cell>
          <cell r="P111" t="str">
            <v>MIN_DIXON_004_NNAV</v>
          </cell>
          <cell r="Q111">
            <v>40.619999999999997</v>
          </cell>
          <cell r="R111" t="str">
            <v>EACH</v>
          </cell>
          <cell r="S111" t="str">
            <v>AUD</v>
          </cell>
          <cell r="T111">
            <v>5</v>
          </cell>
          <cell r="U111">
            <v>0</v>
          </cell>
          <cell r="V111">
            <v>0</v>
          </cell>
          <cell r="W111">
            <v>46007</v>
          </cell>
          <cell r="X111">
            <v>5</v>
          </cell>
          <cell r="Y111">
            <v>203.1</v>
          </cell>
        </row>
        <row r="112">
          <cell r="L112" t="str">
            <v>FMG-UBS-25</v>
          </cell>
          <cell r="M112" t="str">
            <v>25NB GAL MAL UNION B/S F/F</v>
          </cell>
          <cell r="N112" t="str">
            <v>NNAV.E500</v>
          </cell>
          <cell r="P112" t="str">
            <v>MIN_DIXON_004_NNAV</v>
          </cell>
          <cell r="Q112">
            <v>8.6300000000000008</v>
          </cell>
          <cell r="R112" t="str">
            <v>EACH</v>
          </cell>
          <cell r="S112" t="str">
            <v>AUD</v>
          </cell>
          <cell r="T112">
            <v>5</v>
          </cell>
          <cell r="U112">
            <v>0</v>
          </cell>
          <cell r="V112">
            <v>0</v>
          </cell>
          <cell r="W112">
            <v>46007</v>
          </cell>
          <cell r="X112">
            <v>5</v>
          </cell>
          <cell r="Y112">
            <v>43.15</v>
          </cell>
        </row>
        <row r="113">
          <cell r="L113" t="str">
            <v>FMG-UBS-50</v>
          </cell>
          <cell r="M113" t="str">
            <v>GAL MAL UNION BRS SEAT F/F 50</v>
          </cell>
          <cell r="N113" t="str">
            <v>NNAV.E500</v>
          </cell>
          <cell r="P113" t="str">
            <v>MIN_DIXON_004_NNAV</v>
          </cell>
          <cell r="Q113">
            <v>18.77</v>
          </cell>
          <cell r="R113" t="str">
            <v>EACH</v>
          </cell>
          <cell r="S113" t="str">
            <v>AUD</v>
          </cell>
          <cell r="T113">
            <v>5</v>
          </cell>
          <cell r="U113">
            <v>0</v>
          </cell>
          <cell r="V113">
            <v>0</v>
          </cell>
          <cell r="W113">
            <v>46007</v>
          </cell>
          <cell r="X113">
            <v>5</v>
          </cell>
          <cell r="Y113">
            <v>93.85</v>
          </cell>
        </row>
        <row r="114">
          <cell r="L114" t="str">
            <v>FMG-UBS-80</v>
          </cell>
          <cell r="M114" t="str">
            <v>GAL MAL UNION BRS SEAT F/F 80</v>
          </cell>
          <cell r="N114" t="str">
            <v>NNAV.E500</v>
          </cell>
          <cell r="P114" t="str">
            <v>MIN_DIXON_004_NNAV</v>
          </cell>
          <cell r="Q114">
            <v>65.95</v>
          </cell>
          <cell r="R114" t="str">
            <v>EACH</v>
          </cell>
          <cell r="S114" t="str">
            <v>AUD</v>
          </cell>
          <cell r="T114">
            <v>5</v>
          </cell>
          <cell r="U114">
            <v>0</v>
          </cell>
          <cell r="V114">
            <v>0</v>
          </cell>
          <cell r="W114">
            <v>46007</v>
          </cell>
          <cell r="X114">
            <v>5</v>
          </cell>
          <cell r="Y114">
            <v>329.75</v>
          </cell>
        </row>
        <row r="115">
          <cell r="L115" t="str">
            <v>FMG-UBS-100</v>
          </cell>
          <cell r="M115" t="str">
            <v>GAL MAL UNION BRS SEAT F/F 100</v>
          </cell>
          <cell r="N115" t="str">
            <v>NNAV.E500</v>
          </cell>
          <cell r="P115" t="str">
            <v>MIN_DIXON_004_NNAV</v>
          </cell>
          <cell r="Q115">
            <v>128.01</v>
          </cell>
          <cell r="R115" t="str">
            <v>EACH</v>
          </cell>
          <cell r="S115" t="str">
            <v>AUD</v>
          </cell>
          <cell r="T115">
            <v>5</v>
          </cell>
          <cell r="U115">
            <v>0</v>
          </cell>
          <cell r="V115">
            <v>0</v>
          </cell>
          <cell r="W115">
            <v>46007</v>
          </cell>
          <cell r="X115">
            <v>5</v>
          </cell>
          <cell r="Y115">
            <v>640.04999999999995</v>
          </cell>
        </row>
        <row r="116">
          <cell r="L116" t="str">
            <v>FMG-FD-25</v>
          </cell>
          <cell r="M116" t="str">
            <v>FLANGE 25MM SCREWED TABLE D</v>
          </cell>
          <cell r="N116" t="str">
            <v>NNAV.E500</v>
          </cell>
          <cell r="P116" t="str">
            <v>MIN_DIXON_004_NNAV</v>
          </cell>
          <cell r="Q116">
            <v>6.46</v>
          </cell>
          <cell r="R116" t="str">
            <v>EACH</v>
          </cell>
          <cell r="S116" t="str">
            <v>AUD</v>
          </cell>
          <cell r="T116">
            <v>5</v>
          </cell>
          <cell r="U116">
            <v>0</v>
          </cell>
          <cell r="V116">
            <v>0</v>
          </cell>
          <cell r="W116">
            <v>46007</v>
          </cell>
          <cell r="X116">
            <v>5</v>
          </cell>
          <cell r="Y116">
            <v>32.299999999999997</v>
          </cell>
        </row>
        <row r="117">
          <cell r="L117" t="str">
            <v>FMG-FD-50</v>
          </cell>
          <cell r="M117" t="str">
            <v>FLANGE 50MM SCREWED TABLE D</v>
          </cell>
          <cell r="N117" t="str">
            <v>NNAV.E500</v>
          </cell>
          <cell r="P117" t="str">
            <v>MIN_DIXON_004_NNAV</v>
          </cell>
          <cell r="Q117">
            <v>11.39</v>
          </cell>
          <cell r="R117" t="str">
            <v>EACH</v>
          </cell>
          <cell r="S117" t="str">
            <v>AUD</v>
          </cell>
          <cell r="T117">
            <v>5</v>
          </cell>
          <cell r="U117">
            <v>0</v>
          </cell>
          <cell r="V117">
            <v>0</v>
          </cell>
          <cell r="W117">
            <v>46007</v>
          </cell>
          <cell r="X117">
            <v>5</v>
          </cell>
          <cell r="Y117">
            <v>56.95</v>
          </cell>
        </row>
        <row r="118">
          <cell r="L118" t="str">
            <v>FMG-FD-80</v>
          </cell>
          <cell r="M118" t="str">
            <v>FLANGE 80MM SCREWED TABLE D</v>
          </cell>
          <cell r="N118" t="str">
            <v>NNAV.E500</v>
          </cell>
          <cell r="P118" t="str">
            <v>MIN_DIXON_004_NNAV</v>
          </cell>
          <cell r="Q118">
            <v>26.49</v>
          </cell>
          <cell r="R118" t="str">
            <v>EACH</v>
          </cell>
          <cell r="S118" t="str">
            <v>AUD</v>
          </cell>
          <cell r="T118">
            <v>5</v>
          </cell>
          <cell r="U118">
            <v>0</v>
          </cell>
          <cell r="V118">
            <v>0</v>
          </cell>
          <cell r="W118">
            <v>46007</v>
          </cell>
          <cell r="X118">
            <v>5</v>
          </cell>
          <cell r="Y118">
            <v>132.44999999999999</v>
          </cell>
        </row>
        <row r="119">
          <cell r="L119" t="str">
            <v>FMG-FD-100</v>
          </cell>
          <cell r="M119" t="str">
            <v>FLANGE 100MM SCREWED TABLE D</v>
          </cell>
          <cell r="N119" t="str">
            <v>NNAV.E500</v>
          </cell>
          <cell r="P119" t="str">
            <v>MIN_DIXON_004_NNAV</v>
          </cell>
          <cell r="Q119">
            <v>23.16</v>
          </cell>
          <cell r="R119" t="str">
            <v>EACH</v>
          </cell>
          <cell r="S119" t="str">
            <v>AUD</v>
          </cell>
          <cell r="T119">
            <v>5</v>
          </cell>
          <cell r="U119">
            <v>0</v>
          </cell>
          <cell r="V119">
            <v>0</v>
          </cell>
          <cell r="W119">
            <v>46007</v>
          </cell>
          <cell r="X119">
            <v>5</v>
          </cell>
          <cell r="Y119">
            <v>115.8</v>
          </cell>
        </row>
        <row r="120">
          <cell r="L120" t="str">
            <v>FMG-BUS-25-15</v>
          </cell>
          <cell r="M120" t="str">
            <v>REDUCING BUSH 25 X 15MM</v>
          </cell>
          <cell r="N120" t="str">
            <v>NNAV.E500</v>
          </cell>
          <cell r="P120" t="str">
            <v>MIN_DIXON_004_NNAV</v>
          </cell>
          <cell r="Q120">
            <v>1.07</v>
          </cell>
          <cell r="R120" t="str">
            <v>EACH</v>
          </cell>
          <cell r="S120" t="str">
            <v>AUD</v>
          </cell>
          <cell r="T120">
            <v>5</v>
          </cell>
          <cell r="U120">
            <v>0</v>
          </cell>
          <cell r="V120">
            <v>0</v>
          </cell>
          <cell r="W120">
            <v>46007</v>
          </cell>
          <cell r="X120">
            <v>5</v>
          </cell>
          <cell r="Y120">
            <v>5.35</v>
          </cell>
        </row>
        <row r="121">
          <cell r="L121" t="str">
            <v>FMG-BUS-50-25</v>
          </cell>
          <cell r="M121" t="str">
            <v>REDUCING BUSH 50 X 25MM</v>
          </cell>
          <cell r="N121" t="str">
            <v>NNAV.E500</v>
          </cell>
          <cell r="P121" t="str">
            <v>MIN_DIXON_004_NNAV</v>
          </cell>
          <cell r="Q121">
            <v>2.98</v>
          </cell>
          <cell r="R121" t="str">
            <v>EACH</v>
          </cell>
          <cell r="S121" t="str">
            <v>AUD</v>
          </cell>
          <cell r="T121">
            <v>5</v>
          </cell>
          <cell r="U121">
            <v>0</v>
          </cell>
          <cell r="V121">
            <v>0</v>
          </cell>
          <cell r="W121">
            <v>46007</v>
          </cell>
          <cell r="X121">
            <v>5</v>
          </cell>
          <cell r="Y121">
            <v>14.9</v>
          </cell>
        </row>
        <row r="122">
          <cell r="L122" t="str">
            <v>FMG-BUS-80-25</v>
          </cell>
          <cell r="M122" t="str">
            <v>GAL MAL BUSH 80 X 25MM</v>
          </cell>
          <cell r="N122" t="str">
            <v>NNAV.E500</v>
          </cell>
          <cell r="P122" t="str">
            <v>MIN_DIXON_004_NNAV</v>
          </cell>
          <cell r="Q122">
            <v>15.21</v>
          </cell>
          <cell r="R122" t="str">
            <v>EACH</v>
          </cell>
          <cell r="S122" t="str">
            <v>AUD</v>
          </cell>
          <cell r="T122">
            <v>5</v>
          </cell>
          <cell r="U122">
            <v>0</v>
          </cell>
          <cell r="V122">
            <v>0</v>
          </cell>
          <cell r="W122">
            <v>46007</v>
          </cell>
          <cell r="X122">
            <v>5</v>
          </cell>
          <cell r="Y122">
            <v>76.05</v>
          </cell>
        </row>
        <row r="123">
          <cell r="L123" t="str">
            <v>FMG-BUS-80-50</v>
          </cell>
          <cell r="M123" t="str">
            <v>REDUCING BUSH 80 X 50MM</v>
          </cell>
          <cell r="N123" t="str">
            <v>NNAV.E500</v>
          </cell>
          <cell r="P123" t="str">
            <v>MIN_DIXON_004_NNAV</v>
          </cell>
          <cell r="Q123">
            <v>7.23</v>
          </cell>
          <cell r="R123" t="str">
            <v>EACH</v>
          </cell>
          <cell r="S123" t="str">
            <v>AUD</v>
          </cell>
          <cell r="T123">
            <v>5</v>
          </cell>
          <cell r="U123">
            <v>0</v>
          </cell>
          <cell r="V123">
            <v>0</v>
          </cell>
          <cell r="W123">
            <v>46007</v>
          </cell>
          <cell r="X123">
            <v>5</v>
          </cell>
          <cell r="Y123">
            <v>36.15</v>
          </cell>
        </row>
        <row r="124">
          <cell r="L124" t="str">
            <v>FMG-BUS-100-50</v>
          </cell>
          <cell r="M124" t="str">
            <v>REDUCING BUSH 100 X 50MM</v>
          </cell>
          <cell r="N124" t="str">
            <v>NNAV.E500</v>
          </cell>
          <cell r="P124" t="str">
            <v>MIN_DIXON_004_NNAV</v>
          </cell>
          <cell r="Q124">
            <v>17.399999999999999</v>
          </cell>
          <cell r="R124" t="str">
            <v>EACH</v>
          </cell>
          <cell r="S124" t="str">
            <v>AUD</v>
          </cell>
          <cell r="T124">
            <v>5</v>
          </cell>
          <cell r="U124">
            <v>0</v>
          </cell>
          <cell r="V124">
            <v>0</v>
          </cell>
          <cell r="W124">
            <v>46007</v>
          </cell>
          <cell r="X124">
            <v>5</v>
          </cell>
          <cell r="Y124">
            <v>87</v>
          </cell>
        </row>
        <row r="125">
          <cell r="L125" t="str">
            <v>FMG-BUS-100-80</v>
          </cell>
          <cell r="M125" t="str">
            <v>REDUCING BUSH 100 X 80MM</v>
          </cell>
          <cell r="N125" t="str">
            <v>NNAV.E500</v>
          </cell>
          <cell r="P125" t="str">
            <v>MIN_DIXON_004_NNAV</v>
          </cell>
          <cell r="Q125">
            <v>17.399999999999999</v>
          </cell>
          <cell r="R125" t="str">
            <v>EACH</v>
          </cell>
          <cell r="S125" t="str">
            <v>AUD</v>
          </cell>
          <cell r="T125">
            <v>5</v>
          </cell>
          <cell r="U125">
            <v>0</v>
          </cell>
          <cell r="V125">
            <v>0</v>
          </cell>
          <cell r="W125">
            <v>46007</v>
          </cell>
          <cell r="X125">
            <v>5</v>
          </cell>
          <cell r="Y125">
            <v>87</v>
          </cell>
        </row>
        <row r="126">
          <cell r="L126" t="str">
            <v>FSHG-COUP-50</v>
          </cell>
          <cell r="M126" t="str">
            <v>COUPLING 50 MM SHLD GALVANISED</v>
          </cell>
          <cell r="N126" t="str">
            <v>NNAV.E500</v>
          </cell>
          <cell r="P126" t="str">
            <v>MIN_DIXON_004_NNAV</v>
          </cell>
          <cell r="Q126">
            <v>9.59</v>
          </cell>
          <cell r="R126" t="str">
            <v>EACH</v>
          </cell>
          <cell r="S126" t="str">
            <v>AUD</v>
          </cell>
          <cell r="T126">
            <v>10</v>
          </cell>
          <cell r="U126">
            <v>0</v>
          </cell>
          <cell r="V126">
            <v>0</v>
          </cell>
          <cell r="W126">
            <v>46007</v>
          </cell>
          <cell r="X126">
            <v>10</v>
          </cell>
          <cell r="Y126">
            <v>95.9</v>
          </cell>
        </row>
        <row r="127">
          <cell r="L127" t="str">
            <v>08/048/20/002</v>
          </cell>
          <cell r="M127" t="str">
            <v>COUPLING 80NB  SHLD GALV</v>
          </cell>
          <cell r="N127" t="str">
            <v>NNAV.E500</v>
          </cell>
          <cell r="P127" t="str">
            <v>MIN_DIXON_004_NNAV</v>
          </cell>
          <cell r="Q127">
            <v>17.920000000000002</v>
          </cell>
          <cell r="R127" t="str">
            <v>EACH</v>
          </cell>
          <cell r="S127" t="str">
            <v>AUD</v>
          </cell>
          <cell r="T127">
            <v>10</v>
          </cell>
          <cell r="U127">
            <v>0</v>
          </cell>
          <cell r="V127">
            <v>0</v>
          </cell>
          <cell r="W127">
            <v>46007</v>
          </cell>
          <cell r="X127">
            <v>10</v>
          </cell>
          <cell r="Y127">
            <v>179.2</v>
          </cell>
        </row>
        <row r="128">
          <cell r="L128" t="str">
            <v>FSHG-COUP-100</v>
          </cell>
          <cell r="M128" t="str">
            <v>COUPLING 100MM SHLD GALVANISED</v>
          </cell>
          <cell r="N128" t="str">
            <v>NNAV.E500</v>
          </cell>
          <cell r="P128" t="str">
            <v>MIN_DIXON_004_NNAV</v>
          </cell>
          <cell r="Q128">
            <v>13.62</v>
          </cell>
          <cell r="R128" t="str">
            <v>EACH</v>
          </cell>
          <cell r="S128" t="str">
            <v>AUD</v>
          </cell>
          <cell r="T128">
            <v>10</v>
          </cell>
          <cell r="U128">
            <v>0</v>
          </cell>
          <cell r="V128">
            <v>0</v>
          </cell>
          <cell r="W128">
            <v>46007</v>
          </cell>
          <cell r="X128">
            <v>10</v>
          </cell>
          <cell r="Y128">
            <v>136.19999999999999</v>
          </cell>
        </row>
        <row r="129">
          <cell r="L129" t="str">
            <v>05/048/22/000</v>
          </cell>
          <cell r="M129" t="str">
            <v>SEAL NITRILE 50MM SHLD</v>
          </cell>
          <cell r="N129" t="str">
            <v>NNAV.E500</v>
          </cell>
          <cell r="P129" t="str">
            <v>MIN_DIXON_004_NNAV</v>
          </cell>
          <cell r="Q129">
            <v>2.1800000000000002</v>
          </cell>
          <cell r="R129" t="str">
            <v>EACH</v>
          </cell>
          <cell r="S129" t="str">
            <v>AUD</v>
          </cell>
          <cell r="T129">
            <v>15</v>
          </cell>
          <cell r="U129">
            <v>0</v>
          </cell>
          <cell r="V129">
            <v>0</v>
          </cell>
          <cell r="W129">
            <v>46007</v>
          </cell>
          <cell r="X129">
            <v>15</v>
          </cell>
          <cell r="Y129">
            <v>32.700000000000003</v>
          </cell>
        </row>
        <row r="130">
          <cell r="L130" t="str">
            <v>05/048/22/002</v>
          </cell>
          <cell r="M130" t="str">
            <v>SEAL NITRILE 80MM SHLD</v>
          </cell>
          <cell r="N130" t="str">
            <v>NNAV.E500</v>
          </cell>
          <cell r="P130" t="str">
            <v>MIN_DIXON_004_NNAV</v>
          </cell>
          <cell r="Q130">
            <v>4.96</v>
          </cell>
          <cell r="R130" t="str">
            <v>EACH</v>
          </cell>
          <cell r="S130" t="str">
            <v>AUD</v>
          </cell>
          <cell r="T130">
            <v>15</v>
          </cell>
          <cell r="U130">
            <v>0</v>
          </cell>
          <cell r="V130">
            <v>0</v>
          </cell>
          <cell r="W130">
            <v>46007</v>
          </cell>
          <cell r="X130">
            <v>15</v>
          </cell>
          <cell r="Y130">
            <v>74.400000000000006</v>
          </cell>
        </row>
        <row r="131">
          <cell r="L131" t="str">
            <v>05/048/22/003</v>
          </cell>
          <cell r="M131" t="str">
            <v>SEAL NITRILE 100MM SHLD</v>
          </cell>
          <cell r="N131" t="str">
            <v>NNAV.E500</v>
          </cell>
          <cell r="P131" t="str">
            <v>MIN_DIXON_004_NNAV</v>
          </cell>
          <cell r="Q131">
            <v>6</v>
          </cell>
          <cell r="R131" t="str">
            <v>EACH</v>
          </cell>
          <cell r="S131" t="str">
            <v>AUD</v>
          </cell>
          <cell r="T131">
            <v>15</v>
          </cell>
          <cell r="U131">
            <v>0</v>
          </cell>
          <cell r="V131">
            <v>0</v>
          </cell>
          <cell r="W131">
            <v>46007</v>
          </cell>
          <cell r="X131">
            <v>15</v>
          </cell>
          <cell r="Y131">
            <v>90</v>
          </cell>
        </row>
        <row r="132">
          <cell r="L132" t="str">
            <v>08/048/10/000</v>
          </cell>
          <cell r="M132" t="str">
            <v>ADAPTOR SCREWED 50NB</v>
          </cell>
          <cell r="N132" t="str">
            <v>NNAV.E500</v>
          </cell>
          <cell r="P132" t="str">
            <v>MIN_DIXON_004_NNAV</v>
          </cell>
          <cell r="Q132">
            <v>29.15</v>
          </cell>
          <cell r="R132" t="str">
            <v>EACH</v>
          </cell>
          <cell r="S132" t="str">
            <v>AUD</v>
          </cell>
          <cell r="T132">
            <v>5</v>
          </cell>
          <cell r="U132">
            <v>0</v>
          </cell>
          <cell r="V132">
            <v>0</v>
          </cell>
          <cell r="W132">
            <v>46007</v>
          </cell>
          <cell r="X132">
            <v>5</v>
          </cell>
          <cell r="Y132">
            <v>145.75</v>
          </cell>
        </row>
        <row r="133">
          <cell r="L133" t="str">
            <v>08/048/10/002</v>
          </cell>
          <cell r="M133" t="str">
            <v>ADAPTOR SCREWED 80MM SHLD GALV</v>
          </cell>
          <cell r="N133" t="str">
            <v>NNAV.E500</v>
          </cell>
          <cell r="P133" t="str">
            <v>MIN_DIXON_004_NNAV</v>
          </cell>
          <cell r="Q133">
            <v>38.22</v>
          </cell>
          <cell r="R133" t="str">
            <v>EACH</v>
          </cell>
          <cell r="S133" t="str">
            <v>AUD</v>
          </cell>
          <cell r="T133">
            <v>5</v>
          </cell>
          <cell r="U133">
            <v>0</v>
          </cell>
          <cell r="V133">
            <v>0</v>
          </cell>
          <cell r="W133">
            <v>46007</v>
          </cell>
          <cell r="X133">
            <v>5</v>
          </cell>
          <cell r="Y133">
            <v>191.1</v>
          </cell>
        </row>
        <row r="134">
          <cell r="L134" t="str">
            <v>08/048/10/003</v>
          </cell>
          <cell r="M134" t="str">
            <v>ADAPTOR SCREWED 100NB SHLD GAL</v>
          </cell>
          <cell r="N134" t="str">
            <v>NNAV.E500</v>
          </cell>
          <cell r="P134" t="str">
            <v>MIN_DIXON_004_NNAV</v>
          </cell>
          <cell r="Q134">
            <v>53.03</v>
          </cell>
          <cell r="R134" t="str">
            <v>EACH</v>
          </cell>
          <cell r="S134" t="str">
            <v>AUD</v>
          </cell>
          <cell r="T134">
            <v>5</v>
          </cell>
          <cell r="U134">
            <v>0</v>
          </cell>
          <cell r="V134">
            <v>0</v>
          </cell>
          <cell r="W134">
            <v>46007</v>
          </cell>
          <cell r="X134">
            <v>5</v>
          </cell>
          <cell r="Y134">
            <v>265.14999999999998</v>
          </cell>
        </row>
        <row r="135">
          <cell r="L135" t="str">
            <v>08/048/14/001T</v>
          </cell>
          <cell r="M135" t="str">
            <v>REDUCER GALV VICT 75 - 50</v>
          </cell>
          <cell r="N135" t="str">
            <v>NNAV.E500</v>
          </cell>
          <cell r="P135" t="str">
            <v>MIN_DIXON_004_NNAV</v>
          </cell>
          <cell r="Q135">
            <v>46.82</v>
          </cell>
          <cell r="R135" t="str">
            <v>EACH</v>
          </cell>
          <cell r="S135" t="str">
            <v>AUD</v>
          </cell>
          <cell r="T135">
            <v>10</v>
          </cell>
          <cell r="U135">
            <v>0</v>
          </cell>
          <cell r="V135">
            <v>0</v>
          </cell>
          <cell r="W135">
            <v>46007</v>
          </cell>
          <cell r="X135">
            <v>10</v>
          </cell>
          <cell r="Y135">
            <v>468.2</v>
          </cell>
        </row>
        <row r="136">
          <cell r="L136" t="str">
            <v>08/048/14/002T</v>
          </cell>
          <cell r="M136" t="str">
            <v>REDUCER 100 X 50</v>
          </cell>
          <cell r="N136" t="str">
            <v>NNAV.E500</v>
          </cell>
          <cell r="P136" t="str">
            <v>MIN_DIXON_004_NNAV</v>
          </cell>
          <cell r="Q136">
            <v>40.51</v>
          </cell>
          <cell r="R136" t="str">
            <v>EACH</v>
          </cell>
          <cell r="S136" t="str">
            <v>AUD</v>
          </cell>
          <cell r="T136">
            <v>10</v>
          </cell>
          <cell r="U136">
            <v>0</v>
          </cell>
          <cell r="V136">
            <v>0</v>
          </cell>
          <cell r="W136">
            <v>46007</v>
          </cell>
          <cell r="X136">
            <v>10</v>
          </cell>
          <cell r="Y136">
            <v>405.1</v>
          </cell>
        </row>
        <row r="137">
          <cell r="L137" t="str">
            <v>08/048/14/011T</v>
          </cell>
          <cell r="M137" t="str">
            <v>REDUCER CON SHLD 100MM X  80MM</v>
          </cell>
          <cell r="N137" t="str">
            <v>NNAV.E500</v>
          </cell>
          <cell r="P137" t="str">
            <v>MIN_DIXON_004_NNAV</v>
          </cell>
          <cell r="Q137">
            <v>55.99</v>
          </cell>
          <cell r="R137" t="str">
            <v>EACH</v>
          </cell>
          <cell r="S137" t="str">
            <v>AUD</v>
          </cell>
          <cell r="T137">
            <v>10</v>
          </cell>
          <cell r="U137">
            <v>0</v>
          </cell>
          <cell r="V137">
            <v>0</v>
          </cell>
          <cell r="W137">
            <v>46007</v>
          </cell>
          <cell r="X137">
            <v>10</v>
          </cell>
          <cell r="Y137">
            <v>559.9</v>
          </cell>
        </row>
        <row r="138">
          <cell r="L138" t="str">
            <v>PTF-SOC-25</v>
          </cell>
          <cell r="M138" t="str">
            <v>SOCKET PLASSON SCREWED 25MM</v>
          </cell>
          <cell r="N138" t="str">
            <v>NNAV.E500</v>
          </cell>
          <cell r="P138" t="str">
            <v>MIN_DIXON_004_NNAV</v>
          </cell>
          <cell r="Q138">
            <v>3.26</v>
          </cell>
          <cell r="R138" t="str">
            <v>EACH</v>
          </cell>
          <cell r="S138" t="str">
            <v>AUD</v>
          </cell>
          <cell r="T138">
            <v>10</v>
          </cell>
          <cell r="U138">
            <v>0</v>
          </cell>
          <cell r="V138">
            <v>0</v>
          </cell>
          <cell r="W138">
            <v>46007</v>
          </cell>
          <cell r="X138">
            <v>10</v>
          </cell>
          <cell r="Y138">
            <v>32.6</v>
          </cell>
        </row>
        <row r="139">
          <cell r="L139" t="str">
            <v>PTF-HN-25</v>
          </cell>
          <cell r="M139" t="str">
            <v>POLY NIPPLE 25 X 25 MM</v>
          </cell>
          <cell r="N139" t="str">
            <v>NNAV.E500</v>
          </cell>
          <cell r="P139" t="str">
            <v>MIN_DIXON_004_NNAV</v>
          </cell>
          <cell r="Q139">
            <v>1.7</v>
          </cell>
          <cell r="R139" t="str">
            <v>EACH</v>
          </cell>
          <cell r="S139" t="str">
            <v>AUD</v>
          </cell>
          <cell r="T139">
            <v>10</v>
          </cell>
          <cell r="U139">
            <v>0</v>
          </cell>
          <cell r="V139">
            <v>0</v>
          </cell>
          <cell r="W139">
            <v>46007</v>
          </cell>
          <cell r="X139">
            <v>10</v>
          </cell>
          <cell r="Y139">
            <v>17</v>
          </cell>
        </row>
        <row r="140">
          <cell r="L140" t="str">
            <v>PTF-BUSH-25-20</v>
          </cell>
          <cell r="M140" t="str">
            <v>BUSH REDUCER 25MM X 20 MM</v>
          </cell>
          <cell r="N140" t="str">
            <v>NNAV.E500</v>
          </cell>
          <cell r="P140" t="str">
            <v>MIN_DIXON_004_NNAV</v>
          </cell>
          <cell r="Q140">
            <v>2.1800000000000002</v>
          </cell>
          <cell r="R140" t="str">
            <v>EACH</v>
          </cell>
          <cell r="S140" t="str">
            <v>AUD</v>
          </cell>
          <cell r="T140">
            <v>10</v>
          </cell>
          <cell r="U140">
            <v>0</v>
          </cell>
          <cell r="V140">
            <v>0</v>
          </cell>
          <cell r="W140">
            <v>46007</v>
          </cell>
          <cell r="X140">
            <v>10</v>
          </cell>
          <cell r="Y140">
            <v>21.8</v>
          </cell>
        </row>
        <row r="141">
          <cell r="L141" t="str">
            <v>PCF-COUP-25</v>
          </cell>
          <cell r="M141" t="str">
            <v>COUPLING PLASSON 7010 25MM 690</v>
          </cell>
          <cell r="N141" t="str">
            <v>NNAV.E500</v>
          </cell>
          <cell r="P141" t="str">
            <v>MIN_DIXON_004_NNAV</v>
          </cell>
          <cell r="Q141">
            <v>3.97</v>
          </cell>
          <cell r="R141" t="str">
            <v>EACH</v>
          </cell>
          <cell r="S141" t="str">
            <v>AUD</v>
          </cell>
          <cell r="T141">
            <v>10</v>
          </cell>
          <cell r="U141">
            <v>0</v>
          </cell>
          <cell r="V141">
            <v>0</v>
          </cell>
          <cell r="W141">
            <v>46007</v>
          </cell>
          <cell r="X141">
            <v>10</v>
          </cell>
          <cell r="Y141">
            <v>39.700000000000003</v>
          </cell>
        </row>
        <row r="142">
          <cell r="L142" t="str">
            <v>PCF-COUP-63</v>
          </cell>
          <cell r="M142" t="str">
            <v>COUPLING 63MM</v>
          </cell>
          <cell r="N142" t="str">
            <v>NNAV.E500</v>
          </cell>
          <cell r="P142" t="str">
            <v>MIN_DIXON_004_NNAV</v>
          </cell>
          <cell r="Q142">
            <v>14.67</v>
          </cell>
          <cell r="R142" t="str">
            <v>EACH</v>
          </cell>
          <cell r="S142" t="str">
            <v>AUD</v>
          </cell>
          <cell r="T142">
            <v>10</v>
          </cell>
          <cell r="U142">
            <v>0</v>
          </cell>
          <cell r="V142">
            <v>0</v>
          </cell>
          <cell r="W142">
            <v>46007</v>
          </cell>
          <cell r="X142">
            <v>10</v>
          </cell>
          <cell r="Y142">
            <v>146.69999999999999</v>
          </cell>
        </row>
        <row r="143">
          <cell r="L143" t="str">
            <v>PCF-COUP-110</v>
          </cell>
          <cell r="M143" t="str">
            <v>COUPLING 110MM</v>
          </cell>
          <cell r="N143" t="str">
            <v>NNAV.E500</v>
          </cell>
          <cell r="P143" t="str">
            <v>MIN_DIXON_004_NNAV</v>
          </cell>
          <cell r="Q143">
            <v>76.7</v>
          </cell>
          <cell r="R143" t="str">
            <v>EACH</v>
          </cell>
          <cell r="S143" t="str">
            <v>AUD</v>
          </cell>
          <cell r="T143">
            <v>10</v>
          </cell>
          <cell r="U143">
            <v>0</v>
          </cell>
          <cell r="V143">
            <v>0</v>
          </cell>
          <cell r="W143">
            <v>46007</v>
          </cell>
          <cell r="X143">
            <v>10</v>
          </cell>
          <cell r="Y143">
            <v>767</v>
          </cell>
        </row>
        <row r="144">
          <cell r="L144" t="str">
            <v>PCF-COUP-25-20</v>
          </cell>
          <cell r="M144" t="str">
            <v>POLY COUPLER METRIC 25 X 20 MM</v>
          </cell>
          <cell r="N144" t="str">
            <v>NNAV.E500</v>
          </cell>
          <cell r="P144" t="str">
            <v>MIN_DIXON_004_NNAV</v>
          </cell>
          <cell r="Q144">
            <v>6.26</v>
          </cell>
          <cell r="R144" t="str">
            <v>EACH</v>
          </cell>
          <cell r="S144" t="str">
            <v>AUD</v>
          </cell>
          <cell r="T144">
            <v>10</v>
          </cell>
          <cell r="U144">
            <v>0</v>
          </cell>
          <cell r="V144">
            <v>0</v>
          </cell>
          <cell r="W144">
            <v>46007</v>
          </cell>
          <cell r="X144">
            <v>10</v>
          </cell>
          <cell r="Y144">
            <v>62.6</v>
          </cell>
        </row>
        <row r="145">
          <cell r="L145" t="str">
            <v>PCF-COUP-63-25</v>
          </cell>
          <cell r="M145" t="str">
            <v>POLY COUPLER METRIC 63 X 25 MM</v>
          </cell>
          <cell r="N145" t="str">
            <v>NNAV.E500</v>
          </cell>
          <cell r="P145" t="str">
            <v>MIN_DIXON_004_NNAV</v>
          </cell>
          <cell r="Q145">
            <v>26.4</v>
          </cell>
          <cell r="R145" t="str">
            <v>EACH</v>
          </cell>
          <cell r="S145" t="str">
            <v>AUD</v>
          </cell>
          <cell r="T145">
            <v>10</v>
          </cell>
          <cell r="U145">
            <v>0</v>
          </cell>
          <cell r="V145">
            <v>0</v>
          </cell>
          <cell r="W145">
            <v>46007</v>
          </cell>
          <cell r="X145">
            <v>10</v>
          </cell>
          <cell r="Y145">
            <v>264</v>
          </cell>
        </row>
        <row r="146">
          <cell r="L146" t="str">
            <v>PCF-TEE-25</v>
          </cell>
          <cell r="M146" t="str">
            <v>TEE 25MM</v>
          </cell>
          <cell r="N146" t="str">
            <v>NNAV.E500</v>
          </cell>
          <cell r="P146" t="str">
            <v>MIN_DIXON_004_NNAV</v>
          </cell>
          <cell r="Q146">
            <v>7.21</v>
          </cell>
          <cell r="R146" t="str">
            <v>EACH</v>
          </cell>
          <cell r="S146" t="str">
            <v>AUD</v>
          </cell>
          <cell r="T146">
            <v>10</v>
          </cell>
          <cell r="U146">
            <v>0</v>
          </cell>
          <cell r="V146">
            <v>0</v>
          </cell>
          <cell r="W146">
            <v>46007</v>
          </cell>
          <cell r="X146">
            <v>10</v>
          </cell>
          <cell r="Y146">
            <v>72.099999999999994</v>
          </cell>
        </row>
        <row r="147">
          <cell r="L147" t="str">
            <v>PCF-TEE-63</v>
          </cell>
          <cell r="M147" t="str">
            <v>TEE 63MM</v>
          </cell>
          <cell r="N147" t="str">
            <v>NNAV.E500</v>
          </cell>
          <cell r="P147" t="str">
            <v>MIN_DIXON_004_NNAV</v>
          </cell>
          <cell r="Q147">
            <v>31.02</v>
          </cell>
          <cell r="R147" t="str">
            <v>EACH</v>
          </cell>
          <cell r="S147" t="str">
            <v>AUD</v>
          </cell>
          <cell r="T147">
            <v>4</v>
          </cell>
          <cell r="U147">
            <v>0</v>
          </cell>
          <cell r="V147">
            <v>0</v>
          </cell>
          <cell r="W147">
            <v>46007</v>
          </cell>
          <cell r="X147">
            <v>4</v>
          </cell>
          <cell r="Y147">
            <v>124.08</v>
          </cell>
        </row>
        <row r="148">
          <cell r="L148" t="str">
            <v>PCF-TEE-110</v>
          </cell>
          <cell r="M148" t="str">
            <v>TEE 110MM</v>
          </cell>
          <cell r="N148" t="str">
            <v>NNAV.E500</v>
          </cell>
          <cell r="P148" t="str">
            <v>MIN_DIXON_004_NNAV</v>
          </cell>
          <cell r="Q148">
            <v>131.99</v>
          </cell>
          <cell r="R148" t="str">
            <v>EACH</v>
          </cell>
          <cell r="S148" t="str">
            <v>AUD</v>
          </cell>
          <cell r="T148">
            <v>4</v>
          </cell>
          <cell r="U148">
            <v>0</v>
          </cell>
          <cell r="V148">
            <v>0</v>
          </cell>
          <cell r="W148">
            <v>46007</v>
          </cell>
          <cell r="X148">
            <v>4</v>
          </cell>
          <cell r="Y148">
            <v>527.96</v>
          </cell>
        </row>
        <row r="149">
          <cell r="L149" t="str">
            <v>PCF-TEE-110-63</v>
          </cell>
          <cell r="M149" t="str">
            <v>TEE REDUCING POLY 110 63MM</v>
          </cell>
          <cell r="N149" t="str">
            <v>NNAV.E500</v>
          </cell>
          <cell r="P149" t="str">
            <v>MIN_DIXON_004_NNAV</v>
          </cell>
          <cell r="Q149">
            <v>182.9</v>
          </cell>
          <cell r="R149" t="str">
            <v>EACH</v>
          </cell>
          <cell r="S149" t="str">
            <v>AUD</v>
          </cell>
          <cell r="T149">
            <v>5</v>
          </cell>
          <cell r="U149">
            <v>0</v>
          </cell>
          <cell r="V149">
            <v>0</v>
          </cell>
          <cell r="W149">
            <v>46007</v>
          </cell>
          <cell r="X149">
            <v>5</v>
          </cell>
          <cell r="Y149">
            <v>914.5</v>
          </cell>
        </row>
        <row r="150">
          <cell r="L150" t="str">
            <v>PCF-ELB90-25</v>
          </cell>
          <cell r="M150" t="str">
            <v>ELBOW 90DEG 25MM</v>
          </cell>
          <cell r="N150" t="str">
            <v>NNAV.E500</v>
          </cell>
          <cell r="P150" t="str">
            <v>MIN_DIXON_004_NNAV</v>
          </cell>
          <cell r="Q150">
            <v>5.41</v>
          </cell>
          <cell r="R150" t="str">
            <v>EACH</v>
          </cell>
          <cell r="S150" t="str">
            <v>AUD</v>
          </cell>
          <cell r="T150">
            <v>5</v>
          </cell>
          <cell r="U150">
            <v>0</v>
          </cell>
          <cell r="V150">
            <v>0</v>
          </cell>
          <cell r="W150">
            <v>46007</v>
          </cell>
          <cell r="X150">
            <v>5</v>
          </cell>
          <cell r="Y150">
            <v>27.05</v>
          </cell>
        </row>
        <row r="151">
          <cell r="L151" t="str">
            <v>PCF-ELB90-63</v>
          </cell>
          <cell r="M151" t="str">
            <v>ELBOW 90DEG 63MM</v>
          </cell>
          <cell r="N151" t="str">
            <v>NNAV.E500</v>
          </cell>
          <cell r="P151" t="str">
            <v>MIN_DIXON_004_NNAV</v>
          </cell>
          <cell r="Q151">
            <v>21.26</v>
          </cell>
          <cell r="R151" t="str">
            <v>EACH</v>
          </cell>
          <cell r="S151" t="str">
            <v>AUD</v>
          </cell>
          <cell r="T151">
            <v>2</v>
          </cell>
          <cell r="U151">
            <v>0</v>
          </cell>
          <cell r="V151">
            <v>0</v>
          </cell>
          <cell r="W151">
            <v>46007</v>
          </cell>
          <cell r="X151">
            <v>2</v>
          </cell>
          <cell r="Y151">
            <v>42.52</v>
          </cell>
        </row>
        <row r="152">
          <cell r="L152" t="str">
            <v>PCF-ELB90-110</v>
          </cell>
          <cell r="M152" t="str">
            <v>ELBOW 90DEG 110MM</v>
          </cell>
          <cell r="N152" t="str">
            <v>NNAV.E500</v>
          </cell>
          <cell r="P152" t="str">
            <v>MIN_DIXON_004_NNAV</v>
          </cell>
          <cell r="Q152">
            <v>83.1</v>
          </cell>
          <cell r="R152" t="str">
            <v>EACH</v>
          </cell>
          <cell r="S152" t="str">
            <v>AUD</v>
          </cell>
          <cell r="T152">
            <v>2</v>
          </cell>
          <cell r="U152">
            <v>0</v>
          </cell>
          <cell r="V152">
            <v>0</v>
          </cell>
          <cell r="W152">
            <v>46007</v>
          </cell>
          <cell r="X152">
            <v>2</v>
          </cell>
          <cell r="Y152">
            <v>166.2</v>
          </cell>
        </row>
        <row r="153">
          <cell r="L153" t="str">
            <v>PCF-AM-25-20</v>
          </cell>
          <cell r="M153" t="str">
            <v>POLY MALE ADAPTOR METRIC 25 X</v>
          </cell>
          <cell r="N153" t="str">
            <v>NNAV.E500</v>
          </cell>
          <cell r="P153" t="str">
            <v>MIN_DIXON_004_NNAV</v>
          </cell>
          <cell r="Q153">
            <v>3.74</v>
          </cell>
          <cell r="R153" t="str">
            <v>EACH</v>
          </cell>
          <cell r="S153" t="str">
            <v>AUD</v>
          </cell>
          <cell r="T153">
            <v>5</v>
          </cell>
          <cell r="U153">
            <v>0</v>
          </cell>
          <cell r="V153">
            <v>0</v>
          </cell>
          <cell r="W153">
            <v>46007</v>
          </cell>
          <cell r="X153">
            <v>5</v>
          </cell>
          <cell r="Y153">
            <v>18.7</v>
          </cell>
        </row>
        <row r="154">
          <cell r="L154" t="str">
            <v>PCF-AM-63-50</v>
          </cell>
          <cell r="M154" t="str">
            <v>ADAPTOR 63MM X 50MM MALE</v>
          </cell>
          <cell r="N154" t="str">
            <v>NNAV.E500</v>
          </cell>
          <cell r="P154" t="str">
            <v>MIN_DIXON_004_NNAV</v>
          </cell>
          <cell r="Q154">
            <v>11.91</v>
          </cell>
          <cell r="R154" t="str">
            <v>EACH</v>
          </cell>
          <cell r="S154" t="str">
            <v>AUD</v>
          </cell>
          <cell r="T154">
            <v>5</v>
          </cell>
          <cell r="U154">
            <v>0</v>
          </cell>
          <cell r="V154">
            <v>0</v>
          </cell>
          <cell r="W154">
            <v>46007</v>
          </cell>
          <cell r="X154">
            <v>5</v>
          </cell>
          <cell r="Y154">
            <v>59.55</v>
          </cell>
        </row>
        <row r="155">
          <cell r="L155" t="str">
            <v>PCF-AFL-63-63</v>
          </cell>
          <cell r="M155" t="str">
            <v>ADAPTOR FLANGE  63MM X 50MM TA</v>
          </cell>
          <cell r="N155" t="str">
            <v>NNAV.E500</v>
          </cell>
          <cell r="P155" t="str">
            <v>MIN_DIXON_004_NNAV</v>
          </cell>
          <cell r="Q155">
            <v>53.37</v>
          </cell>
          <cell r="R155" t="str">
            <v>EACH</v>
          </cell>
          <cell r="S155" t="str">
            <v>AUD</v>
          </cell>
          <cell r="T155">
            <v>4</v>
          </cell>
          <cell r="U155">
            <v>0</v>
          </cell>
          <cell r="V155">
            <v>0</v>
          </cell>
          <cell r="W155">
            <v>46007</v>
          </cell>
          <cell r="X155">
            <v>4</v>
          </cell>
          <cell r="Y155">
            <v>213.48</v>
          </cell>
        </row>
        <row r="156">
          <cell r="L156" t="str">
            <v>PCF-AFL-110-100</v>
          </cell>
          <cell r="M156" t="str">
            <v>ADAPTOR FLANGE  110MM X 100MM</v>
          </cell>
          <cell r="N156" t="str">
            <v>NNAV.E500</v>
          </cell>
          <cell r="P156" t="str">
            <v>MIN_DIXON_004_NNAV</v>
          </cell>
          <cell r="Q156">
            <v>68.78</v>
          </cell>
          <cell r="R156" t="str">
            <v>EACH</v>
          </cell>
          <cell r="S156" t="str">
            <v>AUD</v>
          </cell>
          <cell r="T156">
            <v>4</v>
          </cell>
          <cell r="U156">
            <v>0</v>
          </cell>
          <cell r="V156">
            <v>0</v>
          </cell>
          <cell r="W156">
            <v>46007</v>
          </cell>
          <cell r="X156">
            <v>4</v>
          </cell>
          <cell r="Y156">
            <v>275.12</v>
          </cell>
        </row>
        <row r="157">
          <cell r="L157" t="str">
            <v>PCF-ASH-63-50</v>
          </cell>
          <cell r="M157" t="str">
            <v>ADAPTOR SHOULDERED 63MM X 50MM</v>
          </cell>
          <cell r="N157" t="str">
            <v>NNAV.E500</v>
          </cell>
          <cell r="P157" t="str">
            <v>MIN_DIXON_004_NNAV</v>
          </cell>
          <cell r="Q157">
            <v>13.57</v>
          </cell>
          <cell r="R157" t="str">
            <v>EACH</v>
          </cell>
          <cell r="S157" t="str">
            <v>AUD</v>
          </cell>
          <cell r="T157">
            <v>4</v>
          </cell>
          <cell r="U157">
            <v>0</v>
          </cell>
          <cell r="V157">
            <v>0</v>
          </cell>
          <cell r="W157">
            <v>46007</v>
          </cell>
          <cell r="X157">
            <v>4</v>
          </cell>
          <cell r="Y157">
            <v>54.28</v>
          </cell>
        </row>
        <row r="158">
          <cell r="L158" t="str">
            <v>PCF-ASH-90-100</v>
          </cell>
          <cell r="M158" t="str">
            <v>ADAPTOR SHOULDERED 90MM X 100M</v>
          </cell>
          <cell r="N158" t="str">
            <v>NNAV.E500</v>
          </cell>
          <cell r="P158" t="str">
            <v>MIN_DIXON_004_NNAV</v>
          </cell>
          <cell r="Q158">
            <v>55.17</v>
          </cell>
          <cell r="R158" t="str">
            <v>EACH</v>
          </cell>
          <cell r="S158" t="str">
            <v>AUD</v>
          </cell>
          <cell r="T158">
            <v>4</v>
          </cell>
          <cell r="U158">
            <v>0</v>
          </cell>
          <cell r="V158">
            <v>0</v>
          </cell>
          <cell r="W158">
            <v>46007</v>
          </cell>
          <cell r="X158">
            <v>4</v>
          </cell>
          <cell r="Y158">
            <v>220.68</v>
          </cell>
        </row>
        <row r="159">
          <cell r="L159" t="str">
            <v>PCF-ASH-110-100</v>
          </cell>
          <cell r="M159" t="str">
            <v>ADAPTOR SHOULDER 110MM X 100MM</v>
          </cell>
          <cell r="N159" t="str">
            <v>NNAV.E500</v>
          </cell>
          <cell r="P159" t="str">
            <v>MIN_DIXON_004_NNAV</v>
          </cell>
          <cell r="Q159">
            <v>53.13</v>
          </cell>
          <cell r="R159" t="str">
            <v>EACH</v>
          </cell>
          <cell r="S159" t="str">
            <v>AUD</v>
          </cell>
          <cell r="T159">
            <v>4</v>
          </cell>
          <cell r="U159">
            <v>0</v>
          </cell>
          <cell r="V159">
            <v>0</v>
          </cell>
          <cell r="W159">
            <v>46007</v>
          </cell>
          <cell r="X159">
            <v>4</v>
          </cell>
          <cell r="Y159">
            <v>212.52</v>
          </cell>
        </row>
        <row r="160">
          <cell r="L160" t="str">
            <v>PCF-ORING-63</v>
          </cell>
          <cell r="M160" t="str">
            <v>POLY O-RING METRIC NITRILE 63</v>
          </cell>
          <cell r="N160" t="str">
            <v>NNAV.E500</v>
          </cell>
          <cell r="P160" t="str">
            <v>MIN_DIXON_004_NNAV</v>
          </cell>
          <cell r="Q160">
            <v>1.66</v>
          </cell>
          <cell r="R160" t="str">
            <v>EACH</v>
          </cell>
          <cell r="S160" t="str">
            <v>AUD</v>
          </cell>
          <cell r="T160">
            <v>10</v>
          </cell>
          <cell r="U160">
            <v>0</v>
          </cell>
          <cell r="V160">
            <v>0</v>
          </cell>
          <cell r="W160">
            <v>46007</v>
          </cell>
          <cell r="X160">
            <v>10</v>
          </cell>
          <cell r="Y160">
            <v>16.600000000000001</v>
          </cell>
        </row>
        <row r="161">
          <cell r="L161" t="str">
            <v>PCF-ORING-110</v>
          </cell>
          <cell r="M161" t="str">
            <v>ORING NITRILE 7002 110MM 83826</v>
          </cell>
          <cell r="N161" t="str">
            <v>NNAV.E500</v>
          </cell>
          <cell r="P161" t="str">
            <v>MIN_DIXON_004_NNAV</v>
          </cell>
          <cell r="Q161">
            <v>2.61</v>
          </cell>
          <cell r="R161" t="str">
            <v>EACH</v>
          </cell>
          <cell r="S161" t="str">
            <v>AUD</v>
          </cell>
          <cell r="T161">
            <v>10</v>
          </cell>
          <cell r="U161">
            <v>0</v>
          </cell>
          <cell r="V161">
            <v>0</v>
          </cell>
          <cell r="W161">
            <v>46007</v>
          </cell>
          <cell r="X161">
            <v>10</v>
          </cell>
          <cell r="Y161">
            <v>26.1</v>
          </cell>
        </row>
        <row r="162">
          <cell r="L162" t="str">
            <v>PCF-SPLIT-63</v>
          </cell>
          <cell r="M162" t="str">
            <v>SPLIT RING ACETAL 7003 63MM 69</v>
          </cell>
          <cell r="N162" t="str">
            <v>NNAV.E500</v>
          </cell>
          <cell r="P162" t="str">
            <v>MIN_DIXON_004_NNAV</v>
          </cell>
          <cell r="Q162">
            <v>1.47</v>
          </cell>
          <cell r="R162" t="str">
            <v>EACH</v>
          </cell>
          <cell r="S162" t="str">
            <v>AUD</v>
          </cell>
          <cell r="T162">
            <v>10</v>
          </cell>
          <cell r="U162">
            <v>0</v>
          </cell>
          <cell r="V162">
            <v>0</v>
          </cell>
          <cell r="W162">
            <v>46007</v>
          </cell>
          <cell r="X162">
            <v>10</v>
          </cell>
          <cell r="Y162">
            <v>14.7</v>
          </cell>
        </row>
        <row r="163">
          <cell r="L163" t="str">
            <v>PCF-SPLIT-110</v>
          </cell>
          <cell r="M163" t="str">
            <v>POLY SPLIT RING ACETAL 110 MM</v>
          </cell>
          <cell r="N163" t="str">
            <v>NNAV.E500</v>
          </cell>
          <cell r="P163" t="str">
            <v>MIN_DIXON_004_NNAV</v>
          </cell>
          <cell r="Q163">
            <v>9.5</v>
          </cell>
          <cell r="R163" t="str">
            <v>EACH</v>
          </cell>
          <cell r="S163" t="str">
            <v>AUD</v>
          </cell>
          <cell r="T163">
            <v>10</v>
          </cell>
          <cell r="U163">
            <v>0</v>
          </cell>
          <cell r="V163">
            <v>0</v>
          </cell>
          <cell r="W163">
            <v>46007</v>
          </cell>
          <cell r="X163">
            <v>10</v>
          </cell>
          <cell r="Y163">
            <v>95</v>
          </cell>
        </row>
        <row r="164">
          <cell r="L164" t="str">
            <v>PCF-NUT-63</v>
          </cell>
          <cell r="M164" t="str">
            <v>POLY NUT METRIC BLACK 63 MM</v>
          </cell>
          <cell r="N164" t="str">
            <v>NNAV.E500</v>
          </cell>
          <cell r="P164" t="str">
            <v>MIN_DIXON_004_NNAV</v>
          </cell>
          <cell r="Q164">
            <v>4.47</v>
          </cell>
          <cell r="R164" t="str">
            <v>EACH</v>
          </cell>
          <cell r="S164" t="str">
            <v>AUD</v>
          </cell>
          <cell r="T164">
            <v>4</v>
          </cell>
          <cell r="U164">
            <v>0</v>
          </cell>
          <cell r="V164">
            <v>0</v>
          </cell>
          <cell r="W164">
            <v>46007</v>
          </cell>
          <cell r="X164">
            <v>4</v>
          </cell>
          <cell r="Y164">
            <v>17.88</v>
          </cell>
        </row>
        <row r="165">
          <cell r="L165" t="str">
            <v>PCF-NUT-110</v>
          </cell>
          <cell r="M165" t="str">
            <v>NUT PLASSON PP7004 110MM 71599</v>
          </cell>
          <cell r="N165" t="str">
            <v>NNAV.E500</v>
          </cell>
          <cell r="P165" t="str">
            <v>MIN_DIXON_004_NNAV</v>
          </cell>
          <cell r="Q165">
            <v>25.03</v>
          </cell>
          <cell r="R165" t="str">
            <v>EACH</v>
          </cell>
          <cell r="S165" t="str">
            <v>AUD</v>
          </cell>
          <cell r="T165">
            <v>4</v>
          </cell>
          <cell r="U165">
            <v>0</v>
          </cell>
          <cell r="V165">
            <v>0</v>
          </cell>
          <cell r="W165">
            <v>46007</v>
          </cell>
          <cell r="X165">
            <v>4</v>
          </cell>
          <cell r="Y165">
            <v>100.12</v>
          </cell>
        </row>
        <row r="166">
          <cell r="L166" t="str">
            <v>PCF-INSERT-63</v>
          </cell>
          <cell r="M166" t="str">
            <v>POLY INSERT METRIC 63 MM TO</v>
          </cell>
          <cell r="N166" t="str">
            <v>NNAV.E500</v>
          </cell>
          <cell r="P166" t="str">
            <v>MIN_DIXON_004_NNAV</v>
          </cell>
          <cell r="Q166">
            <v>0.84</v>
          </cell>
          <cell r="R166" t="str">
            <v>EACH</v>
          </cell>
          <cell r="S166" t="str">
            <v>AUD</v>
          </cell>
          <cell r="T166">
            <v>10</v>
          </cell>
          <cell r="U166">
            <v>0</v>
          </cell>
          <cell r="V166">
            <v>0</v>
          </cell>
          <cell r="W166">
            <v>46007</v>
          </cell>
          <cell r="X166">
            <v>10</v>
          </cell>
          <cell r="Y166">
            <v>8.4</v>
          </cell>
        </row>
        <row r="167">
          <cell r="L167" t="str">
            <v>PCF-SPLIT-110</v>
          </cell>
          <cell r="M167" t="str">
            <v>POLY SPLIT RING ACETAL 110 MM</v>
          </cell>
          <cell r="N167" t="str">
            <v>NNAV.E500</v>
          </cell>
          <cell r="P167" t="str">
            <v>MIN_DIXON_004_NNAV</v>
          </cell>
          <cell r="Q167">
            <v>9.5</v>
          </cell>
          <cell r="R167" t="str">
            <v>EACH</v>
          </cell>
          <cell r="S167" t="str">
            <v>AUD</v>
          </cell>
          <cell r="T167">
            <v>10</v>
          </cell>
          <cell r="U167">
            <v>0</v>
          </cell>
          <cell r="V167">
            <v>0</v>
          </cell>
          <cell r="W167">
            <v>46007</v>
          </cell>
          <cell r="X167">
            <v>10</v>
          </cell>
          <cell r="Y167">
            <v>95</v>
          </cell>
        </row>
        <row r="168">
          <cell r="L168" t="str">
            <v>NOZ-PL-YEL-20</v>
          </cell>
          <cell r="M168" t="str">
            <v>DOVE TAIL WATER SPRAY BSP</v>
          </cell>
          <cell r="N168" t="str">
            <v>NNAV.E500</v>
          </cell>
          <cell r="P168" t="str">
            <v>MIN_DIXON_004_NNAV</v>
          </cell>
          <cell r="Q168">
            <v>25.45</v>
          </cell>
          <cell r="R168" t="str">
            <v>EACH</v>
          </cell>
          <cell r="S168" t="str">
            <v>AUD</v>
          </cell>
          <cell r="T168">
            <v>20</v>
          </cell>
          <cell r="U168">
            <v>0</v>
          </cell>
          <cell r="V168">
            <v>0</v>
          </cell>
          <cell r="W168">
            <v>46007</v>
          </cell>
          <cell r="X168">
            <v>20</v>
          </cell>
          <cell r="Y168">
            <v>509</v>
          </cell>
        </row>
        <row r="169">
          <cell r="L169" t="str">
            <v>F1</v>
          </cell>
          <cell r="M169" t="str">
            <v>PUNCHLOCK TOOL</v>
          </cell>
          <cell r="N169" t="str">
            <v>NNAV.E750</v>
          </cell>
          <cell r="P169" t="str">
            <v>MIN_DIXON_004_NNAV</v>
          </cell>
          <cell r="Q169">
            <v>125</v>
          </cell>
          <cell r="R169" t="str">
            <v>EACH</v>
          </cell>
          <cell r="S169" t="str">
            <v>AUD</v>
          </cell>
          <cell r="T169">
            <v>2</v>
          </cell>
          <cell r="U169">
            <v>0</v>
          </cell>
          <cell r="V169">
            <v>0</v>
          </cell>
          <cell r="W169">
            <v>46007</v>
          </cell>
          <cell r="X169">
            <v>2</v>
          </cell>
          <cell r="Y169">
            <v>250</v>
          </cell>
        </row>
        <row r="170">
          <cell r="L170" t="str">
            <v>51960</v>
          </cell>
          <cell r="M170" t="str">
            <v>BANDIT TOOL</v>
          </cell>
          <cell r="N170" t="str">
            <v>NNAV.E750</v>
          </cell>
          <cell r="P170" t="str">
            <v>MIN_DIXON_004_NNAV</v>
          </cell>
          <cell r="Q170">
            <v>141.1</v>
          </cell>
          <cell r="R170" t="str">
            <v>EACH</v>
          </cell>
          <cell r="S170" t="str">
            <v>AUD</v>
          </cell>
          <cell r="T170">
            <v>2</v>
          </cell>
          <cell r="U170">
            <v>0</v>
          </cell>
          <cell r="V170">
            <v>0</v>
          </cell>
          <cell r="W170">
            <v>46007</v>
          </cell>
          <cell r="X170">
            <v>2</v>
          </cell>
          <cell r="Y170">
            <v>282.2</v>
          </cell>
        </row>
        <row r="171">
          <cell r="L171" t="str">
            <v>PAINT-STICK</v>
          </cell>
          <cell r="M171" t="str">
            <v>PAINTSTICK 3M TO 5M</v>
          </cell>
          <cell r="N171" t="str">
            <v>NNAV.E750</v>
          </cell>
          <cell r="P171" t="str">
            <v>MIN_DIXON_004_NNAV</v>
          </cell>
          <cell r="Q171">
            <v>205.88</v>
          </cell>
          <cell r="R171" t="str">
            <v>EACH</v>
          </cell>
          <cell r="S171" t="str">
            <v>AUD</v>
          </cell>
          <cell r="T171">
            <v>4</v>
          </cell>
          <cell r="U171">
            <v>0</v>
          </cell>
          <cell r="V171">
            <v>0</v>
          </cell>
          <cell r="W171">
            <v>46007</v>
          </cell>
          <cell r="X171">
            <v>4</v>
          </cell>
          <cell r="Y171">
            <v>823.52</v>
          </cell>
        </row>
        <row r="172">
          <cell r="L172" t="str">
            <v>0110PN160H100M</v>
          </cell>
          <cell r="M172" t="str">
            <v>110MM HDPE PN16 PE100 PLAIN EN</v>
          </cell>
          <cell r="N172" t="str">
            <v>NNAV.E500</v>
          </cell>
          <cell r="P172" t="str">
            <v>"MIN_SINVAC_002_NNAV</v>
          </cell>
          <cell r="Q172">
            <v>10125.780000000001</v>
          </cell>
          <cell r="R172" t="str">
            <v>EACH</v>
          </cell>
          <cell r="S172" t="str">
            <v>ZAR</v>
          </cell>
          <cell r="T172">
            <v>20</v>
          </cell>
          <cell r="U172">
            <v>0</v>
          </cell>
          <cell r="V172">
            <v>0</v>
          </cell>
          <cell r="W172">
            <v>45979</v>
          </cell>
          <cell r="X172">
            <v>20</v>
          </cell>
          <cell r="Y172">
            <v>202515.6</v>
          </cell>
        </row>
        <row r="173">
          <cell r="L173" t="str">
            <v>0063PN125H100M</v>
          </cell>
          <cell r="M173" t="str">
            <v>63MM HDPE PN12.5 PE100 PLAIN E</v>
          </cell>
          <cell r="N173" t="str">
            <v>NNAV.E500</v>
          </cell>
          <cell r="P173" t="str">
            <v>"MIN_SINVAC_002_NNAV</v>
          </cell>
          <cell r="Q173">
            <v>2973.71</v>
          </cell>
          <cell r="R173" t="str">
            <v>EACH</v>
          </cell>
          <cell r="S173" t="str">
            <v>ZAR</v>
          </cell>
          <cell r="T173">
            <v>10</v>
          </cell>
          <cell r="U173">
            <v>0</v>
          </cell>
          <cell r="V173">
            <v>0</v>
          </cell>
          <cell r="W173">
            <v>45979</v>
          </cell>
          <cell r="X173">
            <v>10</v>
          </cell>
          <cell r="Y173">
            <v>29737.1</v>
          </cell>
        </row>
        <row r="174">
          <cell r="L174" t="str">
            <v>391264</v>
          </cell>
          <cell r="M174" t="str">
            <v>KENZEL WASTEBIN LARGE ROUND WI</v>
          </cell>
          <cell r="N174" t="str">
            <v>NNAV.E499</v>
          </cell>
          <cell r="P174" t="str">
            <v>MIN_EXPERT_002_NNAV</v>
          </cell>
          <cell r="Q174">
            <v>223.38</v>
          </cell>
          <cell r="R174" t="str">
            <v>EACH</v>
          </cell>
          <cell r="T174">
            <v>0</v>
          </cell>
          <cell r="U174">
            <v>0</v>
          </cell>
          <cell r="V174">
            <v>0</v>
          </cell>
          <cell r="W174">
            <v>45981</v>
          </cell>
          <cell r="X174">
            <v>0</v>
          </cell>
          <cell r="Y174">
            <v>0</v>
          </cell>
        </row>
        <row r="175">
          <cell r="L175" t="str">
            <v>J0009845</v>
          </cell>
          <cell r="M175" t="str">
            <v>STORAGE CLEAR 56L</v>
          </cell>
          <cell r="N175" t="str">
            <v>NNAV.E499</v>
          </cell>
          <cell r="P175" t="str">
            <v>MIN_EXPERT_002_NNAV</v>
          </cell>
          <cell r="Q175">
            <v>390.86</v>
          </cell>
          <cell r="R175" t="str">
            <v>EACH</v>
          </cell>
          <cell r="T175">
            <v>0</v>
          </cell>
          <cell r="U175">
            <v>0</v>
          </cell>
          <cell r="V175">
            <v>0</v>
          </cell>
          <cell r="W175">
            <v>45981</v>
          </cell>
          <cell r="X175">
            <v>0</v>
          </cell>
          <cell r="Y175">
            <v>0</v>
          </cell>
        </row>
        <row r="176">
          <cell r="L176" t="str">
            <v>391264</v>
          </cell>
          <cell r="M176" t="str">
            <v>KENZEL WASTEBIN LARGE ROUND WI</v>
          </cell>
          <cell r="N176" t="str">
            <v>NNAV.E499</v>
          </cell>
          <cell r="P176" t="str">
            <v>MIN_EXPERT_002_NNAV</v>
          </cell>
          <cell r="Q176">
            <v>223.38</v>
          </cell>
          <cell r="R176" t="str">
            <v>EACH</v>
          </cell>
          <cell r="T176">
            <v>0</v>
          </cell>
          <cell r="U176">
            <v>0</v>
          </cell>
          <cell r="V176">
            <v>0</v>
          </cell>
          <cell r="W176">
            <v>45981</v>
          </cell>
          <cell r="X176">
            <v>0</v>
          </cell>
          <cell r="Y176">
            <v>0</v>
          </cell>
        </row>
        <row r="177">
          <cell r="L177" t="str">
            <v>J0009845</v>
          </cell>
          <cell r="M177" t="str">
            <v>STORAGE CLEAR 56L</v>
          </cell>
          <cell r="N177" t="str">
            <v>NNAV.E499</v>
          </cell>
          <cell r="P177" t="str">
            <v>MIN_EXPERT_002_NNAV</v>
          </cell>
          <cell r="Q177">
            <v>390.86</v>
          </cell>
          <cell r="R177" t="str">
            <v>EACH</v>
          </cell>
          <cell r="T177">
            <v>0</v>
          </cell>
          <cell r="U177">
            <v>0</v>
          </cell>
          <cell r="V177">
            <v>0</v>
          </cell>
          <cell r="W177">
            <v>45981</v>
          </cell>
          <cell r="X177">
            <v>0</v>
          </cell>
          <cell r="Y177">
            <v>0</v>
          </cell>
        </row>
        <row r="178">
          <cell r="L178" t="str">
            <v>391264</v>
          </cell>
          <cell r="M178" t="str">
            <v>KENZEL WASTEBIN LARGE ROUND WI</v>
          </cell>
          <cell r="N178" t="str">
            <v>NNAV.E499</v>
          </cell>
          <cell r="P178" t="str">
            <v>MIN_EXPERT_002_NNAV</v>
          </cell>
          <cell r="Q178">
            <v>223.38</v>
          </cell>
          <cell r="R178" t="str">
            <v>EACH</v>
          </cell>
          <cell r="T178">
            <v>14</v>
          </cell>
          <cell r="U178">
            <v>0</v>
          </cell>
          <cell r="V178">
            <v>0</v>
          </cell>
          <cell r="W178">
            <v>45989</v>
          </cell>
          <cell r="X178">
            <v>14</v>
          </cell>
          <cell r="Y178">
            <v>3127.32</v>
          </cell>
        </row>
        <row r="179">
          <cell r="L179" t="str">
            <v>J0009845</v>
          </cell>
          <cell r="M179" t="str">
            <v>STORAGE CLEAR 56L</v>
          </cell>
          <cell r="N179" t="str">
            <v>NNAV.E499</v>
          </cell>
          <cell r="P179" t="str">
            <v>MIN_EXPERT_002_NNAV</v>
          </cell>
          <cell r="Q179">
            <v>390.86</v>
          </cell>
          <cell r="R179" t="str">
            <v>EACH</v>
          </cell>
          <cell r="T179">
            <v>0</v>
          </cell>
          <cell r="U179">
            <v>0</v>
          </cell>
          <cell r="V179">
            <v>0</v>
          </cell>
          <cell r="W179">
            <v>45989</v>
          </cell>
          <cell r="X179">
            <v>0</v>
          </cell>
          <cell r="Y179">
            <v>0</v>
          </cell>
        </row>
        <row r="180">
          <cell r="L180" t="str">
            <v>J0009845</v>
          </cell>
          <cell r="M180" t="str">
            <v>STORAGE CLEAR 56L</v>
          </cell>
          <cell r="N180" t="str">
            <v>NNAV.E499</v>
          </cell>
          <cell r="P180" t="str">
            <v>MIN_EXPERT_002_NNAV</v>
          </cell>
          <cell r="Q180">
            <v>390.86</v>
          </cell>
          <cell r="R180" t="str">
            <v>EACH</v>
          </cell>
          <cell r="T180">
            <v>17</v>
          </cell>
          <cell r="U180">
            <v>0</v>
          </cell>
          <cell r="V180">
            <v>0</v>
          </cell>
          <cell r="W180">
            <v>45999</v>
          </cell>
          <cell r="X180">
            <v>17</v>
          </cell>
          <cell r="Y180">
            <v>6644.62</v>
          </cell>
        </row>
        <row r="181">
          <cell r="L181" t="str">
            <v>J0009845</v>
          </cell>
          <cell r="M181" t="str">
            <v>STORAGE CLEAR 56L</v>
          </cell>
          <cell r="N181" t="str">
            <v>NNAV.E499</v>
          </cell>
          <cell r="P181" t="str">
            <v>MIN_EXPERT_002_NNAV</v>
          </cell>
          <cell r="Q181">
            <v>390.86</v>
          </cell>
          <cell r="R181" t="str">
            <v>EACH</v>
          </cell>
          <cell r="T181">
            <v>18</v>
          </cell>
          <cell r="U181">
            <v>0</v>
          </cell>
          <cell r="V181">
            <v>0</v>
          </cell>
          <cell r="W181">
            <v>46042</v>
          </cell>
          <cell r="X181">
            <v>18</v>
          </cell>
          <cell r="Y181">
            <v>7035.48</v>
          </cell>
        </row>
        <row r="182">
          <cell r="L182" t="str">
            <v>7012913294</v>
          </cell>
          <cell r="M182" t="str">
            <v>TAPE ELECTRICAL PVC WHITE 20M</v>
          </cell>
          <cell r="N182" t="str">
            <v>NNAV.E499</v>
          </cell>
          <cell r="P182" t="str">
            <v>MIN_NAPA_002_NNAV</v>
          </cell>
          <cell r="Q182">
            <v>1.21</v>
          </cell>
          <cell r="R182" t="str">
            <v>ROLL</v>
          </cell>
          <cell r="S182" t="str">
            <v>AUD</v>
          </cell>
          <cell r="T182">
            <v>50</v>
          </cell>
          <cell r="U182">
            <v>0</v>
          </cell>
          <cell r="V182">
            <v>0</v>
          </cell>
          <cell r="W182">
            <v>45996</v>
          </cell>
          <cell r="X182">
            <v>50</v>
          </cell>
          <cell r="Y182">
            <v>60.5</v>
          </cell>
        </row>
        <row r="183">
          <cell r="L183" t="str">
            <v>504010</v>
          </cell>
          <cell r="M183" t="str">
            <v>SHACKLE 1 T DEE</v>
          </cell>
          <cell r="N183" t="str">
            <v>NNAV.E499</v>
          </cell>
          <cell r="P183" t="str">
            <v>MIN_NAPA_002_NNAV</v>
          </cell>
          <cell r="Q183">
            <v>3.85</v>
          </cell>
          <cell r="R183" t="str">
            <v>EACH</v>
          </cell>
          <cell r="S183" t="str">
            <v>AUD</v>
          </cell>
          <cell r="T183">
            <v>20</v>
          </cell>
          <cell r="U183">
            <v>0</v>
          </cell>
          <cell r="V183">
            <v>0</v>
          </cell>
          <cell r="W183">
            <v>45996</v>
          </cell>
          <cell r="X183">
            <v>20</v>
          </cell>
          <cell r="Y183">
            <v>77</v>
          </cell>
        </row>
        <row r="184">
          <cell r="L184" t="str">
            <v>AF1BK</v>
          </cell>
          <cell r="M184" t="str">
            <v>PVC APRON</v>
          </cell>
          <cell r="N184" t="str">
            <v>NNAV.E499</v>
          </cell>
          <cell r="P184" t="str">
            <v>MIN_NAPA_002_NNAV</v>
          </cell>
          <cell r="Q184">
            <v>18</v>
          </cell>
          <cell r="R184" t="str">
            <v>EACH</v>
          </cell>
          <cell r="S184" t="str">
            <v>AUD</v>
          </cell>
          <cell r="T184">
            <v>4</v>
          </cell>
          <cell r="U184">
            <v>0</v>
          </cell>
          <cell r="V184">
            <v>0</v>
          </cell>
          <cell r="W184">
            <v>45996</v>
          </cell>
          <cell r="X184">
            <v>4</v>
          </cell>
          <cell r="Y184">
            <v>72</v>
          </cell>
        </row>
        <row r="185">
          <cell r="L185" t="str">
            <v>AMPCT-500-1ANZ</v>
          </cell>
          <cell r="M185" t="str">
            <v>ARMOUR ALL MULTI PURPOSE 16OZ</v>
          </cell>
          <cell r="N185" t="str">
            <v>NNAV.E499</v>
          </cell>
          <cell r="P185" t="str">
            <v>MIN_NAPA_002_NNAV</v>
          </cell>
          <cell r="Q185">
            <v>13.82</v>
          </cell>
          <cell r="R185" t="str">
            <v>EACH</v>
          </cell>
          <cell r="S185" t="str">
            <v>AUD</v>
          </cell>
          <cell r="T185">
            <v>5</v>
          </cell>
          <cell r="U185">
            <v>0</v>
          </cell>
          <cell r="V185">
            <v>0</v>
          </cell>
          <cell r="W185">
            <v>45996</v>
          </cell>
          <cell r="X185">
            <v>5</v>
          </cell>
          <cell r="Y185">
            <v>69.099999999999994</v>
          </cell>
        </row>
        <row r="186">
          <cell r="L186" t="str">
            <v>RMR15</v>
          </cell>
          <cell r="M186" t="str">
            <v>RAGS (PER BAG)</v>
          </cell>
          <cell r="N186" t="str">
            <v>NNAV.E499</v>
          </cell>
          <cell r="P186" t="str">
            <v>MIN_NAPA_002_NNAV</v>
          </cell>
          <cell r="Q186">
            <v>33.94</v>
          </cell>
          <cell r="R186" t="str">
            <v>EACH</v>
          </cell>
          <cell r="S186" t="str">
            <v>AUD</v>
          </cell>
          <cell r="T186">
            <v>25</v>
          </cell>
          <cell r="U186">
            <v>0</v>
          </cell>
          <cell r="V186">
            <v>0</v>
          </cell>
          <cell r="W186">
            <v>45996</v>
          </cell>
          <cell r="X186">
            <v>25</v>
          </cell>
          <cell r="Y186">
            <v>848.5</v>
          </cell>
        </row>
        <row r="187">
          <cell r="L187" t="str">
            <v>B10-1</v>
          </cell>
          <cell r="M187" t="str">
            <v>BARRIER CREAM 1 LTR B10</v>
          </cell>
          <cell r="N187" t="str">
            <v>NNAV.E653</v>
          </cell>
          <cell r="P187" t="str">
            <v>MIN_NAPA_002_NNAV</v>
          </cell>
          <cell r="Q187">
            <v>43.75</v>
          </cell>
          <cell r="R187" t="str">
            <v>EACH</v>
          </cell>
          <cell r="S187" t="str">
            <v>AUD</v>
          </cell>
          <cell r="T187">
            <v>5</v>
          </cell>
          <cell r="U187">
            <v>0</v>
          </cell>
          <cell r="V187">
            <v>0</v>
          </cell>
          <cell r="W187">
            <v>45996</v>
          </cell>
          <cell r="X187">
            <v>5</v>
          </cell>
          <cell r="Y187">
            <v>218.75</v>
          </cell>
        </row>
        <row r="188">
          <cell r="L188" t="str">
            <v>SJ72-66XR</v>
          </cell>
          <cell r="M188" t="str">
            <v>SAW SPEAR AND JACKSON</v>
          </cell>
          <cell r="N188" t="str">
            <v>NNAV.E750</v>
          </cell>
          <cell r="P188" t="str">
            <v>MIN_NAPA_002_NNAV</v>
          </cell>
          <cell r="Q188">
            <v>45.11</v>
          </cell>
          <cell r="R188" t="str">
            <v>EACH</v>
          </cell>
          <cell r="S188" t="str">
            <v>AUD</v>
          </cell>
          <cell r="T188">
            <v>2</v>
          </cell>
          <cell r="U188">
            <v>0</v>
          </cell>
          <cell r="V188">
            <v>0</v>
          </cell>
          <cell r="W188">
            <v>45996</v>
          </cell>
          <cell r="X188">
            <v>2</v>
          </cell>
          <cell r="Y188">
            <v>90.22</v>
          </cell>
        </row>
        <row r="189">
          <cell r="L189" t="str">
            <v>M3R</v>
          </cell>
          <cell r="M189" t="str">
            <v>SNIPS STRAIGHT CUT YELLOW GRIP</v>
          </cell>
          <cell r="N189" t="str">
            <v>NNAV.E750</v>
          </cell>
          <cell r="P189" t="str">
            <v>MIN_NAPA_002_NNAV</v>
          </cell>
          <cell r="Q189">
            <v>35.71</v>
          </cell>
          <cell r="R189" t="str">
            <v>EACH</v>
          </cell>
          <cell r="S189" t="str">
            <v>AUD</v>
          </cell>
          <cell r="T189">
            <v>2</v>
          </cell>
          <cell r="U189">
            <v>0</v>
          </cell>
          <cell r="V189">
            <v>0</v>
          </cell>
          <cell r="W189">
            <v>45996</v>
          </cell>
          <cell r="X189">
            <v>2</v>
          </cell>
          <cell r="Y189">
            <v>71.42</v>
          </cell>
        </row>
        <row r="190">
          <cell r="L190" t="str">
            <v>TH314</v>
          </cell>
          <cell r="M190" t="str">
            <v>HAMMER THOR 44MM COPPER/COPPER</v>
          </cell>
          <cell r="N190" t="str">
            <v>NNAV.E750</v>
          </cell>
          <cell r="P190" t="str">
            <v>MIN_NAPA_002_NNAV</v>
          </cell>
          <cell r="Q190">
            <v>169.65</v>
          </cell>
          <cell r="R190" t="str">
            <v>EACH</v>
          </cell>
          <cell r="S190" t="str">
            <v>AUD</v>
          </cell>
          <cell r="T190">
            <v>2</v>
          </cell>
          <cell r="U190">
            <v>0</v>
          </cell>
          <cell r="V190">
            <v>0</v>
          </cell>
          <cell r="W190">
            <v>45996</v>
          </cell>
          <cell r="X190">
            <v>2</v>
          </cell>
          <cell r="Y190">
            <v>339.3</v>
          </cell>
        </row>
        <row r="191">
          <cell r="L191" t="str">
            <v>SCMT28517</v>
          </cell>
          <cell r="M191" t="str">
            <v>PLIERS DIAGONAL 200MM INSULATE</v>
          </cell>
          <cell r="N191" t="str">
            <v>NNAV.E750</v>
          </cell>
          <cell r="P191" t="str">
            <v>MIN_NAPA_002_NNAV</v>
          </cell>
          <cell r="Q191">
            <v>75.08</v>
          </cell>
          <cell r="R191" t="str">
            <v>EACH</v>
          </cell>
          <cell r="S191" t="str">
            <v>AUD</v>
          </cell>
          <cell r="T191">
            <v>2</v>
          </cell>
          <cell r="U191">
            <v>0</v>
          </cell>
          <cell r="V191">
            <v>0</v>
          </cell>
          <cell r="W191">
            <v>45996</v>
          </cell>
          <cell r="X191">
            <v>2</v>
          </cell>
          <cell r="Y191">
            <v>150.16</v>
          </cell>
        </row>
        <row r="192">
          <cell r="L192" t="str">
            <v>CT24HLC</v>
          </cell>
          <cell r="M192" t="str">
            <v>CUTTER BOLT 600MM (24"") CENT</v>
          </cell>
          <cell r="N192" t="str">
            <v>NNAV.E750</v>
          </cell>
          <cell r="P192" t="str">
            <v>MIN_NAPA_002_NNAV</v>
          </cell>
          <cell r="Q192">
            <v>72</v>
          </cell>
          <cell r="R192" t="str">
            <v>EACH</v>
          </cell>
          <cell r="S192" t="str">
            <v>AUD</v>
          </cell>
          <cell r="T192">
            <v>2</v>
          </cell>
          <cell r="U192">
            <v>0</v>
          </cell>
          <cell r="V192">
            <v>0</v>
          </cell>
          <cell r="W192">
            <v>45996</v>
          </cell>
          <cell r="X192">
            <v>2</v>
          </cell>
          <cell r="Y192">
            <v>144</v>
          </cell>
        </row>
        <row r="193">
          <cell r="L193" t="str">
            <v>UW148MEN</v>
          </cell>
          <cell r="M193" t="str">
            <v>TAPE MEASURE 8MT (26') STANLEY</v>
          </cell>
          <cell r="N193" t="str">
            <v>NNAV.E750</v>
          </cell>
          <cell r="P193" t="str">
            <v>MIN_NAPA_002_NNAV</v>
          </cell>
          <cell r="Q193">
            <v>26.32</v>
          </cell>
          <cell r="R193" t="str">
            <v>EACH</v>
          </cell>
          <cell r="S193" t="str">
            <v>AUD</v>
          </cell>
          <cell r="T193">
            <v>5</v>
          </cell>
          <cell r="U193">
            <v>0</v>
          </cell>
          <cell r="V193">
            <v>0</v>
          </cell>
          <cell r="W193">
            <v>45996</v>
          </cell>
          <cell r="X193">
            <v>5</v>
          </cell>
          <cell r="Y193">
            <v>131.6</v>
          </cell>
        </row>
        <row r="194">
          <cell r="L194" t="str">
            <v>SCMTRH2430</v>
          </cell>
          <cell r="M194" t="str">
            <v>PODGER</v>
          </cell>
          <cell r="N194" t="str">
            <v>NNAV.E750</v>
          </cell>
          <cell r="P194" t="str">
            <v>MIN_NAPA_002_NNAV</v>
          </cell>
          <cell r="Q194">
            <v>103.82</v>
          </cell>
          <cell r="R194" t="str">
            <v>EACH</v>
          </cell>
          <cell r="S194" t="str">
            <v>AUD</v>
          </cell>
          <cell r="T194">
            <v>2</v>
          </cell>
          <cell r="U194">
            <v>0</v>
          </cell>
          <cell r="V194">
            <v>0</v>
          </cell>
          <cell r="W194">
            <v>45996</v>
          </cell>
          <cell r="X194">
            <v>2</v>
          </cell>
          <cell r="Y194">
            <v>207.64</v>
          </cell>
        </row>
        <row r="195">
          <cell r="L195" t="str">
            <v>70062</v>
          </cell>
          <cell r="M195" t="str">
            <v>SHIFTER - 10" 250MM</v>
          </cell>
          <cell r="N195" t="str">
            <v>NNAV.E750</v>
          </cell>
          <cell r="P195" t="str">
            <v>MIN_NAPA_002_NNAV</v>
          </cell>
          <cell r="Q195">
            <v>17</v>
          </cell>
          <cell r="R195" t="str">
            <v>EACH</v>
          </cell>
          <cell r="S195" t="str">
            <v>AUD</v>
          </cell>
          <cell r="T195">
            <v>2</v>
          </cell>
          <cell r="U195">
            <v>0</v>
          </cell>
          <cell r="V195">
            <v>0</v>
          </cell>
          <cell r="W195">
            <v>45996</v>
          </cell>
          <cell r="X195">
            <v>2</v>
          </cell>
          <cell r="Y195">
            <v>34</v>
          </cell>
        </row>
        <row r="196">
          <cell r="L196" t="str">
            <v>70063</v>
          </cell>
          <cell r="M196" t="str">
            <v>WRENCH ADJUSTABLE 300MM</v>
          </cell>
          <cell r="N196" t="str">
            <v>NNAV.E750</v>
          </cell>
          <cell r="P196" t="str">
            <v>MIN_NAPA_002_NNAV</v>
          </cell>
          <cell r="Q196">
            <v>24.67</v>
          </cell>
          <cell r="R196" t="str">
            <v>EACH</v>
          </cell>
          <cell r="S196" t="str">
            <v>AUD</v>
          </cell>
          <cell r="T196">
            <v>5</v>
          </cell>
          <cell r="U196">
            <v>0</v>
          </cell>
          <cell r="V196">
            <v>0</v>
          </cell>
          <cell r="W196">
            <v>45996</v>
          </cell>
          <cell r="X196">
            <v>5</v>
          </cell>
          <cell r="Y196">
            <v>123.35</v>
          </cell>
        </row>
        <row r="197">
          <cell r="L197" t="str">
            <v>70065</v>
          </cell>
          <cell r="M197" t="str">
            <v>450MM ADUSTABLE WRENCH</v>
          </cell>
          <cell r="N197" t="str">
            <v>NNAV.E750</v>
          </cell>
          <cell r="P197" t="str">
            <v>MIN_NAPA_002_NNAV</v>
          </cell>
          <cell r="Q197">
            <v>68</v>
          </cell>
          <cell r="R197" t="str">
            <v>EACH</v>
          </cell>
          <cell r="S197" t="str">
            <v>AUD</v>
          </cell>
          <cell r="T197">
            <v>5</v>
          </cell>
          <cell r="U197">
            <v>0</v>
          </cell>
          <cell r="V197">
            <v>0</v>
          </cell>
          <cell r="W197">
            <v>45996</v>
          </cell>
          <cell r="X197">
            <v>5</v>
          </cell>
          <cell r="Y197">
            <v>340</v>
          </cell>
        </row>
        <row r="198">
          <cell r="L198" t="str">
            <v>TRU3025</v>
          </cell>
          <cell r="M198" t="str">
            <v>TALLY COUNTER CHROME</v>
          </cell>
          <cell r="N198" t="str">
            <v>NNAV.E750</v>
          </cell>
          <cell r="P198" t="str">
            <v>MIN_NAPA_002_NNAV</v>
          </cell>
          <cell r="Q198">
            <v>36.25</v>
          </cell>
          <cell r="R198" t="str">
            <v>EACH</v>
          </cell>
          <cell r="S198" t="str">
            <v>AUD</v>
          </cell>
          <cell r="T198">
            <v>2</v>
          </cell>
          <cell r="U198">
            <v>0</v>
          </cell>
          <cell r="V198">
            <v>0</v>
          </cell>
          <cell r="W198">
            <v>45996</v>
          </cell>
          <cell r="X198">
            <v>2</v>
          </cell>
          <cell r="Y198">
            <v>72.5</v>
          </cell>
        </row>
        <row r="199">
          <cell r="L199" t="str">
            <v>TH316</v>
          </cell>
          <cell r="M199" t="str">
            <v>HAMMER SLEDGE 6LB COPPER</v>
          </cell>
          <cell r="N199" t="str">
            <v>NNAV.E750</v>
          </cell>
          <cell r="P199" t="str">
            <v>MIN_NAPA_002_NNAV</v>
          </cell>
          <cell r="Q199">
            <v>251.5</v>
          </cell>
          <cell r="R199" t="str">
            <v>EACH</v>
          </cell>
          <cell r="S199" t="str">
            <v>AUD</v>
          </cell>
          <cell r="T199">
            <v>1</v>
          </cell>
          <cell r="U199">
            <v>0</v>
          </cell>
          <cell r="V199">
            <v>0</v>
          </cell>
          <cell r="W199">
            <v>45996</v>
          </cell>
          <cell r="X199">
            <v>1</v>
          </cell>
          <cell r="Y199">
            <v>251.5</v>
          </cell>
        </row>
        <row r="200">
          <cell r="L200" t="str">
            <v>ACX1317</v>
          </cell>
          <cell r="M200" t="str">
            <v>CABLE TIES</v>
          </cell>
          <cell r="N200" t="str">
            <v>NNAV.E750</v>
          </cell>
          <cell r="P200" t="str">
            <v>MIN_NAPA_002_NNAV</v>
          </cell>
          <cell r="Q200">
            <v>4.83</v>
          </cell>
          <cell r="R200" t="str">
            <v>EACH</v>
          </cell>
          <cell r="S200" t="str">
            <v>AUD</v>
          </cell>
          <cell r="T200">
            <v>5</v>
          </cell>
          <cell r="U200">
            <v>0</v>
          </cell>
          <cell r="V200">
            <v>0</v>
          </cell>
          <cell r="W200">
            <v>45996</v>
          </cell>
          <cell r="X200">
            <v>5</v>
          </cell>
          <cell r="Y200">
            <v>24.15</v>
          </cell>
        </row>
        <row r="201">
          <cell r="L201" t="str">
            <v>ACX1320</v>
          </cell>
          <cell r="M201" t="str">
            <v>CABLE TIES</v>
          </cell>
          <cell r="N201" t="str">
            <v>NNAV.E750</v>
          </cell>
          <cell r="P201" t="str">
            <v>MIN_NAPA_002_NNAV</v>
          </cell>
          <cell r="Q201">
            <v>12</v>
          </cell>
          <cell r="R201" t="str">
            <v>EACH</v>
          </cell>
          <cell r="S201" t="str">
            <v>AUD</v>
          </cell>
          <cell r="T201">
            <v>5</v>
          </cell>
          <cell r="U201">
            <v>0</v>
          </cell>
          <cell r="V201">
            <v>0</v>
          </cell>
          <cell r="W201">
            <v>45996</v>
          </cell>
          <cell r="X201">
            <v>5</v>
          </cell>
          <cell r="Y201">
            <v>60</v>
          </cell>
        </row>
        <row r="202">
          <cell r="L202" t="str">
            <v>K9234</v>
          </cell>
          <cell r="M202" t="str">
            <v>RUBBER HAMMER 64OZ</v>
          </cell>
          <cell r="N202" t="str">
            <v>NNAV.E750</v>
          </cell>
          <cell r="P202" t="str">
            <v>MIN_NAPA_002_NNAV</v>
          </cell>
          <cell r="Q202">
            <v>48</v>
          </cell>
          <cell r="R202" t="str">
            <v>EACH</v>
          </cell>
          <cell r="S202" t="str">
            <v>AUD</v>
          </cell>
          <cell r="T202">
            <v>2</v>
          </cell>
          <cell r="U202">
            <v>0</v>
          </cell>
          <cell r="V202">
            <v>0</v>
          </cell>
          <cell r="W202">
            <v>45996</v>
          </cell>
          <cell r="X202">
            <v>2</v>
          </cell>
          <cell r="Y202">
            <v>96</v>
          </cell>
        </row>
        <row r="203">
          <cell r="L203" t="str">
            <v>72117</v>
          </cell>
          <cell r="M203" t="str">
            <v>IMPACT SOCKET 17MM</v>
          </cell>
          <cell r="N203" t="str">
            <v>NNAV.E750</v>
          </cell>
          <cell r="P203" t="str">
            <v>MIN_NAPA_002_NNAV</v>
          </cell>
          <cell r="Q203">
            <v>9.33</v>
          </cell>
          <cell r="R203" t="str">
            <v>EACH</v>
          </cell>
          <cell r="S203" t="str">
            <v>AUD</v>
          </cell>
          <cell r="T203">
            <v>2</v>
          </cell>
          <cell r="U203">
            <v>0</v>
          </cell>
          <cell r="V203">
            <v>0</v>
          </cell>
          <cell r="W203">
            <v>45996</v>
          </cell>
          <cell r="X203">
            <v>2</v>
          </cell>
          <cell r="Y203">
            <v>18.66</v>
          </cell>
        </row>
        <row r="204">
          <cell r="L204" t="str">
            <v>72124-1</v>
          </cell>
          <cell r="M204" t="str">
            <v>IMPACT SOCKET 24MM</v>
          </cell>
          <cell r="N204" t="str">
            <v>NNAV.E750</v>
          </cell>
          <cell r="P204" t="str">
            <v>MIN_NAPA_002_NNAV</v>
          </cell>
          <cell r="Q204">
            <v>12.5</v>
          </cell>
          <cell r="R204" t="str">
            <v>EACH</v>
          </cell>
          <cell r="S204" t="str">
            <v>AUD</v>
          </cell>
          <cell r="T204">
            <v>2</v>
          </cell>
          <cell r="U204">
            <v>0</v>
          </cell>
          <cell r="V204">
            <v>0</v>
          </cell>
          <cell r="W204">
            <v>45996</v>
          </cell>
          <cell r="X204">
            <v>2</v>
          </cell>
          <cell r="Y204">
            <v>25</v>
          </cell>
        </row>
        <row r="205">
          <cell r="L205" t="str">
            <v>72130</v>
          </cell>
          <cell r="M205" t="str">
            <v>IMPACT SOCKET 30MM</v>
          </cell>
          <cell r="N205" t="str">
            <v>NNAV.E750</v>
          </cell>
          <cell r="P205" t="str">
            <v>MIN_NAPA_002_NNAV</v>
          </cell>
          <cell r="Q205">
            <v>15.67</v>
          </cell>
          <cell r="R205" t="str">
            <v>EACH</v>
          </cell>
          <cell r="S205" t="str">
            <v>AUD</v>
          </cell>
          <cell r="T205">
            <v>2</v>
          </cell>
          <cell r="U205">
            <v>0</v>
          </cell>
          <cell r="V205">
            <v>0</v>
          </cell>
          <cell r="W205">
            <v>45996</v>
          </cell>
          <cell r="X205">
            <v>2</v>
          </cell>
          <cell r="Y205">
            <v>31.34</v>
          </cell>
        </row>
        <row r="206">
          <cell r="L206" t="str">
            <v>D6010800</v>
          </cell>
          <cell r="M206" t="str">
            <v>DRILL 8MMX 150MM MSNRY TO SUIT</v>
          </cell>
          <cell r="N206" t="str">
            <v>NNAV.E750</v>
          </cell>
          <cell r="P206" t="str">
            <v>MIN_NAPA_002_NNAV</v>
          </cell>
          <cell r="Q206">
            <v>8.42</v>
          </cell>
          <cell r="R206" t="str">
            <v>EACH</v>
          </cell>
          <cell r="S206" t="str">
            <v>AUD</v>
          </cell>
          <cell r="T206">
            <v>5</v>
          </cell>
          <cell r="U206">
            <v>0</v>
          </cell>
          <cell r="V206">
            <v>0</v>
          </cell>
          <cell r="W206">
            <v>45996</v>
          </cell>
          <cell r="X206">
            <v>5</v>
          </cell>
          <cell r="Y206">
            <v>42.1</v>
          </cell>
        </row>
        <row r="207">
          <cell r="L207" t="str">
            <v>D6011000</v>
          </cell>
          <cell r="M207" t="str">
            <v>DRILL 10MMX 150MM MSNRY TO SUI</v>
          </cell>
          <cell r="N207" t="str">
            <v>NNAV.E750</v>
          </cell>
          <cell r="P207" t="str">
            <v>MIN_NAPA_002_NNAV</v>
          </cell>
          <cell r="Q207">
            <v>9.67</v>
          </cell>
          <cell r="R207" t="str">
            <v>EACH</v>
          </cell>
          <cell r="S207" t="str">
            <v>AUD</v>
          </cell>
          <cell r="T207">
            <v>5</v>
          </cell>
          <cell r="U207">
            <v>0</v>
          </cell>
          <cell r="V207">
            <v>0</v>
          </cell>
          <cell r="W207">
            <v>45996</v>
          </cell>
          <cell r="X207">
            <v>5</v>
          </cell>
          <cell r="Y207">
            <v>48.35</v>
          </cell>
        </row>
        <row r="208">
          <cell r="L208" t="str">
            <v>D6011600</v>
          </cell>
          <cell r="M208" t="str">
            <v>DRILL 16MMX 150MM MSNRY TO SUI</v>
          </cell>
          <cell r="N208" t="str">
            <v>NNAV.E750</v>
          </cell>
          <cell r="P208" t="str">
            <v>MIN_NAPA_002_NNAV</v>
          </cell>
          <cell r="Q208">
            <v>19.07</v>
          </cell>
          <cell r="R208" t="str">
            <v>EACH</v>
          </cell>
          <cell r="S208" t="str">
            <v>AUD</v>
          </cell>
          <cell r="T208">
            <v>5</v>
          </cell>
          <cell r="U208">
            <v>0</v>
          </cell>
          <cell r="V208">
            <v>0</v>
          </cell>
          <cell r="W208">
            <v>45996</v>
          </cell>
          <cell r="X208">
            <v>5</v>
          </cell>
          <cell r="Y208">
            <v>95.35</v>
          </cell>
        </row>
        <row r="209">
          <cell r="L209" t="str">
            <v>K040037-1</v>
          </cell>
          <cell r="M209" t="str">
            <v>PLIERS</v>
          </cell>
          <cell r="N209" t="str">
            <v>NNAV.E750</v>
          </cell>
          <cell r="P209" t="str">
            <v>MIN_NAPA_002_NNAV</v>
          </cell>
          <cell r="Q209">
            <v>41.29</v>
          </cell>
          <cell r="R209" t="str">
            <v>EACH</v>
          </cell>
          <cell r="S209" t="str">
            <v>AUD</v>
          </cell>
          <cell r="T209">
            <v>2</v>
          </cell>
          <cell r="U209">
            <v>0</v>
          </cell>
          <cell r="V209">
            <v>0</v>
          </cell>
          <cell r="W209">
            <v>45996</v>
          </cell>
          <cell r="X209">
            <v>2</v>
          </cell>
          <cell r="Y209">
            <v>82.58</v>
          </cell>
        </row>
        <row r="210">
          <cell r="L210" t="str">
            <v>SACH10WH</v>
          </cell>
          <cell r="M210" t="str">
            <v>COPPER SLEDGE HAMMER</v>
          </cell>
          <cell r="N210" t="str">
            <v>NNAV.E750</v>
          </cell>
          <cell r="Q210">
            <v>596</v>
          </cell>
          <cell r="R210" t="str">
            <v>EACH</v>
          </cell>
          <cell r="S210" t="str">
            <v>AUD</v>
          </cell>
          <cell r="T210">
            <v>2</v>
          </cell>
          <cell r="U210">
            <v>0</v>
          </cell>
          <cell r="V210">
            <v>0</v>
          </cell>
          <cell r="W210">
            <v>45996</v>
          </cell>
          <cell r="X210">
            <v>2</v>
          </cell>
          <cell r="Y210">
            <v>1192</v>
          </cell>
        </row>
        <row r="211">
          <cell r="L211" t="str">
            <v>EB4090K5</v>
          </cell>
          <cell r="M211" t="str">
            <v>BOLT EB 24X900 EYEBOLT</v>
          </cell>
          <cell r="N211" t="str">
            <v>NNAV.E500</v>
          </cell>
          <cell r="P211" t="str">
            <v>MIN_DSI_005</v>
          </cell>
          <cell r="Q211">
            <v>21.98</v>
          </cell>
          <cell r="R211" t="str">
            <v>EACH</v>
          </cell>
          <cell r="S211" t="str">
            <v>AUD</v>
          </cell>
          <cell r="T211">
            <v>400</v>
          </cell>
          <cell r="U211">
            <v>0</v>
          </cell>
          <cell r="V211">
            <v>0</v>
          </cell>
          <cell r="W211">
            <v>46014</v>
          </cell>
          <cell r="X211">
            <v>400</v>
          </cell>
          <cell r="Y211">
            <v>8792</v>
          </cell>
        </row>
        <row r="212">
          <cell r="L212" t="str">
            <v>ASES324/43S</v>
          </cell>
          <cell r="M212" t="str">
            <v>EXPANSION SHELL 24 MM R/HAND</v>
          </cell>
          <cell r="N212" t="str">
            <v>NNAV.E500</v>
          </cell>
          <cell r="P212" t="str">
            <v>MIN_DSI_005</v>
          </cell>
          <cell r="Q212">
            <v>4.3</v>
          </cell>
          <cell r="R212" t="str">
            <v>EACH</v>
          </cell>
          <cell r="S212" t="str">
            <v>AUD</v>
          </cell>
          <cell r="T212">
            <v>200</v>
          </cell>
          <cell r="U212">
            <v>0</v>
          </cell>
          <cell r="V212">
            <v>0</v>
          </cell>
          <cell r="W212">
            <v>46014</v>
          </cell>
          <cell r="X212">
            <v>200</v>
          </cell>
          <cell r="Y212">
            <v>860</v>
          </cell>
        </row>
        <row r="213">
          <cell r="L213" t="str">
            <v>LP60015024WA</v>
          </cell>
          <cell r="M213" t="str">
            <v>L PIN 600X150X24DIA AH GRADE</v>
          </cell>
          <cell r="N213" t="str">
            <v>NNAV.E500</v>
          </cell>
          <cell r="P213" t="str">
            <v>MIN_DSI_005</v>
          </cell>
          <cell r="Q213">
            <v>7.67</v>
          </cell>
          <cell r="R213" t="str">
            <v>EACH</v>
          </cell>
          <cell r="S213" t="str">
            <v>AUD</v>
          </cell>
          <cell r="T213">
            <v>1000</v>
          </cell>
          <cell r="U213">
            <v>0</v>
          </cell>
          <cell r="V213">
            <v>0</v>
          </cell>
          <cell r="W213">
            <v>46014</v>
          </cell>
          <cell r="X213">
            <v>1000</v>
          </cell>
          <cell r="Y213">
            <v>7670</v>
          </cell>
        </row>
        <row r="214">
          <cell r="L214" t="str">
            <v>FB39090GWA</v>
          </cell>
          <cell r="M214" t="str">
            <v>FRICTION BOLT 39 X 900 GAL WA</v>
          </cell>
          <cell r="N214" t="str">
            <v>NNAV.E700</v>
          </cell>
          <cell r="P214" t="str">
            <v>MIN_DSI_005</v>
          </cell>
          <cell r="Q214">
            <v>5.19</v>
          </cell>
          <cell r="R214" t="str">
            <v>EACH</v>
          </cell>
          <cell r="S214" t="str">
            <v>AUD</v>
          </cell>
          <cell r="T214">
            <v>2400</v>
          </cell>
          <cell r="U214">
            <v>0</v>
          </cell>
          <cell r="V214">
            <v>0</v>
          </cell>
          <cell r="W214">
            <v>46014</v>
          </cell>
          <cell r="X214">
            <v>2400</v>
          </cell>
          <cell r="Y214">
            <v>12456</v>
          </cell>
        </row>
        <row r="215">
          <cell r="L215" t="str">
            <v>D1515441GWA</v>
          </cell>
          <cell r="M215" t="str">
            <v>PLATE DOME 150X150X4 41H GALV</v>
          </cell>
          <cell r="N215" t="str">
            <v>NNAV.E700</v>
          </cell>
          <cell r="P215" t="str">
            <v>MIN_DSI_005</v>
          </cell>
          <cell r="Q215">
            <v>2.17</v>
          </cell>
          <cell r="R215" t="str">
            <v>EACH</v>
          </cell>
          <cell r="S215" t="str">
            <v>AUD</v>
          </cell>
          <cell r="T215">
            <v>2400</v>
          </cell>
          <cell r="U215">
            <v>0</v>
          </cell>
          <cell r="V215">
            <v>0</v>
          </cell>
          <cell r="W215">
            <v>46014</v>
          </cell>
          <cell r="X215">
            <v>2400</v>
          </cell>
          <cell r="Y215">
            <v>5208</v>
          </cell>
        </row>
        <row r="216">
          <cell r="L216" t="str">
            <v>FB47090GWA</v>
          </cell>
          <cell r="M216" t="str">
            <v>FRICTION BOLT 47 X 900 GALV WA</v>
          </cell>
          <cell r="N216" t="str">
            <v>NNAV.E700</v>
          </cell>
          <cell r="P216" t="str">
            <v>MIN_DSI_005</v>
          </cell>
          <cell r="Q216">
            <v>6.7</v>
          </cell>
          <cell r="R216" t="str">
            <v>EACH</v>
          </cell>
          <cell r="S216" t="str">
            <v>AUD</v>
          </cell>
          <cell r="T216">
            <v>2100</v>
          </cell>
          <cell r="U216">
            <v>0</v>
          </cell>
          <cell r="V216">
            <v>0</v>
          </cell>
          <cell r="W216">
            <v>46014</v>
          </cell>
          <cell r="X216">
            <v>2100</v>
          </cell>
          <cell r="Y216">
            <v>14070</v>
          </cell>
        </row>
        <row r="217">
          <cell r="L217" t="str">
            <v>DF3STDD15449GWA</v>
          </cell>
          <cell r="M217" t="str">
            <v>D/FLY 300X280 GALV C/W</v>
          </cell>
          <cell r="N217" t="str">
            <v>NNAV.E700</v>
          </cell>
          <cell r="P217" t="str">
            <v>MIN_DSI_005</v>
          </cell>
          <cell r="Q217">
            <v>6.1</v>
          </cell>
          <cell r="R217" t="str">
            <v>EACH</v>
          </cell>
          <cell r="S217" t="str">
            <v>AUD</v>
          </cell>
          <cell r="T217">
            <v>2100</v>
          </cell>
          <cell r="U217">
            <v>0</v>
          </cell>
          <cell r="V217">
            <v>0</v>
          </cell>
          <cell r="W217">
            <v>46014</v>
          </cell>
          <cell r="X217">
            <v>2100</v>
          </cell>
          <cell r="Y217">
            <v>12810</v>
          </cell>
        </row>
        <row r="218">
          <cell r="L218" t="str">
            <v>CBD1B065DC05WA</v>
          </cell>
          <cell r="M218" t="str">
            <v>C/BLT TWIN STRAND BULBED 6.5M</v>
          </cell>
          <cell r="N218" t="str">
            <v>NNAV.E702</v>
          </cell>
          <cell r="P218" t="str">
            <v>MIN_DSI_005</v>
          </cell>
          <cell r="Q218">
            <v>39.46</v>
          </cell>
          <cell r="R218" t="str">
            <v>EACH</v>
          </cell>
          <cell r="S218" t="str">
            <v>AUD</v>
          </cell>
          <cell r="T218">
            <v>1200</v>
          </cell>
          <cell r="U218">
            <v>0</v>
          </cell>
          <cell r="V218">
            <v>0</v>
          </cell>
          <cell r="W218">
            <v>46014</v>
          </cell>
          <cell r="X218">
            <v>1200</v>
          </cell>
          <cell r="Y218">
            <v>47352</v>
          </cell>
        </row>
        <row r="219">
          <cell r="L219" t="str">
            <v>BLW15003RWA</v>
          </cell>
          <cell r="M219" t="str">
            <v>BARREL &amp; 3 PIECE WEDGE ANCHOR</v>
          </cell>
          <cell r="N219" t="str">
            <v>NNAV.E702</v>
          </cell>
          <cell r="P219" t="str">
            <v>MIN_DSI_005</v>
          </cell>
          <cell r="Q219">
            <v>3.48</v>
          </cell>
          <cell r="R219" t="str">
            <v>EACH</v>
          </cell>
          <cell r="S219" t="str">
            <v>AUD</v>
          </cell>
          <cell r="T219">
            <v>800</v>
          </cell>
          <cell r="U219">
            <v>0</v>
          </cell>
          <cell r="V219">
            <v>0</v>
          </cell>
          <cell r="W219">
            <v>46014</v>
          </cell>
          <cell r="X219">
            <v>800</v>
          </cell>
          <cell r="Y219">
            <v>2784</v>
          </cell>
        </row>
        <row r="220">
          <cell r="L220" t="str">
            <v>FCB20203H222WA</v>
          </cell>
          <cell r="M220" t="str">
            <v>PLATE FLAT 200X200X12MM 2X 22D</v>
          </cell>
          <cell r="N220" t="str">
            <v>NNAV.E702</v>
          </cell>
          <cell r="P220" t="str">
            <v>MIN_DSI_005</v>
          </cell>
          <cell r="Q220">
            <v>12.04</v>
          </cell>
          <cell r="R220" t="str">
            <v>EACH</v>
          </cell>
          <cell r="S220" t="str">
            <v>AUD</v>
          </cell>
          <cell r="T220">
            <v>1200</v>
          </cell>
          <cell r="U220">
            <v>0</v>
          </cell>
          <cell r="V220">
            <v>0</v>
          </cell>
          <cell r="W220">
            <v>46014</v>
          </cell>
          <cell r="X220">
            <v>1200</v>
          </cell>
          <cell r="Y220">
            <v>14448</v>
          </cell>
        </row>
        <row r="221">
          <cell r="L221" t="str">
            <v>7324-8031-20</v>
          </cell>
          <cell r="M221" t="str">
            <v>DRIFTER ROD T38 H35 A340 L=309</v>
          </cell>
          <cell r="N221" t="str">
            <v>NNAV.E155</v>
          </cell>
          <cell r="P221" t="str">
            <v>MIN_SANDVIK_002</v>
          </cell>
          <cell r="Q221">
            <v>443.78</v>
          </cell>
          <cell r="R221" t="str">
            <v>EACH</v>
          </cell>
          <cell r="S221" t="str">
            <v>AUD</v>
          </cell>
          <cell r="T221">
            <v>0</v>
          </cell>
          <cell r="U221">
            <v>0</v>
          </cell>
          <cell r="V221">
            <v>0</v>
          </cell>
          <cell r="W221">
            <v>45994</v>
          </cell>
          <cell r="X221">
            <v>0</v>
          </cell>
          <cell r="Y221">
            <v>0</v>
          </cell>
        </row>
        <row r="222">
          <cell r="L222" t="str">
            <v>7324-8037-20</v>
          </cell>
          <cell r="M222" t="str">
            <v>DRIFTER ROD T38 H35 A340 L=370</v>
          </cell>
          <cell r="N222" t="str">
            <v>NNAV.E155</v>
          </cell>
          <cell r="P222" t="str">
            <v>MIN_SANDVIK_002</v>
          </cell>
          <cell r="Q222">
            <v>498.85</v>
          </cell>
          <cell r="R222" t="str">
            <v>EACH</v>
          </cell>
          <cell r="S222" t="str">
            <v>AUD</v>
          </cell>
          <cell r="T222">
            <v>0</v>
          </cell>
          <cell r="U222">
            <v>0</v>
          </cell>
          <cell r="V222">
            <v>0</v>
          </cell>
          <cell r="W222">
            <v>45994</v>
          </cell>
          <cell r="X222">
            <v>0</v>
          </cell>
          <cell r="Y222">
            <v>0</v>
          </cell>
        </row>
        <row r="223">
          <cell r="L223" t="str">
            <v>7324-8043-20</v>
          </cell>
          <cell r="M223" t="str">
            <v>DRIFTER ROD T38 H35 A340 L=430</v>
          </cell>
          <cell r="N223" t="str">
            <v>NNAV.E155</v>
          </cell>
          <cell r="P223" t="str">
            <v>MIN_SANDVIK_002</v>
          </cell>
          <cell r="Q223">
            <v>513.01</v>
          </cell>
          <cell r="R223" t="str">
            <v>EACH</v>
          </cell>
          <cell r="S223" t="str">
            <v>AUD</v>
          </cell>
          <cell r="T223">
            <v>0</v>
          </cell>
          <cell r="U223">
            <v>0</v>
          </cell>
          <cell r="V223">
            <v>0</v>
          </cell>
          <cell r="W223">
            <v>45994</v>
          </cell>
          <cell r="X223">
            <v>0</v>
          </cell>
          <cell r="Y223">
            <v>0</v>
          </cell>
        </row>
        <row r="224">
          <cell r="L224" t="str">
            <v>7324-7949-20</v>
          </cell>
          <cell r="M224" t="str">
            <v>DRIFTER ROD T38 R39 A340 L=491</v>
          </cell>
          <cell r="N224" t="str">
            <v>NNAV.E155</v>
          </cell>
          <cell r="P224" t="str">
            <v>MIN_SANDVIK_002</v>
          </cell>
          <cell r="Q224">
            <v>639</v>
          </cell>
          <cell r="R224" t="str">
            <v>EACH</v>
          </cell>
          <cell r="S224" t="str">
            <v>AUD</v>
          </cell>
          <cell r="T224">
            <v>0</v>
          </cell>
          <cell r="U224">
            <v>0</v>
          </cell>
          <cell r="V224">
            <v>0</v>
          </cell>
          <cell r="W224">
            <v>45994</v>
          </cell>
          <cell r="X224">
            <v>0</v>
          </cell>
          <cell r="Y224">
            <v>0</v>
          </cell>
        </row>
        <row r="225">
          <cell r="L225" t="str">
            <v>7324-4731-85</v>
          </cell>
          <cell r="M225" t="str">
            <v>MF ROD T38 R39 L=3050MM</v>
          </cell>
          <cell r="N225" t="str">
            <v>NNAV.E155</v>
          </cell>
          <cell r="P225" t="str">
            <v>MIN_SANDVIK_002</v>
          </cell>
          <cell r="Q225">
            <v>439.59</v>
          </cell>
          <cell r="R225" t="str">
            <v>EACH</v>
          </cell>
          <cell r="S225" t="str">
            <v>AUD</v>
          </cell>
          <cell r="T225">
            <v>0</v>
          </cell>
          <cell r="U225">
            <v>0</v>
          </cell>
          <cell r="V225">
            <v>0</v>
          </cell>
          <cell r="W225">
            <v>45994</v>
          </cell>
          <cell r="X225">
            <v>0</v>
          </cell>
          <cell r="Y225">
            <v>0</v>
          </cell>
        </row>
        <row r="226">
          <cell r="L226" t="str">
            <v>7324-4331C-30</v>
          </cell>
          <cell r="M226" t="str">
            <v>EXTENSION ROD T38 R39 L=3050MM</v>
          </cell>
          <cell r="N226" t="str">
            <v>NNAV.E155</v>
          </cell>
          <cell r="P226" t="str">
            <v>MIN_SANDVIK_002</v>
          </cell>
          <cell r="Q226">
            <v>317.43</v>
          </cell>
          <cell r="R226" t="str">
            <v>EACH</v>
          </cell>
          <cell r="S226" t="str">
            <v>AUD</v>
          </cell>
          <cell r="T226">
            <v>0</v>
          </cell>
          <cell r="U226">
            <v>0</v>
          </cell>
          <cell r="V226">
            <v>0</v>
          </cell>
          <cell r="W226">
            <v>45994</v>
          </cell>
          <cell r="X226">
            <v>0</v>
          </cell>
          <cell r="Y226">
            <v>0</v>
          </cell>
        </row>
        <row r="227">
          <cell r="L227" t="str">
            <v>7580-5602P-S70</v>
          </cell>
          <cell r="M227" t="str">
            <v>REAMING BIT A340 102MM</v>
          </cell>
          <cell r="N227" t="str">
            <v>NNAV.E155</v>
          </cell>
          <cell r="P227" t="str">
            <v>MIN_SANDVIK_002</v>
          </cell>
          <cell r="Q227">
            <v>343.33</v>
          </cell>
          <cell r="R227" t="str">
            <v>EACH</v>
          </cell>
          <cell r="S227" t="str">
            <v>AUD</v>
          </cell>
          <cell r="T227">
            <v>25</v>
          </cell>
          <cell r="U227">
            <v>0</v>
          </cell>
          <cell r="V227">
            <v>0</v>
          </cell>
          <cell r="W227">
            <v>45994</v>
          </cell>
          <cell r="X227">
            <v>25</v>
          </cell>
          <cell r="Y227">
            <v>8583.25</v>
          </cell>
        </row>
        <row r="228">
          <cell r="L228" t="str">
            <v>7580-5243A-S70</v>
          </cell>
          <cell r="M228" t="str">
            <v>BUTTON BIT A340 43MM SH70</v>
          </cell>
          <cell r="N228" t="str">
            <v>NNAV.E155</v>
          </cell>
          <cell r="P228" t="str">
            <v>MIN_SANDVIK_002</v>
          </cell>
          <cell r="Q228">
            <v>66.52</v>
          </cell>
          <cell r="R228" t="str">
            <v>EACH</v>
          </cell>
          <cell r="S228" t="str">
            <v>AUD</v>
          </cell>
          <cell r="T228">
            <v>125</v>
          </cell>
          <cell r="U228">
            <v>0</v>
          </cell>
          <cell r="V228">
            <v>0</v>
          </cell>
          <cell r="W228">
            <v>45994</v>
          </cell>
          <cell r="X228">
            <v>125</v>
          </cell>
          <cell r="Y228">
            <v>8315</v>
          </cell>
        </row>
        <row r="229">
          <cell r="L229" t="str">
            <v>7580-6045-F49</v>
          </cell>
          <cell r="M229" t="str">
            <v>SPEEDY BIT A340 45MM</v>
          </cell>
          <cell r="N229" t="str">
            <v>NNAV.E155</v>
          </cell>
          <cell r="P229" t="str">
            <v>MIN_SANDVIK_002</v>
          </cell>
          <cell r="Q229">
            <v>78.73</v>
          </cell>
          <cell r="R229" t="str">
            <v>EACH</v>
          </cell>
          <cell r="S229" t="str">
            <v>AUD</v>
          </cell>
          <cell r="T229">
            <v>200</v>
          </cell>
          <cell r="U229">
            <v>0</v>
          </cell>
          <cell r="V229">
            <v>0</v>
          </cell>
          <cell r="W229">
            <v>45994</v>
          </cell>
          <cell r="X229">
            <v>200</v>
          </cell>
          <cell r="Y229">
            <v>15746</v>
          </cell>
        </row>
        <row r="230">
          <cell r="L230" t="str">
            <v>7580-5148A-S81</v>
          </cell>
          <cell r="M230" t="str">
            <v>BUTTON BIT A340 48MM TC</v>
          </cell>
          <cell r="N230" t="str">
            <v>NNAV.E155</v>
          </cell>
          <cell r="P230" t="str">
            <v>MIN_SANDVIK_002</v>
          </cell>
          <cell r="Q230">
            <v>108.19</v>
          </cell>
          <cell r="R230" t="str">
            <v>EACH</v>
          </cell>
          <cell r="S230" t="str">
            <v>AUD</v>
          </cell>
          <cell r="T230">
            <v>25</v>
          </cell>
          <cell r="U230">
            <v>0</v>
          </cell>
          <cell r="V230">
            <v>0</v>
          </cell>
          <cell r="W230">
            <v>45994</v>
          </cell>
          <cell r="X230">
            <v>25</v>
          </cell>
          <cell r="Y230">
            <v>2704.75</v>
          </cell>
        </row>
        <row r="231">
          <cell r="L231" t="str">
            <v>7580-4651A-S70</v>
          </cell>
          <cell r="M231" t="str">
            <v>RETRAC BIT A340 51 MM</v>
          </cell>
          <cell r="N231" t="str">
            <v>NNAV.E155</v>
          </cell>
          <cell r="P231" t="str">
            <v>MIN_SANDVIK_002</v>
          </cell>
          <cell r="Q231">
            <v>94.13</v>
          </cell>
          <cell r="R231" t="str">
            <v>EACH</v>
          </cell>
          <cell r="S231" t="str">
            <v>AUD</v>
          </cell>
          <cell r="T231">
            <v>25</v>
          </cell>
          <cell r="U231">
            <v>0</v>
          </cell>
          <cell r="V231">
            <v>0</v>
          </cell>
          <cell r="W231">
            <v>45994</v>
          </cell>
          <cell r="X231">
            <v>25</v>
          </cell>
          <cell r="Y231">
            <v>2353.25</v>
          </cell>
        </row>
        <row r="232">
          <cell r="L232" t="str">
            <v>7514-1664-S70</v>
          </cell>
          <cell r="M232" t="str">
            <v>BUTTON BIT T38 64MM SH70</v>
          </cell>
          <cell r="N232" t="str">
            <v>NNAV.E155</v>
          </cell>
          <cell r="P232" t="str">
            <v>MIN_SANDVIK_002</v>
          </cell>
          <cell r="Q232">
            <v>136.44</v>
          </cell>
          <cell r="R232" t="str">
            <v>EACH</v>
          </cell>
          <cell r="S232" t="str">
            <v>AUD</v>
          </cell>
          <cell r="T232">
            <v>25</v>
          </cell>
          <cell r="U232">
            <v>0</v>
          </cell>
          <cell r="V232">
            <v>0</v>
          </cell>
          <cell r="W232">
            <v>45994</v>
          </cell>
          <cell r="X232">
            <v>25</v>
          </cell>
          <cell r="Y232">
            <v>3411</v>
          </cell>
        </row>
        <row r="233">
          <cell r="L233" t="str">
            <v>7304-7669-01</v>
          </cell>
          <cell r="M233" t="str">
            <v>SHANK T38 RD520/525 D45 L525</v>
          </cell>
          <cell r="N233" t="str">
            <v>NNAV.E155</v>
          </cell>
          <cell r="P233" t="str">
            <v>MIN_SANDVIK_002</v>
          </cell>
          <cell r="Q233">
            <v>308.10000000000002</v>
          </cell>
          <cell r="R233" t="str">
            <v>EACH</v>
          </cell>
          <cell r="S233" t="str">
            <v>AUD</v>
          </cell>
          <cell r="T233">
            <v>25</v>
          </cell>
          <cell r="U233">
            <v>0</v>
          </cell>
          <cell r="V233">
            <v>0</v>
          </cell>
          <cell r="W233">
            <v>45994</v>
          </cell>
          <cell r="X233">
            <v>25</v>
          </cell>
          <cell r="Y233">
            <v>7702.5</v>
          </cell>
        </row>
        <row r="234">
          <cell r="L234" t="str">
            <v>7314-3652</v>
          </cell>
          <cell r="M234" t="str">
            <v>COUPLING SLEEVE T38</v>
          </cell>
          <cell r="N234" t="str">
            <v>NNAV.E155</v>
          </cell>
          <cell r="P234" t="str">
            <v>MIN_SANDVIK_002</v>
          </cell>
          <cell r="Q234">
            <v>69.959999999999994</v>
          </cell>
          <cell r="R234" t="str">
            <v>EACH</v>
          </cell>
          <cell r="S234" t="str">
            <v>AUD</v>
          </cell>
          <cell r="T234">
            <v>25</v>
          </cell>
          <cell r="U234">
            <v>0</v>
          </cell>
          <cell r="V234">
            <v>0</v>
          </cell>
          <cell r="W234">
            <v>45994</v>
          </cell>
          <cell r="X234">
            <v>25</v>
          </cell>
          <cell r="Y234">
            <v>1749</v>
          </cell>
        </row>
        <row r="235">
          <cell r="L235" t="str">
            <v>7979-2630</v>
          </cell>
          <cell r="M235" t="str">
            <v>THD F/BOLT DOLLY T38 46</v>
          </cell>
          <cell r="N235" t="str">
            <v>NNAV.E155</v>
          </cell>
          <cell r="P235" t="str">
            <v>MIN_SANDVIK_002</v>
          </cell>
          <cell r="Q235">
            <v>96.3</v>
          </cell>
          <cell r="R235" t="str">
            <v>EACH</v>
          </cell>
          <cell r="S235" t="str">
            <v>AUD</v>
          </cell>
          <cell r="T235">
            <v>10</v>
          </cell>
          <cell r="U235">
            <v>0</v>
          </cell>
          <cell r="V235">
            <v>0</v>
          </cell>
          <cell r="W235">
            <v>45994</v>
          </cell>
          <cell r="X235">
            <v>10</v>
          </cell>
          <cell r="Y235">
            <v>963</v>
          </cell>
        </row>
        <row r="236">
          <cell r="L236" t="str">
            <v>7979-2626</v>
          </cell>
          <cell r="M236" t="str">
            <v>T38 DOLLY 39MM</v>
          </cell>
          <cell r="N236" t="str">
            <v>NNAV.E155</v>
          </cell>
          <cell r="P236" t="str">
            <v>MIN_SANDVIK_002</v>
          </cell>
          <cell r="Q236">
            <v>96.3</v>
          </cell>
          <cell r="R236" t="str">
            <v>EACH</v>
          </cell>
          <cell r="S236" t="str">
            <v>AUD</v>
          </cell>
          <cell r="T236">
            <v>5</v>
          </cell>
          <cell r="U236">
            <v>0</v>
          </cell>
          <cell r="V236">
            <v>0</v>
          </cell>
          <cell r="W236">
            <v>45994</v>
          </cell>
          <cell r="X236">
            <v>5</v>
          </cell>
          <cell r="Y236">
            <v>481.5</v>
          </cell>
        </row>
        <row r="237">
          <cell r="L237" t="str">
            <v>7324-4309C-30</v>
          </cell>
          <cell r="M237" t="str">
            <v>EXTENSION ROD T38 R39 L = 915M</v>
          </cell>
          <cell r="N237" t="str">
            <v>NNAV.E155</v>
          </cell>
          <cell r="P237" t="str">
            <v>MIN_SANDVIK_002</v>
          </cell>
          <cell r="Q237">
            <v>184.75</v>
          </cell>
          <cell r="R237" t="str">
            <v>EACH</v>
          </cell>
          <cell r="S237" t="str">
            <v>AUD</v>
          </cell>
          <cell r="T237">
            <v>0</v>
          </cell>
          <cell r="U237">
            <v>0</v>
          </cell>
          <cell r="V237">
            <v>0</v>
          </cell>
          <cell r="W237">
            <v>45994</v>
          </cell>
          <cell r="X237">
            <v>0</v>
          </cell>
          <cell r="Y237">
            <v>0</v>
          </cell>
        </row>
        <row r="238">
          <cell r="L238" t="str">
            <v>7324-4709C-20</v>
          </cell>
          <cell r="M238" t="str">
            <v>MF ROD T38 R39 L=915MM</v>
          </cell>
          <cell r="N238" t="str">
            <v>NNAV.E155</v>
          </cell>
          <cell r="P238" t="str">
            <v>MIN_SANDVIK_002</v>
          </cell>
          <cell r="Q238">
            <v>276.63</v>
          </cell>
          <cell r="R238" t="str">
            <v>EACH</v>
          </cell>
          <cell r="S238" t="str">
            <v>AUD</v>
          </cell>
          <cell r="T238">
            <v>0</v>
          </cell>
          <cell r="U238">
            <v>0</v>
          </cell>
          <cell r="V238">
            <v>0</v>
          </cell>
          <cell r="W238">
            <v>45994</v>
          </cell>
          <cell r="X238">
            <v>0</v>
          </cell>
          <cell r="Y238">
            <v>0</v>
          </cell>
        </row>
        <row r="239">
          <cell r="L239" t="str">
            <v>7324-8031-20</v>
          </cell>
          <cell r="M239" t="str">
            <v>DRIFTER ROD T38 H35 A340 L=309</v>
          </cell>
          <cell r="N239" t="str">
            <v>NNAV.E155</v>
          </cell>
          <cell r="P239" t="str">
            <v>MIN_SANDVIK_002</v>
          </cell>
          <cell r="Q239">
            <v>443.78</v>
          </cell>
          <cell r="R239" t="str">
            <v>EACH</v>
          </cell>
          <cell r="S239" t="str">
            <v>AUD</v>
          </cell>
          <cell r="T239">
            <v>35</v>
          </cell>
          <cell r="U239">
            <v>0</v>
          </cell>
          <cell r="V239">
            <v>0</v>
          </cell>
          <cell r="W239">
            <v>45994</v>
          </cell>
          <cell r="X239">
            <v>35</v>
          </cell>
          <cell r="Y239">
            <v>15532.3</v>
          </cell>
        </row>
        <row r="240">
          <cell r="L240" t="str">
            <v>7324-8037-20</v>
          </cell>
          <cell r="M240" t="str">
            <v>DRIFTER ROD T38 H35 A340 L=370</v>
          </cell>
          <cell r="N240" t="str">
            <v>NNAV.E155</v>
          </cell>
          <cell r="P240" t="str">
            <v>MIN_SANDVIK_002</v>
          </cell>
          <cell r="Q240">
            <v>498.85</v>
          </cell>
          <cell r="R240" t="str">
            <v>EACH</v>
          </cell>
          <cell r="S240" t="str">
            <v>AUD</v>
          </cell>
          <cell r="T240">
            <v>15</v>
          </cell>
          <cell r="U240">
            <v>0</v>
          </cell>
          <cell r="V240">
            <v>0</v>
          </cell>
          <cell r="W240">
            <v>45994</v>
          </cell>
          <cell r="X240">
            <v>15</v>
          </cell>
          <cell r="Y240">
            <v>7482.75</v>
          </cell>
        </row>
        <row r="241">
          <cell r="L241" t="str">
            <v>7324-8043-20</v>
          </cell>
          <cell r="M241" t="str">
            <v>DRIFTER ROD T38 H35 A340 L=430</v>
          </cell>
          <cell r="N241" t="str">
            <v>NNAV.E155</v>
          </cell>
          <cell r="P241" t="str">
            <v>MIN_SANDVIK_002</v>
          </cell>
          <cell r="Q241">
            <v>513.01</v>
          </cell>
          <cell r="R241" t="str">
            <v>EACH</v>
          </cell>
          <cell r="S241" t="str">
            <v>AUD</v>
          </cell>
          <cell r="T241">
            <v>25</v>
          </cell>
          <cell r="U241">
            <v>0</v>
          </cell>
          <cell r="V241">
            <v>0</v>
          </cell>
          <cell r="W241">
            <v>45994</v>
          </cell>
          <cell r="X241">
            <v>25</v>
          </cell>
          <cell r="Y241">
            <v>12825.25</v>
          </cell>
        </row>
        <row r="242">
          <cell r="L242" t="str">
            <v>7324-7949-20</v>
          </cell>
          <cell r="M242" t="str">
            <v>DRIFTER ROD T38 R39 A340 L=491</v>
          </cell>
          <cell r="N242" t="str">
            <v>NNAV.E155</v>
          </cell>
          <cell r="P242" t="str">
            <v>MIN_SANDVIK_002</v>
          </cell>
          <cell r="Q242">
            <v>639</v>
          </cell>
          <cell r="R242" t="str">
            <v>EACH</v>
          </cell>
          <cell r="S242" t="str">
            <v>AUD</v>
          </cell>
          <cell r="T242">
            <v>75</v>
          </cell>
          <cell r="U242">
            <v>0</v>
          </cell>
          <cell r="V242">
            <v>0</v>
          </cell>
          <cell r="W242">
            <v>45994</v>
          </cell>
          <cell r="X242">
            <v>75</v>
          </cell>
          <cell r="Y242">
            <v>47925</v>
          </cell>
        </row>
        <row r="243">
          <cell r="L243" t="str">
            <v>7324-4731-85</v>
          </cell>
          <cell r="M243" t="str">
            <v>MF ROD T38 R39 L=3050MM</v>
          </cell>
          <cell r="N243" t="str">
            <v>NNAV.E155</v>
          </cell>
          <cell r="P243" t="str">
            <v>MIN_SANDVIK_002</v>
          </cell>
          <cell r="Q243">
            <v>439.59</v>
          </cell>
          <cell r="R243" t="str">
            <v>EACH</v>
          </cell>
          <cell r="S243" t="str">
            <v>AUD</v>
          </cell>
          <cell r="T243">
            <v>25</v>
          </cell>
          <cell r="U243">
            <v>0</v>
          </cell>
          <cell r="V243">
            <v>0</v>
          </cell>
          <cell r="W243">
            <v>45994</v>
          </cell>
          <cell r="X243">
            <v>25</v>
          </cell>
          <cell r="Y243">
            <v>10989.75</v>
          </cell>
        </row>
        <row r="244">
          <cell r="L244" t="str">
            <v>7324-4331C-30</v>
          </cell>
          <cell r="M244" t="str">
            <v>EXTENSION ROD T38 R39 L=3050MM</v>
          </cell>
          <cell r="N244" t="str">
            <v>NNAV.E155</v>
          </cell>
          <cell r="P244" t="str">
            <v>MIN_SANDVIK_002</v>
          </cell>
          <cell r="Q244">
            <v>317.43</v>
          </cell>
          <cell r="R244" t="str">
            <v>EACH</v>
          </cell>
          <cell r="S244" t="str">
            <v>AUD</v>
          </cell>
          <cell r="T244">
            <v>25</v>
          </cell>
          <cell r="U244">
            <v>0</v>
          </cell>
          <cell r="V244">
            <v>0</v>
          </cell>
          <cell r="W244">
            <v>45994</v>
          </cell>
          <cell r="X244">
            <v>25</v>
          </cell>
          <cell r="Y244">
            <v>7935.75</v>
          </cell>
        </row>
        <row r="245">
          <cell r="L245" t="str">
            <v>7324-4309C-30</v>
          </cell>
          <cell r="M245" t="str">
            <v>EXTENSION ROD T38 R39 L = 915M</v>
          </cell>
          <cell r="N245" t="str">
            <v>NNAV.E155</v>
          </cell>
          <cell r="P245" t="str">
            <v>MIN_SANDVIK_002</v>
          </cell>
          <cell r="Q245">
            <v>184.75</v>
          </cell>
          <cell r="R245" t="str">
            <v>EACH</v>
          </cell>
          <cell r="S245" t="str">
            <v>AUD</v>
          </cell>
          <cell r="T245">
            <v>5</v>
          </cell>
          <cell r="U245">
            <v>0</v>
          </cell>
          <cell r="V245">
            <v>0</v>
          </cell>
          <cell r="W245">
            <v>45994</v>
          </cell>
          <cell r="X245">
            <v>5</v>
          </cell>
          <cell r="Y245">
            <v>923.75</v>
          </cell>
        </row>
        <row r="246">
          <cell r="L246" t="str">
            <v>7324-4709C-20</v>
          </cell>
          <cell r="M246" t="str">
            <v>MF ROD T38 R39 L=915MM</v>
          </cell>
          <cell r="N246" t="str">
            <v>NNAV.E155</v>
          </cell>
          <cell r="P246" t="str">
            <v>MIN_SANDVIK_002</v>
          </cell>
          <cell r="Q246">
            <v>276.63</v>
          </cell>
          <cell r="R246" t="str">
            <v>EACH</v>
          </cell>
          <cell r="S246" t="str">
            <v>AUD</v>
          </cell>
          <cell r="T246">
            <v>5</v>
          </cell>
          <cell r="U246">
            <v>0</v>
          </cell>
          <cell r="V246">
            <v>0</v>
          </cell>
          <cell r="W246">
            <v>45994</v>
          </cell>
          <cell r="X246">
            <v>5</v>
          </cell>
          <cell r="Y246">
            <v>1383.15</v>
          </cell>
        </row>
        <row r="247">
          <cell r="L247" t="str">
            <v>FB47-2400G</v>
          </cell>
          <cell r="M247" t="str">
            <v>FRICTION BOLT 47 X 2400 GALV</v>
          </cell>
          <cell r="N247" t="str">
            <v>NNAV.E700</v>
          </cell>
          <cell r="P247" t="str">
            <v>MIN_TONRY_001_NNAV</v>
          </cell>
          <cell r="Q247">
            <v>7.03</v>
          </cell>
          <cell r="R247" t="str">
            <v>EACH</v>
          </cell>
          <cell r="S247" t="str">
            <v>USD</v>
          </cell>
          <cell r="T247">
            <v>2400</v>
          </cell>
          <cell r="U247">
            <v>0</v>
          </cell>
          <cell r="V247">
            <v>0</v>
          </cell>
          <cell r="W247">
            <v>46030</v>
          </cell>
          <cell r="X247">
            <v>2400</v>
          </cell>
          <cell r="Y247">
            <v>16872</v>
          </cell>
        </row>
        <row r="248">
          <cell r="L248" t="str">
            <v>CBP328154-47G</v>
          </cell>
          <cell r="M248" t="str">
            <v>D/FLY 300X280 GALV</v>
          </cell>
          <cell r="N248" t="str">
            <v>NNAV.E700</v>
          </cell>
          <cell r="P248" t="str">
            <v>MIN_TONRY_001_NNAV</v>
          </cell>
          <cell r="Q248">
            <v>2.4500000000000002</v>
          </cell>
          <cell r="R248" t="str">
            <v>EACH</v>
          </cell>
          <cell r="S248" t="str">
            <v>USD</v>
          </cell>
          <cell r="T248">
            <v>2400</v>
          </cell>
          <cell r="U248">
            <v>0</v>
          </cell>
          <cell r="V248">
            <v>0</v>
          </cell>
          <cell r="W248">
            <v>46030</v>
          </cell>
          <cell r="X248">
            <v>2400</v>
          </cell>
          <cell r="Y248">
            <v>5880</v>
          </cell>
        </row>
        <row r="249">
          <cell r="L249" t="str">
            <v>BMG2024S</v>
          </cell>
          <cell r="M249" t="str">
            <v>MD BOLT 2.4M LONG GALVANIZED C</v>
          </cell>
          <cell r="N249" t="str">
            <v>NNAV.E711</v>
          </cell>
          <cell r="P249" t="str">
            <v>MIN_DSi_004</v>
          </cell>
          <cell r="Q249">
            <v>51.84</v>
          </cell>
          <cell r="R249" t="str">
            <v>EACH</v>
          </cell>
          <cell r="S249" t="str">
            <v>AUD</v>
          </cell>
          <cell r="T249">
            <v>5760</v>
          </cell>
          <cell r="U249">
            <v>0</v>
          </cell>
          <cell r="V249">
            <v>0</v>
          </cell>
          <cell r="W249">
            <v>46002</v>
          </cell>
          <cell r="X249">
            <v>5760</v>
          </cell>
          <cell r="Y249">
            <v>298598.40000000002</v>
          </cell>
        </row>
        <row r="250">
          <cell r="L250" t="str">
            <v>BPG3002806</v>
          </cell>
          <cell r="M250" t="str">
            <v>COMBI PLATE 300X280X6MM GALVAN</v>
          </cell>
          <cell r="N250" t="str">
            <v>NNAV.E711</v>
          </cell>
          <cell r="P250" t="str">
            <v>MIN_DSi_004</v>
          </cell>
          <cell r="Q250">
            <v>9.25</v>
          </cell>
          <cell r="R250" t="str">
            <v>EACH</v>
          </cell>
          <cell r="S250" t="str">
            <v>AUD</v>
          </cell>
          <cell r="T250">
            <v>5760</v>
          </cell>
          <cell r="U250">
            <v>0</v>
          </cell>
          <cell r="V250">
            <v>0</v>
          </cell>
          <cell r="W250">
            <v>46002</v>
          </cell>
          <cell r="X250">
            <v>5760</v>
          </cell>
          <cell r="Y250">
            <v>53280</v>
          </cell>
        </row>
        <row r="251">
          <cell r="L251" t="str">
            <v>BDT38-900</v>
          </cell>
          <cell r="M251" t="str">
            <v>MD BOLT DRIVER 900MM "T" THREA</v>
          </cell>
          <cell r="N251" t="str">
            <v>NNAV.E711</v>
          </cell>
          <cell r="P251" t="str">
            <v>MIN_DSi_004</v>
          </cell>
          <cell r="Q251">
            <v>794.42</v>
          </cell>
          <cell r="R251" t="str">
            <v>EACH</v>
          </cell>
          <cell r="S251" t="str">
            <v>AUD</v>
          </cell>
          <cell r="T251">
            <v>15</v>
          </cell>
          <cell r="U251">
            <v>0</v>
          </cell>
          <cell r="V251">
            <v>0</v>
          </cell>
          <cell r="W251">
            <v>46002</v>
          </cell>
          <cell r="X251">
            <v>15</v>
          </cell>
          <cell r="Y251">
            <v>11916.3</v>
          </cell>
        </row>
        <row r="252">
          <cell r="L252" t="str">
            <v>DBF90W</v>
          </cell>
          <cell r="M252" t="str">
            <v>DEFY 90L BAR FRIDGE WHITE</v>
          </cell>
          <cell r="N252" t="str">
            <v>NNAV.E025</v>
          </cell>
          <cell r="P252" t="str">
            <v>"MIN_NICTUS_001</v>
          </cell>
          <cell r="Q252">
            <v>2521.7399999999998</v>
          </cell>
          <cell r="R252" t="str">
            <v>EACH</v>
          </cell>
          <cell r="T252">
            <v>2</v>
          </cell>
          <cell r="U252">
            <v>0</v>
          </cell>
          <cell r="V252">
            <v>0</v>
          </cell>
          <cell r="W252">
            <v>46020</v>
          </cell>
          <cell r="X252">
            <v>2</v>
          </cell>
          <cell r="Y252">
            <v>5043.4799999999996</v>
          </cell>
        </row>
        <row r="253">
          <cell r="L253" t="str">
            <v>N325024LGTV</v>
          </cell>
          <cell r="M253" t="str">
            <v>LG 42L NEOCHEF SOLO SMART INVE</v>
          </cell>
          <cell r="N253" t="str">
            <v>NNAV.E025</v>
          </cell>
          <cell r="P253" t="str">
            <v>"MIN_NICTUS_001</v>
          </cell>
          <cell r="Q253">
            <v>3652.17</v>
          </cell>
          <cell r="R253" t="str">
            <v>EACH</v>
          </cell>
          <cell r="T253">
            <v>1</v>
          </cell>
          <cell r="U253">
            <v>0</v>
          </cell>
          <cell r="V253">
            <v>0</v>
          </cell>
          <cell r="W253">
            <v>46020</v>
          </cell>
          <cell r="X253">
            <v>1</v>
          </cell>
          <cell r="Y253">
            <v>3652.17</v>
          </cell>
        </row>
        <row r="254">
          <cell r="L254" t="str">
            <v>MPM02.000BK</v>
          </cell>
          <cell r="M254" t="str">
            <v>KENWOOD BREAKFAST SET PACK - B</v>
          </cell>
          <cell r="N254" t="str">
            <v>NNAV.E025</v>
          </cell>
          <cell r="P254" t="str">
            <v>"MIN_NICTUS_001</v>
          </cell>
          <cell r="Q254">
            <v>1008.7</v>
          </cell>
          <cell r="R254" t="str">
            <v>EACH</v>
          </cell>
          <cell r="T254">
            <v>3</v>
          </cell>
          <cell r="U254">
            <v>0</v>
          </cell>
          <cell r="V254">
            <v>0</v>
          </cell>
          <cell r="W254">
            <v>46020</v>
          </cell>
          <cell r="X254">
            <v>3</v>
          </cell>
          <cell r="Y254">
            <v>3026.1</v>
          </cell>
        </row>
        <row r="255">
          <cell r="L255" t="str">
            <v>ECAM450.65.S</v>
          </cell>
          <cell r="M255" t="str">
            <v>DELONGHI ELETTA EXPLORE AUTO C</v>
          </cell>
          <cell r="N255" t="str">
            <v>NNAV.E025</v>
          </cell>
          <cell r="P255" t="str">
            <v>"MIN_NICTUS_001</v>
          </cell>
          <cell r="Q255">
            <v>16782.61</v>
          </cell>
          <cell r="R255" t="str">
            <v>EACH</v>
          </cell>
          <cell r="T255">
            <v>1</v>
          </cell>
          <cell r="U255">
            <v>0</v>
          </cell>
          <cell r="V255">
            <v>0</v>
          </cell>
          <cell r="W255">
            <v>46020</v>
          </cell>
          <cell r="X255">
            <v>1</v>
          </cell>
          <cell r="Y255">
            <v>16782.61</v>
          </cell>
        </row>
        <row r="256">
          <cell r="L256" t="str">
            <v xml:space="preserve"> SP-985A</v>
          </cell>
          <cell r="M256" t="str">
            <v>BLACK LEATHER HIGHBACK CHAIR S</v>
          </cell>
          <cell r="N256" t="str">
            <v>NNAV.E025</v>
          </cell>
          <cell r="P256" t="str">
            <v>"MIN_NICTUS_001</v>
          </cell>
          <cell r="Q256">
            <v>4173.91</v>
          </cell>
          <cell r="R256" t="str">
            <v>EACH</v>
          </cell>
          <cell r="T256">
            <v>16</v>
          </cell>
          <cell r="U256">
            <v>0</v>
          </cell>
          <cell r="V256">
            <v>0</v>
          </cell>
          <cell r="W256">
            <v>46020</v>
          </cell>
          <cell r="X256">
            <v>16</v>
          </cell>
          <cell r="Y256">
            <v>66782.559999999998</v>
          </cell>
        </row>
        <row r="257">
          <cell r="L257" t="str">
            <v>OZ1910-16</v>
          </cell>
          <cell r="M257" t="str">
            <v>OZ-1910-16 EXECUTIVE DESK (MUS</v>
          </cell>
          <cell r="N257" t="str">
            <v>NNAV.E025</v>
          </cell>
          <cell r="P257" t="str">
            <v>"MIN_NICTUS_001</v>
          </cell>
          <cell r="Q257">
            <v>6260.87</v>
          </cell>
          <cell r="R257" t="str">
            <v>EACH</v>
          </cell>
          <cell r="T257">
            <v>0</v>
          </cell>
          <cell r="U257">
            <v>0</v>
          </cell>
          <cell r="V257">
            <v>0</v>
          </cell>
          <cell r="W257">
            <v>46020</v>
          </cell>
          <cell r="X257">
            <v>0</v>
          </cell>
          <cell r="Y257">
            <v>0</v>
          </cell>
        </row>
        <row r="258">
          <cell r="L258" t="str">
            <v>OZ1910-18</v>
          </cell>
          <cell r="M258" t="str">
            <v>OZ1910-18 EXECUTIVE DESK (MUSH</v>
          </cell>
          <cell r="N258" t="str">
            <v>NNAV.E025</v>
          </cell>
          <cell r="P258" t="str">
            <v>"MIN_NICTUS_001</v>
          </cell>
          <cell r="Q258">
            <v>6782.62</v>
          </cell>
          <cell r="R258" t="str">
            <v>EACH</v>
          </cell>
          <cell r="T258">
            <v>0</v>
          </cell>
          <cell r="U258">
            <v>0</v>
          </cell>
          <cell r="V258">
            <v>0</v>
          </cell>
          <cell r="W258">
            <v>46020</v>
          </cell>
          <cell r="X258">
            <v>0</v>
          </cell>
          <cell r="Y258">
            <v>0</v>
          </cell>
        </row>
        <row r="259">
          <cell r="L259" t="str">
            <v>OZ2526</v>
          </cell>
          <cell r="M259" t="str">
            <v>OZ-2526 CABINET 800X400X2</v>
          </cell>
          <cell r="N259" t="str">
            <v>NNAV.E025</v>
          </cell>
          <cell r="P259" t="str">
            <v>"MIN_NICTUS_001</v>
          </cell>
          <cell r="Q259">
            <v>2608.6999999999998</v>
          </cell>
          <cell r="R259" t="str">
            <v>EACH</v>
          </cell>
          <cell r="T259">
            <v>16</v>
          </cell>
          <cell r="U259">
            <v>0</v>
          </cell>
          <cell r="V259">
            <v>0</v>
          </cell>
          <cell r="W259">
            <v>46020</v>
          </cell>
          <cell r="X259">
            <v>16</v>
          </cell>
          <cell r="Y259">
            <v>41739.199999999997</v>
          </cell>
        </row>
        <row r="260">
          <cell r="L260" t="str">
            <v>BD1241</v>
          </cell>
          <cell r="M260" t="str">
            <v>WHITEBOARD NON MAGNETIC 1200*9</v>
          </cell>
          <cell r="N260" t="str">
            <v>NNAV.E025</v>
          </cell>
          <cell r="P260" t="str">
            <v>"MIN_NICTUS_001</v>
          </cell>
          <cell r="Q260">
            <v>1130.43</v>
          </cell>
          <cell r="R260" t="str">
            <v>EACH</v>
          </cell>
          <cell r="T260">
            <v>0</v>
          </cell>
          <cell r="U260">
            <v>0</v>
          </cell>
          <cell r="V260">
            <v>0</v>
          </cell>
          <cell r="W260">
            <v>46020</v>
          </cell>
          <cell r="X260">
            <v>0</v>
          </cell>
          <cell r="Y260">
            <v>0</v>
          </cell>
        </row>
        <row r="261">
          <cell r="L261" t="str">
            <v>NSOQUOTE</v>
          </cell>
          <cell r="M261" t="str">
            <v>STEEL 4-DRAWER FILING CABINET</v>
          </cell>
          <cell r="N261" t="str">
            <v>NNAV.E025</v>
          </cell>
          <cell r="P261" t="str">
            <v>"MIN_NICTUS_001</v>
          </cell>
          <cell r="Q261">
            <v>2695.65</v>
          </cell>
          <cell r="R261" t="str">
            <v>EACH</v>
          </cell>
          <cell r="T261">
            <v>0</v>
          </cell>
          <cell r="U261">
            <v>0</v>
          </cell>
          <cell r="V261">
            <v>0</v>
          </cell>
          <cell r="W261">
            <v>46020</v>
          </cell>
          <cell r="X261">
            <v>0</v>
          </cell>
          <cell r="Y261">
            <v>0</v>
          </cell>
        </row>
        <row r="262">
          <cell r="L262" t="str">
            <v>DBF90W</v>
          </cell>
          <cell r="M262" t="str">
            <v>DEFY 90L BAR FRIDGE WHITE</v>
          </cell>
          <cell r="N262" t="str">
            <v>NNAV.E025</v>
          </cell>
          <cell r="P262" t="str">
            <v>"MIN_NICTUS_001</v>
          </cell>
          <cell r="Q262">
            <v>2521.7399999999998</v>
          </cell>
          <cell r="R262" t="str">
            <v>EACH</v>
          </cell>
          <cell r="T262">
            <v>5</v>
          </cell>
          <cell r="U262">
            <v>0</v>
          </cell>
          <cell r="V262">
            <v>0</v>
          </cell>
          <cell r="W262">
            <v>46020</v>
          </cell>
          <cell r="X262">
            <v>5</v>
          </cell>
          <cell r="Y262">
            <v>12608.7</v>
          </cell>
        </row>
        <row r="263">
          <cell r="L263" t="str">
            <v>MPM02.000BK</v>
          </cell>
          <cell r="M263" t="str">
            <v>KENWOOD BREAKFAST SET PACK - B</v>
          </cell>
          <cell r="N263" t="str">
            <v>NNAV.E025</v>
          </cell>
          <cell r="P263" t="str">
            <v>"MIN_NICTUS_001</v>
          </cell>
          <cell r="Q263">
            <v>1008.7</v>
          </cell>
          <cell r="R263" t="str">
            <v>EACH</v>
          </cell>
          <cell r="T263">
            <v>0</v>
          </cell>
          <cell r="U263">
            <v>0</v>
          </cell>
          <cell r="V263">
            <v>0</v>
          </cell>
          <cell r="W263">
            <v>46020</v>
          </cell>
          <cell r="X263">
            <v>0</v>
          </cell>
          <cell r="Y263">
            <v>0</v>
          </cell>
        </row>
        <row r="264">
          <cell r="L264" t="str">
            <v>OZ1910-16</v>
          </cell>
          <cell r="M264" t="str">
            <v>OZ-1910-16 EXECUTIVE DESK (MUS</v>
          </cell>
          <cell r="N264" t="str">
            <v>NNAV.E025</v>
          </cell>
          <cell r="P264" t="str">
            <v>"MIN_NICTUS_001</v>
          </cell>
          <cell r="Q264">
            <v>6260.87</v>
          </cell>
          <cell r="R264" t="str">
            <v>EACH</v>
          </cell>
          <cell r="T264">
            <v>14</v>
          </cell>
          <cell r="U264">
            <v>0</v>
          </cell>
          <cell r="V264">
            <v>0</v>
          </cell>
          <cell r="W264">
            <v>46020</v>
          </cell>
          <cell r="X264">
            <v>14</v>
          </cell>
          <cell r="Y264">
            <v>87652.18</v>
          </cell>
        </row>
        <row r="265">
          <cell r="L265" t="str">
            <v>OZ1910-18</v>
          </cell>
          <cell r="M265" t="str">
            <v>OZ1910-18 EXECUTIVE DESK (MUSH</v>
          </cell>
          <cell r="N265" t="str">
            <v>NNAV.E025</v>
          </cell>
          <cell r="P265" t="str">
            <v>"MIN_NICTUS_001</v>
          </cell>
          <cell r="Q265">
            <v>6782.62</v>
          </cell>
          <cell r="R265" t="str">
            <v>EACH</v>
          </cell>
          <cell r="T265">
            <v>2</v>
          </cell>
          <cell r="U265">
            <v>0</v>
          </cell>
          <cell r="V265">
            <v>0</v>
          </cell>
          <cell r="W265">
            <v>46020</v>
          </cell>
          <cell r="X265">
            <v>2</v>
          </cell>
          <cell r="Y265">
            <v>13565.24</v>
          </cell>
        </row>
        <row r="266">
          <cell r="L266" t="str">
            <v>BD1241</v>
          </cell>
          <cell r="M266" t="str">
            <v>WHITEBOARD NON MAGNETIC 1200*9</v>
          </cell>
          <cell r="N266" t="str">
            <v>NNAV.E025</v>
          </cell>
          <cell r="P266" t="str">
            <v>"MIN_NICTUS_001</v>
          </cell>
          <cell r="Q266">
            <v>1130.43</v>
          </cell>
          <cell r="R266" t="str">
            <v>EACH</v>
          </cell>
          <cell r="T266">
            <v>10</v>
          </cell>
          <cell r="U266">
            <v>0</v>
          </cell>
          <cell r="V266">
            <v>0</v>
          </cell>
          <cell r="W266">
            <v>46020</v>
          </cell>
          <cell r="X266">
            <v>10</v>
          </cell>
          <cell r="Y266">
            <v>11304.3</v>
          </cell>
        </row>
        <row r="267">
          <cell r="L267" t="str">
            <v>NSOQUOTE</v>
          </cell>
          <cell r="M267" t="str">
            <v>STEEL 4-DRAWER FILING CABINET</v>
          </cell>
          <cell r="N267" t="str">
            <v>NNAV.E025</v>
          </cell>
          <cell r="P267" t="str">
            <v>"MIN_NICTUS_001</v>
          </cell>
          <cell r="Q267">
            <v>2695.65</v>
          </cell>
          <cell r="R267" t="str">
            <v>EACH</v>
          </cell>
          <cell r="T267">
            <v>0</v>
          </cell>
          <cell r="U267">
            <v>0</v>
          </cell>
          <cell r="V267">
            <v>0</v>
          </cell>
          <cell r="W267">
            <v>46020</v>
          </cell>
          <cell r="X267">
            <v>0</v>
          </cell>
          <cell r="Y267">
            <v>0</v>
          </cell>
        </row>
        <row r="268">
          <cell r="L268" t="str">
            <v>MPM02.000BK</v>
          </cell>
          <cell r="M268" t="str">
            <v>KENWOOD BREAKFAST SET PACK - B</v>
          </cell>
          <cell r="N268" t="str">
            <v>NNAV.E025</v>
          </cell>
          <cell r="P268" t="str">
            <v>"MIN_NICTUS_001</v>
          </cell>
          <cell r="Q268">
            <v>1008.7</v>
          </cell>
          <cell r="R268" t="str">
            <v>EACH</v>
          </cell>
          <cell r="T268">
            <v>4</v>
          </cell>
          <cell r="U268">
            <v>0</v>
          </cell>
          <cell r="V268">
            <v>0</v>
          </cell>
          <cell r="W268">
            <v>46020</v>
          </cell>
          <cell r="X268">
            <v>4</v>
          </cell>
          <cell r="Y268">
            <v>4034.78</v>
          </cell>
        </row>
        <row r="269">
          <cell r="L269" t="str">
            <v>NSOQUOTE</v>
          </cell>
          <cell r="M269" t="str">
            <v>STEEL 4-DRAWER FILING CABINET</v>
          </cell>
          <cell r="N269" t="str">
            <v>NNAV.E025</v>
          </cell>
          <cell r="P269" t="str">
            <v>"MIN_NICTUS_001</v>
          </cell>
          <cell r="Q269">
            <v>2695.65</v>
          </cell>
          <cell r="R269" t="str">
            <v>EACH</v>
          </cell>
          <cell r="T269">
            <v>0</v>
          </cell>
          <cell r="U269">
            <v>0</v>
          </cell>
          <cell r="V269">
            <v>0</v>
          </cell>
          <cell r="W269">
            <v>46020</v>
          </cell>
          <cell r="X269">
            <v>0</v>
          </cell>
          <cell r="Y269">
            <v>0</v>
          </cell>
        </row>
        <row r="270">
          <cell r="L270" t="str">
            <v>NSOQUOTE</v>
          </cell>
          <cell r="M270" t="str">
            <v>STEEL 4-DRAWER FILING CABINET</v>
          </cell>
          <cell r="N270" t="str">
            <v>NNAV.E025</v>
          </cell>
          <cell r="P270" t="str">
            <v>"MIN_NICTUS_001</v>
          </cell>
          <cell r="Q270">
            <v>2576.09</v>
          </cell>
          <cell r="R270" t="str">
            <v>EACH</v>
          </cell>
          <cell r="T270">
            <v>8</v>
          </cell>
          <cell r="U270">
            <v>0</v>
          </cell>
          <cell r="V270">
            <v>0</v>
          </cell>
          <cell r="W270">
            <v>46020</v>
          </cell>
          <cell r="X270">
            <v>8</v>
          </cell>
          <cell r="Y270">
            <v>20608.73</v>
          </cell>
        </row>
        <row r="271">
          <cell r="L271" t="str">
            <v>195-25PN12 5+PE100</v>
          </cell>
          <cell r="M271" t="str">
            <v>25mm POLY PN12.5 PE100 SDR13.6</v>
          </cell>
          <cell r="N271" t="str">
            <v>NNAV.E499</v>
          </cell>
          <cell r="P271" t="str">
            <v>MIN_NPC_001</v>
          </cell>
          <cell r="Q271">
            <v>787.5</v>
          </cell>
          <cell r="R271" t="str">
            <v>EACH</v>
          </cell>
          <cell r="T271">
            <v>10</v>
          </cell>
          <cell r="U271">
            <v>0</v>
          </cell>
          <cell r="V271">
            <v>0</v>
          </cell>
          <cell r="W271">
            <v>45986</v>
          </cell>
          <cell r="X271">
            <v>10</v>
          </cell>
          <cell r="Y271">
            <v>7875</v>
          </cell>
        </row>
        <row r="272">
          <cell r="L272" t="str">
            <v>170-AG15+1 00C6,01</v>
          </cell>
          <cell r="M272" t="str">
            <v>15MM CL.6 LDPE POLY AGRO 100M</v>
          </cell>
          <cell r="N272" t="str">
            <v>NNAV.E499</v>
          </cell>
          <cell r="P272" t="str">
            <v>MIN_NPC_001</v>
          </cell>
          <cell r="Q272">
            <v>257.3</v>
          </cell>
          <cell r="R272" t="str">
            <v>EACH</v>
          </cell>
          <cell r="T272">
            <v>10</v>
          </cell>
          <cell r="U272">
            <v>0</v>
          </cell>
          <cell r="V272">
            <v>0</v>
          </cell>
          <cell r="W272">
            <v>45986</v>
          </cell>
          <cell r="X272">
            <v>10</v>
          </cell>
          <cell r="Y272">
            <v>2573</v>
          </cell>
        </row>
        <row r="273">
          <cell r="L273" t="str">
            <v>170-AG40+1 00C6,01</v>
          </cell>
          <cell r="M273" t="str">
            <v>40MM CL.6 LDPE POLY AGRO 100M</v>
          </cell>
          <cell r="N273" t="str">
            <v>NNAV.E499</v>
          </cell>
          <cell r="P273" t="str">
            <v>MIN_NPC_001</v>
          </cell>
          <cell r="Q273">
            <v>1218</v>
          </cell>
          <cell r="R273" t="str">
            <v>EACH</v>
          </cell>
          <cell r="T273">
            <v>0</v>
          </cell>
          <cell r="U273">
            <v>0</v>
          </cell>
          <cell r="V273">
            <v>0</v>
          </cell>
          <cell r="W273">
            <v>45986</v>
          </cell>
          <cell r="X273">
            <v>0</v>
          </cell>
          <cell r="Y273">
            <v>0</v>
          </cell>
        </row>
        <row r="274">
          <cell r="L274" t="str">
            <v>170-AG40+1 00C6,01</v>
          </cell>
          <cell r="M274" t="str">
            <v>40MM CL.6 LDPE POLY AGRO 100M</v>
          </cell>
          <cell r="N274" t="str">
            <v>NNAV.E499</v>
          </cell>
          <cell r="P274" t="str">
            <v>MIN_NPC_001</v>
          </cell>
          <cell r="Q274">
            <v>1218</v>
          </cell>
          <cell r="R274" t="str">
            <v>EACH</v>
          </cell>
          <cell r="T274">
            <v>20</v>
          </cell>
          <cell r="U274">
            <v>0</v>
          </cell>
          <cell r="V274">
            <v>0</v>
          </cell>
          <cell r="W274">
            <v>45986</v>
          </cell>
          <cell r="X274">
            <v>20</v>
          </cell>
          <cell r="Y274">
            <v>24360</v>
          </cell>
        </row>
        <row r="275">
          <cell r="L275" t="str">
            <v>510-WT1000 0XHW</v>
          </cell>
          <cell r="M275" t="str">
            <v>10,000 EXTRA HEAVY W/TANK 300K</v>
          </cell>
          <cell r="N275" t="str">
            <v>NNAV.E500</v>
          </cell>
          <cell r="P275" t="str">
            <v>MIN_NPC_001</v>
          </cell>
          <cell r="Q275">
            <v>18529.259999999998</v>
          </cell>
          <cell r="R275" t="str">
            <v>EACH</v>
          </cell>
          <cell r="T275">
            <v>0</v>
          </cell>
          <cell r="U275">
            <v>0</v>
          </cell>
          <cell r="V275">
            <v>0</v>
          </cell>
          <cell r="W275">
            <v>45986</v>
          </cell>
          <cell r="X275">
            <v>0</v>
          </cell>
          <cell r="Y275">
            <v>0</v>
          </cell>
        </row>
        <row r="276">
          <cell r="L276" t="str">
            <v>510-WT5000 HW 150KG</v>
          </cell>
          <cell r="M276" t="str">
            <v>5,000LTR EXTRA HEAVY WEIGHT W/</v>
          </cell>
          <cell r="N276" t="str">
            <v>NNAV.E500</v>
          </cell>
          <cell r="P276" t="str">
            <v>MIN_NPC_001</v>
          </cell>
          <cell r="Q276">
            <v>9472.75</v>
          </cell>
          <cell r="R276" t="str">
            <v>EACH</v>
          </cell>
          <cell r="T276">
            <v>0</v>
          </cell>
          <cell r="U276">
            <v>0</v>
          </cell>
          <cell r="V276">
            <v>0</v>
          </cell>
          <cell r="W276">
            <v>45986</v>
          </cell>
          <cell r="X276">
            <v>0</v>
          </cell>
          <cell r="Y276">
            <v>0</v>
          </cell>
        </row>
        <row r="277">
          <cell r="L277" t="str">
            <v>510-WT1000 0XHW</v>
          </cell>
          <cell r="M277" t="str">
            <v>10,000 EXTRA HEAVY W/TANK 300K</v>
          </cell>
          <cell r="N277" t="str">
            <v>NNAV.E500</v>
          </cell>
          <cell r="P277" t="str">
            <v>MIN_NPC_001</v>
          </cell>
          <cell r="Q277">
            <v>18529.259999999998</v>
          </cell>
          <cell r="R277" t="str">
            <v>EACH</v>
          </cell>
          <cell r="T277">
            <v>0</v>
          </cell>
          <cell r="U277">
            <v>0</v>
          </cell>
          <cell r="V277">
            <v>0</v>
          </cell>
          <cell r="W277">
            <v>45986</v>
          </cell>
          <cell r="X277">
            <v>0</v>
          </cell>
          <cell r="Y277">
            <v>0</v>
          </cell>
        </row>
        <row r="278">
          <cell r="L278" t="str">
            <v>510-WT5000 HW 150KG</v>
          </cell>
          <cell r="M278" t="str">
            <v>5,000LTR EXTRA HEAVY WEIGHT W/</v>
          </cell>
          <cell r="N278" t="str">
            <v>NNAV.E500</v>
          </cell>
          <cell r="P278" t="str">
            <v>MIN_NPC_001</v>
          </cell>
          <cell r="Q278">
            <v>9472.75</v>
          </cell>
          <cell r="R278" t="str">
            <v>EACH</v>
          </cell>
          <cell r="T278">
            <v>0</v>
          </cell>
          <cell r="U278">
            <v>0</v>
          </cell>
          <cell r="V278">
            <v>0</v>
          </cell>
          <cell r="W278">
            <v>45986</v>
          </cell>
          <cell r="X278">
            <v>0</v>
          </cell>
          <cell r="Y278">
            <v>0</v>
          </cell>
        </row>
        <row r="279">
          <cell r="L279" t="str">
            <v>510-WT1000 0XHW</v>
          </cell>
          <cell r="M279" t="str">
            <v>10,000 EXTRA HEAVY W/TANK 300K</v>
          </cell>
          <cell r="N279" t="str">
            <v>NNAV.E500</v>
          </cell>
          <cell r="P279" t="str">
            <v>MIN_NPC_001</v>
          </cell>
          <cell r="Q279">
            <v>18529.259999999998</v>
          </cell>
          <cell r="R279" t="str">
            <v>EACH</v>
          </cell>
          <cell r="T279">
            <v>0</v>
          </cell>
          <cell r="U279">
            <v>0</v>
          </cell>
          <cell r="V279">
            <v>0</v>
          </cell>
          <cell r="W279">
            <v>45986</v>
          </cell>
          <cell r="X279">
            <v>0</v>
          </cell>
          <cell r="Y279">
            <v>0</v>
          </cell>
        </row>
        <row r="280">
          <cell r="L280" t="str">
            <v>510-WT5000 HW 150KG</v>
          </cell>
          <cell r="M280" t="str">
            <v>5,000LTR EXTRA HEAVY WEIGHT W/</v>
          </cell>
          <cell r="N280" t="str">
            <v>NNAV.E500</v>
          </cell>
          <cell r="P280" t="str">
            <v>MIN_NPC_001</v>
          </cell>
          <cell r="Q280">
            <v>9472.75</v>
          </cell>
          <cell r="R280" t="str">
            <v>EACH</v>
          </cell>
          <cell r="T280">
            <v>0</v>
          </cell>
          <cell r="U280">
            <v>0</v>
          </cell>
          <cell r="V280">
            <v>0</v>
          </cell>
          <cell r="W280">
            <v>45986</v>
          </cell>
          <cell r="X280">
            <v>0</v>
          </cell>
          <cell r="Y280">
            <v>0</v>
          </cell>
        </row>
        <row r="281">
          <cell r="L281" t="str">
            <v>510-WT1000 0XHW</v>
          </cell>
          <cell r="M281" t="str">
            <v>10,000 EXTRA HEAVY W/TANK 300K</v>
          </cell>
          <cell r="N281" t="str">
            <v>NNAV.E500</v>
          </cell>
          <cell r="P281" t="str">
            <v>MIN_NPC_001</v>
          </cell>
          <cell r="Q281">
            <v>18529.259999999998</v>
          </cell>
          <cell r="R281" t="str">
            <v>EACH</v>
          </cell>
          <cell r="T281">
            <v>2</v>
          </cell>
          <cell r="U281">
            <v>0</v>
          </cell>
          <cell r="V281">
            <v>0</v>
          </cell>
          <cell r="W281">
            <v>46031</v>
          </cell>
          <cell r="X281">
            <v>2</v>
          </cell>
          <cell r="Y281">
            <v>37058.519999999997</v>
          </cell>
        </row>
        <row r="282">
          <cell r="L282" t="str">
            <v>510-WT5000 HW 150KG</v>
          </cell>
          <cell r="M282" t="str">
            <v>5,000LTR EXTRA HEAVY WEIGHT W/</v>
          </cell>
          <cell r="N282" t="str">
            <v>NNAV.E500</v>
          </cell>
          <cell r="P282" t="str">
            <v>MIN_NPC_001</v>
          </cell>
          <cell r="Q282">
            <v>9472.75</v>
          </cell>
          <cell r="R282" t="str">
            <v>EACH</v>
          </cell>
          <cell r="T282">
            <v>4</v>
          </cell>
          <cell r="U282">
            <v>0</v>
          </cell>
          <cell r="V282">
            <v>0</v>
          </cell>
          <cell r="W282">
            <v>46031</v>
          </cell>
          <cell r="X282">
            <v>4</v>
          </cell>
          <cell r="Y282">
            <v>37891</v>
          </cell>
        </row>
        <row r="283">
          <cell r="L283" t="str">
            <v>GMP-PG</v>
          </cell>
          <cell r="M283" t="str">
            <v>POLYETHYLENE GROUT MIXER COMP</v>
          </cell>
          <cell r="N283" t="str">
            <v>NNAV.E226</v>
          </cell>
          <cell r="P283" t="str">
            <v>min_srg_002</v>
          </cell>
          <cell r="Q283">
            <v>17541.93</v>
          </cell>
          <cell r="R283" t="str">
            <v>EACH</v>
          </cell>
          <cell r="S283" t="str">
            <v>AUD</v>
          </cell>
          <cell r="T283">
            <v>1</v>
          </cell>
          <cell r="U283">
            <v>0</v>
          </cell>
          <cell r="V283">
            <v>0</v>
          </cell>
          <cell r="W283">
            <v>45954</v>
          </cell>
          <cell r="X283">
            <v>1</v>
          </cell>
          <cell r="Y283">
            <v>17541.93</v>
          </cell>
        </row>
        <row r="284">
          <cell r="L284" t="str">
            <v>GMP-AM</v>
          </cell>
          <cell r="M284" t="str">
            <v>AIR MOTOR MRV050A SM8AMAN</v>
          </cell>
          <cell r="N284" t="str">
            <v>NNAV.E226</v>
          </cell>
          <cell r="P284" t="str">
            <v>min_srg_002</v>
          </cell>
          <cell r="Q284">
            <v>3751.29</v>
          </cell>
          <cell r="R284" t="str">
            <v>EACH</v>
          </cell>
          <cell r="S284" t="str">
            <v>AUD</v>
          </cell>
          <cell r="T284">
            <v>0</v>
          </cell>
          <cell r="U284">
            <v>0</v>
          </cell>
          <cell r="V284">
            <v>0</v>
          </cell>
          <cell r="W284">
            <v>45954</v>
          </cell>
          <cell r="X284">
            <v>0</v>
          </cell>
          <cell r="Y284">
            <v>0</v>
          </cell>
        </row>
        <row r="285">
          <cell r="L285" t="str">
            <v>GMP-AM</v>
          </cell>
          <cell r="M285" t="str">
            <v>AIR MOTOR MRV050A SM8AMAN</v>
          </cell>
          <cell r="N285" t="str">
            <v>NNAV.E226</v>
          </cell>
          <cell r="P285" t="str">
            <v>min_srg_002</v>
          </cell>
          <cell r="Q285">
            <v>3751.29</v>
          </cell>
          <cell r="R285" t="str">
            <v>EACH</v>
          </cell>
          <cell r="S285" t="str">
            <v>AUD</v>
          </cell>
          <cell r="T285">
            <v>1</v>
          </cell>
          <cell r="U285">
            <v>0</v>
          </cell>
          <cell r="V285">
            <v>0</v>
          </cell>
          <cell r="W285">
            <v>45974</v>
          </cell>
          <cell r="X285">
            <v>1</v>
          </cell>
          <cell r="Y285">
            <v>3751.29</v>
          </cell>
        </row>
        <row r="286">
          <cell r="L286" t="str">
            <v>CT10RUNIT</v>
          </cell>
          <cell r="M286" t="str">
            <v>CT10R TENSION UNIT</v>
          </cell>
          <cell r="N286" t="str">
            <v>NNAV.E499</v>
          </cell>
          <cell r="P286" t="str">
            <v>min_srg_002</v>
          </cell>
          <cell r="Q286">
            <v>14106.02</v>
          </cell>
          <cell r="R286" t="str">
            <v>EACH</v>
          </cell>
          <cell r="S286" t="str">
            <v>AUD</v>
          </cell>
          <cell r="T286">
            <v>1</v>
          </cell>
          <cell r="U286">
            <v>0</v>
          </cell>
          <cell r="V286">
            <v>0</v>
          </cell>
          <cell r="W286">
            <v>45954</v>
          </cell>
          <cell r="X286">
            <v>1</v>
          </cell>
          <cell r="Y286">
            <v>14106.02</v>
          </cell>
        </row>
        <row r="287">
          <cell r="L287" t="str">
            <v>MESH2.4X4.5</v>
          </cell>
          <cell r="M287" t="str">
            <v>MESH - 2.40 X 4.50 M - GALV</v>
          </cell>
          <cell r="N287" t="str">
            <v>NNAV.E497</v>
          </cell>
          <cell r="P287" t="str">
            <v>MIN_WIREFORCE_001</v>
          </cell>
          <cell r="Q287">
            <v>846.16</v>
          </cell>
          <cell r="R287" t="str">
            <v>EACH</v>
          </cell>
          <cell r="S287" t="str">
            <v>ZAR</v>
          </cell>
          <cell r="T287">
            <v>0</v>
          </cell>
          <cell r="U287">
            <v>0</v>
          </cell>
          <cell r="V287">
            <v>0</v>
          </cell>
          <cell r="W287">
            <v>45961</v>
          </cell>
          <cell r="X287">
            <v>0</v>
          </cell>
          <cell r="Y287">
            <v>0</v>
          </cell>
        </row>
        <row r="288">
          <cell r="L288" t="str">
            <v>MESH2.4X4.5</v>
          </cell>
          <cell r="M288" t="str">
            <v>MESH - 2.40 X 4.50 M - NON-GAL</v>
          </cell>
          <cell r="N288" t="str">
            <v>NNAV.E497</v>
          </cell>
          <cell r="P288" t="str">
            <v>MIN_WIREFORCE_001</v>
          </cell>
          <cell r="Q288">
            <v>815.85</v>
          </cell>
          <cell r="R288" t="str">
            <v>EACH</v>
          </cell>
          <cell r="S288" t="str">
            <v>ZAR</v>
          </cell>
          <cell r="T288">
            <v>250</v>
          </cell>
          <cell r="U288">
            <v>0</v>
          </cell>
          <cell r="V288">
            <v>0</v>
          </cell>
          <cell r="W288">
            <v>45961</v>
          </cell>
          <cell r="X288">
            <v>250</v>
          </cell>
          <cell r="Y288">
            <v>203962.5</v>
          </cell>
        </row>
        <row r="289">
          <cell r="L289" t="str">
            <v>DM100180040025M</v>
          </cell>
          <cell r="M289" t="str">
            <v>1800 X 100 X 4MM X 25M ROLL FG</v>
          </cell>
          <cell r="N289" t="str">
            <v>NNAV.E497</v>
          </cell>
          <cell r="P289" t="str">
            <v>MIN_WIREFORCE_001</v>
          </cell>
          <cell r="Q289">
            <v>2663.17</v>
          </cell>
          <cell r="R289" t="str">
            <v>ROLL</v>
          </cell>
          <cell r="S289" t="str">
            <v>ZAR</v>
          </cell>
          <cell r="T289">
            <v>20</v>
          </cell>
          <cell r="U289">
            <v>0</v>
          </cell>
          <cell r="V289">
            <v>0</v>
          </cell>
          <cell r="W289">
            <v>45961</v>
          </cell>
          <cell r="X289">
            <v>20</v>
          </cell>
          <cell r="Y289">
            <v>53263.4</v>
          </cell>
        </row>
        <row r="290">
          <cell r="L290" t="str">
            <v>MESH2.4X4.5</v>
          </cell>
          <cell r="M290" t="str">
            <v>MESH - 2.40 X 4.50 M - GALV</v>
          </cell>
          <cell r="N290" t="str">
            <v>NNAV.E497</v>
          </cell>
          <cell r="P290" t="str">
            <v>MIN_WIREFORCE_001</v>
          </cell>
          <cell r="Q290">
            <v>846.16</v>
          </cell>
          <cell r="R290" t="str">
            <v>EACH</v>
          </cell>
          <cell r="S290" t="str">
            <v>ZAR</v>
          </cell>
          <cell r="T290">
            <v>525</v>
          </cell>
          <cell r="U290">
            <v>0</v>
          </cell>
          <cell r="V290">
            <v>0</v>
          </cell>
          <cell r="W290">
            <v>45961</v>
          </cell>
          <cell r="X290">
            <v>525</v>
          </cell>
          <cell r="Y290">
            <v>444234</v>
          </cell>
        </row>
        <row r="291">
          <cell r="L291" t="str">
            <v>MESH2.4X4.5</v>
          </cell>
          <cell r="M291" t="str">
            <v>MESH - 2.40 X 4.50 M - GALV</v>
          </cell>
          <cell r="N291" t="str">
            <v>NNAV.E497</v>
          </cell>
          <cell r="P291" t="str">
            <v>MIN_WIREFORCE_001</v>
          </cell>
          <cell r="Q291">
            <v>846.16</v>
          </cell>
          <cell r="R291" t="str">
            <v>EACH</v>
          </cell>
          <cell r="S291" t="str">
            <v>ZAR</v>
          </cell>
          <cell r="T291">
            <v>525</v>
          </cell>
          <cell r="U291">
            <v>0</v>
          </cell>
          <cell r="V291">
            <v>0</v>
          </cell>
          <cell r="W291">
            <v>45961</v>
          </cell>
          <cell r="X291">
            <v>525</v>
          </cell>
          <cell r="Y291">
            <v>444234</v>
          </cell>
        </row>
        <row r="292">
          <cell r="L292" t="str">
            <v>MESH2.4X4.5</v>
          </cell>
          <cell r="M292" t="str">
            <v>MESH - 2.40 X 4.50 M - GALV</v>
          </cell>
          <cell r="N292" t="str">
            <v>NNAV.E497</v>
          </cell>
          <cell r="P292" t="str">
            <v>MIN_WIREFORCE_001</v>
          </cell>
          <cell r="Q292">
            <v>846.16</v>
          </cell>
          <cell r="R292" t="str">
            <v>EACH</v>
          </cell>
          <cell r="S292" t="str">
            <v>ZAR</v>
          </cell>
          <cell r="T292">
            <v>525</v>
          </cell>
          <cell r="U292">
            <v>0</v>
          </cell>
          <cell r="V292">
            <v>0</v>
          </cell>
          <cell r="W292">
            <v>45961</v>
          </cell>
          <cell r="X292">
            <v>525</v>
          </cell>
          <cell r="Y292">
            <v>444234</v>
          </cell>
        </row>
        <row r="293">
          <cell r="L293" t="str">
            <v>MESH2.4X4.5</v>
          </cell>
          <cell r="M293" t="str">
            <v>MESH - 2.40 X 4.50 M - GALV</v>
          </cell>
          <cell r="N293" t="str">
            <v>NWOL.E497</v>
          </cell>
          <cell r="P293" t="str">
            <v>MIN_WIREFORCE_001</v>
          </cell>
          <cell r="Q293">
            <v>846.16</v>
          </cell>
          <cell r="R293" t="str">
            <v>EACH</v>
          </cell>
          <cell r="S293" t="str">
            <v>ZAR</v>
          </cell>
          <cell r="T293">
            <v>0</v>
          </cell>
          <cell r="U293">
            <v>0</v>
          </cell>
          <cell r="V293">
            <v>0</v>
          </cell>
          <cell r="W293">
            <v>45971</v>
          </cell>
          <cell r="X293">
            <v>0</v>
          </cell>
          <cell r="Y293">
            <v>0</v>
          </cell>
        </row>
        <row r="294">
          <cell r="L294" t="str">
            <v>MESH2.4X4.5</v>
          </cell>
          <cell r="M294" t="str">
            <v>MESH - 2.40 X 4.50 M - NON-GAL</v>
          </cell>
          <cell r="N294" t="str">
            <v>NWOL.E497</v>
          </cell>
          <cell r="P294" t="str">
            <v>MIN_WIREFORCE_001</v>
          </cell>
          <cell r="Q294">
            <v>815.85</v>
          </cell>
          <cell r="R294" t="str">
            <v>EACH</v>
          </cell>
          <cell r="S294" t="str">
            <v>ZAR</v>
          </cell>
          <cell r="T294">
            <v>250</v>
          </cell>
          <cell r="U294">
            <v>0</v>
          </cell>
          <cell r="V294">
            <v>0</v>
          </cell>
          <cell r="W294">
            <v>45971</v>
          </cell>
          <cell r="X294">
            <v>250</v>
          </cell>
          <cell r="Y294">
            <v>203962.5</v>
          </cell>
        </row>
        <row r="295">
          <cell r="L295" t="str">
            <v>DM100180040025M</v>
          </cell>
          <cell r="M295" t="str">
            <v>1800 X 100 X 4MM X 25M ROLL FG</v>
          </cell>
          <cell r="N295" t="str">
            <v>NWOL.E497</v>
          </cell>
          <cell r="P295" t="str">
            <v>MIN_WIREFORCE_001</v>
          </cell>
          <cell r="Q295">
            <v>2663.17</v>
          </cell>
          <cell r="R295" t="str">
            <v>ROLL</v>
          </cell>
          <cell r="S295" t="str">
            <v>ZAR</v>
          </cell>
          <cell r="T295">
            <v>20</v>
          </cell>
          <cell r="U295">
            <v>0</v>
          </cell>
          <cell r="V295">
            <v>0</v>
          </cell>
          <cell r="W295">
            <v>45971</v>
          </cell>
          <cell r="X295">
            <v>20</v>
          </cell>
          <cell r="Y295">
            <v>53263.4</v>
          </cell>
        </row>
        <row r="296">
          <cell r="L296" t="str">
            <v>MESH2.4X4.5</v>
          </cell>
          <cell r="M296" t="str">
            <v>MESH - 2.40 X 4.50 M - GALV</v>
          </cell>
          <cell r="N296" t="str">
            <v>NWOL.E497</v>
          </cell>
          <cell r="P296" t="str">
            <v>MIN_WIREFORCE_001</v>
          </cell>
          <cell r="Q296">
            <v>846.16</v>
          </cell>
          <cell r="R296" t="str">
            <v>EACH</v>
          </cell>
          <cell r="S296" t="str">
            <v>ZAR</v>
          </cell>
          <cell r="T296">
            <v>1575</v>
          </cell>
          <cell r="U296">
            <v>0</v>
          </cell>
          <cell r="V296">
            <v>0</v>
          </cell>
          <cell r="W296">
            <v>45971</v>
          </cell>
          <cell r="X296">
            <v>1575</v>
          </cell>
          <cell r="Y296">
            <v>1332702</v>
          </cell>
        </row>
        <row r="297">
          <cell r="L297" t="str">
            <v>MESH2.4X4.5</v>
          </cell>
          <cell r="M297" t="str">
            <v>MESH - 2.40 X 4.50 M - NON-GAL</v>
          </cell>
          <cell r="N297" t="str">
            <v>NWOL.E497</v>
          </cell>
          <cell r="P297" t="str">
            <v>MIN_WIREFORCE_001</v>
          </cell>
          <cell r="Q297">
            <v>815.85</v>
          </cell>
          <cell r="R297" t="str">
            <v>EACH</v>
          </cell>
          <cell r="S297" t="str">
            <v>ZAR</v>
          </cell>
          <cell r="T297">
            <v>-250</v>
          </cell>
          <cell r="U297">
            <v>0</v>
          </cell>
          <cell r="V297">
            <v>0</v>
          </cell>
          <cell r="W297">
            <v>45971</v>
          </cell>
          <cell r="X297">
            <v>-250</v>
          </cell>
          <cell r="Y297">
            <v>-203962.5</v>
          </cell>
        </row>
        <row r="298">
          <cell r="L298" t="str">
            <v>DM100180040025M</v>
          </cell>
          <cell r="M298" t="str">
            <v>1800 X 100 X 4MM X 25M ROLL FG</v>
          </cell>
          <cell r="N298" t="str">
            <v>NWOL.E497</v>
          </cell>
          <cell r="P298" t="str">
            <v>MIN_WIREFORCE_001</v>
          </cell>
          <cell r="Q298">
            <v>2663.17</v>
          </cell>
          <cell r="R298" t="str">
            <v>ROLL</v>
          </cell>
          <cell r="S298" t="str">
            <v>ZAR</v>
          </cell>
          <cell r="T298">
            <v>-20</v>
          </cell>
          <cell r="U298">
            <v>0</v>
          </cell>
          <cell r="V298">
            <v>0</v>
          </cell>
          <cell r="W298">
            <v>45971</v>
          </cell>
          <cell r="X298">
            <v>-20</v>
          </cell>
          <cell r="Y298">
            <v>-53263.4</v>
          </cell>
        </row>
        <row r="299">
          <cell r="L299" t="str">
            <v>MESH2.4X4.5</v>
          </cell>
          <cell r="M299" t="str">
            <v>MESH - 2.40 X 4.50 M - GALV</v>
          </cell>
          <cell r="N299" t="str">
            <v>NWOL.E497</v>
          </cell>
          <cell r="P299" t="str">
            <v>MIN_WIREFORCE_001</v>
          </cell>
          <cell r="Q299">
            <v>846.16</v>
          </cell>
          <cell r="R299" t="str">
            <v>EACH</v>
          </cell>
          <cell r="S299" t="str">
            <v>ZAR</v>
          </cell>
          <cell r="T299">
            <v>-1575</v>
          </cell>
          <cell r="U299">
            <v>0</v>
          </cell>
          <cell r="V299">
            <v>0</v>
          </cell>
          <cell r="W299">
            <v>45971</v>
          </cell>
          <cell r="X299">
            <v>-1575</v>
          </cell>
          <cell r="Y299">
            <v>-1332702</v>
          </cell>
        </row>
        <row r="300">
          <cell r="L300" t="str">
            <v>0110PN160H100M</v>
          </cell>
          <cell r="M300" t="str">
            <v>110MM HDPE PN16 PE100 PLAIN EN</v>
          </cell>
          <cell r="N300" t="str">
            <v>NNAV.E499</v>
          </cell>
          <cell r="P300" t="str">
            <v>"MIN_SINVAC_001_NNAV</v>
          </cell>
          <cell r="Q300">
            <v>10329</v>
          </cell>
          <cell r="R300" t="str">
            <v>ROLL</v>
          </cell>
          <cell r="S300" t="str">
            <v>ZAR</v>
          </cell>
          <cell r="T300">
            <v>20</v>
          </cell>
          <cell r="U300">
            <v>0</v>
          </cell>
          <cell r="V300">
            <v>0</v>
          </cell>
          <cell r="W300">
            <v>45902</v>
          </cell>
          <cell r="X300">
            <v>20</v>
          </cell>
          <cell r="Y300">
            <v>206580</v>
          </cell>
        </row>
        <row r="301">
          <cell r="L301" t="str">
            <v>0063PN125H100M</v>
          </cell>
          <cell r="M301" t="str">
            <v>63MM HDPE PN12.5 PE100 PLAIN E</v>
          </cell>
          <cell r="N301" t="str">
            <v>NNAV.E499</v>
          </cell>
          <cell r="P301" t="str">
            <v>"MIN_SINVAC_001_NNAV</v>
          </cell>
          <cell r="Q301">
            <v>3045</v>
          </cell>
          <cell r="R301" t="str">
            <v>ROLL</v>
          </cell>
          <cell r="S301" t="str">
            <v>ZAR</v>
          </cell>
          <cell r="T301">
            <v>10</v>
          </cell>
          <cell r="U301">
            <v>0</v>
          </cell>
          <cell r="V301">
            <v>0</v>
          </cell>
          <cell r="W301">
            <v>45902</v>
          </cell>
          <cell r="X301">
            <v>10</v>
          </cell>
          <cell r="Y301">
            <v>30450</v>
          </cell>
        </row>
        <row r="302">
          <cell r="L302" t="str">
            <v>LG1222-06</v>
          </cell>
          <cell r="M302" t="str">
            <v>0.6m / 2ft Tapered Drill Steel</v>
          </cell>
          <cell r="N302" t="str">
            <v>NNAV.E149</v>
          </cell>
          <cell r="P302" t="str">
            <v>MIN_DOWN_002</v>
          </cell>
          <cell r="Q302">
            <v>87</v>
          </cell>
          <cell r="R302" t="str">
            <v>EACH</v>
          </cell>
          <cell r="S302" t="str">
            <v>AUD</v>
          </cell>
          <cell r="T302">
            <v>6</v>
          </cell>
          <cell r="U302">
            <v>0</v>
          </cell>
          <cell r="V302">
            <v>0</v>
          </cell>
          <cell r="W302">
            <v>45848</v>
          </cell>
          <cell r="X302">
            <v>6</v>
          </cell>
          <cell r="Y302">
            <v>522</v>
          </cell>
        </row>
        <row r="303">
          <cell r="L303" t="str">
            <v>TDS-1222-06</v>
          </cell>
          <cell r="M303" t="str">
            <v>Tapered Drill Steel 12deg. 600</v>
          </cell>
          <cell r="N303" t="str">
            <v>NNAV.E149</v>
          </cell>
          <cell r="P303" t="str">
            <v>MIN_DOWN_002</v>
          </cell>
          <cell r="Q303">
            <v>73.5</v>
          </cell>
          <cell r="R303" t="str">
            <v>EACH</v>
          </cell>
          <cell r="S303" t="str">
            <v>AUD</v>
          </cell>
          <cell r="T303">
            <v>6</v>
          </cell>
          <cell r="U303">
            <v>0</v>
          </cell>
          <cell r="V303">
            <v>0</v>
          </cell>
          <cell r="W303">
            <v>45848</v>
          </cell>
          <cell r="X303">
            <v>6</v>
          </cell>
          <cell r="Y303">
            <v>441</v>
          </cell>
        </row>
        <row r="304">
          <cell r="L304" t="str">
            <v>TDS-1222-12</v>
          </cell>
          <cell r="M304" t="str">
            <v>Tapered Drill Steel 12deg. 120</v>
          </cell>
          <cell r="N304" t="str">
            <v>NNAV.E149</v>
          </cell>
          <cell r="P304" t="str">
            <v>MIN_DOWN_002</v>
          </cell>
          <cell r="Q304">
            <v>96.2</v>
          </cell>
          <cell r="R304" t="str">
            <v>EACH</v>
          </cell>
          <cell r="S304" t="str">
            <v>AUD</v>
          </cell>
          <cell r="T304">
            <v>10</v>
          </cell>
          <cell r="U304">
            <v>0</v>
          </cell>
          <cell r="V304">
            <v>0</v>
          </cell>
          <cell r="W304">
            <v>45848</v>
          </cell>
          <cell r="X304">
            <v>10</v>
          </cell>
          <cell r="Y304">
            <v>962</v>
          </cell>
        </row>
        <row r="305">
          <cell r="L305" t="str">
            <v>TDS-1222-18</v>
          </cell>
          <cell r="M305" t="str">
            <v>Tapered Drill Steel 12deg. 180</v>
          </cell>
          <cell r="N305" t="str">
            <v>NNAV.E149</v>
          </cell>
          <cell r="P305" t="str">
            <v>MIN_DOWN_002</v>
          </cell>
          <cell r="Q305">
            <v>122.5</v>
          </cell>
          <cell r="R305" t="str">
            <v>EACH</v>
          </cell>
          <cell r="S305" t="str">
            <v>AUD</v>
          </cell>
          <cell r="T305">
            <v>5</v>
          </cell>
          <cell r="U305">
            <v>0</v>
          </cell>
          <cell r="V305">
            <v>0</v>
          </cell>
          <cell r="W305">
            <v>45848</v>
          </cell>
          <cell r="X305">
            <v>5</v>
          </cell>
          <cell r="Y305">
            <v>612.5</v>
          </cell>
        </row>
        <row r="306">
          <cell r="L306" t="str">
            <v>RDO220-NOMD-20</v>
          </cell>
          <cell r="M306" t="str">
            <v>BIOAIR ROCKDRILL OIL</v>
          </cell>
          <cell r="N306" t="str">
            <v>NNAV.E149</v>
          </cell>
          <cell r="P306" t="str">
            <v>MIN_DOWN_002</v>
          </cell>
          <cell r="Q306">
            <v>150</v>
          </cell>
          <cell r="R306" t="str">
            <v>EACH</v>
          </cell>
          <cell r="S306" t="str">
            <v>AUD</v>
          </cell>
          <cell r="T306">
            <v>6</v>
          </cell>
          <cell r="U306">
            <v>0</v>
          </cell>
          <cell r="V306">
            <v>0</v>
          </cell>
          <cell r="W306">
            <v>45848</v>
          </cell>
          <cell r="X306">
            <v>6</v>
          </cell>
          <cell r="Y306">
            <v>900</v>
          </cell>
        </row>
        <row r="307">
          <cell r="L307" t="str">
            <v>930733MM</v>
          </cell>
          <cell r="M307" t="str">
            <v>SPLIT SET DOLLY 33MM</v>
          </cell>
          <cell r="N307" t="str">
            <v>NNAV.E149</v>
          </cell>
          <cell r="P307" t="str">
            <v>MIN_DOWN_002</v>
          </cell>
          <cell r="Q307">
            <v>177</v>
          </cell>
          <cell r="R307" t="str">
            <v>EACH</v>
          </cell>
          <cell r="S307" t="str">
            <v>AUD</v>
          </cell>
          <cell r="T307">
            <v>10</v>
          </cell>
          <cell r="U307">
            <v>0</v>
          </cell>
          <cell r="V307">
            <v>0</v>
          </cell>
          <cell r="W307">
            <v>45848</v>
          </cell>
          <cell r="X307">
            <v>10</v>
          </cell>
          <cell r="Y307">
            <v>1770</v>
          </cell>
        </row>
        <row r="308">
          <cell r="L308" t="str">
            <v>9 30713-018SETA</v>
          </cell>
          <cell r="M308" t="str">
            <v>Boar Max Plus &amp; DT180 Set w/Se</v>
          </cell>
          <cell r="N308" t="str">
            <v>NNAV.E149</v>
          </cell>
          <cell r="P308" t="str">
            <v>MIN_DOWN_002</v>
          </cell>
          <cell r="Q308">
            <v>6930</v>
          </cell>
          <cell r="R308" t="str">
            <v>EACH</v>
          </cell>
          <cell r="S308" t="str">
            <v>AUD</v>
          </cell>
          <cell r="T308">
            <v>1</v>
          </cell>
          <cell r="U308">
            <v>0</v>
          </cell>
          <cell r="V308">
            <v>0</v>
          </cell>
          <cell r="W308">
            <v>45848</v>
          </cell>
          <cell r="X308">
            <v>1</v>
          </cell>
          <cell r="Y308">
            <v>6930</v>
          </cell>
        </row>
        <row r="309">
          <cell r="L309" t="str">
            <v>BIT-32-7B-12-22-CO</v>
          </cell>
          <cell r="M309" t="str">
            <v>32MM BUTTON KNOCK ON BITS</v>
          </cell>
          <cell r="N309" t="str">
            <v>NNAV.E149</v>
          </cell>
          <cell r="P309" t="str">
            <v>MIN_DOWN_002</v>
          </cell>
          <cell r="Q309">
            <v>23.5</v>
          </cell>
          <cell r="R309" t="str">
            <v>EACH</v>
          </cell>
          <cell r="S309" t="str">
            <v>AUD</v>
          </cell>
          <cell r="T309">
            <v>80</v>
          </cell>
          <cell r="U309">
            <v>0</v>
          </cell>
          <cell r="V309">
            <v>0</v>
          </cell>
          <cell r="W309">
            <v>45848</v>
          </cell>
          <cell r="X309">
            <v>80</v>
          </cell>
          <cell r="Y309">
            <v>1880</v>
          </cell>
        </row>
        <row r="310">
          <cell r="L310" t="str">
            <v>08/066/02/000</v>
          </cell>
          <cell r="M310" t="str">
            <v>LUBRICATOR OIL BOTTLE</v>
          </cell>
          <cell r="N310" t="str">
            <v>NNAV.E499</v>
          </cell>
          <cell r="P310" t="str">
            <v>MIN_DIXON_003</v>
          </cell>
          <cell r="Q310">
            <v>135.83000000000001</v>
          </cell>
          <cell r="R310" t="str">
            <v>EACH</v>
          </cell>
          <cell r="S310" t="str">
            <v>AUD</v>
          </cell>
          <cell r="T310">
            <v>2</v>
          </cell>
          <cell r="U310">
            <v>0</v>
          </cell>
          <cell r="V310">
            <v>0</v>
          </cell>
          <cell r="W310">
            <v>45855</v>
          </cell>
          <cell r="X310">
            <v>2</v>
          </cell>
          <cell r="Y310">
            <v>271.66000000000003</v>
          </cell>
        </row>
        <row r="311">
          <cell r="L311" t="str">
            <v>SSDGR333R</v>
          </cell>
          <cell r="M311" t="str">
            <v>SUMP SIGN DANGER 450 / 300</v>
          </cell>
          <cell r="N311" t="str">
            <v>NNAV.E575</v>
          </cell>
          <cell r="P311" t="str">
            <v>MIN_SSS_001</v>
          </cell>
          <cell r="Q311">
            <v>15.53</v>
          </cell>
          <cell r="R311" t="str">
            <v>EACH</v>
          </cell>
          <cell r="S311" t="str">
            <v>AUD</v>
          </cell>
          <cell r="T311">
            <v>20</v>
          </cell>
          <cell r="U311">
            <v>0</v>
          </cell>
          <cell r="V311">
            <v>0</v>
          </cell>
          <cell r="W311">
            <v>45855</v>
          </cell>
          <cell r="X311">
            <v>20</v>
          </cell>
          <cell r="Y311">
            <v>310.60000000000002</v>
          </cell>
        </row>
        <row r="312">
          <cell r="L312" t="str">
            <v>SSDGR38R</v>
          </cell>
          <cell r="M312" t="str">
            <v>NO UNAUTHORISED ENTRY SIGN DAN</v>
          </cell>
          <cell r="N312" t="str">
            <v>NNAV.E575</v>
          </cell>
          <cell r="P312" t="str">
            <v>MIN_SSS_001</v>
          </cell>
          <cell r="Q312">
            <v>15.53</v>
          </cell>
          <cell r="R312" t="str">
            <v>EACH</v>
          </cell>
          <cell r="S312" t="str">
            <v>AUD</v>
          </cell>
          <cell r="T312">
            <v>20</v>
          </cell>
          <cell r="U312">
            <v>0</v>
          </cell>
          <cell r="V312">
            <v>0</v>
          </cell>
          <cell r="W312">
            <v>45855</v>
          </cell>
          <cell r="X312">
            <v>20</v>
          </cell>
          <cell r="Y312">
            <v>310.60000000000002</v>
          </cell>
        </row>
        <row r="313">
          <cell r="L313" t="str">
            <v>SSDGR141R</v>
          </cell>
          <cell r="M313" t="str">
            <v>CHARGED FACE SIGN DANGER 450 /</v>
          </cell>
          <cell r="N313" t="str">
            <v>NNAV.E575</v>
          </cell>
          <cell r="P313" t="str">
            <v>MIN_SSS_001</v>
          </cell>
          <cell r="Q313">
            <v>15.53</v>
          </cell>
          <cell r="R313" t="str">
            <v>EACH</v>
          </cell>
          <cell r="S313" t="str">
            <v>AUD</v>
          </cell>
          <cell r="T313">
            <v>20</v>
          </cell>
          <cell r="U313">
            <v>0</v>
          </cell>
          <cell r="V313">
            <v>0</v>
          </cell>
          <cell r="W313">
            <v>45855</v>
          </cell>
          <cell r="X313">
            <v>20</v>
          </cell>
          <cell r="Y313">
            <v>310.60000000000002</v>
          </cell>
        </row>
        <row r="314">
          <cell r="L314" t="str">
            <v>SSDGR343R</v>
          </cell>
          <cell r="M314" t="str">
            <v>CHARGING IN PROGRESS SIGN DANG</v>
          </cell>
          <cell r="N314" t="str">
            <v>NNAV.E575</v>
          </cell>
          <cell r="P314" t="str">
            <v>MIN_SSS_001</v>
          </cell>
          <cell r="Q314">
            <v>15.53</v>
          </cell>
          <cell r="R314" t="str">
            <v>EACH</v>
          </cell>
          <cell r="S314" t="str">
            <v>AUD</v>
          </cell>
          <cell r="T314">
            <v>20</v>
          </cell>
          <cell r="U314">
            <v>0</v>
          </cell>
          <cell r="V314">
            <v>0</v>
          </cell>
          <cell r="W314">
            <v>45855</v>
          </cell>
          <cell r="X314">
            <v>20</v>
          </cell>
          <cell r="Y314">
            <v>310.60000000000002</v>
          </cell>
        </row>
        <row r="315">
          <cell r="L315" t="str">
            <v>SSDGR336R</v>
          </cell>
          <cell r="M315" t="str">
            <v>UNSUPPORTED GROUND SIGN DANGER</v>
          </cell>
          <cell r="N315" t="str">
            <v>NNAV.E575</v>
          </cell>
          <cell r="P315" t="str">
            <v>MIN_SSS_001</v>
          </cell>
          <cell r="Q315">
            <v>15.53</v>
          </cell>
          <cell r="R315" t="str">
            <v>EACH</v>
          </cell>
          <cell r="S315" t="str">
            <v>AUD</v>
          </cell>
          <cell r="T315">
            <v>20</v>
          </cell>
          <cell r="U315">
            <v>0</v>
          </cell>
          <cell r="V315">
            <v>0</v>
          </cell>
          <cell r="W315">
            <v>45855</v>
          </cell>
          <cell r="X315">
            <v>20</v>
          </cell>
          <cell r="Y315">
            <v>310.60000000000002</v>
          </cell>
        </row>
        <row r="316">
          <cell r="L316" t="str">
            <v>SSDGR56R</v>
          </cell>
          <cell r="M316" t="str">
            <v>BLANK SIGN DANGER 450 / 300</v>
          </cell>
          <cell r="N316" t="str">
            <v>NNAV.E575</v>
          </cell>
          <cell r="P316" t="str">
            <v>MIN_SSS_001</v>
          </cell>
          <cell r="Q316">
            <v>15.53</v>
          </cell>
          <cell r="R316" t="str">
            <v>EACH</v>
          </cell>
          <cell r="S316" t="str">
            <v>AUD</v>
          </cell>
          <cell r="T316">
            <v>20</v>
          </cell>
          <cell r="U316">
            <v>0</v>
          </cell>
          <cell r="V316">
            <v>0</v>
          </cell>
          <cell r="W316">
            <v>45855</v>
          </cell>
          <cell r="X316">
            <v>20</v>
          </cell>
          <cell r="Y316">
            <v>310.60000000000002</v>
          </cell>
        </row>
        <row r="317">
          <cell r="L317" t="str">
            <v>SSDGR327R</v>
          </cell>
          <cell r="M317" t="str">
            <v>NO SMOKING WITHIN 10 MTRS SIGN</v>
          </cell>
          <cell r="N317" t="str">
            <v>NNAV.E575</v>
          </cell>
          <cell r="P317" t="str">
            <v>MIN_SSS_001</v>
          </cell>
          <cell r="Q317">
            <v>15.53</v>
          </cell>
          <cell r="R317" t="str">
            <v>EACH</v>
          </cell>
          <cell r="S317" t="str">
            <v>AUD</v>
          </cell>
          <cell r="T317">
            <v>12</v>
          </cell>
          <cell r="U317">
            <v>0</v>
          </cell>
          <cell r="V317">
            <v>0</v>
          </cell>
          <cell r="W317">
            <v>45855</v>
          </cell>
          <cell r="X317">
            <v>12</v>
          </cell>
          <cell r="Y317">
            <v>186.36</v>
          </cell>
        </row>
        <row r="318">
          <cell r="L318" t="str">
            <v>SSDGR3</v>
          </cell>
          <cell r="M318" t="str">
            <v>NO SMOKING STOP ENGINE SIGN DA</v>
          </cell>
          <cell r="N318" t="str">
            <v>NNAV.E575</v>
          </cell>
          <cell r="P318" t="str">
            <v>MIN_SSS_001</v>
          </cell>
          <cell r="Q318">
            <v>12.2</v>
          </cell>
          <cell r="R318" t="str">
            <v>EACH</v>
          </cell>
          <cell r="S318" t="str">
            <v>AUD</v>
          </cell>
          <cell r="T318">
            <v>6</v>
          </cell>
          <cell r="U318">
            <v>0</v>
          </cell>
          <cell r="V318">
            <v>0</v>
          </cell>
          <cell r="W318">
            <v>45855</v>
          </cell>
          <cell r="X318">
            <v>6</v>
          </cell>
          <cell r="Y318">
            <v>73.2</v>
          </cell>
        </row>
        <row r="319">
          <cell r="L319" t="str">
            <v>SSDGR323</v>
          </cell>
          <cell r="M319" t="str">
            <v>FIRING IN PROGRESS SIGN DANGER</v>
          </cell>
          <cell r="N319" t="str">
            <v>NNAV.E575</v>
          </cell>
          <cell r="P319" t="str">
            <v>MIN_SSS_001</v>
          </cell>
          <cell r="Q319">
            <v>14</v>
          </cell>
          <cell r="R319" t="str">
            <v>EACH</v>
          </cell>
          <cell r="S319" t="str">
            <v>AUD</v>
          </cell>
          <cell r="T319">
            <v>15</v>
          </cell>
          <cell r="U319">
            <v>0</v>
          </cell>
          <cell r="V319">
            <v>0</v>
          </cell>
          <cell r="W319">
            <v>45855</v>
          </cell>
          <cell r="X319">
            <v>15</v>
          </cell>
          <cell r="Y319">
            <v>210</v>
          </cell>
        </row>
        <row r="320">
          <cell r="L320" t="str">
            <v>SSBCMA5</v>
          </cell>
          <cell r="M320" t="str">
            <v>GREEN/WHITE FIRST AID KIT SIGN</v>
          </cell>
          <cell r="N320" t="str">
            <v>NNAV.E575</v>
          </cell>
          <cell r="P320" t="str">
            <v>MIN_SSS_001</v>
          </cell>
          <cell r="Q320">
            <v>5.85</v>
          </cell>
          <cell r="R320" t="str">
            <v>EACH</v>
          </cell>
          <cell r="S320" t="str">
            <v>AUD</v>
          </cell>
          <cell r="T320">
            <v>15</v>
          </cell>
          <cell r="U320">
            <v>0</v>
          </cell>
          <cell r="V320">
            <v>0</v>
          </cell>
          <cell r="W320">
            <v>45855</v>
          </cell>
          <cell r="X320">
            <v>15</v>
          </cell>
          <cell r="Y320">
            <v>87.75</v>
          </cell>
        </row>
        <row r="321">
          <cell r="L321" t="str">
            <v>SSDGR148R</v>
          </cell>
          <cell r="M321" t="str">
            <v>NO ENTRY SIGN DANGER 450 / 300</v>
          </cell>
          <cell r="N321" t="str">
            <v>NNAV.E575</v>
          </cell>
          <cell r="P321" t="str">
            <v>MIN_SSS_001</v>
          </cell>
          <cell r="Q321">
            <v>15.53</v>
          </cell>
          <cell r="R321" t="str">
            <v>EACH</v>
          </cell>
          <cell r="S321" t="str">
            <v>AUD</v>
          </cell>
          <cell r="T321">
            <v>10</v>
          </cell>
          <cell r="U321">
            <v>0</v>
          </cell>
          <cell r="V321">
            <v>0</v>
          </cell>
          <cell r="W321">
            <v>45855</v>
          </cell>
          <cell r="X321">
            <v>10</v>
          </cell>
          <cell r="Y321">
            <v>155.30000000000001</v>
          </cell>
        </row>
        <row r="322">
          <cell r="L322" t="str">
            <v>SSDGR55R</v>
          </cell>
          <cell r="M322" t="str">
            <v>EXPLOSIVES SIGN DANGER 450 / 3</v>
          </cell>
          <cell r="N322" t="str">
            <v>NNAV.E575</v>
          </cell>
          <cell r="P322" t="str">
            <v>MIN_SSS_001</v>
          </cell>
          <cell r="Q322">
            <v>15.53</v>
          </cell>
          <cell r="R322" t="str">
            <v>EACH</v>
          </cell>
          <cell r="S322" t="str">
            <v>AUD</v>
          </cell>
          <cell r="T322">
            <v>20</v>
          </cell>
          <cell r="U322">
            <v>0</v>
          </cell>
          <cell r="V322">
            <v>0</v>
          </cell>
          <cell r="W322">
            <v>45855</v>
          </cell>
          <cell r="X322">
            <v>20</v>
          </cell>
          <cell r="Y322">
            <v>310.60000000000002</v>
          </cell>
        </row>
        <row r="323">
          <cell r="L323" t="str">
            <v>SSE2-30</v>
          </cell>
          <cell r="M323" t="str">
            <v>EXPLOSIVE DIAMONDS SIGN  300 /</v>
          </cell>
          <cell r="N323" t="str">
            <v>NNAV.E575</v>
          </cell>
          <cell r="P323" t="str">
            <v>MIN_SSS_001</v>
          </cell>
          <cell r="Q323">
            <v>12.2</v>
          </cell>
          <cell r="R323" t="str">
            <v>EACH</v>
          </cell>
          <cell r="S323" t="str">
            <v>AUD</v>
          </cell>
          <cell r="T323">
            <v>12</v>
          </cell>
          <cell r="U323">
            <v>0</v>
          </cell>
          <cell r="V323">
            <v>0</v>
          </cell>
          <cell r="W323">
            <v>45855</v>
          </cell>
          <cell r="X323">
            <v>12</v>
          </cell>
          <cell r="Y323">
            <v>146.4</v>
          </cell>
        </row>
        <row r="324">
          <cell r="L324" t="str">
            <v>SSPRA163R</v>
          </cell>
          <cell r="M324" t="str">
            <v>REFLECTIVE TAPE C2 SIGN  50MM</v>
          </cell>
          <cell r="N324" t="str">
            <v>NNAV.E575</v>
          </cell>
          <cell r="P324" t="str">
            <v>MIN_SSS_001</v>
          </cell>
          <cell r="Q324">
            <v>116.03</v>
          </cell>
          <cell r="R324" t="str">
            <v>EACH</v>
          </cell>
          <cell r="S324" t="str">
            <v>AUD</v>
          </cell>
          <cell r="T324">
            <v>10</v>
          </cell>
          <cell r="U324">
            <v>0</v>
          </cell>
          <cell r="V324">
            <v>0</v>
          </cell>
          <cell r="W324">
            <v>45855</v>
          </cell>
          <cell r="X324">
            <v>10</v>
          </cell>
          <cell r="Y324">
            <v>1160.3</v>
          </cell>
        </row>
        <row r="325">
          <cell r="L325" t="str">
            <v>SSVH20</v>
          </cell>
          <cell r="M325" t="str">
            <v>DIAMOND HOLDER SIGN  300 / 300</v>
          </cell>
          <cell r="N325" t="str">
            <v>NNAV.E575</v>
          </cell>
          <cell r="P325" t="str">
            <v>MIN_SSS_001</v>
          </cell>
          <cell r="Q325">
            <v>11</v>
          </cell>
          <cell r="R325" t="str">
            <v>EACH</v>
          </cell>
          <cell r="S325" t="str">
            <v>AUD</v>
          </cell>
          <cell r="T325">
            <v>6</v>
          </cell>
          <cell r="U325">
            <v>0</v>
          </cell>
          <cell r="V325">
            <v>0</v>
          </cell>
          <cell r="W325">
            <v>45855</v>
          </cell>
          <cell r="X325">
            <v>6</v>
          </cell>
          <cell r="Y325">
            <v>66</v>
          </cell>
        </row>
        <row r="326">
          <cell r="L326" t="str">
            <v>SSBCM11R</v>
          </cell>
          <cell r="M326" t="str">
            <v>RE ENTRY IN PROGRESS BLACK/WHI</v>
          </cell>
          <cell r="N326" t="str">
            <v>NNAV.E575</v>
          </cell>
          <cell r="P326" t="str">
            <v>MIN_SSS_001</v>
          </cell>
          <cell r="Q326">
            <v>15.53</v>
          </cell>
          <cell r="R326" t="str">
            <v>EACH</v>
          </cell>
          <cell r="S326" t="str">
            <v>AUD</v>
          </cell>
          <cell r="T326">
            <v>15</v>
          </cell>
          <cell r="U326">
            <v>0</v>
          </cell>
          <cell r="V326">
            <v>0</v>
          </cell>
          <cell r="W326">
            <v>45855</v>
          </cell>
          <cell r="X326">
            <v>15</v>
          </cell>
          <cell r="Y326">
            <v>232.95</v>
          </cell>
        </row>
        <row r="327">
          <cell r="L327" t="str">
            <v>SSBCM26R</v>
          </cell>
          <cell r="M327" t="str">
            <v>HAVE YOU REMOVED YOUR TAG SIGN</v>
          </cell>
          <cell r="N327" t="str">
            <v>NNAV.E575</v>
          </cell>
          <cell r="P327" t="str">
            <v>MIN_SSS_001</v>
          </cell>
          <cell r="Q327">
            <v>32.6</v>
          </cell>
          <cell r="R327" t="str">
            <v>EACH</v>
          </cell>
          <cell r="S327" t="str">
            <v>AUD</v>
          </cell>
          <cell r="T327">
            <v>4</v>
          </cell>
          <cell r="U327">
            <v>0</v>
          </cell>
          <cell r="V327">
            <v>0</v>
          </cell>
          <cell r="W327">
            <v>45855</v>
          </cell>
          <cell r="X327">
            <v>4</v>
          </cell>
          <cell r="Y327">
            <v>130.4</v>
          </cell>
        </row>
        <row r="328">
          <cell r="L328" t="str">
            <v>SSBCM51R</v>
          </cell>
          <cell r="M328" t="str">
            <v>REFUGE CHAMBER SIGN  450/300</v>
          </cell>
          <cell r="N328" t="str">
            <v>NNAV.E575</v>
          </cell>
          <cell r="P328" t="str">
            <v>MIN_SSS_001</v>
          </cell>
          <cell r="Q328">
            <v>17.149999999999999</v>
          </cell>
          <cell r="R328" t="str">
            <v>EACH</v>
          </cell>
          <cell r="S328" t="str">
            <v>AUD</v>
          </cell>
          <cell r="T328">
            <v>10</v>
          </cell>
          <cell r="U328">
            <v>0</v>
          </cell>
          <cell r="V328">
            <v>0</v>
          </cell>
          <cell r="W328">
            <v>45855</v>
          </cell>
          <cell r="X328">
            <v>10</v>
          </cell>
          <cell r="Y328">
            <v>171.5</v>
          </cell>
        </row>
        <row r="329">
          <cell r="L329" t="str">
            <v>SSF173</v>
          </cell>
          <cell r="M329" t="str">
            <v>ARROW REFLECTIVE SIGN  600/180</v>
          </cell>
          <cell r="N329" t="str">
            <v>NNAV.E575</v>
          </cell>
          <cell r="P329" t="str">
            <v>MIN_SSS_001</v>
          </cell>
          <cell r="Q329">
            <v>16</v>
          </cell>
          <cell r="R329" t="str">
            <v>EACH</v>
          </cell>
          <cell r="S329" t="str">
            <v>AUD</v>
          </cell>
          <cell r="T329">
            <v>50</v>
          </cell>
          <cell r="U329">
            <v>0</v>
          </cell>
          <cell r="V329">
            <v>0</v>
          </cell>
          <cell r="W329">
            <v>45855</v>
          </cell>
          <cell r="X329">
            <v>50</v>
          </cell>
          <cell r="Y329">
            <v>800</v>
          </cell>
        </row>
        <row r="330">
          <cell r="L330" t="str">
            <v>SSG21R-10</v>
          </cell>
          <cell r="M330" t="str">
            <v>10 KPH SIGN  450 / 600</v>
          </cell>
          <cell r="N330" t="str">
            <v>NNAV.E575</v>
          </cell>
          <cell r="P330" t="str">
            <v>MIN_SSS_001</v>
          </cell>
          <cell r="Q330">
            <v>22.68</v>
          </cell>
          <cell r="R330" t="str">
            <v>EACH</v>
          </cell>
          <cell r="S330" t="str">
            <v>AUD</v>
          </cell>
          <cell r="T330">
            <v>15</v>
          </cell>
          <cell r="U330">
            <v>0</v>
          </cell>
          <cell r="V330">
            <v>0</v>
          </cell>
          <cell r="W330">
            <v>45855</v>
          </cell>
          <cell r="X330">
            <v>15</v>
          </cell>
          <cell r="Y330">
            <v>340.2</v>
          </cell>
        </row>
        <row r="331">
          <cell r="L331" t="str">
            <v>SSG21R-30</v>
          </cell>
          <cell r="M331" t="str">
            <v>30 KPH SIGN  450 / 600</v>
          </cell>
          <cell r="N331" t="str">
            <v>NNAV.E575</v>
          </cell>
          <cell r="P331" t="str">
            <v>MIN_SSS_001</v>
          </cell>
          <cell r="Q331">
            <v>22.68</v>
          </cell>
          <cell r="R331" t="str">
            <v>EACH</v>
          </cell>
          <cell r="S331" t="str">
            <v>AUD</v>
          </cell>
          <cell r="T331">
            <v>20</v>
          </cell>
          <cell r="U331">
            <v>0</v>
          </cell>
          <cell r="V331">
            <v>0</v>
          </cell>
          <cell r="W331">
            <v>45855</v>
          </cell>
          <cell r="X331">
            <v>20</v>
          </cell>
          <cell r="Y331">
            <v>453.6</v>
          </cell>
        </row>
        <row r="332">
          <cell r="L332" t="str">
            <v>SS840972</v>
          </cell>
          <cell r="M332" t="str">
            <v>FIRE DISC POWDER AB(E)  DIA SI</v>
          </cell>
          <cell r="N332" t="str">
            <v>NNAV.E575</v>
          </cell>
          <cell r="P332" t="str">
            <v>MIN_SSS_001</v>
          </cell>
          <cell r="Q332">
            <v>9.9</v>
          </cell>
          <cell r="R332" t="str">
            <v>EACH</v>
          </cell>
          <cell r="S332" t="str">
            <v>AUD</v>
          </cell>
          <cell r="T332">
            <v>30</v>
          </cell>
          <cell r="U332">
            <v>0</v>
          </cell>
          <cell r="V332">
            <v>0</v>
          </cell>
          <cell r="W332">
            <v>45855</v>
          </cell>
          <cell r="X332">
            <v>30</v>
          </cell>
          <cell r="Y332">
            <v>297</v>
          </cell>
        </row>
        <row r="333">
          <cell r="L333" t="str">
            <v>SSFP24</v>
          </cell>
          <cell r="M333" t="str">
            <v>0 SIGN FIRE EXT FOAM DISC</v>
          </cell>
          <cell r="N333" t="str">
            <v>NNAV.E575</v>
          </cell>
          <cell r="P333" t="str">
            <v>MIN_SSS_001</v>
          </cell>
          <cell r="Q333">
            <v>9.9</v>
          </cell>
          <cell r="R333" t="str">
            <v>EACH</v>
          </cell>
          <cell r="S333" t="str">
            <v>AUD</v>
          </cell>
          <cell r="T333">
            <v>15</v>
          </cell>
          <cell r="U333">
            <v>0</v>
          </cell>
          <cell r="V333">
            <v>0</v>
          </cell>
          <cell r="W333">
            <v>45855</v>
          </cell>
          <cell r="X333">
            <v>15</v>
          </cell>
          <cell r="Y333">
            <v>148.5</v>
          </cell>
        </row>
        <row r="334">
          <cell r="L334" t="str">
            <v>SSBCM4902825</v>
          </cell>
          <cell r="M334" t="str">
            <v>PPE REQUIREMENTS FOR AREA SIGN</v>
          </cell>
          <cell r="N334" t="str">
            <v>NNAV.E575</v>
          </cell>
          <cell r="P334" t="str">
            <v>MIN_SSS_001</v>
          </cell>
          <cell r="Q334">
            <v>15.53</v>
          </cell>
          <cell r="R334" t="str">
            <v>EACH</v>
          </cell>
          <cell r="S334" t="str">
            <v>AUD</v>
          </cell>
          <cell r="T334">
            <v>5</v>
          </cell>
          <cell r="U334">
            <v>0</v>
          </cell>
          <cell r="V334">
            <v>0</v>
          </cell>
          <cell r="W334">
            <v>45855</v>
          </cell>
          <cell r="X334">
            <v>5</v>
          </cell>
          <cell r="Y334">
            <v>77.650000000000006</v>
          </cell>
        </row>
        <row r="335">
          <cell r="L335" t="str">
            <v>SSUNIAIR</v>
          </cell>
          <cell r="M335" t="str">
            <v>AIR PIPE MARKER BLUE SIGN</v>
          </cell>
          <cell r="N335" t="str">
            <v>NNAV.E575</v>
          </cell>
          <cell r="P335" t="str">
            <v>MIN_SSS_001</v>
          </cell>
          <cell r="Q335">
            <v>0.9</v>
          </cell>
          <cell r="R335" t="str">
            <v>EACH</v>
          </cell>
          <cell r="S335" t="str">
            <v>AUD</v>
          </cell>
          <cell r="T335">
            <v>300</v>
          </cell>
          <cell r="U335">
            <v>0</v>
          </cell>
          <cell r="V335">
            <v>0</v>
          </cell>
          <cell r="W335">
            <v>45855</v>
          </cell>
          <cell r="X335">
            <v>300</v>
          </cell>
          <cell r="Y335">
            <v>270</v>
          </cell>
        </row>
        <row r="336">
          <cell r="L336" t="str">
            <v>SSUNIWATER</v>
          </cell>
          <cell r="M336" t="str">
            <v>WATER PIPEMARKER UNIVERSAL SIG</v>
          </cell>
          <cell r="N336" t="str">
            <v>NNAV.E575</v>
          </cell>
          <cell r="P336" t="str">
            <v>MIN_SSS_001</v>
          </cell>
          <cell r="Q336">
            <v>0.9</v>
          </cell>
          <cell r="R336" t="str">
            <v>EACH</v>
          </cell>
          <cell r="S336" t="str">
            <v>AUD</v>
          </cell>
          <cell r="T336">
            <v>300</v>
          </cell>
          <cell r="U336">
            <v>0</v>
          </cell>
          <cell r="V336">
            <v>0</v>
          </cell>
          <cell r="W336">
            <v>45855</v>
          </cell>
          <cell r="X336">
            <v>300</v>
          </cell>
          <cell r="Y336">
            <v>270</v>
          </cell>
        </row>
        <row r="337">
          <cell r="L337" t="str">
            <v>SSRS182</v>
          </cell>
          <cell r="M337" t="str">
            <v>A-FRAME 450X300 A FRAME  450/3</v>
          </cell>
          <cell r="N337" t="str">
            <v>NNAV.E575</v>
          </cell>
          <cell r="P337" t="str">
            <v>MIN_SSS_001</v>
          </cell>
          <cell r="Q337">
            <v>97.9</v>
          </cell>
          <cell r="R337" t="str">
            <v>EACH</v>
          </cell>
          <cell r="S337" t="str">
            <v>AUD</v>
          </cell>
          <cell r="T337">
            <v>4</v>
          </cell>
          <cell r="U337">
            <v>0</v>
          </cell>
          <cell r="V337">
            <v>0</v>
          </cell>
          <cell r="W337">
            <v>45855</v>
          </cell>
          <cell r="X337">
            <v>4</v>
          </cell>
          <cell r="Y337">
            <v>391.6</v>
          </cell>
        </row>
        <row r="338">
          <cell r="L338" t="str">
            <v>SSG21R-20</v>
          </cell>
          <cell r="M338" t="str">
            <v>20 KPH SIGN  450 / 600</v>
          </cell>
          <cell r="N338" t="str">
            <v>NNAV.E575</v>
          </cell>
          <cell r="P338" t="str">
            <v>MIN_SSS_001</v>
          </cell>
          <cell r="Q338">
            <v>22.68</v>
          </cell>
          <cell r="R338" t="str">
            <v>EACH</v>
          </cell>
          <cell r="S338" t="str">
            <v>AUD</v>
          </cell>
          <cell r="T338">
            <v>20</v>
          </cell>
          <cell r="U338">
            <v>0</v>
          </cell>
          <cell r="V338">
            <v>0</v>
          </cell>
          <cell r="W338">
            <v>45855</v>
          </cell>
          <cell r="X338">
            <v>20</v>
          </cell>
          <cell r="Y338">
            <v>453.6</v>
          </cell>
        </row>
        <row r="339">
          <cell r="L339" t="str">
            <v>SSSM4</v>
          </cell>
          <cell r="M339" t="str">
            <v>NO SMOKING SIGN  300 / 450</v>
          </cell>
          <cell r="N339" t="str">
            <v>NNAV.E575</v>
          </cell>
          <cell r="P339" t="str">
            <v>MIN_SSS_001</v>
          </cell>
          <cell r="Q339">
            <v>14</v>
          </cell>
          <cell r="R339" t="str">
            <v>EACH</v>
          </cell>
          <cell r="S339" t="str">
            <v>AUD</v>
          </cell>
          <cell r="T339">
            <v>20</v>
          </cell>
          <cell r="U339">
            <v>0</v>
          </cell>
          <cell r="V339">
            <v>0</v>
          </cell>
          <cell r="W339">
            <v>45855</v>
          </cell>
          <cell r="X339">
            <v>20</v>
          </cell>
          <cell r="Y339">
            <v>280</v>
          </cell>
        </row>
        <row r="340">
          <cell r="L340" t="str">
            <v>SSRS85R</v>
          </cell>
          <cell r="M340" t="str">
            <v>STOP SIGN  600/600</v>
          </cell>
          <cell r="N340" t="str">
            <v>NNAV.E575</v>
          </cell>
          <cell r="P340" t="str">
            <v>MIN_SSS_001</v>
          </cell>
          <cell r="Q340">
            <v>61.27</v>
          </cell>
          <cell r="R340" t="str">
            <v>EACH</v>
          </cell>
          <cell r="S340" t="str">
            <v>AUD</v>
          </cell>
          <cell r="T340">
            <v>20</v>
          </cell>
          <cell r="U340">
            <v>0</v>
          </cell>
          <cell r="V340">
            <v>0</v>
          </cell>
          <cell r="W340">
            <v>45855</v>
          </cell>
          <cell r="X340">
            <v>20</v>
          </cell>
          <cell r="Y340">
            <v>1225.4000000000001</v>
          </cell>
        </row>
        <row r="341">
          <cell r="L341" t="str">
            <v>SSBCM29R</v>
          </cell>
          <cell r="M341" t="str">
            <v>CALL UP POINT SIGN  450/300</v>
          </cell>
          <cell r="N341" t="str">
            <v>NNAV.E575</v>
          </cell>
          <cell r="P341" t="str">
            <v>MIN_SSS_001</v>
          </cell>
          <cell r="Q341">
            <v>15.53</v>
          </cell>
          <cell r="R341" t="str">
            <v>EACH</v>
          </cell>
          <cell r="S341" t="str">
            <v>AUD</v>
          </cell>
          <cell r="T341">
            <v>8</v>
          </cell>
          <cell r="U341">
            <v>0</v>
          </cell>
          <cell r="V341">
            <v>0</v>
          </cell>
          <cell r="W341">
            <v>45855</v>
          </cell>
          <cell r="X341">
            <v>8</v>
          </cell>
          <cell r="Y341">
            <v>124.24</v>
          </cell>
        </row>
        <row r="342">
          <cell r="L342" t="str">
            <v>SSF73</v>
          </cell>
          <cell r="M342" t="str">
            <v>FIRE EXTINGUISHER SIGN  150 /</v>
          </cell>
          <cell r="N342" t="str">
            <v>NNAV.E575</v>
          </cell>
          <cell r="P342" t="str">
            <v>MIN_SSS_001</v>
          </cell>
          <cell r="Q342">
            <v>3.5</v>
          </cell>
          <cell r="R342" t="str">
            <v>EACH</v>
          </cell>
          <cell r="S342" t="str">
            <v>AUD</v>
          </cell>
          <cell r="T342">
            <v>50</v>
          </cell>
          <cell r="U342">
            <v>0</v>
          </cell>
          <cell r="V342">
            <v>0</v>
          </cell>
          <cell r="W342">
            <v>45855</v>
          </cell>
          <cell r="X342">
            <v>50</v>
          </cell>
          <cell r="Y342">
            <v>175</v>
          </cell>
        </row>
        <row r="343">
          <cell r="L343" t="str">
            <v>SSPR28</v>
          </cell>
          <cell r="M343" t="str">
            <v>EMERGENCY EYEWASH SIGN DANGER</v>
          </cell>
          <cell r="N343" t="str">
            <v>NNAV.E575</v>
          </cell>
          <cell r="P343" t="str">
            <v>MIN_SSS_001</v>
          </cell>
          <cell r="Q343">
            <v>14</v>
          </cell>
          <cell r="R343" t="str">
            <v>EACH</v>
          </cell>
          <cell r="S343" t="str">
            <v>AUD</v>
          </cell>
          <cell r="T343">
            <v>10</v>
          </cell>
          <cell r="U343">
            <v>0</v>
          </cell>
          <cell r="V343">
            <v>0</v>
          </cell>
          <cell r="W343">
            <v>45855</v>
          </cell>
          <cell r="X343">
            <v>10</v>
          </cell>
          <cell r="Y343">
            <v>140</v>
          </cell>
        </row>
        <row r="344">
          <cell r="L344" t="str">
            <v>SSDGR348R</v>
          </cell>
          <cell r="M344" t="str">
            <v>BOGGING IN PROGRESS SIGN DANGE</v>
          </cell>
          <cell r="N344" t="str">
            <v>NNAV.E575</v>
          </cell>
          <cell r="P344" t="str">
            <v>MIN_SSS_001</v>
          </cell>
          <cell r="Q344">
            <v>15.53</v>
          </cell>
          <cell r="R344" t="str">
            <v>EACH</v>
          </cell>
          <cell r="S344" t="str">
            <v>AUD</v>
          </cell>
          <cell r="T344">
            <v>40</v>
          </cell>
          <cell r="U344">
            <v>0</v>
          </cell>
          <cell r="V344">
            <v>0</v>
          </cell>
          <cell r="W344">
            <v>45855</v>
          </cell>
          <cell r="X344">
            <v>40</v>
          </cell>
          <cell r="Y344">
            <v>621.20000000000005</v>
          </cell>
        </row>
        <row r="345">
          <cell r="L345" t="str">
            <v>SSDGR140R</v>
          </cell>
          <cell r="M345" t="str">
            <v>TRAILING CABLE SIGN DANGER 450</v>
          </cell>
          <cell r="N345" t="str">
            <v>NNAV.E575</v>
          </cell>
          <cell r="P345" t="str">
            <v>MIN_SSS_001</v>
          </cell>
          <cell r="Q345">
            <v>15.53</v>
          </cell>
          <cell r="R345" t="str">
            <v>EACH</v>
          </cell>
          <cell r="S345" t="str">
            <v>AUD</v>
          </cell>
          <cell r="T345">
            <v>20</v>
          </cell>
          <cell r="U345">
            <v>0</v>
          </cell>
          <cell r="V345">
            <v>0</v>
          </cell>
          <cell r="W345">
            <v>45855</v>
          </cell>
          <cell r="X345">
            <v>20</v>
          </cell>
          <cell r="Y345">
            <v>310.60000000000002</v>
          </cell>
        </row>
        <row r="346">
          <cell r="L346" t="str">
            <v>SSBCM75</v>
          </cell>
          <cell r="M346" t="str">
            <v>CONTACT OPERATOR BEFORE SIGN D</v>
          </cell>
          <cell r="N346" t="str">
            <v>NNAV.E575</v>
          </cell>
          <cell r="P346" t="str">
            <v>MIN_SSS_001</v>
          </cell>
          <cell r="Q346">
            <v>14</v>
          </cell>
          <cell r="R346" t="str">
            <v>EACH</v>
          </cell>
          <cell r="S346" t="str">
            <v>AUD</v>
          </cell>
          <cell r="T346">
            <v>20</v>
          </cell>
          <cell r="U346">
            <v>0</v>
          </cell>
          <cell r="V346">
            <v>0</v>
          </cell>
          <cell r="W346">
            <v>45855</v>
          </cell>
          <cell r="X346">
            <v>20</v>
          </cell>
          <cell r="Y346">
            <v>280</v>
          </cell>
        </row>
        <row r="347">
          <cell r="L347" t="str">
            <v>SSDGR57R</v>
          </cell>
          <cell r="M347" t="str">
            <v>NO ENTRY AUTHORISED PERSONNEL</v>
          </cell>
          <cell r="N347" t="str">
            <v>NNAV.E575</v>
          </cell>
          <cell r="P347" t="str">
            <v>MIN_SSS_001</v>
          </cell>
          <cell r="Q347">
            <v>15.53</v>
          </cell>
          <cell r="R347" t="str">
            <v>EACH</v>
          </cell>
          <cell r="S347" t="str">
            <v>AUD</v>
          </cell>
          <cell r="T347">
            <v>10</v>
          </cell>
          <cell r="U347">
            <v>0</v>
          </cell>
          <cell r="V347">
            <v>0</v>
          </cell>
          <cell r="W347">
            <v>45855</v>
          </cell>
          <cell r="X347">
            <v>10</v>
          </cell>
          <cell r="Y347">
            <v>155.30000000000001</v>
          </cell>
        </row>
        <row r="348">
          <cell r="L348" t="str">
            <v>CUSTOM  SPEC/MR05</v>
          </cell>
          <cell r="M348" t="str">
            <v>DANGER TAG BOARD CLOSED</v>
          </cell>
          <cell r="N348" t="str">
            <v>NNAV.E575</v>
          </cell>
          <cell r="P348" t="str">
            <v>MIN_SSS_001</v>
          </cell>
          <cell r="Q348">
            <v>15.53</v>
          </cell>
          <cell r="R348" t="str">
            <v>EACH</v>
          </cell>
          <cell r="S348" t="str">
            <v>AUD</v>
          </cell>
          <cell r="T348">
            <v>6</v>
          </cell>
          <cell r="U348">
            <v>0</v>
          </cell>
          <cell r="V348">
            <v>0</v>
          </cell>
          <cell r="W348">
            <v>45855</v>
          </cell>
          <cell r="X348">
            <v>6</v>
          </cell>
          <cell r="Y348">
            <v>93.18</v>
          </cell>
        </row>
        <row r="349">
          <cell r="L349" t="str">
            <v>SS-SGRP</v>
          </cell>
          <cell r="M349" t="str">
            <v>WHITE ON BLUE STENCH GAS RELEA</v>
          </cell>
          <cell r="N349" t="str">
            <v>NNAV.E575</v>
          </cell>
          <cell r="P349" t="str">
            <v>MIN_SSS_001</v>
          </cell>
          <cell r="Q349">
            <v>15.53</v>
          </cell>
          <cell r="R349" t="str">
            <v>EACH</v>
          </cell>
          <cell r="S349" t="str">
            <v>AUD</v>
          </cell>
          <cell r="T349">
            <v>4</v>
          </cell>
          <cell r="U349">
            <v>0</v>
          </cell>
          <cell r="V349">
            <v>0</v>
          </cell>
          <cell r="W349">
            <v>45855</v>
          </cell>
          <cell r="X349">
            <v>4</v>
          </cell>
          <cell r="Y349">
            <v>62.12</v>
          </cell>
        </row>
        <row r="350">
          <cell r="L350" t="str">
            <v>SPEC/M08</v>
          </cell>
          <cell r="M350" t="str">
            <v>TAG BOARD CLOSED</v>
          </cell>
          <cell r="N350" t="str">
            <v>NNAV.E575</v>
          </cell>
          <cell r="P350" t="str">
            <v>MIN_SSS_001</v>
          </cell>
          <cell r="Q350">
            <v>18.899999999999999</v>
          </cell>
          <cell r="R350" t="str">
            <v>EACH</v>
          </cell>
          <cell r="S350" t="str">
            <v>AUD</v>
          </cell>
          <cell r="T350">
            <v>6</v>
          </cell>
          <cell r="U350">
            <v>0</v>
          </cell>
          <cell r="V350">
            <v>0</v>
          </cell>
          <cell r="W350">
            <v>45855</v>
          </cell>
          <cell r="X350">
            <v>6</v>
          </cell>
          <cell r="Y350">
            <v>113.4</v>
          </cell>
        </row>
        <row r="351">
          <cell r="L351" t="str">
            <v>SSDGR2/SP</v>
          </cell>
          <cell r="M351" t="str">
            <v>DANGER DRILLING IN PROGRESS</v>
          </cell>
          <cell r="N351" t="str">
            <v>NNAV.E575</v>
          </cell>
          <cell r="P351" t="str">
            <v>MIN_SSS_001</v>
          </cell>
          <cell r="Q351">
            <v>14</v>
          </cell>
          <cell r="R351" t="str">
            <v>EACH</v>
          </cell>
          <cell r="S351" t="str">
            <v>AUD</v>
          </cell>
          <cell r="T351">
            <v>20</v>
          </cell>
          <cell r="U351">
            <v>0</v>
          </cell>
          <cell r="V351">
            <v>0</v>
          </cell>
          <cell r="W351">
            <v>45855</v>
          </cell>
          <cell r="X351">
            <v>20</v>
          </cell>
          <cell r="Y351">
            <v>280</v>
          </cell>
        </row>
        <row r="352">
          <cell r="L352" t="str">
            <v>CUSTOM SPEC/MR05</v>
          </cell>
          <cell r="M352" t="str">
            <v xml:space="preserve"> ASSEMBLY POINT</v>
          </cell>
          <cell r="N352" t="str">
            <v>NNAV.E575</v>
          </cell>
          <cell r="P352" t="str">
            <v>MIN_SSS_001</v>
          </cell>
          <cell r="Q352">
            <v>15.53</v>
          </cell>
          <cell r="R352" t="str">
            <v>EACH</v>
          </cell>
          <cell r="S352" t="str">
            <v>AUD</v>
          </cell>
          <cell r="T352">
            <v>10</v>
          </cell>
          <cell r="U352">
            <v>0</v>
          </cell>
          <cell r="V352">
            <v>0</v>
          </cell>
          <cell r="W352">
            <v>45855</v>
          </cell>
          <cell r="X352">
            <v>10</v>
          </cell>
          <cell r="Y352">
            <v>155.30000000000001</v>
          </cell>
        </row>
        <row r="353">
          <cell r="L353" t="str">
            <v>CUXTOM SPEC/MR08</v>
          </cell>
          <cell r="M353" t="str">
            <v>600x450 MTL C2 REF SPILL KIT</v>
          </cell>
          <cell r="N353" t="str">
            <v>NNAV.E575</v>
          </cell>
          <cell r="P353" t="str">
            <v>MIN_SSS_001</v>
          </cell>
          <cell r="Q353">
            <v>22.68</v>
          </cell>
          <cell r="R353" t="str">
            <v>EACH</v>
          </cell>
          <cell r="S353" t="str">
            <v>AUD</v>
          </cell>
          <cell r="T353">
            <v>10</v>
          </cell>
          <cell r="U353">
            <v>0</v>
          </cell>
          <cell r="V353">
            <v>0</v>
          </cell>
          <cell r="W353">
            <v>45855</v>
          </cell>
          <cell r="X353">
            <v>10</v>
          </cell>
          <cell r="Y353">
            <v>226.8</v>
          </cell>
        </row>
        <row r="354">
          <cell r="L354" t="str">
            <v>CUXTOM SPEC/DFP</v>
          </cell>
          <cell r="M354" t="str">
            <v>DESIGNATED FIRING POINT</v>
          </cell>
          <cell r="N354" t="str">
            <v>NNAV.E575</v>
          </cell>
          <cell r="P354" t="str">
            <v>MIN_SSS_001</v>
          </cell>
          <cell r="Q354">
            <v>22.68</v>
          </cell>
          <cell r="R354" t="str">
            <v>EACH</v>
          </cell>
          <cell r="S354" t="str">
            <v>AUD</v>
          </cell>
          <cell r="T354">
            <v>6</v>
          </cell>
          <cell r="U354">
            <v>0</v>
          </cell>
          <cell r="V354">
            <v>0</v>
          </cell>
          <cell r="W354">
            <v>45855</v>
          </cell>
          <cell r="X354">
            <v>6</v>
          </cell>
          <cell r="Y354">
            <v>136.08000000000001</v>
          </cell>
        </row>
        <row r="355">
          <cell r="L355" t="str">
            <v>LG917442</v>
          </cell>
          <cell r="M355" t="str">
            <v>LEICA TS16P 1" R1000 TOTAL STN</v>
          </cell>
          <cell r="N355" t="str">
            <v>NNAV.E779</v>
          </cell>
          <cell r="P355" t="str">
            <v>MIN_CRK_002</v>
          </cell>
          <cell r="Q355">
            <v>63755</v>
          </cell>
          <cell r="R355" t="str">
            <v>EACH</v>
          </cell>
          <cell r="S355" t="str">
            <v>AUD</v>
          </cell>
          <cell r="T355">
            <v>1</v>
          </cell>
          <cell r="U355">
            <v>0</v>
          </cell>
          <cell r="V355">
            <v>0</v>
          </cell>
          <cell r="W355">
            <v>45855</v>
          </cell>
          <cell r="X355">
            <v>1</v>
          </cell>
          <cell r="Y355">
            <v>63755</v>
          </cell>
        </row>
        <row r="356">
          <cell r="L356" t="str">
            <v>LG777508</v>
          </cell>
          <cell r="M356" t="str">
            <v>GDF321 TRIBRACH W/OUTPLUMMET</v>
          </cell>
          <cell r="N356" t="str">
            <v>NNAV.E779</v>
          </cell>
          <cell r="P356" t="str">
            <v>MIN_CRK_002</v>
          </cell>
          <cell r="Q356">
            <v>708</v>
          </cell>
          <cell r="R356" t="str">
            <v>EACH</v>
          </cell>
          <cell r="S356" t="str">
            <v>AUD</v>
          </cell>
          <cell r="T356">
            <v>1</v>
          </cell>
          <cell r="U356">
            <v>0</v>
          </cell>
          <cell r="V356">
            <v>0</v>
          </cell>
          <cell r="W356">
            <v>45855</v>
          </cell>
          <cell r="X356">
            <v>1</v>
          </cell>
          <cell r="Y356">
            <v>708</v>
          </cell>
        </row>
        <row r="357">
          <cell r="L357" t="str">
            <v>LG971702</v>
          </cell>
          <cell r="M357" t="str">
            <v>BATTERY LI-ION LEICA GEB223</v>
          </cell>
          <cell r="N357" t="str">
            <v>NNAV.E779</v>
          </cell>
          <cell r="P357" t="str">
            <v>MIN_CRK_002</v>
          </cell>
          <cell r="Q357">
            <v>638</v>
          </cell>
          <cell r="R357" t="str">
            <v>EACH</v>
          </cell>
          <cell r="S357" t="str">
            <v>AUD</v>
          </cell>
          <cell r="T357">
            <v>2</v>
          </cell>
          <cell r="U357">
            <v>0</v>
          </cell>
          <cell r="V357">
            <v>0</v>
          </cell>
          <cell r="W357">
            <v>45855</v>
          </cell>
          <cell r="X357">
            <v>2</v>
          </cell>
          <cell r="Y357">
            <v>1276</v>
          </cell>
        </row>
        <row r="358">
          <cell r="L358" t="str">
            <v>LG799185</v>
          </cell>
          <cell r="M358" t="str">
            <v>GKL311 SINGLE BATTERY CHARGER</v>
          </cell>
          <cell r="N358" t="str">
            <v>NNAV.E779</v>
          </cell>
          <cell r="P358" t="str">
            <v>MIN_CRK_002</v>
          </cell>
          <cell r="Q358">
            <v>406</v>
          </cell>
          <cell r="R358" t="str">
            <v>EACH</v>
          </cell>
          <cell r="S358" t="str">
            <v>AUD</v>
          </cell>
          <cell r="T358">
            <v>1</v>
          </cell>
          <cell r="U358">
            <v>0</v>
          </cell>
          <cell r="V358">
            <v>0</v>
          </cell>
          <cell r="W358">
            <v>45855</v>
          </cell>
          <cell r="X358">
            <v>1</v>
          </cell>
          <cell r="Y358">
            <v>406</v>
          </cell>
        </row>
        <row r="359">
          <cell r="L359" t="str">
            <v>LG767856</v>
          </cell>
          <cell r="M359" t="str">
            <v>LEICA MSD1000 MEMORY CARD 1GB</v>
          </cell>
          <cell r="N359" t="str">
            <v>NNAV.E779</v>
          </cell>
          <cell r="P359" t="str">
            <v>MIN_CRK_002</v>
          </cell>
          <cell r="Q359">
            <v>420</v>
          </cell>
          <cell r="R359" t="str">
            <v>EACH</v>
          </cell>
          <cell r="S359" t="str">
            <v>AUD</v>
          </cell>
          <cell r="T359">
            <v>2</v>
          </cell>
          <cell r="U359">
            <v>0</v>
          </cell>
          <cell r="V359">
            <v>0</v>
          </cell>
          <cell r="W359">
            <v>45855</v>
          </cell>
          <cell r="X359">
            <v>2</v>
          </cell>
          <cell r="Y359">
            <v>840</v>
          </cell>
        </row>
        <row r="360">
          <cell r="L360" t="str">
            <v>LG879378</v>
          </cell>
          <cell r="M360" t="str">
            <v>GTS49 KEYBOARD SUIT TS16/TM60</v>
          </cell>
          <cell r="N360" t="str">
            <v>NNAV.E779</v>
          </cell>
          <cell r="P360" t="str">
            <v>MIN_CRK_002</v>
          </cell>
          <cell r="Q360">
            <v>1861</v>
          </cell>
          <cell r="R360" t="str">
            <v>EACH</v>
          </cell>
          <cell r="S360" t="str">
            <v>AUD</v>
          </cell>
          <cell r="T360">
            <v>1</v>
          </cell>
          <cell r="U360">
            <v>0</v>
          </cell>
          <cell r="V360">
            <v>0</v>
          </cell>
          <cell r="W360">
            <v>45855</v>
          </cell>
          <cell r="X360">
            <v>1</v>
          </cell>
          <cell r="Y360">
            <v>1861</v>
          </cell>
        </row>
        <row r="361">
          <cell r="L361" t="str">
            <v>LG827648</v>
          </cell>
          <cell r="M361" t="str">
            <v>LEICA CAPT MEASURE STAKE LINE</v>
          </cell>
          <cell r="N361" t="str">
            <v>NNAV.E779</v>
          </cell>
          <cell r="P361" t="str">
            <v>MIN_CRK_002</v>
          </cell>
          <cell r="Q361">
            <v>1393</v>
          </cell>
          <cell r="R361" t="str">
            <v>EACH</v>
          </cell>
          <cell r="S361" t="str">
            <v>AUD</v>
          </cell>
          <cell r="T361">
            <v>1</v>
          </cell>
          <cell r="U361">
            <v>0</v>
          </cell>
          <cell r="V361">
            <v>0</v>
          </cell>
          <cell r="W361">
            <v>45855</v>
          </cell>
          <cell r="X361">
            <v>1</v>
          </cell>
          <cell r="Y361">
            <v>1393</v>
          </cell>
        </row>
        <row r="362">
          <cell r="L362" t="str">
            <v>LG827658</v>
          </cell>
          <cell r="M362" t="str">
            <v>LEICA CAPT SET OF ANGLES TS/MS</v>
          </cell>
          <cell r="N362" t="str">
            <v>NNAV.E779</v>
          </cell>
          <cell r="P362" t="str">
            <v>MIN_CRK_002</v>
          </cell>
          <cell r="Q362">
            <v>481</v>
          </cell>
          <cell r="R362" t="str">
            <v>EACH</v>
          </cell>
          <cell r="S362" t="str">
            <v>AUD</v>
          </cell>
          <cell r="T362">
            <v>1</v>
          </cell>
          <cell r="U362">
            <v>0</v>
          </cell>
          <cell r="V362">
            <v>0</v>
          </cell>
          <cell r="W362">
            <v>45855</v>
          </cell>
          <cell r="X362">
            <v>1</v>
          </cell>
          <cell r="Y362">
            <v>481</v>
          </cell>
        </row>
        <row r="363">
          <cell r="L363" t="str">
            <v>LG834229</v>
          </cell>
          <cell r="M363" t="str">
            <v>LEICA CAPT TS AUTO SETUP TS/MS</v>
          </cell>
          <cell r="N363" t="str">
            <v>NNAV.E779</v>
          </cell>
          <cell r="P363" t="str">
            <v>MIN_CRK_002</v>
          </cell>
          <cell r="Q363">
            <v>557</v>
          </cell>
          <cell r="R363" t="str">
            <v>EACH</v>
          </cell>
          <cell r="S363" t="str">
            <v>AUD</v>
          </cell>
          <cell r="T363">
            <v>1</v>
          </cell>
          <cell r="U363">
            <v>0</v>
          </cell>
          <cell r="V363">
            <v>0</v>
          </cell>
          <cell r="W363">
            <v>45855</v>
          </cell>
          <cell r="X363">
            <v>1</v>
          </cell>
          <cell r="Y363">
            <v>557</v>
          </cell>
        </row>
        <row r="364">
          <cell r="L364" t="str">
            <v>LG834254</v>
          </cell>
          <cell r="M364" t="str">
            <v>LEICA CAPT FORWARD STN TS/MS</v>
          </cell>
          <cell r="N364" t="str">
            <v>NNAV.E779</v>
          </cell>
          <cell r="P364" t="str">
            <v>MIN_CRK_002</v>
          </cell>
          <cell r="Q364">
            <v>1384</v>
          </cell>
          <cell r="R364" t="str">
            <v>EACH</v>
          </cell>
          <cell r="S364" t="str">
            <v>AUD</v>
          </cell>
          <cell r="T364">
            <v>1</v>
          </cell>
          <cell r="U364">
            <v>0</v>
          </cell>
          <cell r="V364">
            <v>0</v>
          </cell>
          <cell r="W364">
            <v>45855</v>
          </cell>
          <cell r="X364">
            <v>1</v>
          </cell>
          <cell r="Y364">
            <v>1384</v>
          </cell>
        </row>
        <row r="365">
          <cell r="L365" t="str">
            <v>LG827664</v>
          </cell>
          <cell r="M365" t="str">
            <v>LEICA CAPT GEOCOM ROBOTICS TS</v>
          </cell>
          <cell r="N365" t="str">
            <v>NNAV.E779</v>
          </cell>
          <cell r="P365" t="str">
            <v>MIN_CRK_002</v>
          </cell>
          <cell r="Q365">
            <v>1051</v>
          </cell>
          <cell r="R365" t="str">
            <v>EACH</v>
          </cell>
          <cell r="S365" t="str">
            <v>AUD</v>
          </cell>
          <cell r="T365">
            <v>1</v>
          </cell>
          <cell r="U365">
            <v>0</v>
          </cell>
          <cell r="V365">
            <v>0</v>
          </cell>
          <cell r="W365">
            <v>45855</v>
          </cell>
          <cell r="X365">
            <v>1</v>
          </cell>
          <cell r="Y365">
            <v>1051</v>
          </cell>
        </row>
        <row r="366">
          <cell r="L366" t="str">
            <v>LG827666</v>
          </cell>
          <cell r="M366" t="str">
            <v>LEICA CAPT VIRTUAL GEOCOM TS</v>
          </cell>
          <cell r="N366" t="str">
            <v>NNAV.E779</v>
          </cell>
          <cell r="P366" t="str">
            <v>MIN_CRK_002</v>
          </cell>
          <cell r="Q366">
            <v>1489</v>
          </cell>
          <cell r="R366" t="str">
            <v>EACH</v>
          </cell>
          <cell r="S366" t="str">
            <v>AUD</v>
          </cell>
          <cell r="T366">
            <v>1</v>
          </cell>
          <cell r="U366">
            <v>0</v>
          </cell>
          <cell r="V366">
            <v>0</v>
          </cell>
          <cell r="W366">
            <v>45855</v>
          </cell>
          <cell r="X366">
            <v>1</v>
          </cell>
          <cell r="Y366">
            <v>1489</v>
          </cell>
        </row>
        <row r="367">
          <cell r="L367" t="str">
            <v>REFSET CAPT</v>
          </cell>
          <cell r="M367" t="str">
            <v>REFSET CAPTIVATE</v>
          </cell>
          <cell r="N367" t="str">
            <v>NNAV.E779</v>
          </cell>
          <cell r="P367" t="str">
            <v>MIN_CRK_002</v>
          </cell>
          <cell r="Q367">
            <v>2750</v>
          </cell>
          <cell r="R367" t="str">
            <v>EACH</v>
          </cell>
          <cell r="S367" t="str">
            <v>AUD</v>
          </cell>
          <cell r="T367">
            <v>1</v>
          </cell>
          <cell r="U367">
            <v>0</v>
          </cell>
          <cell r="V367">
            <v>0</v>
          </cell>
          <cell r="W367">
            <v>45855</v>
          </cell>
          <cell r="X367">
            <v>1</v>
          </cell>
          <cell r="Y367">
            <v>2750</v>
          </cell>
        </row>
        <row r="368">
          <cell r="L368" t="str">
            <v>LG6009573</v>
          </cell>
          <cell r="M368" t="str">
            <v>1YR VIVA TS16 D PART BASIC CCP</v>
          </cell>
          <cell r="N368" t="str">
            <v>NNAV.E779</v>
          </cell>
          <cell r="P368" t="str">
            <v>MIN_CRK_002</v>
          </cell>
          <cell r="Q368">
            <v>798</v>
          </cell>
          <cell r="R368" t="str">
            <v>EACH</v>
          </cell>
          <cell r="S368" t="str">
            <v>AUD</v>
          </cell>
          <cell r="T368">
            <v>1</v>
          </cell>
          <cell r="U368">
            <v>0</v>
          </cell>
          <cell r="V368">
            <v>0</v>
          </cell>
          <cell r="W368">
            <v>45855</v>
          </cell>
          <cell r="X368">
            <v>1</v>
          </cell>
          <cell r="Y368">
            <v>798</v>
          </cell>
        </row>
        <row r="369">
          <cell r="L369" t="str">
            <v>LG667301</v>
          </cell>
          <cell r="M369" t="str">
            <v>LEICAS GST120-9 WOODEN TRIPOD</v>
          </cell>
          <cell r="N369" t="str">
            <v>NNAV.E779</v>
          </cell>
          <cell r="P369" t="str">
            <v>MIN_CRK_002</v>
          </cell>
          <cell r="Q369">
            <v>790</v>
          </cell>
          <cell r="R369" t="str">
            <v>EACH</v>
          </cell>
          <cell r="S369" t="str">
            <v>AUD</v>
          </cell>
          <cell r="T369">
            <v>3</v>
          </cell>
          <cell r="U369">
            <v>0</v>
          </cell>
          <cell r="V369">
            <v>0</v>
          </cell>
          <cell r="W369">
            <v>45855</v>
          </cell>
          <cell r="X369">
            <v>3</v>
          </cell>
          <cell r="Y369">
            <v>2370</v>
          </cell>
        </row>
        <row r="370">
          <cell r="L370" t="str">
            <v>5000-08</v>
          </cell>
          <cell r="M370" t="str">
            <v>08MM SPHERICAL S/DIAROC HD</v>
          </cell>
          <cell r="N370" t="str">
            <v>NNAV.E155</v>
          </cell>
          <cell r="Q370">
            <v>86.01</v>
          </cell>
          <cell r="R370" t="str">
            <v>EACH</v>
          </cell>
          <cell r="S370" t="str">
            <v>AUD</v>
          </cell>
          <cell r="T370">
            <v>20</v>
          </cell>
          <cell r="U370">
            <v>0</v>
          </cell>
          <cell r="V370">
            <v>0</v>
          </cell>
          <cell r="W370">
            <v>45855</v>
          </cell>
          <cell r="X370">
            <v>20</v>
          </cell>
          <cell r="Y370">
            <v>1720.2</v>
          </cell>
        </row>
        <row r="371">
          <cell r="L371" t="str">
            <v>5000-09</v>
          </cell>
          <cell r="M371" t="str">
            <v>09MM SPHERICAL S/DIAROC HD</v>
          </cell>
          <cell r="N371" t="str">
            <v>NNAV.E155</v>
          </cell>
          <cell r="Q371">
            <v>91.56</v>
          </cell>
          <cell r="R371" t="str">
            <v>EACH</v>
          </cell>
          <cell r="S371" t="str">
            <v>AUD</v>
          </cell>
          <cell r="T371">
            <v>20</v>
          </cell>
          <cell r="U371">
            <v>0</v>
          </cell>
          <cell r="V371">
            <v>0</v>
          </cell>
          <cell r="W371">
            <v>45855</v>
          </cell>
          <cell r="X371">
            <v>20</v>
          </cell>
          <cell r="Y371">
            <v>1831.2</v>
          </cell>
        </row>
        <row r="372">
          <cell r="L372" t="str">
            <v>5000-10</v>
          </cell>
          <cell r="M372" t="str">
            <v>10MM SPHERICAL S/DIAROC HD</v>
          </cell>
          <cell r="N372" t="str">
            <v>NNAV.E155</v>
          </cell>
          <cell r="Q372">
            <v>96.01</v>
          </cell>
          <cell r="R372" t="str">
            <v>EACH</v>
          </cell>
          <cell r="S372" t="str">
            <v>AUD</v>
          </cell>
          <cell r="T372">
            <v>20</v>
          </cell>
          <cell r="U372">
            <v>0</v>
          </cell>
          <cell r="V372">
            <v>0</v>
          </cell>
          <cell r="W372">
            <v>45855</v>
          </cell>
          <cell r="X372">
            <v>20</v>
          </cell>
          <cell r="Y372">
            <v>1920.2</v>
          </cell>
        </row>
        <row r="373">
          <cell r="L373" t="str">
            <v>5000-13</v>
          </cell>
          <cell r="M373" t="str">
            <v>13MM SPHERICAL S/DIAROC HD</v>
          </cell>
          <cell r="N373" t="str">
            <v>NNAV.E155</v>
          </cell>
          <cell r="Q373">
            <v>118.54</v>
          </cell>
          <cell r="R373" t="str">
            <v>EACH</v>
          </cell>
          <cell r="S373" t="str">
            <v>AUD</v>
          </cell>
          <cell r="T373">
            <v>20</v>
          </cell>
          <cell r="U373">
            <v>0</v>
          </cell>
          <cell r="V373">
            <v>0</v>
          </cell>
          <cell r="W373">
            <v>45855</v>
          </cell>
          <cell r="X373">
            <v>20</v>
          </cell>
          <cell r="Y373">
            <v>2370.8000000000002</v>
          </cell>
        </row>
        <row r="374">
          <cell r="L374" t="str">
            <v>202-0074-00</v>
          </cell>
          <cell r="M374" t="str">
            <v>GRINDER MOTOR/GEARBOX (EMJ)</v>
          </cell>
          <cell r="N374" t="str">
            <v>NNAV.E222</v>
          </cell>
          <cell r="Q374">
            <v>2274.4499999999998</v>
          </cell>
          <cell r="R374" t="str">
            <v>EACH</v>
          </cell>
          <cell r="S374" t="str">
            <v>AUD</v>
          </cell>
          <cell r="T374">
            <v>1</v>
          </cell>
          <cell r="U374">
            <v>0</v>
          </cell>
          <cell r="V374">
            <v>0</v>
          </cell>
          <cell r="W374">
            <v>45855</v>
          </cell>
          <cell r="X374">
            <v>1</v>
          </cell>
          <cell r="Y374">
            <v>2274.4499999999998</v>
          </cell>
        </row>
        <row r="375">
          <cell r="L375" t="str">
            <v>202-0076-00</v>
          </cell>
          <cell r="M375" t="str">
            <v>MOTOR WITH GEAR (EMJ)</v>
          </cell>
          <cell r="N375" t="str">
            <v>NNAV.E222</v>
          </cell>
          <cell r="Q375">
            <v>628</v>
          </cell>
          <cell r="R375" t="str">
            <v>EACH</v>
          </cell>
          <cell r="S375" t="str">
            <v>AUD</v>
          </cell>
          <cell r="T375">
            <v>1</v>
          </cell>
          <cell r="U375">
            <v>0</v>
          </cell>
          <cell r="V375">
            <v>0</v>
          </cell>
          <cell r="W375">
            <v>45855</v>
          </cell>
          <cell r="X375">
            <v>1</v>
          </cell>
          <cell r="Y375">
            <v>628</v>
          </cell>
        </row>
        <row r="376">
          <cell r="L376" t="str">
            <v>202-0091-00</v>
          </cell>
          <cell r="M376" t="str">
            <v>SPINDLE HOUSING FOR GEARBOX (E</v>
          </cell>
          <cell r="N376" t="str">
            <v>NNAV.E222</v>
          </cell>
          <cell r="Q376">
            <v>524</v>
          </cell>
          <cell r="R376" t="str">
            <v>EACH</v>
          </cell>
          <cell r="S376" t="str">
            <v>AUD</v>
          </cell>
          <cell r="T376">
            <v>1</v>
          </cell>
          <cell r="U376">
            <v>0</v>
          </cell>
          <cell r="V376">
            <v>0</v>
          </cell>
          <cell r="W376">
            <v>45855</v>
          </cell>
          <cell r="X376">
            <v>1</v>
          </cell>
          <cell r="Y376">
            <v>524</v>
          </cell>
        </row>
        <row r="377">
          <cell r="L377" t="str">
            <v>202-0113-00</v>
          </cell>
          <cell r="M377" t="str">
            <v>WATER PUMP ASSEMBLY</v>
          </cell>
          <cell r="N377" t="str">
            <v>NNAV.E222</v>
          </cell>
          <cell r="Q377">
            <v>528</v>
          </cell>
          <cell r="R377" t="str">
            <v>EACH</v>
          </cell>
          <cell r="S377" t="str">
            <v>AUD</v>
          </cell>
          <cell r="T377">
            <v>1</v>
          </cell>
          <cell r="U377">
            <v>0</v>
          </cell>
          <cell r="V377">
            <v>0</v>
          </cell>
          <cell r="W377">
            <v>45855</v>
          </cell>
          <cell r="X377">
            <v>1</v>
          </cell>
          <cell r="Y377">
            <v>528</v>
          </cell>
        </row>
        <row r="378">
          <cell r="L378" t="str">
            <v>427-1300-02</v>
          </cell>
          <cell r="M378" t="str">
            <v>PRECISION REGULATOR ESD / EMJ</v>
          </cell>
          <cell r="N378" t="str">
            <v>NNAV.E222</v>
          </cell>
          <cell r="Q378">
            <v>236.1</v>
          </cell>
          <cell r="R378" t="str">
            <v>EACH</v>
          </cell>
          <cell r="S378" t="str">
            <v>AUD</v>
          </cell>
          <cell r="T378">
            <v>1</v>
          </cell>
          <cell r="U378">
            <v>0</v>
          </cell>
          <cell r="V378">
            <v>0</v>
          </cell>
          <cell r="W378">
            <v>45855</v>
          </cell>
          <cell r="X378">
            <v>1</v>
          </cell>
          <cell r="Y378">
            <v>236.1</v>
          </cell>
        </row>
        <row r="379">
          <cell r="L379" t="str">
            <v>202-0334-00</v>
          </cell>
          <cell r="M379" t="str">
            <v>EMJ: V2 OPERATOR PANEL (EULA)</v>
          </cell>
          <cell r="N379" t="str">
            <v>NNAV.E222</v>
          </cell>
          <cell r="Q379">
            <v>2455</v>
          </cell>
          <cell r="R379" t="str">
            <v>EACH</v>
          </cell>
          <cell r="S379" t="str">
            <v>AUD</v>
          </cell>
          <cell r="T379">
            <v>1</v>
          </cell>
          <cell r="U379">
            <v>0</v>
          </cell>
          <cell r="V379">
            <v>0</v>
          </cell>
          <cell r="W379">
            <v>45855</v>
          </cell>
          <cell r="X379">
            <v>1</v>
          </cell>
          <cell r="Y379">
            <v>2455</v>
          </cell>
        </row>
        <row r="380">
          <cell r="L380" t="str">
            <v>427-0150-02</v>
          </cell>
          <cell r="M380" t="str">
            <v>WATER SEPERATOR</v>
          </cell>
          <cell r="N380" t="str">
            <v>NNAV.E222</v>
          </cell>
          <cell r="Q380">
            <v>180</v>
          </cell>
          <cell r="R380" t="str">
            <v>EACH</v>
          </cell>
          <cell r="S380" t="str">
            <v>AUD</v>
          </cell>
          <cell r="T380">
            <v>1</v>
          </cell>
          <cell r="U380">
            <v>0</v>
          </cell>
          <cell r="V380">
            <v>0</v>
          </cell>
          <cell r="W380">
            <v>45855</v>
          </cell>
          <cell r="X380">
            <v>1</v>
          </cell>
          <cell r="Y380">
            <v>180</v>
          </cell>
        </row>
        <row r="381">
          <cell r="L381" t="str">
            <v>427-0150-01</v>
          </cell>
          <cell r="M381" t="str">
            <v>BRACKET TO SUIT A SERIES FILTE</v>
          </cell>
          <cell r="N381" t="str">
            <v>NNAV.E222</v>
          </cell>
          <cell r="Q381">
            <v>10.4</v>
          </cell>
          <cell r="R381" t="str">
            <v>EACH</v>
          </cell>
          <cell r="S381" t="str">
            <v>AUD</v>
          </cell>
          <cell r="T381">
            <v>1</v>
          </cell>
          <cell r="U381">
            <v>0</v>
          </cell>
          <cell r="V381">
            <v>0</v>
          </cell>
          <cell r="W381">
            <v>45855</v>
          </cell>
          <cell r="X381">
            <v>1</v>
          </cell>
          <cell r="Y381">
            <v>10.4</v>
          </cell>
        </row>
        <row r="382">
          <cell r="L382" t="str">
            <v>427-0802-00</v>
          </cell>
          <cell r="M382" t="str">
            <v>8MM X 1/4 ELBOW FOR WATER SEPE</v>
          </cell>
          <cell r="N382" t="str">
            <v>NNAV.E222</v>
          </cell>
          <cell r="Q382">
            <v>9</v>
          </cell>
          <cell r="R382" t="str">
            <v>EACH</v>
          </cell>
          <cell r="S382" t="str">
            <v>AUD</v>
          </cell>
          <cell r="T382">
            <v>2</v>
          </cell>
          <cell r="U382">
            <v>0</v>
          </cell>
          <cell r="V382">
            <v>0</v>
          </cell>
          <cell r="W382">
            <v>45855</v>
          </cell>
          <cell r="X382">
            <v>2</v>
          </cell>
          <cell r="Y382">
            <v>18</v>
          </cell>
        </row>
        <row r="383">
          <cell r="L383" t="str">
            <v>427-1300-01</v>
          </cell>
          <cell r="M383" t="str">
            <v xml:space="preserve"> ESD 1 ELECTRO -PNEUMATIC REGU</v>
          </cell>
          <cell r="N383" t="str">
            <v>NNAV.E222</v>
          </cell>
          <cell r="Q383">
            <v>930</v>
          </cell>
          <cell r="R383" t="str">
            <v>EACH</v>
          </cell>
          <cell r="S383" t="str">
            <v>AUD</v>
          </cell>
          <cell r="T383">
            <v>1</v>
          </cell>
          <cell r="U383">
            <v>0</v>
          </cell>
          <cell r="V383">
            <v>0</v>
          </cell>
          <cell r="W383">
            <v>45855</v>
          </cell>
          <cell r="X383">
            <v>1</v>
          </cell>
          <cell r="Y383">
            <v>930</v>
          </cell>
        </row>
        <row r="384">
          <cell r="L384" t="str">
            <v>VSD1400X05</v>
          </cell>
          <cell r="M384" t="str">
            <v>TYPHOON 300 SLVR 1400MMX05</v>
          </cell>
          <cell r="N384" t="str">
            <v>NNAV.E890</v>
          </cell>
          <cell r="P384" t="str">
            <v>MIN_CLEMCORP_001</v>
          </cell>
          <cell r="Q384">
            <v>69.91</v>
          </cell>
          <cell r="R384" t="str">
            <v>EACH</v>
          </cell>
          <cell r="S384" t="str">
            <v>AUD</v>
          </cell>
          <cell r="T384">
            <v>30</v>
          </cell>
          <cell r="U384">
            <v>0</v>
          </cell>
          <cell r="V384">
            <v>0</v>
          </cell>
          <cell r="W384">
            <v>45953</v>
          </cell>
          <cell r="X384">
            <v>30</v>
          </cell>
          <cell r="Y384">
            <v>2097.3000000000002</v>
          </cell>
        </row>
        <row r="385">
          <cell r="L385" t="str">
            <v>VSD1400X10</v>
          </cell>
          <cell r="M385" t="str">
            <v>TYPHOON 300 SLVR 1400MMX10</v>
          </cell>
          <cell r="N385" t="str">
            <v>NNAV.E890</v>
          </cell>
          <cell r="P385" t="str">
            <v>MIN_CLEMCORP_001</v>
          </cell>
          <cell r="Q385">
            <v>102.73</v>
          </cell>
          <cell r="R385" t="str">
            <v>EACH</v>
          </cell>
          <cell r="S385" t="str">
            <v>AUD</v>
          </cell>
          <cell r="T385">
            <v>60</v>
          </cell>
          <cell r="U385">
            <v>0</v>
          </cell>
          <cell r="V385">
            <v>0</v>
          </cell>
          <cell r="W385">
            <v>45953</v>
          </cell>
          <cell r="X385">
            <v>60</v>
          </cell>
          <cell r="Y385">
            <v>6163.8</v>
          </cell>
        </row>
        <row r="386">
          <cell r="L386" t="str">
            <v>VSD1400X20</v>
          </cell>
          <cell r="M386" t="str">
            <v>TYPHOON 300 SLVR 1400MMX20</v>
          </cell>
          <cell r="N386" t="str">
            <v>NNAV.E890</v>
          </cell>
          <cell r="P386" t="str">
            <v>MIN_CLEMCORP_001</v>
          </cell>
          <cell r="Q386">
            <v>179.77</v>
          </cell>
          <cell r="R386" t="str">
            <v>EACH</v>
          </cell>
          <cell r="S386" t="str">
            <v>AUD</v>
          </cell>
          <cell r="T386">
            <v>120</v>
          </cell>
          <cell r="U386">
            <v>0</v>
          </cell>
          <cell r="V386">
            <v>0</v>
          </cell>
          <cell r="W386">
            <v>45953</v>
          </cell>
          <cell r="X386">
            <v>120</v>
          </cell>
          <cell r="Y386">
            <v>21572.400000000001</v>
          </cell>
        </row>
        <row r="387">
          <cell r="L387" t="str">
            <v>VSF1400-T</v>
          </cell>
          <cell r="M387" t="str">
            <v>TYPHOON 300 SILVER 1400MM TEE</v>
          </cell>
          <cell r="N387" t="str">
            <v>NNAV.E890</v>
          </cell>
          <cell r="P387" t="str">
            <v>MIN_CLEMCORP_001</v>
          </cell>
          <cell r="Q387">
            <v>155.44999999999999</v>
          </cell>
          <cell r="R387" t="str">
            <v>EACH</v>
          </cell>
          <cell r="S387" t="str">
            <v>AUD</v>
          </cell>
          <cell r="T387">
            <v>10</v>
          </cell>
          <cell r="U387">
            <v>0</v>
          </cell>
          <cell r="V387">
            <v>0</v>
          </cell>
          <cell r="W387">
            <v>45953</v>
          </cell>
          <cell r="X387">
            <v>10</v>
          </cell>
          <cell r="Y387">
            <v>1554.5</v>
          </cell>
        </row>
        <row r="388">
          <cell r="L388" t="str">
            <v>VSF1400-J</v>
          </cell>
          <cell r="M388" t="str">
            <v>TYPHOON 300 SLVR 1400MM JUNC</v>
          </cell>
          <cell r="N388" t="str">
            <v>NNAV.E890</v>
          </cell>
          <cell r="P388" t="str">
            <v>MIN_CLEMCORP_001</v>
          </cell>
          <cell r="Q388">
            <v>152.62</v>
          </cell>
          <cell r="R388" t="str">
            <v>EACH</v>
          </cell>
          <cell r="S388" t="str">
            <v>AUD</v>
          </cell>
          <cell r="T388">
            <v>10</v>
          </cell>
          <cell r="U388">
            <v>0</v>
          </cell>
          <cell r="V388">
            <v>0</v>
          </cell>
          <cell r="W388">
            <v>45953</v>
          </cell>
          <cell r="X388">
            <v>10</v>
          </cell>
          <cell r="Y388">
            <v>1526.2</v>
          </cell>
        </row>
        <row r="389">
          <cell r="L389" t="str">
            <v>VSF1400-1220</v>
          </cell>
          <cell r="M389" t="str">
            <v>TYPHOON 300 SILVER REDUCER 140</v>
          </cell>
          <cell r="N389" t="str">
            <v>NNAV.E890</v>
          </cell>
          <cell r="P389" t="str">
            <v>MIN_CLEMCORP_001</v>
          </cell>
          <cell r="Q389">
            <v>71.34</v>
          </cell>
          <cell r="R389" t="str">
            <v>EACH</v>
          </cell>
          <cell r="S389" t="str">
            <v>AUD</v>
          </cell>
          <cell r="T389">
            <v>10</v>
          </cell>
          <cell r="U389">
            <v>0</v>
          </cell>
          <cell r="V389">
            <v>0</v>
          </cell>
          <cell r="W389">
            <v>45953</v>
          </cell>
          <cell r="X389">
            <v>10</v>
          </cell>
          <cell r="Y389">
            <v>713.4</v>
          </cell>
        </row>
        <row r="390">
          <cell r="L390" t="str">
            <v>VSD1220X05</v>
          </cell>
          <cell r="M390" t="str">
            <v>TYPHOON 300 SILVER 1220MM X 05</v>
          </cell>
          <cell r="N390" t="str">
            <v>NNAV.E890</v>
          </cell>
          <cell r="P390" t="str">
            <v>MIN_CLEMCORP_001</v>
          </cell>
          <cell r="Q390">
            <v>54.22</v>
          </cell>
          <cell r="R390" t="str">
            <v>EACH</v>
          </cell>
          <cell r="S390" t="str">
            <v>AUD</v>
          </cell>
          <cell r="T390">
            <v>20</v>
          </cell>
          <cell r="U390">
            <v>0</v>
          </cell>
          <cell r="V390">
            <v>0</v>
          </cell>
          <cell r="W390">
            <v>45953</v>
          </cell>
          <cell r="X390">
            <v>20</v>
          </cell>
          <cell r="Y390">
            <v>1084.4000000000001</v>
          </cell>
        </row>
        <row r="391">
          <cell r="L391" t="str">
            <v>VSD1220X10</v>
          </cell>
          <cell r="M391" t="str">
            <v>TYPHOON 300 SILVER 1220MM X 10</v>
          </cell>
          <cell r="N391" t="str">
            <v>NNAV.E890</v>
          </cell>
          <cell r="P391" t="str">
            <v>MIN_CLEMCORP_001</v>
          </cell>
          <cell r="Q391">
            <v>94.17</v>
          </cell>
          <cell r="R391" t="str">
            <v>EACH</v>
          </cell>
          <cell r="S391" t="str">
            <v>AUD</v>
          </cell>
          <cell r="T391">
            <v>25</v>
          </cell>
          <cell r="U391">
            <v>0</v>
          </cell>
          <cell r="V391">
            <v>0</v>
          </cell>
          <cell r="W391">
            <v>45953</v>
          </cell>
          <cell r="X391">
            <v>25</v>
          </cell>
          <cell r="Y391">
            <v>2354.25</v>
          </cell>
        </row>
        <row r="392">
          <cell r="L392" t="str">
            <v>VSD1220X20</v>
          </cell>
          <cell r="M392" t="str">
            <v>TYPHOON 300 SILVER 1220MM X 20</v>
          </cell>
          <cell r="N392" t="str">
            <v>NNAV.E890</v>
          </cell>
          <cell r="P392" t="str">
            <v>MIN_CLEMCORP_001</v>
          </cell>
          <cell r="Q392">
            <v>166.93</v>
          </cell>
          <cell r="R392" t="str">
            <v>EACH</v>
          </cell>
          <cell r="S392" t="str">
            <v>AUD</v>
          </cell>
          <cell r="T392">
            <v>50</v>
          </cell>
          <cell r="U392">
            <v>0</v>
          </cell>
          <cell r="V392">
            <v>0</v>
          </cell>
          <cell r="W392">
            <v>45953</v>
          </cell>
          <cell r="X392">
            <v>50</v>
          </cell>
          <cell r="Y392">
            <v>8346.5</v>
          </cell>
        </row>
        <row r="393">
          <cell r="L393" t="str">
            <v>VSF1220-T</v>
          </cell>
          <cell r="M393" t="str">
            <v>TYPHOON 300 SILVER 1220MM TEE</v>
          </cell>
          <cell r="N393" t="str">
            <v>NNAV.E890</v>
          </cell>
          <cell r="P393" t="str">
            <v>MIN_CLEMCORP_001</v>
          </cell>
          <cell r="Q393">
            <v>149.80000000000001</v>
          </cell>
          <cell r="R393" t="str">
            <v>EACH</v>
          </cell>
          <cell r="S393" t="str">
            <v>AUD</v>
          </cell>
          <cell r="T393">
            <v>10</v>
          </cell>
          <cell r="U393">
            <v>0</v>
          </cell>
          <cell r="V393">
            <v>0</v>
          </cell>
          <cell r="W393">
            <v>45953</v>
          </cell>
          <cell r="X393">
            <v>10</v>
          </cell>
          <cell r="Y393">
            <v>1498</v>
          </cell>
        </row>
        <row r="394">
          <cell r="L394" t="str">
            <v>VSF1220-J</v>
          </cell>
          <cell r="M394" t="str">
            <v>TYPHOON 300 SILVER 1220MM JUNC</v>
          </cell>
          <cell r="N394" t="str">
            <v>NNAV.E890</v>
          </cell>
          <cell r="P394" t="str">
            <v>MIN_CLEMCORP_001</v>
          </cell>
          <cell r="Q394">
            <v>139.9</v>
          </cell>
          <cell r="R394" t="str">
            <v>EACH</v>
          </cell>
          <cell r="S394" t="str">
            <v>AUD</v>
          </cell>
          <cell r="T394">
            <v>10</v>
          </cell>
          <cell r="U394">
            <v>0</v>
          </cell>
          <cell r="V394">
            <v>0</v>
          </cell>
          <cell r="W394">
            <v>45953</v>
          </cell>
          <cell r="X394">
            <v>10</v>
          </cell>
          <cell r="Y394">
            <v>1399</v>
          </cell>
        </row>
        <row r="395">
          <cell r="L395" t="str">
            <v>VA-TWINE</v>
          </cell>
          <cell r="M395" t="str">
            <v>VENT TWINE 20MTR</v>
          </cell>
          <cell r="N395" t="str">
            <v>NNAV.E890</v>
          </cell>
          <cell r="P395" t="str">
            <v>MIN_CLEMCORP_001</v>
          </cell>
          <cell r="Q395">
            <v>11.55</v>
          </cell>
          <cell r="R395" t="str">
            <v>EACH</v>
          </cell>
          <cell r="S395" t="str">
            <v>AUD</v>
          </cell>
          <cell r="T395">
            <v>10</v>
          </cell>
          <cell r="U395">
            <v>0</v>
          </cell>
          <cell r="V395">
            <v>0</v>
          </cell>
          <cell r="W395">
            <v>45953</v>
          </cell>
          <cell r="X395">
            <v>10</v>
          </cell>
          <cell r="Y395">
            <v>115.5</v>
          </cell>
        </row>
        <row r="396">
          <cell r="L396" t="str">
            <v>VA-NEEDLE</v>
          </cell>
          <cell r="M396" t="str">
            <v>VENT NEEDLE</v>
          </cell>
          <cell r="N396" t="str">
            <v>NNAV.E890</v>
          </cell>
          <cell r="P396" t="str">
            <v>MIN_CLEMCORP_001</v>
          </cell>
          <cell r="Q396">
            <v>1.65</v>
          </cell>
          <cell r="R396" t="str">
            <v>EACH</v>
          </cell>
          <cell r="S396" t="str">
            <v>AUD</v>
          </cell>
          <cell r="T396">
            <v>20</v>
          </cell>
          <cell r="U396">
            <v>0</v>
          </cell>
          <cell r="V396">
            <v>0</v>
          </cell>
          <cell r="W396">
            <v>45953</v>
          </cell>
          <cell r="X396">
            <v>20</v>
          </cell>
          <cell r="Y396">
            <v>33</v>
          </cell>
        </row>
        <row r="397">
          <cell r="L397" t="str">
            <v>VSC1400X10</v>
          </cell>
          <cell r="M397" t="str">
            <v>TYPHOON 300 SILVER CONCERTINA</v>
          </cell>
          <cell r="N397" t="str">
            <v>NNAV.E890</v>
          </cell>
          <cell r="P397" t="str">
            <v>MIN_CLEMCORP_001</v>
          </cell>
          <cell r="Q397">
            <v>734.85</v>
          </cell>
          <cell r="R397" t="str">
            <v>EACH</v>
          </cell>
          <cell r="S397" t="str">
            <v>AUD</v>
          </cell>
          <cell r="T397">
            <v>10</v>
          </cell>
          <cell r="U397">
            <v>0</v>
          </cell>
          <cell r="V397">
            <v>0</v>
          </cell>
          <cell r="W397">
            <v>45953</v>
          </cell>
          <cell r="X397">
            <v>10</v>
          </cell>
          <cell r="Y397">
            <v>7348.5</v>
          </cell>
        </row>
        <row r="398">
          <cell r="L398" t="str">
            <v>EB4090K5</v>
          </cell>
          <cell r="M398" t="str">
            <v>BOLT EB 24X900 EYEBOLT</v>
          </cell>
          <cell r="N398" t="str">
            <v>NNAV.E500</v>
          </cell>
          <cell r="P398" t="str">
            <v>MIN_DSI_002</v>
          </cell>
          <cell r="Q398">
            <v>22.25</v>
          </cell>
          <cell r="R398" t="str">
            <v>EACH</v>
          </cell>
          <cell r="S398" t="str">
            <v>AUD</v>
          </cell>
          <cell r="T398">
            <v>200</v>
          </cell>
          <cell r="U398">
            <v>0</v>
          </cell>
          <cell r="V398">
            <v>0</v>
          </cell>
          <cell r="W398">
            <v>45855</v>
          </cell>
          <cell r="X398">
            <v>200</v>
          </cell>
          <cell r="Y398">
            <v>4450</v>
          </cell>
        </row>
        <row r="399">
          <cell r="L399" t="str">
            <v>ASES324/43S</v>
          </cell>
          <cell r="M399" t="str">
            <v>EXPANSION SHELL 24 MM R/HAND</v>
          </cell>
          <cell r="N399" t="str">
            <v>NNAV.E500</v>
          </cell>
          <cell r="P399" t="str">
            <v>MIN_DSI_002</v>
          </cell>
          <cell r="Q399">
            <v>4.0599999999999996</v>
          </cell>
          <cell r="R399" t="str">
            <v>EACH</v>
          </cell>
          <cell r="S399" t="str">
            <v>AUD</v>
          </cell>
          <cell r="T399">
            <v>200</v>
          </cell>
          <cell r="U399">
            <v>0</v>
          </cell>
          <cell r="V399">
            <v>0</v>
          </cell>
          <cell r="W399">
            <v>45855</v>
          </cell>
          <cell r="X399">
            <v>200</v>
          </cell>
          <cell r="Y399">
            <v>812</v>
          </cell>
        </row>
        <row r="400">
          <cell r="L400" t="str">
            <v>LP60015024WA</v>
          </cell>
          <cell r="M400" t="str">
            <v>L PIN 600X150X24DIA AH GRADE</v>
          </cell>
          <cell r="N400" t="str">
            <v>NNAV.E500</v>
          </cell>
          <cell r="P400" t="str">
            <v>MIN_DSI_002</v>
          </cell>
          <cell r="Q400">
            <v>7.55</v>
          </cell>
          <cell r="R400" t="str">
            <v>EACH</v>
          </cell>
          <cell r="S400" t="str">
            <v>AUD</v>
          </cell>
          <cell r="T400">
            <v>950</v>
          </cell>
          <cell r="U400">
            <v>0</v>
          </cell>
          <cell r="V400">
            <v>0</v>
          </cell>
          <cell r="W400">
            <v>45855</v>
          </cell>
          <cell r="X400">
            <v>950</v>
          </cell>
          <cell r="Y400">
            <v>7172.5</v>
          </cell>
        </row>
        <row r="401">
          <cell r="L401" t="str">
            <v>FB47090GWA</v>
          </cell>
          <cell r="M401" t="str">
            <v>FRICTION BOLT 47 X 900 GALV WA</v>
          </cell>
          <cell r="N401" t="str">
            <v>NNAV.E700</v>
          </cell>
          <cell r="P401" t="str">
            <v>MIN_DSI_002</v>
          </cell>
          <cell r="Q401">
            <v>6.67</v>
          </cell>
          <cell r="R401" t="str">
            <v>EACH</v>
          </cell>
          <cell r="S401" t="str">
            <v>AUD</v>
          </cell>
          <cell r="T401">
            <v>2100</v>
          </cell>
          <cell r="U401">
            <v>0</v>
          </cell>
          <cell r="V401">
            <v>0</v>
          </cell>
          <cell r="W401">
            <v>45855</v>
          </cell>
          <cell r="X401">
            <v>2100</v>
          </cell>
          <cell r="Y401">
            <v>14007</v>
          </cell>
        </row>
        <row r="402">
          <cell r="L402" t="str">
            <v>FB47240GWA</v>
          </cell>
          <cell r="M402" t="str">
            <v>FRICTION BOLT 47 X 2400 GALV</v>
          </cell>
          <cell r="N402" t="str">
            <v>NNAV.E700</v>
          </cell>
          <cell r="P402" t="str">
            <v>MIN_DSI_002</v>
          </cell>
          <cell r="Q402">
            <v>15.24</v>
          </cell>
          <cell r="R402" t="str">
            <v>EACH</v>
          </cell>
          <cell r="S402" t="str">
            <v>AUD</v>
          </cell>
          <cell r="T402">
            <v>600</v>
          </cell>
          <cell r="U402">
            <v>0</v>
          </cell>
          <cell r="V402">
            <v>0</v>
          </cell>
          <cell r="W402">
            <v>45855</v>
          </cell>
          <cell r="X402">
            <v>600</v>
          </cell>
          <cell r="Y402">
            <v>9144</v>
          </cell>
        </row>
        <row r="403">
          <cell r="L403" t="str">
            <v>DF3STDD15449GWA</v>
          </cell>
          <cell r="M403" t="str">
            <v>D/FLY 300X280 GALV C/W</v>
          </cell>
          <cell r="N403" t="str">
            <v>NNAV.E700</v>
          </cell>
          <cell r="P403" t="str">
            <v>MIN_DSI_002</v>
          </cell>
          <cell r="Q403">
            <v>6.16</v>
          </cell>
          <cell r="R403" t="str">
            <v>EACH</v>
          </cell>
          <cell r="S403" t="str">
            <v>AUD</v>
          </cell>
          <cell r="T403">
            <v>2700</v>
          </cell>
          <cell r="U403">
            <v>0</v>
          </cell>
          <cell r="V403">
            <v>0</v>
          </cell>
          <cell r="W403">
            <v>45855</v>
          </cell>
          <cell r="X403">
            <v>2700</v>
          </cell>
          <cell r="Y403">
            <v>16632</v>
          </cell>
        </row>
        <row r="404">
          <cell r="L404" t="str">
            <v>FB39090GWA</v>
          </cell>
          <cell r="M404" t="str">
            <v>FRICTION BOLT 39 X 900 GAL WA</v>
          </cell>
          <cell r="N404" t="str">
            <v>NNAV.E700</v>
          </cell>
          <cell r="P404" t="str">
            <v>MIN_DSI_002</v>
          </cell>
          <cell r="Q404">
            <v>5.24</v>
          </cell>
          <cell r="R404" t="str">
            <v>EACH</v>
          </cell>
          <cell r="S404" t="str">
            <v>AUD</v>
          </cell>
          <cell r="T404">
            <v>1200</v>
          </cell>
          <cell r="U404">
            <v>0</v>
          </cell>
          <cell r="V404">
            <v>0</v>
          </cell>
          <cell r="W404">
            <v>45855</v>
          </cell>
          <cell r="X404">
            <v>1200</v>
          </cell>
          <cell r="Y404">
            <v>6288</v>
          </cell>
        </row>
        <row r="405">
          <cell r="L405" t="str">
            <v>D1515441GWA</v>
          </cell>
          <cell r="M405" t="str">
            <v>PLATE DOME 150X150X4 41H GALV</v>
          </cell>
          <cell r="N405" t="str">
            <v>NNAV.E700</v>
          </cell>
          <cell r="P405" t="str">
            <v>MIN_DSI_002</v>
          </cell>
          <cell r="Q405">
            <v>2.19</v>
          </cell>
          <cell r="R405" t="str">
            <v>EACH</v>
          </cell>
          <cell r="S405" t="str">
            <v>AUD</v>
          </cell>
          <cell r="T405">
            <v>1200</v>
          </cell>
          <cell r="U405">
            <v>0</v>
          </cell>
          <cell r="V405">
            <v>0</v>
          </cell>
          <cell r="W405">
            <v>45855</v>
          </cell>
          <cell r="X405">
            <v>1200</v>
          </cell>
          <cell r="Y405">
            <v>2628</v>
          </cell>
        </row>
        <row r="406">
          <cell r="L406" t="str">
            <v>CBD1B045DC05WA</v>
          </cell>
          <cell r="M406" t="str">
            <v>C/BOLT (TS BULB) 15.2MM-4.5MT</v>
          </cell>
          <cell r="N406" t="str">
            <v>NNAV.E702</v>
          </cell>
          <cell r="P406" t="str">
            <v>MIN_DSI_002</v>
          </cell>
          <cell r="Q406">
            <v>31.9</v>
          </cell>
          <cell r="R406" t="str">
            <v>EACH</v>
          </cell>
          <cell r="S406" t="str">
            <v>AUD</v>
          </cell>
          <cell r="T406">
            <v>400</v>
          </cell>
          <cell r="U406">
            <v>0</v>
          </cell>
          <cell r="V406">
            <v>0</v>
          </cell>
          <cell r="W406">
            <v>45855</v>
          </cell>
          <cell r="X406">
            <v>400</v>
          </cell>
          <cell r="Y406">
            <v>12760</v>
          </cell>
        </row>
        <row r="407">
          <cell r="L407" t="str">
            <v>CBD1B065DC05WA</v>
          </cell>
          <cell r="M407" t="str">
            <v>C/BLT TWIN STRAND BULBED 6.5M</v>
          </cell>
          <cell r="N407" t="str">
            <v>NNAV.E702</v>
          </cell>
          <cell r="P407" t="str">
            <v>MIN_DSI_002</v>
          </cell>
          <cell r="Q407">
            <v>38.340000000000003</v>
          </cell>
          <cell r="R407" t="str">
            <v>EACH</v>
          </cell>
          <cell r="S407" t="str">
            <v>AUD</v>
          </cell>
          <cell r="T407">
            <v>800</v>
          </cell>
          <cell r="U407">
            <v>0</v>
          </cell>
          <cell r="V407">
            <v>0</v>
          </cell>
          <cell r="W407">
            <v>45855</v>
          </cell>
          <cell r="X407">
            <v>800</v>
          </cell>
          <cell r="Y407">
            <v>30672</v>
          </cell>
        </row>
        <row r="408">
          <cell r="L408" t="str">
            <v>BLW15003RWA</v>
          </cell>
          <cell r="M408" t="str">
            <v>BARREL &amp; 3 PIECE WEDGE ANCHOR</v>
          </cell>
          <cell r="N408" t="str">
            <v>NNAV.E702</v>
          </cell>
          <cell r="P408" t="str">
            <v>MIN_DSI_002</v>
          </cell>
          <cell r="Q408">
            <v>3.42</v>
          </cell>
          <cell r="R408" t="str">
            <v>EACH</v>
          </cell>
          <cell r="S408" t="str">
            <v>AUD</v>
          </cell>
          <cell r="T408">
            <v>1500</v>
          </cell>
          <cell r="U408">
            <v>0</v>
          </cell>
          <cell r="V408">
            <v>0</v>
          </cell>
          <cell r="W408">
            <v>45855</v>
          </cell>
          <cell r="X408">
            <v>1500</v>
          </cell>
          <cell r="Y408">
            <v>5130</v>
          </cell>
        </row>
        <row r="409">
          <cell r="L409" t="str">
            <v>FCB20203H222WA</v>
          </cell>
          <cell r="M409" t="str">
            <v>PLATE FLAT 200X200X12MM 2X 22D</v>
          </cell>
          <cell r="N409" t="str">
            <v>NNAV.E702</v>
          </cell>
          <cell r="P409" t="str">
            <v>MIN_DSI_002</v>
          </cell>
          <cell r="Q409">
            <v>11.89</v>
          </cell>
          <cell r="R409" t="str">
            <v>EACH</v>
          </cell>
          <cell r="S409" t="str">
            <v>AUD</v>
          </cell>
          <cell r="T409">
            <v>1200</v>
          </cell>
          <cell r="U409">
            <v>0</v>
          </cell>
          <cell r="V409">
            <v>0</v>
          </cell>
          <cell r="W409">
            <v>45855</v>
          </cell>
          <cell r="X409">
            <v>1200</v>
          </cell>
          <cell r="Y409">
            <v>14268</v>
          </cell>
        </row>
        <row r="410">
          <cell r="L410" t="str">
            <v>0850BLK</v>
          </cell>
          <cell r="M410" t="str">
            <v>KESTREL 5000 POCKET WEATHER ME</v>
          </cell>
          <cell r="N410" t="str">
            <v>NNAV.E499</v>
          </cell>
          <cell r="P410" t="str">
            <v>MIN_NAPA_001</v>
          </cell>
          <cell r="Q410">
            <v>748.85</v>
          </cell>
          <cell r="R410" t="str">
            <v>EACH</v>
          </cell>
          <cell r="S410" t="str">
            <v>AUD</v>
          </cell>
          <cell r="T410">
            <v>4</v>
          </cell>
          <cell r="U410">
            <v>0</v>
          </cell>
          <cell r="V410">
            <v>0</v>
          </cell>
          <cell r="W410">
            <v>45887</v>
          </cell>
          <cell r="X410">
            <v>4</v>
          </cell>
          <cell r="Y410">
            <v>2995.4</v>
          </cell>
        </row>
        <row r="411">
          <cell r="L411" t="str">
            <v>504010</v>
          </cell>
          <cell r="M411" t="str">
            <v>SHACKLE 1 T DEE</v>
          </cell>
          <cell r="N411" t="str">
            <v>NNAV.E499</v>
          </cell>
          <cell r="P411" t="str">
            <v>MIN_NAPA_001</v>
          </cell>
          <cell r="Q411">
            <v>3.85</v>
          </cell>
          <cell r="R411" t="str">
            <v>EACH</v>
          </cell>
          <cell r="S411" t="str">
            <v>AUD</v>
          </cell>
          <cell r="T411">
            <v>20</v>
          </cell>
          <cell r="U411">
            <v>0</v>
          </cell>
          <cell r="V411">
            <v>0</v>
          </cell>
          <cell r="W411">
            <v>45887</v>
          </cell>
          <cell r="X411">
            <v>20</v>
          </cell>
          <cell r="Y411">
            <v>77</v>
          </cell>
        </row>
        <row r="412">
          <cell r="L412" t="str">
            <v>110510</v>
          </cell>
          <cell r="M412" t="str">
            <v>CHAIN BLOCK 1T X 6M</v>
          </cell>
          <cell r="N412" t="str">
            <v>NNAV.E499</v>
          </cell>
          <cell r="P412" t="str">
            <v>MIN_NAPA_001</v>
          </cell>
          <cell r="Q412">
            <v>191.84</v>
          </cell>
          <cell r="R412" t="str">
            <v>EACH</v>
          </cell>
          <cell r="S412" t="str">
            <v>AUD</v>
          </cell>
          <cell r="T412">
            <v>10</v>
          </cell>
          <cell r="U412">
            <v>0</v>
          </cell>
          <cell r="V412">
            <v>0</v>
          </cell>
          <cell r="W412">
            <v>45887</v>
          </cell>
          <cell r="X412">
            <v>10</v>
          </cell>
          <cell r="Y412">
            <v>1918.4</v>
          </cell>
        </row>
        <row r="413">
          <cell r="L413" t="str">
            <v>4334109</v>
          </cell>
          <cell r="M413" t="str">
            <v>PVC APRON</v>
          </cell>
          <cell r="N413" t="str">
            <v>NNAV.E499</v>
          </cell>
          <cell r="P413" t="str">
            <v>MIN_NAPA_001</v>
          </cell>
          <cell r="Q413">
            <v>18</v>
          </cell>
          <cell r="R413" t="str">
            <v>EACH</v>
          </cell>
          <cell r="S413" t="str">
            <v>AUD</v>
          </cell>
          <cell r="T413">
            <v>4</v>
          </cell>
          <cell r="U413">
            <v>0</v>
          </cell>
          <cell r="V413">
            <v>0</v>
          </cell>
          <cell r="W413">
            <v>45887</v>
          </cell>
          <cell r="X413">
            <v>4</v>
          </cell>
          <cell r="Y413">
            <v>72</v>
          </cell>
        </row>
        <row r="414">
          <cell r="L414" t="str">
            <v>AMPCT-500-1ANZ</v>
          </cell>
          <cell r="M414" t="str">
            <v>ARMOUR ALL MULTI PURPOSE 16OZ</v>
          </cell>
          <cell r="N414" t="str">
            <v>NNAV.E499</v>
          </cell>
          <cell r="P414" t="str">
            <v>MIN_NAPA_001</v>
          </cell>
          <cell r="Q414">
            <v>13.82</v>
          </cell>
          <cell r="R414" t="str">
            <v>EACH</v>
          </cell>
          <cell r="S414" t="str">
            <v>AUD</v>
          </cell>
          <cell r="T414">
            <v>10</v>
          </cell>
          <cell r="U414">
            <v>0</v>
          </cell>
          <cell r="V414">
            <v>0</v>
          </cell>
          <cell r="W414">
            <v>45887</v>
          </cell>
          <cell r="X414">
            <v>10</v>
          </cell>
          <cell r="Y414">
            <v>138.19999999999999</v>
          </cell>
        </row>
        <row r="415">
          <cell r="L415" t="str">
            <v>EC-EOV150</v>
          </cell>
          <cell r="M415" t="str">
            <v>VICE ENGINEERS OFFSET 150MM 6I</v>
          </cell>
          <cell r="N415" t="str">
            <v>NNAV.E499</v>
          </cell>
          <cell r="P415" t="str">
            <v>MIN_NAPA_001</v>
          </cell>
          <cell r="Q415">
            <v>327.45999999999998</v>
          </cell>
          <cell r="R415" t="str">
            <v>EACH</v>
          </cell>
          <cell r="S415" t="str">
            <v>AUD</v>
          </cell>
          <cell r="T415">
            <v>1</v>
          </cell>
          <cell r="U415">
            <v>0</v>
          </cell>
          <cell r="V415">
            <v>0</v>
          </cell>
          <cell r="W415">
            <v>45887</v>
          </cell>
          <cell r="X415">
            <v>1</v>
          </cell>
          <cell r="Y415">
            <v>327.45999999999998</v>
          </cell>
        </row>
        <row r="416">
          <cell r="L416" t="str">
            <v>100420653</v>
          </cell>
          <cell r="M416" t="str">
            <v>SPRINKLER IMPACT METAL PC 15MM</v>
          </cell>
          <cell r="N416" t="str">
            <v>NNAV.E499</v>
          </cell>
          <cell r="P416" t="str">
            <v>MIN_NAPA_001</v>
          </cell>
          <cell r="Q416">
            <v>15.66</v>
          </cell>
          <cell r="R416" t="str">
            <v>EACH</v>
          </cell>
          <cell r="S416" t="str">
            <v>AUD</v>
          </cell>
          <cell r="T416">
            <v>25</v>
          </cell>
          <cell r="U416">
            <v>0</v>
          </cell>
          <cell r="V416">
            <v>0</v>
          </cell>
          <cell r="W416">
            <v>45887</v>
          </cell>
          <cell r="X416">
            <v>25</v>
          </cell>
          <cell r="Y416">
            <v>391.5</v>
          </cell>
        </row>
        <row r="417">
          <cell r="L417" t="str">
            <v>B10-1</v>
          </cell>
          <cell r="M417" t="str">
            <v>BARRIER CREAM 1 LTR B10</v>
          </cell>
          <cell r="N417" t="str">
            <v>NNAV.E653</v>
          </cell>
          <cell r="P417" t="str">
            <v>MIN_NAPA_001</v>
          </cell>
          <cell r="Q417">
            <v>43.75</v>
          </cell>
          <cell r="R417" t="str">
            <v>EACH</v>
          </cell>
          <cell r="S417" t="str">
            <v>AUD</v>
          </cell>
          <cell r="T417">
            <v>10</v>
          </cell>
          <cell r="U417">
            <v>0</v>
          </cell>
          <cell r="V417">
            <v>0</v>
          </cell>
          <cell r="W417">
            <v>45887</v>
          </cell>
          <cell r="X417">
            <v>10</v>
          </cell>
          <cell r="Y417">
            <v>437.5</v>
          </cell>
        </row>
        <row r="418">
          <cell r="L418" t="str">
            <v>SJ72-66XR</v>
          </cell>
          <cell r="M418" t="str">
            <v>SAW SPEAR AND JACKSON</v>
          </cell>
          <cell r="N418" t="str">
            <v>NNAV.E750</v>
          </cell>
          <cell r="P418" t="str">
            <v>MIN_NAPA_001</v>
          </cell>
          <cell r="Q418">
            <v>45.11</v>
          </cell>
          <cell r="R418" t="str">
            <v>EACH</v>
          </cell>
          <cell r="S418" t="str">
            <v>AUD</v>
          </cell>
          <cell r="T418">
            <v>20</v>
          </cell>
          <cell r="U418">
            <v>0</v>
          </cell>
          <cell r="V418">
            <v>0</v>
          </cell>
          <cell r="W418">
            <v>45887</v>
          </cell>
          <cell r="X418">
            <v>20</v>
          </cell>
          <cell r="Y418">
            <v>902.2</v>
          </cell>
        </row>
        <row r="419">
          <cell r="L419" t="str">
            <v>M3RAU</v>
          </cell>
          <cell r="M419" t="str">
            <v>SNIPS STRAIGHT CUT YELLOW GRIP</v>
          </cell>
          <cell r="N419" t="str">
            <v>NNAV.E750</v>
          </cell>
          <cell r="P419" t="str">
            <v>MIN_NAPA_001</v>
          </cell>
          <cell r="Q419">
            <v>32.72</v>
          </cell>
          <cell r="R419" t="str">
            <v>EACH</v>
          </cell>
          <cell r="S419" t="str">
            <v>AUD</v>
          </cell>
          <cell r="T419">
            <v>25</v>
          </cell>
          <cell r="U419">
            <v>0</v>
          </cell>
          <cell r="V419">
            <v>0</v>
          </cell>
          <cell r="W419">
            <v>45887</v>
          </cell>
          <cell r="X419">
            <v>25</v>
          </cell>
          <cell r="Y419">
            <v>818</v>
          </cell>
        </row>
        <row r="420">
          <cell r="L420" t="str">
            <v>SJ-HS10</v>
          </cell>
          <cell r="M420" t="str">
            <v>HACKSAW</v>
          </cell>
          <cell r="N420" t="str">
            <v>NNAV.E750</v>
          </cell>
          <cell r="P420" t="str">
            <v>MIN_NAPA_001</v>
          </cell>
          <cell r="Q420">
            <v>13.78</v>
          </cell>
          <cell r="R420" t="str">
            <v>EACH</v>
          </cell>
          <cell r="S420" t="str">
            <v>AUD</v>
          </cell>
          <cell r="T420">
            <v>25</v>
          </cell>
          <cell r="U420">
            <v>0</v>
          </cell>
          <cell r="V420">
            <v>0</v>
          </cell>
          <cell r="W420">
            <v>45887</v>
          </cell>
          <cell r="X420">
            <v>25</v>
          </cell>
          <cell r="Y420">
            <v>344.5</v>
          </cell>
        </row>
        <row r="421">
          <cell r="L421" t="str">
            <v>EC-AE46X</v>
          </cell>
          <cell r="M421" t="str">
            <v>HACKSAW BLADE 32TPI</v>
          </cell>
          <cell r="N421" t="str">
            <v>NNAV.E750</v>
          </cell>
          <cell r="P421" t="str">
            <v>MIN_NAPA_001</v>
          </cell>
          <cell r="Q421">
            <v>3.35</v>
          </cell>
          <cell r="R421" t="str">
            <v>EACH</v>
          </cell>
          <cell r="S421" t="str">
            <v>AUD</v>
          </cell>
          <cell r="T421">
            <v>200</v>
          </cell>
          <cell r="U421">
            <v>0</v>
          </cell>
          <cell r="V421">
            <v>0</v>
          </cell>
          <cell r="W421">
            <v>45887</v>
          </cell>
          <cell r="X421">
            <v>200</v>
          </cell>
          <cell r="Y421">
            <v>670</v>
          </cell>
        </row>
        <row r="422">
          <cell r="L422" t="str">
            <v>TH314</v>
          </cell>
          <cell r="M422" t="str">
            <v>HAMMER THOR 44MM COPPER/COPPER</v>
          </cell>
          <cell r="N422" t="str">
            <v>NNAV.E750</v>
          </cell>
          <cell r="P422" t="str">
            <v>MIN_NAPA_001</v>
          </cell>
          <cell r="Q422">
            <v>169.65</v>
          </cell>
          <cell r="R422" t="str">
            <v>EACH</v>
          </cell>
          <cell r="S422" t="str">
            <v>AUD</v>
          </cell>
          <cell r="T422">
            <v>10</v>
          </cell>
          <cell r="U422">
            <v>0</v>
          </cell>
          <cell r="V422">
            <v>0</v>
          </cell>
          <cell r="W422">
            <v>45887</v>
          </cell>
          <cell r="X422">
            <v>10</v>
          </cell>
          <cell r="Y422">
            <v>1696.5</v>
          </cell>
        </row>
        <row r="423">
          <cell r="L423" t="str">
            <v>K040037</v>
          </cell>
          <cell r="M423" t="str">
            <v>PLIERS</v>
          </cell>
          <cell r="N423" t="str">
            <v>NNAV.E750</v>
          </cell>
          <cell r="P423" t="str">
            <v>MIN_NAPA_001</v>
          </cell>
          <cell r="Q423">
            <v>38.19</v>
          </cell>
          <cell r="R423" t="str">
            <v>EACH</v>
          </cell>
          <cell r="S423" t="str">
            <v>AUD</v>
          </cell>
          <cell r="T423">
            <v>20</v>
          </cell>
          <cell r="U423">
            <v>0</v>
          </cell>
          <cell r="V423">
            <v>0</v>
          </cell>
          <cell r="W423">
            <v>45887</v>
          </cell>
          <cell r="X423">
            <v>20</v>
          </cell>
          <cell r="Y423">
            <v>763.8</v>
          </cell>
        </row>
        <row r="424">
          <cell r="L424" t="str">
            <v>SCMT28517</v>
          </cell>
          <cell r="M424" t="str">
            <v>PLIERS DIAGONAL 200MM INSULATE</v>
          </cell>
          <cell r="N424" t="str">
            <v>NNAV.E750</v>
          </cell>
          <cell r="P424" t="str">
            <v>MIN_NAPA_001</v>
          </cell>
          <cell r="Q424">
            <v>72.989999999999995</v>
          </cell>
          <cell r="R424" t="str">
            <v>EACH</v>
          </cell>
          <cell r="S424" t="str">
            <v>AUD</v>
          </cell>
          <cell r="T424">
            <v>15</v>
          </cell>
          <cell r="U424">
            <v>0</v>
          </cell>
          <cell r="V424">
            <v>0</v>
          </cell>
          <cell r="W424">
            <v>45887</v>
          </cell>
          <cell r="X424">
            <v>15</v>
          </cell>
          <cell r="Y424">
            <v>1094.8499999999999</v>
          </cell>
        </row>
        <row r="425">
          <cell r="L425" t="str">
            <v>CT24HLC</v>
          </cell>
          <cell r="M425" t="str">
            <v>CUTTER BOLT 600MM (24")</v>
          </cell>
          <cell r="N425" t="str">
            <v>NNAV.E750</v>
          </cell>
          <cell r="P425" t="str">
            <v>MIN_NAPA_001</v>
          </cell>
          <cell r="Q425">
            <v>69.13</v>
          </cell>
          <cell r="R425" t="str">
            <v>EACH</v>
          </cell>
          <cell r="S425" t="str">
            <v>AUD</v>
          </cell>
          <cell r="T425">
            <v>15</v>
          </cell>
          <cell r="U425">
            <v>0</v>
          </cell>
          <cell r="V425">
            <v>0</v>
          </cell>
          <cell r="W425">
            <v>45887</v>
          </cell>
          <cell r="X425">
            <v>15</v>
          </cell>
          <cell r="Y425">
            <v>1036.95</v>
          </cell>
        </row>
        <row r="426">
          <cell r="L426" t="str">
            <v>UW148MEN</v>
          </cell>
          <cell r="M426" t="str">
            <v>TAPE MEASURE 8MT (26') STANLEY</v>
          </cell>
          <cell r="N426" t="str">
            <v>NNAV.E750</v>
          </cell>
          <cell r="P426" t="str">
            <v>MIN_NAPA_001</v>
          </cell>
          <cell r="Q426">
            <v>26.32</v>
          </cell>
          <cell r="R426" t="str">
            <v>EACH</v>
          </cell>
          <cell r="S426" t="str">
            <v>AUD</v>
          </cell>
          <cell r="T426">
            <v>10</v>
          </cell>
          <cell r="U426">
            <v>0</v>
          </cell>
          <cell r="V426">
            <v>0</v>
          </cell>
          <cell r="W426">
            <v>45887</v>
          </cell>
          <cell r="X426">
            <v>10</v>
          </cell>
          <cell r="Y426">
            <v>263.2</v>
          </cell>
        </row>
        <row r="427">
          <cell r="L427" t="str">
            <v>RMR15</v>
          </cell>
          <cell r="M427" t="str">
            <v>BAG OF RAGS 15KG</v>
          </cell>
          <cell r="N427" t="str">
            <v>NNAV.E750</v>
          </cell>
          <cell r="P427" t="str">
            <v>MIN_NAPA_001</v>
          </cell>
          <cell r="Q427">
            <v>33.94</v>
          </cell>
          <cell r="R427" t="str">
            <v>EACH</v>
          </cell>
          <cell r="S427" t="str">
            <v>AUD</v>
          </cell>
          <cell r="T427">
            <v>50</v>
          </cell>
          <cell r="U427">
            <v>0</v>
          </cell>
          <cell r="V427">
            <v>0</v>
          </cell>
          <cell r="W427">
            <v>45887</v>
          </cell>
          <cell r="X427">
            <v>50</v>
          </cell>
          <cell r="Y427">
            <v>1697</v>
          </cell>
        </row>
        <row r="428">
          <cell r="L428" t="str">
            <v>SCMTRH2430</v>
          </cell>
          <cell r="M428" t="str">
            <v>PODGER</v>
          </cell>
          <cell r="N428" t="str">
            <v>NNAV.E750</v>
          </cell>
          <cell r="P428" t="str">
            <v>MIN_NAPA_001</v>
          </cell>
          <cell r="Q428">
            <v>98.55</v>
          </cell>
          <cell r="R428" t="str">
            <v>EACH</v>
          </cell>
          <cell r="S428" t="str">
            <v>AUD</v>
          </cell>
          <cell r="T428">
            <v>8</v>
          </cell>
          <cell r="U428">
            <v>0</v>
          </cell>
          <cell r="V428">
            <v>0</v>
          </cell>
          <cell r="W428">
            <v>45887</v>
          </cell>
          <cell r="X428">
            <v>8</v>
          </cell>
          <cell r="Y428">
            <v>788.4</v>
          </cell>
        </row>
        <row r="429">
          <cell r="L429" t="str">
            <v>FE60CME</v>
          </cell>
          <cell r="M429" t="str">
            <v>TAPE MEASURE 60MT FIBRE GLASS</v>
          </cell>
          <cell r="N429" t="str">
            <v>NNAV.E750</v>
          </cell>
          <cell r="P429" t="str">
            <v>MIN_NAPA_001</v>
          </cell>
          <cell r="Q429">
            <v>49.01</v>
          </cell>
          <cell r="R429" t="str">
            <v>EACH</v>
          </cell>
          <cell r="S429" t="str">
            <v>AUD</v>
          </cell>
          <cell r="T429">
            <v>2</v>
          </cell>
          <cell r="U429">
            <v>0</v>
          </cell>
          <cell r="V429">
            <v>0</v>
          </cell>
          <cell r="W429">
            <v>45887</v>
          </cell>
          <cell r="X429">
            <v>2</v>
          </cell>
          <cell r="Y429">
            <v>98.02</v>
          </cell>
        </row>
        <row r="430">
          <cell r="L430" t="str">
            <v>70062</v>
          </cell>
          <cell r="M430" t="str">
            <v>SHIFTER - 10" 250MM</v>
          </cell>
          <cell r="N430" t="str">
            <v>NNAV.E750</v>
          </cell>
          <cell r="P430" t="str">
            <v>MIN_NAPA_001</v>
          </cell>
          <cell r="Q430">
            <v>17</v>
          </cell>
          <cell r="R430" t="str">
            <v>EACH</v>
          </cell>
          <cell r="S430" t="str">
            <v>AUD</v>
          </cell>
          <cell r="T430">
            <v>20</v>
          </cell>
          <cell r="U430">
            <v>0</v>
          </cell>
          <cell r="V430">
            <v>0</v>
          </cell>
          <cell r="W430">
            <v>45887</v>
          </cell>
          <cell r="X430">
            <v>20</v>
          </cell>
          <cell r="Y430">
            <v>340</v>
          </cell>
        </row>
        <row r="431">
          <cell r="L431" t="str">
            <v>70063</v>
          </cell>
          <cell r="M431" t="str">
            <v>WRENCH ADJUSTABLE 300MM</v>
          </cell>
          <cell r="N431" t="str">
            <v>NNAV.E750</v>
          </cell>
          <cell r="P431" t="str">
            <v>MIN_NAPA_001</v>
          </cell>
          <cell r="Q431">
            <v>24.67</v>
          </cell>
          <cell r="R431" t="str">
            <v>EACH</v>
          </cell>
          <cell r="S431" t="str">
            <v>AUD</v>
          </cell>
          <cell r="T431">
            <v>10</v>
          </cell>
          <cell r="U431">
            <v>0</v>
          </cell>
          <cell r="V431">
            <v>0</v>
          </cell>
          <cell r="W431">
            <v>45887</v>
          </cell>
          <cell r="X431">
            <v>10</v>
          </cell>
          <cell r="Y431">
            <v>246.7</v>
          </cell>
        </row>
        <row r="432">
          <cell r="L432" t="str">
            <v>70065</v>
          </cell>
          <cell r="M432" t="str">
            <v>450MM ADUSTABLE WRENCH</v>
          </cell>
          <cell r="N432" t="str">
            <v>NNAV.E750</v>
          </cell>
          <cell r="P432" t="str">
            <v>MIN_NAPA_001</v>
          </cell>
          <cell r="Q432">
            <v>68</v>
          </cell>
          <cell r="R432" t="str">
            <v>EACH</v>
          </cell>
          <cell r="S432" t="str">
            <v>AUD</v>
          </cell>
          <cell r="T432">
            <v>5</v>
          </cell>
          <cell r="U432">
            <v>0</v>
          </cell>
          <cell r="V432">
            <v>0</v>
          </cell>
          <cell r="W432">
            <v>45887</v>
          </cell>
          <cell r="X432">
            <v>5</v>
          </cell>
          <cell r="Y432">
            <v>340</v>
          </cell>
        </row>
        <row r="433">
          <cell r="L433" t="str">
            <v>10-189C</v>
          </cell>
          <cell r="M433" t="str">
            <v>KNIFE STANLEY TRIMMING</v>
          </cell>
          <cell r="N433" t="str">
            <v>NNAV.E750</v>
          </cell>
          <cell r="P433" t="str">
            <v>MIN_NAPA_001</v>
          </cell>
          <cell r="Q433">
            <v>20.67</v>
          </cell>
          <cell r="R433" t="str">
            <v>EACH</v>
          </cell>
          <cell r="S433" t="str">
            <v>AUD</v>
          </cell>
          <cell r="T433">
            <v>50</v>
          </cell>
          <cell r="U433">
            <v>0</v>
          </cell>
          <cell r="V433">
            <v>0</v>
          </cell>
          <cell r="W433">
            <v>45887</v>
          </cell>
          <cell r="X433">
            <v>50</v>
          </cell>
          <cell r="Y433">
            <v>1033.5</v>
          </cell>
        </row>
        <row r="434">
          <cell r="L434" t="str">
            <v>11 700A</v>
          </cell>
          <cell r="M434" t="str">
            <v>KNIFE STANLEY BLADE</v>
          </cell>
          <cell r="N434" t="str">
            <v>NNAV.E750</v>
          </cell>
          <cell r="P434" t="str">
            <v>MIN_NAPA_001</v>
          </cell>
          <cell r="Q434">
            <v>50.85</v>
          </cell>
          <cell r="R434" t="str">
            <v>EACH</v>
          </cell>
          <cell r="S434" t="str">
            <v>AUD</v>
          </cell>
          <cell r="T434">
            <v>10</v>
          </cell>
          <cell r="U434">
            <v>0</v>
          </cell>
          <cell r="V434">
            <v>0</v>
          </cell>
          <cell r="W434">
            <v>45887</v>
          </cell>
          <cell r="X434">
            <v>10</v>
          </cell>
          <cell r="Y434">
            <v>508.5</v>
          </cell>
        </row>
        <row r="435">
          <cell r="L435" t="str">
            <v>500072</v>
          </cell>
          <cell r="M435" t="str">
            <v>BAG CRIB CANVAS</v>
          </cell>
          <cell r="N435" t="str">
            <v>NNAV.E750</v>
          </cell>
          <cell r="P435" t="str">
            <v>MIN_NAPA_001</v>
          </cell>
          <cell r="Q435">
            <v>48.62</v>
          </cell>
          <cell r="R435" t="str">
            <v>EACH</v>
          </cell>
          <cell r="S435" t="str">
            <v>AUD</v>
          </cell>
          <cell r="T435">
            <v>50</v>
          </cell>
          <cell r="U435">
            <v>0</v>
          </cell>
          <cell r="V435">
            <v>0</v>
          </cell>
          <cell r="W435">
            <v>45887</v>
          </cell>
          <cell r="X435">
            <v>50</v>
          </cell>
          <cell r="Y435">
            <v>2431</v>
          </cell>
        </row>
        <row r="436">
          <cell r="L436" t="str">
            <v>LG918</v>
          </cell>
          <cell r="M436" t="str">
            <v>ABA COMBINATION SMART PADLOCK</v>
          </cell>
          <cell r="N436" t="str">
            <v>NNAV.E750</v>
          </cell>
          <cell r="P436" t="str">
            <v>MIN_NAPA_001</v>
          </cell>
          <cell r="Q436">
            <v>26.27</v>
          </cell>
          <cell r="R436" t="str">
            <v>EACH</v>
          </cell>
          <cell r="S436" t="str">
            <v>AUD</v>
          </cell>
          <cell r="T436">
            <v>50</v>
          </cell>
          <cell r="U436">
            <v>0</v>
          </cell>
          <cell r="V436">
            <v>0</v>
          </cell>
          <cell r="W436">
            <v>45887</v>
          </cell>
          <cell r="X436">
            <v>50</v>
          </cell>
          <cell r="Y436">
            <v>1313.5</v>
          </cell>
        </row>
        <row r="437">
          <cell r="L437" t="str">
            <v>TRU3025</v>
          </cell>
          <cell r="M437" t="str">
            <v>TALLY COUNTER CHROME</v>
          </cell>
          <cell r="N437" t="str">
            <v>NNAV.E750</v>
          </cell>
          <cell r="P437" t="str">
            <v>MIN_NAPA_001</v>
          </cell>
          <cell r="Q437">
            <v>36.25</v>
          </cell>
          <cell r="R437" t="str">
            <v>EACH</v>
          </cell>
          <cell r="S437" t="str">
            <v>AUD</v>
          </cell>
          <cell r="T437">
            <v>2</v>
          </cell>
          <cell r="U437">
            <v>0</v>
          </cell>
          <cell r="V437">
            <v>0</v>
          </cell>
          <cell r="W437">
            <v>45887</v>
          </cell>
          <cell r="X437">
            <v>2</v>
          </cell>
          <cell r="Y437">
            <v>72.5</v>
          </cell>
        </row>
        <row r="438">
          <cell r="L438" t="str">
            <v>TH316</v>
          </cell>
          <cell r="M438" t="str">
            <v>HAMMER SLEDGE 6LB COPPER</v>
          </cell>
          <cell r="N438" t="str">
            <v>NNAV.E750</v>
          </cell>
          <cell r="P438" t="str">
            <v>MIN_NAPA_001</v>
          </cell>
          <cell r="Q438">
            <v>251.5</v>
          </cell>
          <cell r="R438" t="str">
            <v>EACH</v>
          </cell>
          <cell r="S438" t="str">
            <v>AUD</v>
          </cell>
          <cell r="T438">
            <v>3</v>
          </cell>
          <cell r="U438">
            <v>0</v>
          </cell>
          <cell r="V438">
            <v>0</v>
          </cell>
          <cell r="W438">
            <v>45887</v>
          </cell>
          <cell r="X438">
            <v>3</v>
          </cell>
          <cell r="Y438">
            <v>754.5</v>
          </cell>
        </row>
        <row r="439">
          <cell r="L439" t="str">
            <v>ACX1317</v>
          </cell>
          <cell r="M439" t="str">
            <v>CABLE TIES</v>
          </cell>
          <cell r="N439" t="str">
            <v>NNAV.E750</v>
          </cell>
          <cell r="P439" t="str">
            <v>MIN_NAPA_001</v>
          </cell>
          <cell r="Q439">
            <v>4.83</v>
          </cell>
          <cell r="R439" t="str">
            <v>EACH</v>
          </cell>
          <cell r="S439" t="str">
            <v>AUD</v>
          </cell>
          <cell r="T439">
            <v>20</v>
          </cell>
          <cell r="U439">
            <v>0</v>
          </cell>
          <cell r="V439">
            <v>0</v>
          </cell>
          <cell r="W439">
            <v>45887</v>
          </cell>
          <cell r="X439">
            <v>20</v>
          </cell>
          <cell r="Y439">
            <v>96.6</v>
          </cell>
        </row>
        <row r="440">
          <cell r="L440" t="str">
            <v>ACX1320</v>
          </cell>
          <cell r="M440" t="str">
            <v>CABLE TIES</v>
          </cell>
          <cell r="N440" t="str">
            <v>NNAV.E750</v>
          </cell>
          <cell r="P440" t="str">
            <v>MIN_NAPA_001</v>
          </cell>
          <cell r="Q440">
            <v>12</v>
          </cell>
          <cell r="R440" t="str">
            <v>EACH</v>
          </cell>
          <cell r="S440" t="str">
            <v>AUD</v>
          </cell>
          <cell r="T440">
            <v>20</v>
          </cell>
          <cell r="U440">
            <v>0</v>
          </cell>
          <cell r="V440">
            <v>0</v>
          </cell>
          <cell r="W440">
            <v>45887</v>
          </cell>
          <cell r="X440">
            <v>20</v>
          </cell>
          <cell r="Y440">
            <v>240</v>
          </cell>
        </row>
        <row r="441">
          <cell r="L441" t="str">
            <v>ACX1321</v>
          </cell>
          <cell r="M441" t="str">
            <v>HEAVY DUTY CABLE TIES</v>
          </cell>
          <cell r="N441" t="str">
            <v>NNAV.E750</v>
          </cell>
          <cell r="P441" t="str">
            <v>MIN_NAPA_001</v>
          </cell>
          <cell r="Q441">
            <v>24.12</v>
          </cell>
          <cell r="R441" t="str">
            <v>PACK</v>
          </cell>
          <cell r="S441" t="str">
            <v>AUD</v>
          </cell>
          <cell r="T441">
            <v>10</v>
          </cell>
          <cell r="U441">
            <v>0</v>
          </cell>
          <cell r="V441">
            <v>0</v>
          </cell>
          <cell r="W441">
            <v>45887</v>
          </cell>
          <cell r="X441">
            <v>10</v>
          </cell>
          <cell r="Y441">
            <v>241.2</v>
          </cell>
        </row>
        <row r="442">
          <cell r="L442" t="str">
            <v>ACX1315</v>
          </cell>
          <cell r="M442" t="str">
            <v>TIE CABLE 100X2.5MM EACH</v>
          </cell>
          <cell r="N442" t="str">
            <v>NNAV.E750</v>
          </cell>
          <cell r="P442" t="str">
            <v>MIN_NAPA_001</v>
          </cell>
          <cell r="Q442">
            <v>2.0299999999999998</v>
          </cell>
          <cell r="R442" t="str">
            <v>EACH</v>
          </cell>
          <cell r="S442" t="str">
            <v>AUD</v>
          </cell>
          <cell r="T442">
            <v>20</v>
          </cell>
          <cell r="U442">
            <v>0</v>
          </cell>
          <cell r="V442">
            <v>0</v>
          </cell>
          <cell r="W442">
            <v>45887</v>
          </cell>
          <cell r="X442">
            <v>20</v>
          </cell>
          <cell r="Y442">
            <v>40.6</v>
          </cell>
        </row>
        <row r="443">
          <cell r="L443" t="str">
            <v>AE019500774</v>
          </cell>
          <cell r="M443" t="str">
            <v>TAPE ELECTRICAL PVC WHITE 20M</v>
          </cell>
          <cell r="N443" t="str">
            <v>NNAV.E750</v>
          </cell>
          <cell r="P443" t="str">
            <v>MIN_NAPA_001</v>
          </cell>
          <cell r="Q443">
            <v>1.1100000000000001</v>
          </cell>
          <cell r="R443" t="str">
            <v>ROLL</v>
          </cell>
          <cell r="S443" t="str">
            <v>AUD</v>
          </cell>
          <cell r="T443">
            <v>250</v>
          </cell>
          <cell r="U443">
            <v>0</v>
          </cell>
          <cell r="V443">
            <v>0</v>
          </cell>
          <cell r="W443">
            <v>45887</v>
          </cell>
          <cell r="X443">
            <v>250</v>
          </cell>
          <cell r="Y443">
            <v>277.5</v>
          </cell>
        </row>
        <row r="444">
          <cell r="L444" t="str">
            <v>ACX1328</v>
          </cell>
          <cell r="M444" t="str">
            <v>CABLE TIES 200 X 8 BLACK(65-90</v>
          </cell>
          <cell r="N444" t="str">
            <v>NNAV.E750</v>
          </cell>
          <cell r="P444" t="str">
            <v>MIN_NAPA_001</v>
          </cell>
          <cell r="Q444">
            <v>16.760000000000002</v>
          </cell>
          <cell r="R444" t="str">
            <v>PKT</v>
          </cell>
          <cell r="S444" t="str">
            <v>AUD</v>
          </cell>
          <cell r="T444">
            <v>20</v>
          </cell>
          <cell r="U444">
            <v>0</v>
          </cell>
          <cell r="V444">
            <v>0</v>
          </cell>
          <cell r="W444">
            <v>45887</v>
          </cell>
          <cell r="X444">
            <v>20</v>
          </cell>
          <cell r="Y444">
            <v>335.2</v>
          </cell>
        </row>
        <row r="445">
          <cell r="L445" t="str">
            <v>ACX1316</v>
          </cell>
          <cell r="M445" t="str">
            <v>TIE CABLE 150MMX3.6MM BLK</v>
          </cell>
          <cell r="N445" t="str">
            <v>NNAV.E750</v>
          </cell>
          <cell r="P445" t="str">
            <v>MIN_NAPA_001</v>
          </cell>
          <cell r="Q445">
            <v>3.5</v>
          </cell>
          <cell r="R445" t="str">
            <v>PACK</v>
          </cell>
          <cell r="S445" t="str">
            <v>AUD</v>
          </cell>
          <cell r="T445">
            <v>20</v>
          </cell>
          <cell r="U445">
            <v>0</v>
          </cell>
          <cell r="V445">
            <v>0</v>
          </cell>
          <cell r="W445">
            <v>45887</v>
          </cell>
          <cell r="X445">
            <v>20</v>
          </cell>
          <cell r="Y445">
            <v>70</v>
          </cell>
        </row>
        <row r="446">
          <cell r="L446" t="str">
            <v>D08045X</v>
          </cell>
          <cell r="M446" t="str">
            <v>DYNA BOLT EYE 8MM 100 PK</v>
          </cell>
          <cell r="N446" t="str">
            <v>NNAV.E750</v>
          </cell>
          <cell r="P446" t="str">
            <v>MIN_NAPA_001</v>
          </cell>
          <cell r="Q446">
            <v>68.23</v>
          </cell>
          <cell r="R446" t="str">
            <v>EACH</v>
          </cell>
          <cell r="S446" t="str">
            <v>AUD</v>
          </cell>
          <cell r="T446">
            <v>10</v>
          </cell>
          <cell r="U446">
            <v>0</v>
          </cell>
          <cell r="V446">
            <v>0</v>
          </cell>
          <cell r="W446">
            <v>45887</v>
          </cell>
          <cell r="X446">
            <v>10</v>
          </cell>
          <cell r="Y446">
            <v>682.3</v>
          </cell>
        </row>
        <row r="447">
          <cell r="L447" t="str">
            <v>WRMSPM16</v>
          </cell>
          <cell r="M447" t="str">
            <v>WASHER FLAT BLK 16 MM</v>
          </cell>
          <cell r="N447" t="str">
            <v>NNAV.E750</v>
          </cell>
          <cell r="P447" t="str">
            <v>MIN_NAPA_001</v>
          </cell>
          <cell r="Q447">
            <v>14.89</v>
          </cell>
          <cell r="R447" t="str">
            <v>BOX</v>
          </cell>
          <cell r="S447" t="str">
            <v>AUD</v>
          </cell>
          <cell r="T447">
            <v>3</v>
          </cell>
          <cell r="U447">
            <v>0</v>
          </cell>
          <cell r="V447">
            <v>0</v>
          </cell>
          <cell r="W447">
            <v>45887</v>
          </cell>
          <cell r="X447">
            <v>3</v>
          </cell>
          <cell r="Y447">
            <v>44.67</v>
          </cell>
        </row>
        <row r="448">
          <cell r="L448" t="str">
            <v>SCMT22228</v>
          </cell>
          <cell r="M448" t="str">
            <v>SPANNER RING - OPEN 19 MM</v>
          </cell>
          <cell r="N448" t="str">
            <v>NNAV.E750</v>
          </cell>
          <cell r="P448" t="str">
            <v>MIN_NAPA_001</v>
          </cell>
          <cell r="Q448">
            <v>29.07</v>
          </cell>
          <cell r="R448" t="str">
            <v>EACH</v>
          </cell>
          <cell r="S448" t="str">
            <v>AUD</v>
          </cell>
          <cell r="T448">
            <v>6</v>
          </cell>
          <cell r="U448">
            <v>0</v>
          </cell>
          <cell r="V448">
            <v>0</v>
          </cell>
          <cell r="W448">
            <v>45887</v>
          </cell>
          <cell r="X448">
            <v>6</v>
          </cell>
          <cell r="Y448">
            <v>174.42</v>
          </cell>
        </row>
        <row r="449">
          <cell r="L449" t="str">
            <v>SCMT22229</v>
          </cell>
          <cell r="M449" t="str">
            <v>SPANNER RING - OPEN 20 MM</v>
          </cell>
          <cell r="N449" t="str">
            <v>NNAV.E750</v>
          </cell>
          <cell r="P449" t="str">
            <v>MIN_NAPA_001</v>
          </cell>
          <cell r="Q449">
            <v>31.41</v>
          </cell>
          <cell r="R449" t="str">
            <v>EACH</v>
          </cell>
          <cell r="S449" t="str">
            <v>AUD</v>
          </cell>
          <cell r="T449">
            <v>5</v>
          </cell>
          <cell r="U449">
            <v>0</v>
          </cell>
          <cell r="V449">
            <v>0</v>
          </cell>
          <cell r="W449">
            <v>45887</v>
          </cell>
          <cell r="X449">
            <v>5</v>
          </cell>
          <cell r="Y449">
            <v>157.05000000000001</v>
          </cell>
        </row>
        <row r="450">
          <cell r="L450" t="str">
            <v>SCMT22231</v>
          </cell>
          <cell r="M450" t="str">
            <v>SPANNER RING - OPEN 22 MM</v>
          </cell>
          <cell r="N450" t="str">
            <v>NNAV.E750</v>
          </cell>
          <cell r="P450" t="str">
            <v>MIN_NAPA_001</v>
          </cell>
          <cell r="Q450">
            <v>37.799999999999997</v>
          </cell>
          <cell r="R450" t="str">
            <v>EACH</v>
          </cell>
          <cell r="S450" t="str">
            <v>AUD</v>
          </cell>
          <cell r="T450">
            <v>5</v>
          </cell>
          <cell r="U450">
            <v>0</v>
          </cell>
          <cell r="V450">
            <v>0</v>
          </cell>
          <cell r="W450">
            <v>45887</v>
          </cell>
          <cell r="X450">
            <v>5</v>
          </cell>
          <cell r="Y450">
            <v>189</v>
          </cell>
        </row>
        <row r="451">
          <cell r="L451" t="str">
            <v>SCMT22232</v>
          </cell>
          <cell r="M451" t="str">
            <v>SPANNER RING - OPEN 23 MM</v>
          </cell>
          <cell r="N451" t="str">
            <v>NNAV.E750</v>
          </cell>
          <cell r="P451" t="str">
            <v>MIN_NAPA_001</v>
          </cell>
          <cell r="Q451">
            <v>36.69</v>
          </cell>
          <cell r="R451" t="str">
            <v>EACH</v>
          </cell>
          <cell r="S451" t="str">
            <v>AUD</v>
          </cell>
          <cell r="T451">
            <v>5</v>
          </cell>
          <cell r="U451">
            <v>0</v>
          </cell>
          <cell r="V451">
            <v>0</v>
          </cell>
          <cell r="W451">
            <v>45887</v>
          </cell>
          <cell r="X451">
            <v>5</v>
          </cell>
          <cell r="Y451">
            <v>183.45</v>
          </cell>
        </row>
        <row r="452">
          <cell r="L452" t="str">
            <v>SCMT22233</v>
          </cell>
          <cell r="M452" t="str">
            <v>SPANNER RING - OPEN 24 MM</v>
          </cell>
          <cell r="N452" t="str">
            <v>NNAV.E750</v>
          </cell>
          <cell r="P452" t="str">
            <v>MIN_NAPA_001</v>
          </cell>
          <cell r="Q452">
            <v>40.5</v>
          </cell>
          <cell r="R452" t="str">
            <v>EACH</v>
          </cell>
          <cell r="S452" t="str">
            <v>AUD</v>
          </cell>
          <cell r="T452">
            <v>5</v>
          </cell>
          <cell r="U452">
            <v>0</v>
          </cell>
          <cell r="V452">
            <v>0</v>
          </cell>
          <cell r="W452">
            <v>45887</v>
          </cell>
          <cell r="X452">
            <v>5</v>
          </cell>
          <cell r="Y452">
            <v>202.5</v>
          </cell>
        </row>
        <row r="453">
          <cell r="L453" t="str">
            <v>SCMT22239</v>
          </cell>
          <cell r="M453" t="str">
            <v>SPANNER RING - OPEN 30 MM</v>
          </cell>
          <cell r="N453" t="str">
            <v>NNAV.E750</v>
          </cell>
          <cell r="P453" t="str">
            <v>MIN_NAPA_001</v>
          </cell>
          <cell r="Q453">
            <v>68.14</v>
          </cell>
          <cell r="R453" t="str">
            <v>EACH</v>
          </cell>
          <cell r="S453" t="str">
            <v>AUD</v>
          </cell>
          <cell r="T453">
            <v>5</v>
          </cell>
          <cell r="U453">
            <v>0</v>
          </cell>
          <cell r="V453">
            <v>0</v>
          </cell>
          <cell r="W453">
            <v>45887</v>
          </cell>
          <cell r="X453">
            <v>5</v>
          </cell>
          <cell r="Y453">
            <v>340.7</v>
          </cell>
        </row>
        <row r="454">
          <cell r="L454" t="str">
            <v>SCMT22240</v>
          </cell>
          <cell r="M454" t="str">
            <v>SPANNER RING - OPEN 32 MM</v>
          </cell>
          <cell r="N454" t="str">
            <v>NNAV.E750</v>
          </cell>
          <cell r="P454" t="str">
            <v>MIN_NAPA_001</v>
          </cell>
          <cell r="Q454">
            <v>80.64</v>
          </cell>
          <cell r="R454" t="str">
            <v>EACH</v>
          </cell>
          <cell r="S454" t="str">
            <v>AUD</v>
          </cell>
          <cell r="T454">
            <v>5</v>
          </cell>
          <cell r="U454">
            <v>0</v>
          </cell>
          <cell r="V454">
            <v>0</v>
          </cell>
          <cell r="W454">
            <v>45887</v>
          </cell>
          <cell r="X454">
            <v>5</v>
          </cell>
          <cell r="Y454">
            <v>403.2</v>
          </cell>
        </row>
        <row r="455">
          <cell r="L455" t="str">
            <v>SCMT22241</v>
          </cell>
          <cell r="M455" t="str">
            <v>SPANNER RING - OPEN 36MM</v>
          </cell>
          <cell r="N455" t="str">
            <v>NNAV.E750</v>
          </cell>
          <cell r="P455" t="str">
            <v>MIN_NAPA_001</v>
          </cell>
          <cell r="Q455">
            <v>107.75</v>
          </cell>
          <cell r="R455" t="str">
            <v>EACH</v>
          </cell>
          <cell r="S455" t="str">
            <v>AUD</v>
          </cell>
          <cell r="T455">
            <v>6</v>
          </cell>
          <cell r="U455">
            <v>0</v>
          </cell>
          <cell r="V455">
            <v>0</v>
          </cell>
          <cell r="W455">
            <v>45887</v>
          </cell>
          <cell r="X455">
            <v>6</v>
          </cell>
          <cell r="Y455">
            <v>646.5</v>
          </cell>
        </row>
        <row r="456">
          <cell r="L456" t="str">
            <v>M12-18FC</v>
          </cell>
          <cell r="M456" t="str">
            <v>BATTERY CHARGER 18V RAPID</v>
          </cell>
          <cell r="N456" t="str">
            <v>NNAV.E750</v>
          </cell>
          <cell r="P456" t="str">
            <v>MIN_NAPA_001</v>
          </cell>
          <cell r="Q456">
            <v>240</v>
          </cell>
          <cell r="R456" t="str">
            <v>EACH</v>
          </cell>
          <cell r="S456" t="str">
            <v>AUD</v>
          </cell>
          <cell r="T456">
            <v>2</v>
          </cell>
          <cell r="U456">
            <v>0</v>
          </cell>
          <cell r="V456">
            <v>0</v>
          </cell>
          <cell r="W456">
            <v>45887</v>
          </cell>
          <cell r="X456">
            <v>2</v>
          </cell>
          <cell r="Y456">
            <v>480</v>
          </cell>
        </row>
        <row r="457">
          <cell r="L457" t="str">
            <v>M18FHIWF12-0</v>
          </cell>
          <cell r="M457" t="str">
            <v>MILWAUKEE WRENCH</v>
          </cell>
          <cell r="N457" t="str">
            <v>NNAV.E750</v>
          </cell>
          <cell r="P457" t="str">
            <v>MIN_NAPA_001</v>
          </cell>
          <cell r="Q457">
            <v>797.34</v>
          </cell>
          <cell r="R457" t="str">
            <v>EACH</v>
          </cell>
          <cell r="S457" t="str">
            <v>AUD</v>
          </cell>
          <cell r="T457">
            <v>2</v>
          </cell>
          <cell r="U457">
            <v>0</v>
          </cell>
          <cell r="V457">
            <v>0</v>
          </cell>
          <cell r="W457">
            <v>45887</v>
          </cell>
          <cell r="X457">
            <v>2</v>
          </cell>
          <cell r="Y457">
            <v>1594.68</v>
          </cell>
        </row>
        <row r="458">
          <cell r="L458" t="str">
            <v>66252841561</v>
          </cell>
          <cell r="M458" t="str">
            <v>CUT OFF WHL S/S 125X2.5X22.2MM</v>
          </cell>
          <cell r="N458" t="str">
            <v>NNAV.E750</v>
          </cell>
          <cell r="P458" t="str">
            <v>MIN_NAPA_001</v>
          </cell>
          <cell r="Q458">
            <v>2.99</v>
          </cell>
          <cell r="R458" t="str">
            <v>EACH</v>
          </cell>
          <cell r="S458" t="str">
            <v>AUD</v>
          </cell>
          <cell r="T458">
            <v>50</v>
          </cell>
          <cell r="U458">
            <v>0</v>
          </cell>
          <cell r="V458">
            <v>0</v>
          </cell>
          <cell r="W458">
            <v>45887</v>
          </cell>
          <cell r="X458">
            <v>50</v>
          </cell>
          <cell r="Y458">
            <v>149.5</v>
          </cell>
        </row>
        <row r="459">
          <cell r="L459" t="str">
            <v>SCMTRH2732</v>
          </cell>
          <cell r="M459" t="str">
            <v>RATCHET WRENCH 27-32MM</v>
          </cell>
          <cell r="N459" t="str">
            <v>NNAV.E750</v>
          </cell>
          <cell r="P459" t="str">
            <v>MIN_NAPA_001</v>
          </cell>
          <cell r="Q459">
            <v>113.29</v>
          </cell>
          <cell r="R459" t="str">
            <v>EACH</v>
          </cell>
          <cell r="S459" t="str">
            <v>AUD</v>
          </cell>
          <cell r="T459">
            <v>6</v>
          </cell>
          <cell r="U459">
            <v>0</v>
          </cell>
          <cell r="V459">
            <v>0</v>
          </cell>
          <cell r="W459">
            <v>45887</v>
          </cell>
          <cell r="X459">
            <v>6</v>
          </cell>
          <cell r="Y459">
            <v>679.74</v>
          </cell>
        </row>
        <row r="460">
          <cell r="L460" t="str">
            <v>SJ-WB450</v>
          </cell>
          <cell r="M460" t="str">
            <v>WRECKING BAR 450MM</v>
          </cell>
          <cell r="N460" t="str">
            <v>NNAV.E750</v>
          </cell>
          <cell r="P460" t="str">
            <v>MIN_NAPA_001</v>
          </cell>
          <cell r="Q460">
            <v>15.5</v>
          </cell>
          <cell r="R460" t="str">
            <v>EACH</v>
          </cell>
          <cell r="S460" t="str">
            <v>AUD</v>
          </cell>
          <cell r="T460">
            <v>3</v>
          </cell>
          <cell r="U460">
            <v>0</v>
          </cell>
          <cell r="V460">
            <v>0</v>
          </cell>
          <cell r="W460">
            <v>45887</v>
          </cell>
          <cell r="X460">
            <v>3</v>
          </cell>
          <cell r="Y460">
            <v>46.5</v>
          </cell>
        </row>
        <row r="461">
          <cell r="L461" t="str">
            <v>SJ-WB750</v>
          </cell>
          <cell r="M461" t="str">
            <v>WRECKING BAR 750MM</v>
          </cell>
          <cell r="N461" t="str">
            <v>NNAV.E750</v>
          </cell>
          <cell r="P461" t="str">
            <v>MIN_NAPA_001</v>
          </cell>
          <cell r="Q461">
            <v>31.09</v>
          </cell>
          <cell r="R461" t="str">
            <v>EACH</v>
          </cell>
          <cell r="S461" t="str">
            <v>AUD</v>
          </cell>
          <cell r="T461">
            <v>3</v>
          </cell>
          <cell r="U461">
            <v>0</v>
          </cell>
          <cell r="V461">
            <v>0</v>
          </cell>
          <cell r="W461">
            <v>45887</v>
          </cell>
          <cell r="X461">
            <v>3</v>
          </cell>
          <cell r="Y461">
            <v>93.27</v>
          </cell>
        </row>
        <row r="462">
          <cell r="L462" t="str">
            <v>K9234PTT M7264</v>
          </cell>
          <cell r="M462" t="str">
            <v>RUBBER HAMMER 64OZ</v>
          </cell>
          <cell r="N462" t="str">
            <v>NNAV.E750</v>
          </cell>
          <cell r="P462" t="str">
            <v>MIN_NAPA_001</v>
          </cell>
          <cell r="Q462">
            <v>48</v>
          </cell>
          <cell r="R462" t="str">
            <v>EACH</v>
          </cell>
          <cell r="S462" t="str">
            <v>AUD</v>
          </cell>
          <cell r="T462">
            <v>10</v>
          </cell>
          <cell r="U462">
            <v>0</v>
          </cell>
          <cell r="V462">
            <v>0</v>
          </cell>
          <cell r="W462">
            <v>45887</v>
          </cell>
          <cell r="X462">
            <v>10</v>
          </cell>
          <cell r="Y462">
            <v>480</v>
          </cell>
        </row>
        <row r="463">
          <cell r="L463" t="str">
            <v>ACX1329</v>
          </cell>
          <cell r="M463" t="str">
            <v>280X3.6MM CABLE TIE PK100</v>
          </cell>
          <cell r="N463" t="str">
            <v>NNAV.E750</v>
          </cell>
          <cell r="P463" t="str">
            <v>MIN_NAPA_001</v>
          </cell>
          <cell r="Q463">
            <v>6.1</v>
          </cell>
          <cell r="R463" t="str">
            <v>PACK</v>
          </cell>
          <cell r="S463" t="str">
            <v>AUD</v>
          </cell>
          <cell r="T463">
            <v>20</v>
          </cell>
          <cell r="U463">
            <v>0</v>
          </cell>
          <cell r="V463">
            <v>0</v>
          </cell>
          <cell r="W463">
            <v>45887</v>
          </cell>
          <cell r="X463">
            <v>20</v>
          </cell>
          <cell r="Y463">
            <v>122</v>
          </cell>
        </row>
        <row r="464">
          <cell r="L464" t="str">
            <v>KBH46GCM160100</v>
          </cell>
          <cell r="M464" t="str">
            <v>BOLT &amp; NUT M16X100MM GAL PK/50</v>
          </cell>
          <cell r="N464" t="str">
            <v>NNAV.E750</v>
          </cell>
          <cell r="P464" t="str">
            <v>MIN_NAPA_001</v>
          </cell>
          <cell r="Q464">
            <v>61.83</v>
          </cell>
          <cell r="R464" t="str">
            <v>PACK</v>
          </cell>
          <cell r="S464" t="str">
            <v>AUD</v>
          </cell>
          <cell r="T464">
            <v>12</v>
          </cell>
          <cell r="U464">
            <v>0</v>
          </cell>
          <cell r="V464">
            <v>0</v>
          </cell>
          <cell r="W464">
            <v>45887</v>
          </cell>
          <cell r="X464">
            <v>12</v>
          </cell>
          <cell r="Y464">
            <v>741.96</v>
          </cell>
        </row>
        <row r="465">
          <cell r="L465" t="str">
            <v>DP10100</v>
          </cell>
          <cell r="M465" t="str">
            <v>DYNABOLT M10X100 ZINC</v>
          </cell>
          <cell r="N465" t="str">
            <v>NNAV.E750</v>
          </cell>
          <cell r="P465" t="str">
            <v>MIN_NAPA_001</v>
          </cell>
          <cell r="Q465">
            <v>0.67</v>
          </cell>
          <cell r="R465" t="str">
            <v>EACH</v>
          </cell>
          <cell r="S465" t="str">
            <v>AUD</v>
          </cell>
          <cell r="T465">
            <v>250</v>
          </cell>
          <cell r="U465">
            <v>0</v>
          </cell>
          <cell r="V465">
            <v>0</v>
          </cell>
          <cell r="W465">
            <v>45887</v>
          </cell>
          <cell r="X465">
            <v>250</v>
          </cell>
          <cell r="Y465">
            <v>167.5</v>
          </cell>
        </row>
        <row r="466">
          <cell r="L466" t="str">
            <v>D102SM8</v>
          </cell>
          <cell r="M466" t="str">
            <v>DRILL SET SM8 1.0-13.0 29PC</v>
          </cell>
          <cell r="N466" t="str">
            <v>NNAV.E750</v>
          </cell>
          <cell r="P466" t="str">
            <v>MIN_NAPA_001</v>
          </cell>
          <cell r="Q466">
            <v>205.76</v>
          </cell>
          <cell r="R466" t="str">
            <v>PACK</v>
          </cell>
          <cell r="S466" t="str">
            <v>AUD</v>
          </cell>
          <cell r="T466">
            <v>2</v>
          </cell>
          <cell r="U466">
            <v>0</v>
          </cell>
          <cell r="V466">
            <v>0</v>
          </cell>
          <cell r="W466">
            <v>45887</v>
          </cell>
          <cell r="X466">
            <v>2</v>
          </cell>
          <cell r="Y466">
            <v>411.52</v>
          </cell>
        </row>
        <row r="467">
          <cell r="L467" t="str">
            <v>48324024</v>
          </cell>
          <cell r="M467" t="str">
            <v>50PC IMPACT SET SHOCKWAVE</v>
          </cell>
          <cell r="N467" t="str">
            <v>NNAV.E750</v>
          </cell>
          <cell r="P467" t="str">
            <v>MIN_NAPA_001</v>
          </cell>
          <cell r="Q467">
            <v>58</v>
          </cell>
          <cell r="R467" t="str">
            <v>PACK</v>
          </cell>
          <cell r="S467" t="str">
            <v>AUD</v>
          </cell>
          <cell r="T467">
            <v>1</v>
          </cell>
          <cell r="U467">
            <v>0</v>
          </cell>
          <cell r="V467">
            <v>0</v>
          </cell>
          <cell r="W467">
            <v>45887</v>
          </cell>
          <cell r="X467">
            <v>1</v>
          </cell>
          <cell r="Y467">
            <v>58</v>
          </cell>
        </row>
        <row r="468">
          <cell r="L468" t="str">
            <v>M18FB8M18HB8</v>
          </cell>
          <cell r="M468" t="str">
            <v>M18 REDLITHIUM BATT MILWAUKEE</v>
          </cell>
          <cell r="N468" t="str">
            <v>NNAV.E750</v>
          </cell>
          <cell r="P468" t="str">
            <v>MIN_NAPA_001</v>
          </cell>
          <cell r="Q468">
            <v>325</v>
          </cell>
          <cell r="R468" t="str">
            <v>EACH</v>
          </cell>
          <cell r="S468" t="str">
            <v>AUD</v>
          </cell>
          <cell r="T468">
            <v>4</v>
          </cell>
          <cell r="U468">
            <v>0</v>
          </cell>
          <cell r="V468">
            <v>0</v>
          </cell>
          <cell r="W468">
            <v>45887</v>
          </cell>
          <cell r="X468">
            <v>4</v>
          </cell>
          <cell r="Y468">
            <v>1300</v>
          </cell>
        </row>
        <row r="469">
          <cell r="L469" t="str">
            <v>72117</v>
          </cell>
          <cell r="M469" t="str">
            <v>IMPACT SOCKET 17MM</v>
          </cell>
          <cell r="N469" t="str">
            <v>NNAV.E750</v>
          </cell>
          <cell r="P469" t="str">
            <v>MIN_NAPA_001</v>
          </cell>
          <cell r="Q469">
            <v>9.33</v>
          </cell>
          <cell r="R469" t="str">
            <v>EACH</v>
          </cell>
          <cell r="S469" t="str">
            <v>AUD</v>
          </cell>
          <cell r="T469">
            <v>10</v>
          </cell>
          <cell r="U469">
            <v>0</v>
          </cell>
          <cell r="V469">
            <v>0</v>
          </cell>
          <cell r="W469">
            <v>45887</v>
          </cell>
          <cell r="X469">
            <v>10</v>
          </cell>
          <cell r="Y469">
            <v>93.3</v>
          </cell>
        </row>
        <row r="470">
          <cell r="L470" t="str">
            <v>72124-1</v>
          </cell>
          <cell r="M470" t="str">
            <v>IMPACT SOCKET 24MM</v>
          </cell>
          <cell r="N470" t="str">
            <v>NNAV.E750</v>
          </cell>
          <cell r="P470" t="str">
            <v>MIN_NAPA_001</v>
          </cell>
          <cell r="Q470">
            <v>12.5</v>
          </cell>
          <cell r="R470" t="str">
            <v>EACH</v>
          </cell>
          <cell r="S470" t="str">
            <v>AUD</v>
          </cell>
          <cell r="T470">
            <v>10</v>
          </cell>
          <cell r="U470">
            <v>0</v>
          </cell>
          <cell r="V470">
            <v>0</v>
          </cell>
          <cell r="W470">
            <v>45887</v>
          </cell>
          <cell r="X470">
            <v>10</v>
          </cell>
          <cell r="Y470">
            <v>125</v>
          </cell>
        </row>
        <row r="471">
          <cell r="L471" t="str">
            <v>72130</v>
          </cell>
          <cell r="M471" t="str">
            <v>IMPACT SOCKET 30MM</v>
          </cell>
          <cell r="N471" t="str">
            <v>NNAV.E750</v>
          </cell>
          <cell r="P471" t="str">
            <v>MIN_NAPA_001</v>
          </cell>
          <cell r="Q471">
            <v>15.67</v>
          </cell>
          <cell r="R471" t="str">
            <v>EACH</v>
          </cell>
          <cell r="S471" t="str">
            <v>AUD</v>
          </cell>
          <cell r="T471">
            <v>10</v>
          </cell>
          <cell r="U471">
            <v>0</v>
          </cell>
          <cell r="V471">
            <v>0</v>
          </cell>
          <cell r="W471">
            <v>45887</v>
          </cell>
          <cell r="X471">
            <v>10</v>
          </cell>
          <cell r="Y471">
            <v>156.69999999999999</v>
          </cell>
        </row>
        <row r="472">
          <cell r="L472" t="str">
            <v>M18BLSAG125XPD0</v>
          </cell>
          <cell r="M472" t="str">
            <v>M18 125MM GRINDER - MILWAUKEE</v>
          </cell>
          <cell r="N472" t="str">
            <v>NNAV.E750</v>
          </cell>
          <cell r="P472" t="str">
            <v>MIN_NAPA_001</v>
          </cell>
          <cell r="Q472">
            <v>310</v>
          </cell>
          <cell r="R472" t="str">
            <v>EACH</v>
          </cell>
          <cell r="S472" t="str">
            <v>AUD</v>
          </cell>
          <cell r="T472">
            <v>1</v>
          </cell>
          <cell r="U472">
            <v>0</v>
          </cell>
          <cell r="V472">
            <v>0</v>
          </cell>
          <cell r="W472">
            <v>45887</v>
          </cell>
          <cell r="X472">
            <v>1</v>
          </cell>
          <cell r="Y472">
            <v>310</v>
          </cell>
        </row>
        <row r="473">
          <cell r="L473" t="str">
            <v>66252841305</v>
          </cell>
          <cell r="M473" t="str">
            <v>GRINDING DISC- 125MM</v>
          </cell>
          <cell r="N473" t="str">
            <v>NNAV.E750</v>
          </cell>
          <cell r="P473" t="str">
            <v>MIN_NAPA_001</v>
          </cell>
          <cell r="Q473">
            <v>4.3099999999999996</v>
          </cell>
          <cell r="R473" t="str">
            <v>EACH</v>
          </cell>
          <cell r="S473" t="str">
            <v>AUD</v>
          </cell>
          <cell r="T473">
            <v>50</v>
          </cell>
          <cell r="U473">
            <v>0</v>
          </cell>
          <cell r="V473">
            <v>0</v>
          </cell>
          <cell r="W473">
            <v>45887</v>
          </cell>
          <cell r="X473">
            <v>50</v>
          </cell>
          <cell r="Y473">
            <v>215.5</v>
          </cell>
        </row>
        <row r="474">
          <cell r="L474" t="str">
            <v>M18FPD30</v>
          </cell>
          <cell r="M474" t="str">
            <v>M18 HAMMER DRILL - MILWAUKEE</v>
          </cell>
          <cell r="N474" t="str">
            <v>NNAV.E750</v>
          </cell>
          <cell r="P474" t="str">
            <v>MIN_NAPA_001</v>
          </cell>
          <cell r="Q474">
            <v>404</v>
          </cell>
          <cell r="R474" t="str">
            <v>EACH</v>
          </cell>
          <cell r="S474" t="str">
            <v>AUD</v>
          </cell>
          <cell r="T474">
            <v>1</v>
          </cell>
          <cell r="U474">
            <v>0</v>
          </cell>
          <cell r="V474">
            <v>0</v>
          </cell>
          <cell r="W474">
            <v>45887</v>
          </cell>
          <cell r="X474">
            <v>1</v>
          </cell>
          <cell r="Y474">
            <v>404</v>
          </cell>
        </row>
        <row r="475">
          <cell r="L475" t="str">
            <v>D6010800</v>
          </cell>
          <cell r="M475" t="str">
            <v>DRILL 8MMX 150MM MSNRY TO SUIT</v>
          </cell>
          <cell r="N475" t="str">
            <v>NNAV.E750</v>
          </cell>
          <cell r="P475" t="str">
            <v>MIN_NAPA_001</v>
          </cell>
          <cell r="Q475">
            <v>8.42</v>
          </cell>
          <cell r="R475" t="str">
            <v>EACH</v>
          </cell>
          <cell r="S475" t="str">
            <v>AUD</v>
          </cell>
          <cell r="T475">
            <v>10</v>
          </cell>
          <cell r="U475">
            <v>0</v>
          </cell>
          <cell r="V475">
            <v>0</v>
          </cell>
          <cell r="W475">
            <v>45887</v>
          </cell>
          <cell r="X475">
            <v>10</v>
          </cell>
          <cell r="Y475">
            <v>84.2</v>
          </cell>
        </row>
        <row r="476">
          <cell r="L476" t="str">
            <v>D6011000</v>
          </cell>
          <cell r="M476" t="str">
            <v>DRILL 10MMX 150MM MSNRY TO SUI</v>
          </cell>
          <cell r="N476" t="str">
            <v>NNAV.E750</v>
          </cell>
          <cell r="P476" t="str">
            <v>MIN_NAPA_001</v>
          </cell>
          <cell r="Q476">
            <v>9.67</v>
          </cell>
          <cell r="R476" t="str">
            <v>EACH</v>
          </cell>
          <cell r="S476" t="str">
            <v>AUD</v>
          </cell>
          <cell r="T476">
            <v>10</v>
          </cell>
          <cell r="U476">
            <v>0</v>
          </cell>
          <cell r="V476">
            <v>0</v>
          </cell>
          <cell r="W476">
            <v>45887</v>
          </cell>
          <cell r="X476">
            <v>10</v>
          </cell>
          <cell r="Y476">
            <v>96.7</v>
          </cell>
        </row>
        <row r="477">
          <cell r="L477" t="str">
            <v>D6011600</v>
          </cell>
          <cell r="M477" t="str">
            <v>DRILL 16MMX 150MM MSNRY TO SUI</v>
          </cell>
          <cell r="N477" t="str">
            <v>NNAV.E750</v>
          </cell>
          <cell r="P477" t="str">
            <v>MIN_NAPA_001</v>
          </cell>
          <cell r="Q477">
            <v>19.07</v>
          </cell>
          <cell r="R477" t="str">
            <v>EACH</v>
          </cell>
          <cell r="S477" t="str">
            <v>AUD</v>
          </cell>
          <cell r="T477">
            <v>10</v>
          </cell>
          <cell r="U477">
            <v>0</v>
          </cell>
          <cell r="V477">
            <v>0</v>
          </cell>
          <cell r="W477">
            <v>45887</v>
          </cell>
          <cell r="X477">
            <v>10</v>
          </cell>
          <cell r="Y477">
            <v>190.7</v>
          </cell>
        </row>
        <row r="478">
          <cell r="L478" t="str">
            <v>M18CSX2-0</v>
          </cell>
          <cell r="M478" t="str">
            <v>M18 RECIPROCATING SAW - MILWAU</v>
          </cell>
          <cell r="N478" t="str">
            <v>NNAV.E750</v>
          </cell>
          <cell r="P478" t="str">
            <v>MIN_NAPA_001</v>
          </cell>
          <cell r="Q478">
            <v>449</v>
          </cell>
          <cell r="R478" t="str">
            <v>EACH</v>
          </cell>
          <cell r="S478" t="str">
            <v>AUD</v>
          </cell>
          <cell r="T478">
            <v>1</v>
          </cell>
          <cell r="U478">
            <v>0</v>
          </cell>
          <cell r="V478">
            <v>0</v>
          </cell>
          <cell r="W478">
            <v>45887</v>
          </cell>
          <cell r="X478">
            <v>1</v>
          </cell>
          <cell r="Y478">
            <v>449</v>
          </cell>
        </row>
        <row r="479">
          <cell r="L479" t="str">
            <v>48005303</v>
          </cell>
          <cell r="M479" t="str">
            <v>METAL BLADES TO SUIT</v>
          </cell>
          <cell r="N479" t="str">
            <v>NNAV.E750</v>
          </cell>
          <cell r="P479" t="str">
            <v>MIN_NAPA_001</v>
          </cell>
          <cell r="Q479">
            <v>96</v>
          </cell>
          <cell r="R479" t="str">
            <v>EACH</v>
          </cell>
          <cell r="S479" t="str">
            <v>AUD</v>
          </cell>
          <cell r="T479">
            <v>10</v>
          </cell>
          <cell r="U479">
            <v>0</v>
          </cell>
          <cell r="V479">
            <v>0</v>
          </cell>
          <cell r="W479">
            <v>45887</v>
          </cell>
          <cell r="X479">
            <v>10</v>
          </cell>
          <cell r="Y479">
            <v>960</v>
          </cell>
        </row>
        <row r="480">
          <cell r="L480" t="str">
            <v>48005342</v>
          </cell>
          <cell r="M480" t="str">
            <v>WOOD BLADES TO SUIT</v>
          </cell>
          <cell r="N480" t="str">
            <v>NNAV.E750</v>
          </cell>
          <cell r="P480" t="str">
            <v>MIN_NAPA_001</v>
          </cell>
          <cell r="Q480">
            <v>77</v>
          </cell>
          <cell r="R480" t="str">
            <v>EACH</v>
          </cell>
          <cell r="S480" t="str">
            <v>AUD</v>
          </cell>
          <cell r="T480">
            <v>10</v>
          </cell>
          <cell r="U480">
            <v>0</v>
          </cell>
          <cell r="V480">
            <v>0</v>
          </cell>
          <cell r="W480">
            <v>45887</v>
          </cell>
          <cell r="X480">
            <v>10</v>
          </cell>
          <cell r="Y480">
            <v>770</v>
          </cell>
        </row>
        <row r="481">
          <cell r="L481" t="str">
            <v>SCMT22236</v>
          </cell>
          <cell r="M481" t="str">
            <v>SPANNER RING - OPEN 27MM</v>
          </cell>
          <cell r="N481" t="str">
            <v>NNAV.E750</v>
          </cell>
          <cell r="P481" t="str">
            <v>MIN_NAPA_001</v>
          </cell>
          <cell r="Q481">
            <v>60.45</v>
          </cell>
          <cell r="R481" t="str">
            <v>EACH</v>
          </cell>
          <cell r="S481" t="str">
            <v>AUD</v>
          </cell>
          <cell r="T481">
            <v>5</v>
          </cell>
          <cell r="U481">
            <v>0</v>
          </cell>
          <cell r="V481">
            <v>0</v>
          </cell>
          <cell r="W481">
            <v>45887</v>
          </cell>
          <cell r="X481">
            <v>5</v>
          </cell>
          <cell r="Y481">
            <v>302.25</v>
          </cell>
        </row>
        <row r="482">
          <cell r="L482" t="str">
            <v>SACH10WH</v>
          </cell>
          <cell r="M482" t="str">
            <v>10LB COPPER SLEDGE HAMMER R/HA</v>
          </cell>
          <cell r="N482" t="str">
            <v>NNAV.E750</v>
          </cell>
          <cell r="Q482">
            <v>596</v>
          </cell>
          <cell r="R482" t="str">
            <v>EACH</v>
          </cell>
          <cell r="S482" t="str">
            <v>AUD</v>
          </cell>
          <cell r="T482">
            <v>3</v>
          </cell>
          <cell r="U482">
            <v>0</v>
          </cell>
          <cell r="V482">
            <v>0</v>
          </cell>
          <cell r="W482">
            <v>45887</v>
          </cell>
          <cell r="X482">
            <v>3</v>
          </cell>
          <cell r="Y482">
            <v>1788</v>
          </cell>
        </row>
        <row r="483">
          <cell r="L483" t="str">
            <v>LG950908</v>
          </cell>
          <cell r="M483" t="str">
            <v>DISTO D5</v>
          </cell>
          <cell r="N483" t="str">
            <v>NNAV.E779</v>
          </cell>
          <cell r="P483" t="str">
            <v>MIN_NAPA_001</v>
          </cell>
          <cell r="Q483">
            <v>1027.03</v>
          </cell>
          <cell r="R483" t="str">
            <v>EACH</v>
          </cell>
          <cell r="S483" t="str">
            <v>AUD</v>
          </cell>
          <cell r="T483">
            <v>4</v>
          </cell>
          <cell r="U483">
            <v>0</v>
          </cell>
          <cell r="V483">
            <v>0</v>
          </cell>
          <cell r="W483">
            <v>45887</v>
          </cell>
          <cell r="X483">
            <v>4</v>
          </cell>
          <cell r="Y483">
            <v>4108.12</v>
          </cell>
        </row>
        <row r="484">
          <cell r="L484" t="str">
            <v>AF11</v>
          </cell>
          <cell r="M484" t="str">
            <v>KNEAD IT MULTIPURPOSE 110GM</v>
          </cell>
          <cell r="N484" t="str">
            <v>NNAV.E779</v>
          </cell>
          <cell r="P484" t="str">
            <v>MIN_NAPA_001</v>
          </cell>
          <cell r="Q484">
            <v>16.88</v>
          </cell>
          <cell r="R484" t="str">
            <v>EACH</v>
          </cell>
          <cell r="S484" t="str">
            <v>AUD</v>
          </cell>
          <cell r="T484">
            <v>10</v>
          </cell>
          <cell r="U484">
            <v>0</v>
          </cell>
          <cell r="V484">
            <v>0</v>
          </cell>
          <cell r="W484">
            <v>45887</v>
          </cell>
          <cell r="X484">
            <v>10</v>
          </cell>
          <cell r="Y484">
            <v>168.8</v>
          </cell>
        </row>
        <row r="485">
          <cell r="L485" t="str">
            <v>2253114</v>
          </cell>
          <cell r="M485" t="str">
            <v>HILTI TE30-22 ROTARY HAMMER</v>
          </cell>
          <cell r="N485" t="str">
            <v>NNAV.E779</v>
          </cell>
          <cell r="P485" t="str">
            <v>MIN_NAPA_001</v>
          </cell>
          <cell r="Q485">
            <v>1914.29</v>
          </cell>
          <cell r="R485" t="str">
            <v>EACH</v>
          </cell>
          <cell r="S485" t="str">
            <v>AUD</v>
          </cell>
          <cell r="T485">
            <v>1</v>
          </cell>
          <cell r="U485">
            <v>0</v>
          </cell>
          <cell r="V485">
            <v>0</v>
          </cell>
          <cell r="W485">
            <v>45887</v>
          </cell>
          <cell r="X485">
            <v>1</v>
          </cell>
          <cell r="Y485">
            <v>1914.29</v>
          </cell>
        </row>
        <row r="486">
          <cell r="L486" t="str">
            <v>2254433</v>
          </cell>
          <cell r="M486" t="str">
            <v>C 6-22 220V BATTERY CHARGER</v>
          </cell>
          <cell r="N486" t="str">
            <v>NNAV.E779</v>
          </cell>
          <cell r="P486" t="str">
            <v>MIN_NAPA_001</v>
          </cell>
          <cell r="Q486">
            <v>364.29</v>
          </cell>
          <cell r="R486" t="str">
            <v>EACH</v>
          </cell>
          <cell r="S486" t="str">
            <v>AUD</v>
          </cell>
          <cell r="T486">
            <v>2</v>
          </cell>
          <cell r="U486">
            <v>0</v>
          </cell>
          <cell r="V486">
            <v>0</v>
          </cell>
          <cell r="W486">
            <v>45887</v>
          </cell>
          <cell r="X486">
            <v>2</v>
          </cell>
          <cell r="Y486">
            <v>728.58</v>
          </cell>
        </row>
        <row r="487">
          <cell r="L487" t="str">
            <v>2251359</v>
          </cell>
          <cell r="M487" t="str">
            <v>BATTERY NURON B22-170</v>
          </cell>
          <cell r="N487" t="str">
            <v>NNAV.E779</v>
          </cell>
          <cell r="P487" t="str">
            <v>MIN_NAPA_001</v>
          </cell>
          <cell r="Q487">
            <v>672.86</v>
          </cell>
          <cell r="R487" t="str">
            <v>EACH</v>
          </cell>
          <cell r="S487" t="str">
            <v>AUD</v>
          </cell>
          <cell r="T487">
            <v>4</v>
          </cell>
          <cell r="U487">
            <v>0</v>
          </cell>
          <cell r="V487">
            <v>0</v>
          </cell>
          <cell r="W487">
            <v>45887</v>
          </cell>
          <cell r="X487">
            <v>4</v>
          </cell>
          <cell r="Y487">
            <v>2691.44</v>
          </cell>
        </row>
        <row r="488">
          <cell r="L488" t="str">
            <v>411215</v>
          </cell>
          <cell r="M488" t="str">
            <v>HAMMER DILL BIT TE-CX (12) L1</v>
          </cell>
          <cell r="N488" t="str">
            <v>NNAV.E779</v>
          </cell>
          <cell r="P488" t="str">
            <v>MIN_NAPA_001</v>
          </cell>
          <cell r="Q488">
            <v>448.57</v>
          </cell>
          <cell r="R488" t="str">
            <v>EACH</v>
          </cell>
          <cell r="S488" t="str">
            <v>AUD</v>
          </cell>
          <cell r="T488">
            <v>1</v>
          </cell>
          <cell r="U488">
            <v>0</v>
          </cell>
          <cell r="V488">
            <v>0</v>
          </cell>
          <cell r="W488">
            <v>45887</v>
          </cell>
          <cell r="X488">
            <v>1</v>
          </cell>
          <cell r="Y488">
            <v>448.57</v>
          </cell>
        </row>
        <row r="489">
          <cell r="L489" t="str">
            <v xml:space="preserve"> ABUS 65/50</v>
          </cell>
          <cell r="M489" t="str">
            <v>ABUS PADLOCK KEYED ALIKE NUMBE</v>
          </cell>
          <cell r="N489" t="str">
            <v>NNAV.E779</v>
          </cell>
          <cell r="P489" t="str">
            <v>MIN_NAPA_001</v>
          </cell>
          <cell r="Q489">
            <v>41.5</v>
          </cell>
          <cell r="R489" t="str">
            <v>EACH</v>
          </cell>
          <cell r="S489" t="str">
            <v>AUD</v>
          </cell>
          <cell r="T489">
            <v>20</v>
          </cell>
          <cell r="U489">
            <v>0</v>
          </cell>
          <cell r="V489">
            <v>0</v>
          </cell>
          <cell r="W489">
            <v>45887</v>
          </cell>
          <cell r="X489">
            <v>20</v>
          </cell>
          <cell r="Y489">
            <v>830</v>
          </cell>
        </row>
        <row r="490">
          <cell r="L490" t="str">
            <v>282312</v>
          </cell>
          <cell r="M490" t="str">
            <v>TE-CX CHISEL SET 4PC</v>
          </cell>
          <cell r="N490" t="str">
            <v>NNAV.E779</v>
          </cell>
          <cell r="P490" t="str">
            <v>MIN_NAPA_001</v>
          </cell>
          <cell r="Q490">
            <v>191.43</v>
          </cell>
          <cell r="R490" t="str">
            <v>EACH</v>
          </cell>
          <cell r="S490" t="str">
            <v>AUD</v>
          </cell>
          <cell r="T490">
            <v>3</v>
          </cell>
          <cell r="U490">
            <v>0</v>
          </cell>
          <cell r="V490">
            <v>0</v>
          </cell>
          <cell r="W490">
            <v>45887</v>
          </cell>
          <cell r="X490">
            <v>3</v>
          </cell>
          <cell r="Y490">
            <v>574.29</v>
          </cell>
        </row>
        <row r="491">
          <cell r="L491" t="str">
            <v>2151591</v>
          </cell>
          <cell r="M491" t="str">
            <v>HAMMER DILL BIT TE-CX 16/27 MP</v>
          </cell>
          <cell r="N491" t="str">
            <v>NNAV.E779</v>
          </cell>
          <cell r="P491" t="str">
            <v>MIN_NAPA_001</v>
          </cell>
          <cell r="Q491">
            <v>1188.57</v>
          </cell>
          <cell r="R491" t="str">
            <v>EACH</v>
          </cell>
          <cell r="S491" t="str">
            <v>AUD</v>
          </cell>
          <cell r="T491">
            <v>2</v>
          </cell>
          <cell r="U491">
            <v>0</v>
          </cell>
          <cell r="V491">
            <v>0</v>
          </cell>
          <cell r="W491">
            <v>45887</v>
          </cell>
          <cell r="X491">
            <v>2</v>
          </cell>
          <cell r="Y491">
            <v>2377.14</v>
          </cell>
        </row>
        <row r="492">
          <cell r="L492" t="str">
            <v>2022004</v>
          </cell>
          <cell r="M492" t="str">
            <v>HAMMER DRILL BIT TE-CX 8/22 MP</v>
          </cell>
          <cell r="N492" t="str">
            <v>NNAV.E779</v>
          </cell>
          <cell r="P492" t="str">
            <v>MIN_NAPA_001</v>
          </cell>
          <cell r="Q492">
            <v>397.94</v>
          </cell>
          <cell r="R492" t="str">
            <v>EACH</v>
          </cell>
          <cell r="S492" t="str">
            <v>AUD</v>
          </cell>
          <cell r="T492">
            <v>2</v>
          </cell>
          <cell r="U492">
            <v>0</v>
          </cell>
          <cell r="V492">
            <v>0</v>
          </cell>
          <cell r="W492">
            <v>45887</v>
          </cell>
          <cell r="X492">
            <v>2</v>
          </cell>
          <cell r="Y492">
            <v>795.88</v>
          </cell>
        </row>
        <row r="493">
          <cell r="L493" t="str">
            <v>2151584</v>
          </cell>
          <cell r="M493" t="str">
            <v>HAMMER DRILL BIT TE-CX 12/27 M</v>
          </cell>
          <cell r="N493" t="str">
            <v>NNAV.E779</v>
          </cell>
          <cell r="P493" t="str">
            <v>MIN_NAPA_001</v>
          </cell>
          <cell r="Q493">
            <v>780.57</v>
          </cell>
          <cell r="R493" t="str">
            <v>EACH</v>
          </cell>
          <cell r="S493" t="str">
            <v>AUD</v>
          </cell>
          <cell r="T493">
            <v>2</v>
          </cell>
          <cell r="U493">
            <v>0</v>
          </cell>
          <cell r="V493">
            <v>0</v>
          </cell>
          <cell r="W493">
            <v>45887</v>
          </cell>
          <cell r="X493">
            <v>2</v>
          </cell>
          <cell r="Y493">
            <v>1561.14</v>
          </cell>
        </row>
        <row r="494">
          <cell r="L494" t="str">
            <v>PTE20THYDLT-CP700ECW</v>
          </cell>
          <cell r="M494" t="str">
            <v>PULL TEST EQUIP 20T HYDRAULICS</v>
          </cell>
          <cell r="N494" t="str">
            <v>NNAV.E499</v>
          </cell>
          <cell r="P494" t="str">
            <v>MIN_DSI_003</v>
          </cell>
          <cell r="Q494">
            <v>10918.9</v>
          </cell>
          <cell r="R494" t="str">
            <v>EACH</v>
          </cell>
          <cell r="S494" t="str">
            <v>AUD</v>
          </cell>
          <cell r="T494">
            <v>1</v>
          </cell>
          <cell r="U494">
            <v>0</v>
          </cell>
          <cell r="V494">
            <v>0</v>
          </cell>
          <cell r="W494">
            <v>45855</v>
          </cell>
          <cell r="X494">
            <v>1</v>
          </cell>
          <cell r="Y494">
            <v>10918.9</v>
          </cell>
        </row>
        <row r="495">
          <cell r="L495" t="str">
            <v>PTE04RHWA</v>
          </cell>
          <cell r="M495" t="str">
            <v>PT EQUIP 47,39,33MM F/BOLT RH</v>
          </cell>
          <cell r="N495" t="str">
            <v>NNAV.E499</v>
          </cell>
          <cell r="P495" t="str">
            <v>MIN_DSI_003</v>
          </cell>
          <cell r="Q495">
            <v>3503.85</v>
          </cell>
          <cell r="R495" t="str">
            <v>EACH</v>
          </cell>
          <cell r="S495" t="str">
            <v>AUD</v>
          </cell>
          <cell r="T495">
            <v>1</v>
          </cell>
          <cell r="U495">
            <v>0</v>
          </cell>
          <cell r="V495">
            <v>0</v>
          </cell>
          <cell r="W495">
            <v>45855</v>
          </cell>
          <cell r="X495">
            <v>1</v>
          </cell>
          <cell r="Y495">
            <v>3503.85</v>
          </cell>
        </row>
        <row r="496">
          <cell r="L496" t="str">
            <v>PTE02RHWA</v>
          </cell>
          <cell r="M496" t="str">
            <v>PULL TEST EQUIP 20MM THREAD WA</v>
          </cell>
          <cell r="N496" t="str">
            <v>NNAV.E499</v>
          </cell>
          <cell r="P496" t="str">
            <v>MIN_DSI_003</v>
          </cell>
          <cell r="Q496">
            <v>4142.63</v>
          </cell>
          <cell r="R496" t="str">
            <v>EACH</v>
          </cell>
          <cell r="S496" t="str">
            <v>AUD</v>
          </cell>
          <cell r="T496">
            <v>1</v>
          </cell>
          <cell r="U496">
            <v>0</v>
          </cell>
          <cell r="V496">
            <v>0</v>
          </cell>
          <cell r="W496">
            <v>45855</v>
          </cell>
          <cell r="X496">
            <v>1</v>
          </cell>
          <cell r="Y496">
            <v>4142.63</v>
          </cell>
        </row>
        <row r="497">
          <cell r="L497" t="str">
            <v>PULLRINGM24LHWA</v>
          </cell>
          <cell r="M497" t="str">
            <v>ADAPT M24 L/H SUIT F/BOLT PULL</v>
          </cell>
          <cell r="N497" t="str">
            <v>NNAV.E499</v>
          </cell>
          <cell r="P497" t="str">
            <v>MIN_DSI_003</v>
          </cell>
          <cell r="Q497">
            <v>219</v>
          </cell>
          <cell r="R497" t="str">
            <v>EACH</v>
          </cell>
          <cell r="S497" t="str">
            <v>AUD</v>
          </cell>
          <cell r="T497">
            <v>5</v>
          </cell>
          <cell r="U497">
            <v>0</v>
          </cell>
          <cell r="V497">
            <v>0</v>
          </cell>
          <cell r="W497">
            <v>45855</v>
          </cell>
          <cell r="X497">
            <v>5</v>
          </cell>
          <cell r="Y497">
            <v>1095</v>
          </cell>
        </row>
        <row r="498">
          <cell r="L498" t="str">
            <v>PULLCLAWUNIRHWA</v>
          </cell>
          <cell r="M498" t="str">
            <v>PULLCLAW R/H THREAD UNI MDBOLT</v>
          </cell>
          <cell r="N498" t="str">
            <v>NNAV.E499</v>
          </cell>
          <cell r="P498" t="str">
            <v>MIN_DSI_003</v>
          </cell>
          <cell r="Q498">
            <v>515.70000000000005</v>
          </cell>
          <cell r="R498" t="str">
            <v>EACH</v>
          </cell>
          <cell r="S498" t="str">
            <v>AUD</v>
          </cell>
          <cell r="T498">
            <v>3</v>
          </cell>
          <cell r="U498">
            <v>0</v>
          </cell>
          <cell r="V498">
            <v>0</v>
          </cell>
          <cell r="W498">
            <v>45855</v>
          </cell>
          <cell r="X498">
            <v>3</v>
          </cell>
          <cell r="Y498">
            <v>1547.1</v>
          </cell>
        </row>
        <row r="499">
          <cell r="L499" t="str">
            <v>ZENZL9408R</v>
          </cell>
          <cell r="M499" t="str">
            <v>LED FLASHLIGHT M7R RECHARGABLE</v>
          </cell>
          <cell r="N499" t="str">
            <v>NNAV.E499</v>
          </cell>
          <cell r="P499" t="str">
            <v>MIN_MME_001</v>
          </cell>
          <cell r="Q499">
            <v>124.08</v>
          </cell>
          <cell r="R499" t="str">
            <v>EACH</v>
          </cell>
          <cell r="S499" t="str">
            <v>AUD</v>
          </cell>
          <cell r="T499">
            <v>6</v>
          </cell>
          <cell r="U499">
            <v>0</v>
          </cell>
          <cell r="V499">
            <v>0</v>
          </cell>
          <cell r="W499">
            <v>45855</v>
          </cell>
          <cell r="X499">
            <v>6</v>
          </cell>
          <cell r="Y499">
            <v>744.48</v>
          </cell>
        </row>
        <row r="500">
          <cell r="L500" t="str">
            <v>ZENZL501967</v>
          </cell>
          <cell r="M500" t="str">
            <v>LED TORCHES</v>
          </cell>
          <cell r="N500" t="str">
            <v>NNAV.E499</v>
          </cell>
          <cell r="P500" t="str">
            <v>MIN_MME_001</v>
          </cell>
          <cell r="Q500">
            <v>607.41</v>
          </cell>
          <cell r="R500" t="str">
            <v>EACH</v>
          </cell>
          <cell r="S500" t="str">
            <v>AUD</v>
          </cell>
          <cell r="T500">
            <v>2</v>
          </cell>
          <cell r="U500">
            <v>0</v>
          </cell>
          <cell r="V500">
            <v>0</v>
          </cell>
          <cell r="W500">
            <v>45855</v>
          </cell>
          <cell r="X500">
            <v>2</v>
          </cell>
          <cell r="Y500">
            <v>1214.82</v>
          </cell>
        </row>
        <row r="501">
          <cell r="L501" t="str">
            <v>BDT38-900</v>
          </cell>
          <cell r="M501" t="str">
            <v>MD BOLT DRIVER 900MM "T" THREA</v>
          </cell>
          <cell r="N501" t="str">
            <v>NNAV.E155</v>
          </cell>
          <cell r="P501" t="str">
            <v>MIN_DSI_001</v>
          </cell>
          <cell r="Q501">
            <v>794.42</v>
          </cell>
          <cell r="R501" t="str">
            <v>EACH</v>
          </cell>
          <cell r="S501" t="str">
            <v>AUD</v>
          </cell>
          <cell r="T501">
            <v>30</v>
          </cell>
          <cell r="U501">
            <v>0</v>
          </cell>
          <cell r="V501">
            <v>0</v>
          </cell>
          <cell r="W501">
            <v>45870</v>
          </cell>
          <cell r="X501">
            <v>30</v>
          </cell>
          <cell r="Y501">
            <v>23832.6</v>
          </cell>
        </row>
        <row r="502">
          <cell r="L502" t="str">
            <v>BMG2024S</v>
          </cell>
          <cell r="M502" t="str">
            <v>MD BOLT 2.4M LONG GALVANIZED C</v>
          </cell>
          <cell r="N502" t="str">
            <v>NNAV.E711</v>
          </cell>
          <cell r="P502" t="str">
            <v>MIN_DSI_001</v>
          </cell>
          <cell r="Q502">
            <v>51.84</v>
          </cell>
          <cell r="R502" t="str">
            <v>EACH</v>
          </cell>
          <cell r="S502" t="str">
            <v>AUD</v>
          </cell>
          <cell r="T502">
            <v>12960</v>
          </cell>
          <cell r="U502">
            <v>0</v>
          </cell>
          <cell r="V502">
            <v>0</v>
          </cell>
          <cell r="W502">
            <v>45870</v>
          </cell>
          <cell r="X502">
            <v>12960</v>
          </cell>
          <cell r="Y502">
            <v>671846.40000000002</v>
          </cell>
        </row>
        <row r="503">
          <cell r="L503" t="str">
            <v>BPG3002806</v>
          </cell>
          <cell r="M503" t="str">
            <v>COMBI PLATE 300X280X6MM GALVAN</v>
          </cell>
          <cell r="N503" t="str">
            <v>NNAV.E711</v>
          </cell>
          <cell r="P503" t="str">
            <v>MIN_DSI_001</v>
          </cell>
          <cell r="Q503">
            <v>9.25</v>
          </cell>
          <cell r="R503" t="str">
            <v>EACH</v>
          </cell>
          <cell r="S503" t="str">
            <v>AUD</v>
          </cell>
          <cell r="T503">
            <v>12960</v>
          </cell>
          <cell r="U503">
            <v>0</v>
          </cell>
          <cell r="V503">
            <v>0</v>
          </cell>
          <cell r="W503">
            <v>45870</v>
          </cell>
          <cell r="X503">
            <v>12960</v>
          </cell>
          <cell r="Y503">
            <v>119880</v>
          </cell>
        </row>
        <row r="504">
          <cell r="L504" t="str">
            <v>BCG</v>
          </cell>
          <cell r="M504" t="str">
            <v>BOLT COLLAR GALV</v>
          </cell>
          <cell r="N504" t="str">
            <v>NNAV.E711</v>
          </cell>
          <cell r="P504" t="str">
            <v>MIN_DSI_001</v>
          </cell>
          <cell r="Q504">
            <v>4.03</v>
          </cell>
          <cell r="R504" t="str">
            <v>EACH</v>
          </cell>
          <cell r="S504" t="str">
            <v>AUD</v>
          </cell>
          <cell r="T504">
            <v>1000</v>
          </cell>
          <cell r="U504">
            <v>0</v>
          </cell>
          <cell r="V504">
            <v>0</v>
          </cell>
          <cell r="W504">
            <v>45870</v>
          </cell>
          <cell r="X504">
            <v>1000</v>
          </cell>
          <cell r="Y504">
            <v>4030</v>
          </cell>
        </row>
        <row r="505">
          <cell r="L505" t="str">
            <v>7324-8031-20</v>
          </cell>
          <cell r="M505" t="str">
            <v>DRIFTER ROD T38 H35 A340 L=309</v>
          </cell>
          <cell r="N505" t="str">
            <v>NNAV.E155</v>
          </cell>
          <cell r="P505" t="str">
            <v>MIN_SANDVIK_001</v>
          </cell>
          <cell r="Q505">
            <v>443.78</v>
          </cell>
          <cell r="R505" t="str">
            <v>EACH</v>
          </cell>
          <cell r="S505" t="str">
            <v>AUD</v>
          </cell>
          <cell r="T505">
            <v>0</v>
          </cell>
          <cell r="U505">
            <v>0</v>
          </cell>
          <cell r="V505">
            <v>0</v>
          </cell>
          <cell r="W505">
            <v>45884</v>
          </cell>
          <cell r="X505">
            <v>0</v>
          </cell>
          <cell r="Y505">
            <v>0</v>
          </cell>
        </row>
        <row r="506">
          <cell r="L506" t="str">
            <v>7324-8037-20</v>
          </cell>
          <cell r="M506" t="str">
            <v>DRIFTER ROD T38 H35 A340 L=370</v>
          </cell>
          <cell r="N506" t="str">
            <v>NNAV.E155</v>
          </cell>
          <cell r="P506" t="str">
            <v>MIN_SANDVIK_001</v>
          </cell>
          <cell r="Q506">
            <v>498.85</v>
          </cell>
          <cell r="R506" t="str">
            <v>EACH</v>
          </cell>
          <cell r="S506" t="str">
            <v>AUD</v>
          </cell>
          <cell r="T506">
            <v>0</v>
          </cell>
          <cell r="U506">
            <v>0</v>
          </cell>
          <cell r="V506">
            <v>0</v>
          </cell>
          <cell r="W506">
            <v>45884</v>
          </cell>
          <cell r="X506">
            <v>0</v>
          </cell>
          <cell r="Y506">
            <v>0</v>
          </cell>
        </row>
        <row r="507">
          <cell r="L507" t="str">
            <v>7324-8043-20</v>
          </cell>
          <cell r="M507" t="str">
            <v>DRIFTER ROD T38 H35 A340 L=430</v>
          </cell>
          <cell r="N507" t="str">
            <v>NNAV.E155</v>
          </cell>
          <cell r="P507" t="str">
            <v>MIN_SANDVIK_001</v>
          </cell>
          <cell r="Q507">
            <v>513.01</v>
          </cell>
          <cell r="R507" t="str">
            <v>EACH</v>
          </cell>
          <cell r="S507" t="str">
            <v>AUD</v>
          </cell>
          <cell r="T507">
            <v>0</v>
          </cell>
          <cell r="U507">
            <v>0</v>
          </cell>
          <cell r="V507">
            <v>0</v>
          </cell>
          <cell r="W507">
            <v>45884</v>
          </cell>
          <cell r="X507">
            <v>0</v>
          </cell>
          <cell r="Y507">
            <v>0</v>
          </cell>
        </row>
        <row r="508">
          <cell r="L508" t="str">
            <v>7324-7949-20</v>
          </cell>
          <cell r="M508" t="str">
            <v>DRIFTER ROD T38 R39 A340 L=491</v>
          </cell>
          <cell r="N508" t="str">
            <v>NNAV.E155</v>
          </cell>
          <cell r="P508" t="str">
            <v>MIN_SANDVIK_001</v>
          </cell>
          <cell r="Q508">
            <v>639</v>
          </cell>
          <cell r="R508" t="str">
            <v>EACH</v>
          </cell>
          <cell r="S508" t="str">
            <v>AUD</v>
          </cell>
          <cell r="T508">
            <v>0</v>
          </cell>
          <cell r="U508">
            <v>0</v>
          </cell>
          <cell r="V508">
            <v>0</v>
          </cell>
          <cell r="W508">
            <v>45884</v>
          </cell>
          <cell r="X508">
            <v>0</v>
          </cell>
          <cell r="Y508">
            <v>0</v>
          </cell>
        </row>
        <row r="509">
          <cell r="L509" t="str">
            <v>7324-4731-85</v>
          </cell>
          <cell r="M509" t="str">
            <v>MF ROD T38 R39 L=3050MM</v>
          </cell>
          <cell r="N509" t="str">
            <v>NNAV.E155</v>
          </cell>
          <cell r="P509" t="str">
            <v>MIN_SANDVIK_001</v>
          </cell>
          <cell r="Q509">
            <v>439.59</v>
          </cell>
          <cell r="R509" t="str">
            <v>EACH</v>
          </cell>
          <cell r="S509" t="str">
            <v>AUD</v>
          </cell>
          <cell r="T509">
            <v>0</v>
          </cell>
          <cell r="U509">
            <v>0</v>
          </cell>
          <cell r="V509">
            <v>0</v>
          </cell>
          <cell r="W509">
            <v>45884</v>
          </cell>
          <cell r="X509">
            <v>0</v>
          </cell>
          <cell r="Y509">
            <v>0</v>
          </cell>
        </row>
        <row r="510">
          <cell r="L510" t="str">
            <v>7324-4331C-30</v>
          </cell>
          <cell r="M510" t="str">
            <v>EXTENSION ROD T38 R39 L=3050MM</v>
          </cell>
          <cell r="N510" t="str">
            <v>NNAV.E155</v>
          </cell>
          <cell r="P510" t="str">
            <v>MIN_SANDVIK_001</v>
          </cell>
          <cell r="Q510">
            <v>317.43</v>
          </cell>
          <cell r="R510" t="str">
            <v>EACH</v>
          </cell>
          <cell r="S510" t="str">
            <v>AUD</v>
          </cell>
          <cell r="T510">
            <v>0</v>
          </cell>
          <cell r="U510">
            <v>0</v>
          </cell>
          <cell r="V510">
            <v>0</v>
          </cell>
          <cell r="W510">
            <v>45884</v>
          </cell>
          <cell r="X510">
            <v>0</v>
          </cell>
          <cell r="Y510">
            <v>0</v>
          </cell>
        </row>
        <row r="511">
          <cell r="L511" t="str">
            <v>7580-5602P-S70</v>
          </cell>
          <cell r="M511" t="str">
            <v>REAMING BIT A340 102MM</v>
          </cell>
          <cell r="N511" t="str">
            <v>NNAV.E155</v>
          </cell>
          <cell r="P511" t="str">
            <v>MIN_SANDVIK_001</v>
          </cell>
          <cell r="Q511">
            <v>343.33</v>
          </cell>
          <cell r="R511" t="str">
            <v>EACH</v>
          </cell>
          <cell r="S511" t="str">
            <v>AUD</v>
          </cell>
          <cell r="T511">
            <v>0</v>
          </cell>
          <cell r="U511">
            <v>0</v>
          </cell>
          <cell r="V511">
            <v>0</v>
          </cell>
          <cell r="W511">
            <v>45884</v>
          </cell>
          <cell r="X511">
            <v>0</v>
          </cell>
          <cell r="Y511">
            <v>0</v>
          </cell>
        </row>
        <row r="512">
          <cell r="L512" t="str">
            <v>7580-5243A-S70</v>
          </cell>
          <cell r="M512" t="str">
            <v>BUTTON BIT A340 43MM SH70</v>
          </cell>
          <cell r="N512" t="str">
            <v>NNAV.E155</v>
          </cell>
          <cell r="P512" t="str">
            <v>MIN_SANDVIK_001</v>
          </cell>
          <cell r="Q512">
            <v>66.52</v>
          </cell>
          <cell r="R512" t="str">
            <v>EACH</v>
          </cell>
          <cell r="S512" t="str">
            <v>AUD</v>
          </cell>
          <cell r="T512">
            <v>0</v>
          </cell>
          <cell r="U512">
            <v>0</v>
          </cell>
          <cell r="V512">
            <v>0</v>
          </cell>
          <cell r="W512">
            <v>45884</v>
          </cell>
          <cell r="X512">
            <v>0</v>
          </cell>
          <cell r="Y512">
            <v>0</v>
          </cell>
        </row>
        <row r="513">
          <cell r="L513" t="str">
            <v>7580-5345A-R48</v>
          </cell>
          <cell r="M513" t="str">
            <v>BUTTON BIT A340 45MM</v>
          </cell>
          <cell r="N513" t="str">
            <v>NNAV.E155</v>
          </cell>
          <cell r="P513" t="str">
            <v>MIN_SANDVIK_001</v>
          </cell>
          <cell r="Q513">
            <v>78.930000000000007</v>
          </cell>
          <cell r="R513" t="str">
            <v>EACH</v>
          </cell>
          <cell r="S513" t="str">
            <v>AUD</v>
          </cell>
          <cell r="T513">
            <v>194</v>
          </cell>
          <cell r="U513">
            <v>0</v>
          </cell>
          <cell r="V513">
            <v>0</v>
          </cell>
          <cell r="W513">
            <v>45884</v>
          </cell>
          <cell r="X513">
            <v>194</v>
          </cell>
          <cell r="Y513">
            <v>15312.42</v>
          </cell>
        </row>
        <row r="514">
          <cell r="L514" t="str">
            <v>7580-5148A-S81</v>
          </cell>
          <cell r="M514" t="str">
            <v>BUTTON BIT A340 48MM TC</v>
          </cell>
          <cell r="N514" t="str">
            <v>NNAV.E155</v>
          </cell>
          <cell r="P514" t="str">
            <v>MIN_SANDVIK_001</v>
          </cell>
          <cell r="Q514">
            <v>108.19</v>
          </cell>
          <cell r="R514" t="str">
            <v>EACH</v>
          </cell>
          <cell r="S514" t="str">
            <v>AUD</v>
          </cell>
          <cell r="T514">
            <v>0</v>
          </cell>
          <cell r="U514">
            <v>0</v>
          </cell>
          <cell r="V514">
            <v>0</v>
          </cell>
          <cell r="W514">
            <v>45884</v>
          </cell>
          <cell r="X514">
            <v>0</v>
          </cell>
          <cell r="Y514">
            <v>0</v>
          </cell>
        </row>
        <row r="515">
          <cell r="L515" t="str">
            <v>7580-4651A-S70</v>
          </cell>
          <cell r="M515" t="str">
            <v>RETRAC BIT A340 51 MM</v>
          </cell>
          <cell r="N515" t="str">
            <v>NNAV.E155</v>
          </cell>
          <cell r="P515" t="str">
            <v>MIN_SANDVIK_001</v>
          </cell>
          <cell r="Q515">
            <v>94.13</v>
          </cell>
          <cell r="R515" t="str">
            <v>EACH</v>
          </cell>
          <cell r="S515" t="str">
            <v>AUD</v>
          </cell>
          <cell r="T515">
            <v>0</v>
          </cell>
          <cell r="U515">
            <v>0</v>
          </cell>
          <cell r="V515">
            <v>0</v>
          </cell>
          <cell r="W515">
            <v>45884</v>
          </cell>
          <cell r="X515">
            <v>0</v>
          </cell>
          <cell r="Y515">
            <v>0</v>
          </cell>
        </row>
        <row r="516">
          <cell r="L516" t="str">
            <v>7514-1664-S70</v>
          </cell>
          <cell r="M516" t="str">
            <v>BUTTON BIT T38 64MM SH70</v>
          </cell>
          <cell r="N516" t="str">
            <v>NNAV.E155</v>
          </cell>
          <cell r="P516" t="str">
            <v>MIN_SANDVIK_001</v>
          </cell>
          <cell r="Q516">
            <v>136.44</v>
          </cell>
          <cell r="R516" t="str">
            <v>EACH</v>
          </cell>
          <cell r="S516" t="str">
            <v>AUD</v>
          </cell>
          <cell r="T516">
            <v>0</v>
          </cell>
          <cell r="U516">
            <v>0</v>
          </cell>
          <cell r="V516">
            <v>0</v>
          </cell>
          <cell r="W516">
            <v>45884</v>
          </cell>
          <cell r="X516">
            <v>0</v>
          </cell>
          <cell r="Y516">
            <v>0</v>
          </cell>
        </row>
        <row r="517">
          <cell r="L517" t="str">
            <v>7304-7669-01</v>
          </cell>
          <cell r="M517" t="str">
            <v>SHANK T38 RD520/525 D45 L525</v>
          </cell>
          <cell r="N517" t="str">
            <v>NNAV.E155</v>
          </cell>
          <cell r="P517" t="str">
            <v>MIN_SANDVIK_001</v>
          </cell>
          <cell r="Q517">
            <v>308.10000000000002</v>
          </cell>
          <cell r="R517" t="str">
            <v>EACH</v>
          </cell>
          <cell r="S517" t="str">
            <v>AUD</v>
          </cell>
          <cell r="T517">
            <v>0</v>
          </cell>
          <cell r="U517">
            <v>0</v>
          </cell>
          <cell r="V517">
            <v>0</v>
          </cell>
          <cell r="W517">
            <v>45884</v>
          </cell>
          <cell r="X517">
            <v>0</v>
          </cell>
          <cell r="Y517">
            <v>0</v>
          </cell>
        </row>
        <row r="518">
          <cell r="L518" t="str">
            <v>7314-3652</v>
          </cell>
          <cell r="M518" t="str">
            <v>COUPLING SLEEVE T38</v>
          </cell>
          <cell r="N518" t="str">
            <v>NNAV.E155</v>
          </cell>
          <cell r="P518" t="str">
            <v>MIN_SANDVIK_001</v>
          </cell>
          <cell r="Q518">
            <v>69.959999999999994</v>
          </cell>
          <cell r="R518" t="str">
            <v>EACH</v>
          </cell>
          <cell r="S518" t="str">
            <v>AUD</v>
          </cell>
          <cell r="T518">
            <v>0</v>
          </cell>
          <cell r="U518">
            <v>0</v>
          </cell>
          <cell r="V518">
            <v>0</v>
          </cell>
          <cell r="W518">
            <v>45884</v>
          </cell>
          <cell r="X518">
            <v>0</v>
          </cell>
          <cell r="Y518">
            <v>0</v>
          </cell>
        </row>
        <row r="519">
          <cell r="L519" t="str">
            <v>7979-2630</v>
          </cell>
          <cell r="M519" t="str">
            <v>THD F/BOLT DOLLY T38 46</v>
          </cell>
          <cell r="N519" t="str">
            <v>NNAV.E155</v>
          </cell>
          <cell r="P519" t="str">
            <v>MIN_SANDVIK_001</v>
          </cell>
          <cell r="Q519">
            <v>96.3</v>
          </cell>
          <cell r="R519" t="str">
            <v>EACH</v>
          </cell>
          <cell r="S519" t="str">
            <v>AUD</v>
          </cell>
          <cell r="T519">
            <v>0</v>
          </cell>
          <cell r="U519">
            <v>0</v>
          </cell>
          <cell r="V519">
            <v>0</v>
          </cell>
          <cell r="W519">
            <v>45884</v>
          </cell>
          <cell r="X519">
            <v>0</v>
          </cell>
          <cell r="Y519">
            <v>0</v>
          </cell>
        </row>
        <row r="520">
          <cell r="L520" t="str">
            <v>7979-2626</v>
          </cell>
          <cell r="M520" t="str">
            <v>T38 DOLLY 39MM</v>
          </cell>
          <cell r="N520" t="str">
            <v>NNAV.E155</v>
          </cell>
          <cell r="P520" t="str">
            <v>MIN_SANDVIK_001</v>
          </cell>
          <cell r="Q520">
            <v>96.3</v>
          </cell>
          <cell r="R520" t="str">
            <v>EACH</v>
          </cell>
          <cell r="S520" t="str">
            <v>AUD</v>
          </cell>
          <cell r="T520">
            <v>0</v>
          </cell>
          <cell r="U520">
            <v>0</v>
          </cell>
          <cell r="V520">
            <v>0</v>
          </cell>
          <cell r="W520">
            <v>45884</v>
          </cell>
          <cell r="X520">
            <v>0</v>
          </cell>
          <cell r="Y520">
            <v>0</v>
          </cell>
        </row>
        <row r="521">
          <cell r="L521" t="str">
            <v>7324-4309C-30</v>
          </cell>
          <cell r="M521" t="str">
            <v>EXTENSION ROD T38 R39 L = 915M</v>
          </cell>
          <cell r="N521" t="str">
            <v>NNAV.E155</v>
          </cell>
          <cell r="P521" t="str">
            <v>MIN_SANDVIK_001</v>
          </cell>
          <cell r="Q521">
            <v>184.75</v>
          </cell>
          <cell r="R521" t="str">
            <v>EACH</v>
          </cell>
          <cell r="S521" t="str">
            <v>AUD</v>
          </cell>
          <cell r="T521">
            <v>0</v>
          </cell>
          <cell r="U521">
            <v>0</v>
          </cell>
          <cell r="V521">
            <v>0</v>
          </cell>
          <cell r="W521">
            <v>45884</v>
          </cell>
          <cell r="X521">
            <v>0</v>
          </cell>
          <cell r="Y521">
            <v>0</v>
          </cell>
        </row>
        <row r="522">
          <cell r="L522" t="str">
            <v>7324-4709C-20</v>
          </cell>
          <cell r="M522" t="str">
            <v>MF ROD T38 R39 L=915MM</v>
          </cell>
          <cell r="N522" t="str">
            <v>NNAV.E155</v>
          </cell>
          <cell r="P522" t="str">
            <v>MIN_SANDVIK_001</v>
          </cell>
          <cell r="Q522">
            <v>276.63</v>
          </cell>
          <cell r="R522" t="str">
            <v>EACH</v>
          </cell>
          <cell r="S522" t="str">
            <v>AUD</v>
          </cell>
          <cell r="T522">
            <v>0</v>
          </cell>
          <cell r="U522">
            <v>0</v>
          </cell>
          <cell r="V522">
            <v>0</v>
          </cell>
          <cell r="W522">
            <v>45884</v>
          </cell>
          <cell r="X522">
            <v>0</v>
          </cell>
          <cell r="Y522">
            <v>0</v>
          </cell>
        </row>
        <row r="523">
          <cell r="L523" t="str">
            <v>7324-8031-20</v>
          </cell>
          <cell r="M523" t="str">
            <v>DRIFTER ROD T38 H35 A340 L=309</v>
          </cell>
          <cell r="N523" t="str">
            <v>NNAV.E155</v>
          </cell>
          <cell r="P523" t="str">
            <v>MIN_SANDVIK_001</v>
          </cell>
          <cell r="Q523">
            <v>443.78</v>
          </cell>
          <cell r="R523" t="str">
            <v>EACH</v>
          </cell>
          <cell r="S523" t="str">
            <v>AUD</v>
          </cell>
          <cell r="T523">
            <v>0</v>
          </cell>
          <cell r="U523">
            <v>0</v>
          </cell>
          <cell r="V523">
            <v>0</v>
          </cell>
          <cell r="W523">
            <v>45897</v>
          </cell>
          <cell r="X523">
            <v>0</v>
          </cell>
          <cell r="Y523">
            <v>0</v>
          </cell>
        </row>
        <row r="524">
          <cell r="L524" t="str">
            <v>7324-8037-20</v>
          </cell>
          <cell r="M524" t="str">
            <v>DRIFTER ROD T38 H35 A340 L=370</v>
          </cell>
          <cell r="N524" t="str">
            <v>NNAV.E155</v>
          </cell>
          <cell r="P524" t="str">
            <v>MIN_SANDVIK_001</v>
          </cell>
          <cell r="Q524">
            <v>498.85</v>
          </cell>
          <cell r="R524" t="str">
            <v>EACH</v>
          </cell>
          <cell r="S524" t="str">
            <v>AUD</v>
          </cell>
          <cell r="T524">
            <v>0</v>
          </cell>
          <cell r="U524">
            <v>0</v>
          </cell>
          <cell r="V524">
            <v>0</v>
          </cell>
          <cell r="W524">
            <v>45897</v>
          </cell>
          <cell r="X524">
            <v>0</v>
          </cell>
          <cell r="Y524">
            <v>0</v>
          </cell>
        </row>
        <row r="525">
          <cell r="L525" t="str">
            <v>7324-8043-20</v>
          </cell>
          <cell r="M525" t="str">
            <v>DRIFTER ROD T38 H35 A340 L=430</v>
          </cell>
          <cell r="N525" t="str">
            <v>NNAV.E155</v>
          </cell>
          <cell r="P525" t="str">
            <v>MIN_SANDVIK_001</v>
          </cell>
          <cell r="Q525">
            <v>513.01</v>
          </cell>
          <cell r="R525" t="str">
            <v>EACH</v>
          </cell>
          <cell r="S525" t="str">
            <v>AUD</v>
          </cell>
          <cell r="T525">
            <v>0</v>
          </cell>
          <cell r="U525">
            <v>0</v>
          </cell>
          <cell r="V525">
            <v>0</v>
          </cell>
          <cell r="W525">
            <v>45897</v>
          </cell>
          <cell r="X525">
            <v>0</v>
          </cell>
          <cell r="Y525">
            <v>0</v>
          </cell>
        </row>
        <row r="526">
          <cell r="L526" t="str">
            <v>7324-7949-20</v>
          </cell>
          <cell r="M526" t="str">
            <v>DRIFTER ROD T38 R39 A340 L=491</v>
          </cell>
          <cell r="N526" t="str">
            <v>NNAV.E155</v>
          </cell>
          <cell r="P526" t="str">
            <v>MIN_SANDVIK_001</v>
          </cell>
          <cell r="Q526">
            <v>639</v>
          </cell>
          <cell r="R526" t="str">
            <v>EACH</v>
          </cell>
          <cell r="S526" t="str">
            <v>AUD</v>
          </cell>
          <cell r="T526">
            <v>0</v>
          </cell>
          <cell r="U526">
            <v>0</v>
          </cell>
          <cell r="V526">
            <v>0</v>
          </cell>
          <cell r="W526">
            <v>45897</v>
          </cell>
          <cell r="X526">
            <v>0</v>
          </cell>
          <cell r="Y526">
            <v>0</v>
          </cell>
        </row>
        <row r="527">
          <cell r="L527" t="str">
            <v>7324-4731-85</v>
          </cell>
          <cell r="M527" t="str">
            <v>MF ROD T38 R39 L=3050MM</v>
          </cell>
          <cell r="N527" t="str">
            <v>NNAV.E155</v>
          </cell>
          <cell r="P527" t="str">
            <v>MIN_SANDVIK_001</v>
          </cell>
          <cell r="Q527">
            <v>439.59</v>
          </cell>
          <cell r="R527" t="str">
            <v>EACH</v>
          </cell>
          <cell r="S527" t="str">
            <v>AUD</v>
          </cell>
          <cell r="T527">
            <v>0</v>
          </cell>
          <cell r="U527">
            <v>0</v>
          </cell>
          <cell r="V527">
            <v>0</v>
          </cell>
          <cell r="W527">
            <v>45897</v>
          </cell>
          <cell r="X527">
            <v>0</v>
          </cell>
          <cell r="Y527">
            <v>0</v>
          </cell>
        </row>
        <row r="528">
          <cell r="L528" t="str">
            <v>7324-4331C-30</v>
          </cell>
          <cell r="M528" t="str">
            <v>EXTENSION ROD T38 R39 L=3050MM</v>
          </cell>
          <cell r="N528" t="str">
            <v>NNAV.E155</v>
          </cell>
          <cell r="P528" t="str">
            <v>MIN_SANDVIK_001</v>
          </cell>
          <cell r="Q528">
            <v>317.43</v>
          </cell>
          <cell r="R528" t="str">
            <v>EACH</v>
          </cell>
          <cell r="S528" t="str">
            <v>AUD</v>
          </cell>
          <cell r="T528">
            <v>0</v>
          </cell>
          <cell r="U528">
            <v>0</v>
          </cell>
          <cell r="V528">
            <v>0</v>
          </cell>
          <cell r="W528">
            <v>45897</v>
          </cell>
          <cell r="X528">
            <v>0</v>
          </cell>
          <cell r="Y528">
            <v>0</v>
          </cell>
        </row>
        <row r="529">
          <cell r="L529" t="str">
            <v>7580-5602P-S70</v>
          </cell>
          <cell r="M529" t="str">
            <v>REAMING BIT A340 102MM</v>
          </cell>
          <cell r="N529" t="str">
            <v>NNAV.E155</v>
          </cell>
          <cell r="P529" t="str">
            <v>MIN_SANDVIK_001</v>
          </cell>
          <cell r="Q529">
            <v>343.33</v>
          </cell>
          <cell r="R529" t="str">
            <v>EACH</v>
          </cell>
          <cell r="S529" t="str">
            <v>AUD</v>
          </cell>
          <cell r="T529">
            <v>0</v>
          </cell>
          <cell r="U529">
            <v>0</v>
          </cell>
          <cell r="V529">
            <v>0</v>
          </cell>
          <cell r="W529">
            <v>45897</v>
          </cell>
          <cell r="X529">
            <v>0</v>
          </cell>
          <cell r="Y529">
            <v>0</v>
          </cell>
        </row>
        <row r="530">
          <cell r="L530" t="str">
            <v>7580-5243A-S70</v>
          </cell>
          <cell r="M530" t="str">
            <v>BUTTON BIT A340 43MM SH70</v>
          </cell>
          <cell r="N530" t="str">
            <v>NNAV.E155</v>
          </cell>
          <cell r="P530" t="str">
            <v>MIN_SANDVIK_001</v>
          </cell>
          <cell r="Q530">
            <v>66.52</v>
          </cell>
          <cell r="R530" t="str">
            <v>EACH</v>
          </cell>
          <cell r="S530" t="str">
            <v>AUD</v>
          </cell>
          <cell r="T530">
            <v>0</v>
          </cell>
          <cell r="U530">
            <v>0</v>
          </cell>
          <cell r="V530">
            <v>0</v>
          </cell>
          <cell r="W530">
            <v>45897</v>
          </cell>
          <cell r="X530">
            <v>0</v>
          </cell>
          <cell r="Y530">
            <v>0</v>
          </cell>
        </row>
        <row r="531">
          <cell r="L531" t="str">
            <v>7580-5345A-R48</v>
          </cell>
          <cell r="M531" t="str">
            <v>BUTTON BIT A340 45MM</v>
          </cell>
          <cell r="N531" t="str">
            <v>NNAV.E155</v>
          </cell>
          <cell r="P531" t="str">
            <v>MIN_SANDVIK_001</v>
          </cell>
          <cell r="Q531">
            <v>78.930000000000007</v>
          </cell>
          <cell r="R531" t="str">
            <v>EACH</v>
          </cell>
          <cell r="S531" t="str">
            <v>AUD</v>
          </cell>
          <cell r="T531">
            <v>0</v>
          </cell>
          <cell r="U531">
            <v>0</v>
          </cell>
          <cell r="V531">
            <v>0</v>
          </cell>
          <cell r="W531">
            <v>45897</v>
          </cell>
          <cell r="X531">
            <v>0</v>
          </cell>
          <cell r="Y531">
            <v>0</v>
          </cell>
        </row>
        <row r="532">
          <cell r="L532" t="str">
            <v>7580-5148A-S81</v>
          </cell>
          <cell r="M532" t="str">
            <v>BUTTON BIT A340 48MM TC</v>
          </cell>
          <cell r="N532" t="str">
            <v>NNAV.E155</v>
          </cell>
          <cell r="P532" t="str">
            <v>MIN_SANDVIK_001</v>
          </cell>
          <cell r="Q532">
            <v>108.19</v>
          </cell>
          <cell r="R532" t="str">
            <v>EACH</v>
          </cell>
          <cell r="S532" t="str">
            <v>AUD</v>
          </cell>
          <cell r="T532">
            <v>0</v>
          </cell>
          <cell r="U532">
            <v>0</v>
          </cell>
          <cell r="V532">
            <v>0</v>
          </cell>
          <cell r="W532">
            <v>45897</v>
          </cell>
          <cell r="X532">
            <v>0</v>
          </cell>
          <cell r="Y532">
            <v>0</v>
          </cell>
        </row>
        <row r="533">
          <cell r="L533" t="str">
            <v>7580-4651A-S70</v>
          </cell>
          <cell r="M533" t="str">
            <v>RETRAC BIT A340 51 MM</v>
          </cell>
          <cell r="N533" t="str">
            <v>NNAV.E155</v>
          </cell>
          <cell r="P533" t="str">
            <v>MIN_SANDVIK_001</v>
          </cell>
          <cell r="Q533">
            <v>94.13</v>
          </cell>
          <cell r="R533" t="str">
            <v>EACH</v>
          </cell>
          <cell r="S533" t="str">
            <v>AUD</v>
          </cell>
          <cell r="T533">
            <v>49</v>
          </cell>
          <cell r="U533">
            <v>0</v>
          </cell>
          <cell r="V533">
            <v>0</v>
          </cell>
          <cell r="W533">
            <v>45897</v>
          </cell>
          <cell r="X533">
            <v>49</v>
          </cell>
          <cell r="Y533">
            <v>4612.37</v>
          </cell>
        </row>
        <row r="534">
          <cell r="L534" t="str">
            <v>7514-1664-S70</v>
          </cell>
          <cell r="M534" t="str">
            <v>BUTTON BIT T38 64MM SH70</v>
          </cell>
          <cell r="N534" t="str">
            <v>NNAV.E155</v>
          </cell>
          <cell r="P534" t="str">
            <v>MIN_SANDVIK_001</v>
          </cell>
          <cell r="Q534">
            <v>136.44</v>
          </cell>
          <cell r="R534" t="str">
            <v>EACH</v>
          </cell>
          <cell r="S534" t="str">
            <v>AUD</v>
          </cell>
          <cell r="T534">
            <v>50</v>
          </cell>
          <cell r="U534">
            <v>0</v>
          </cell>
          <cell r="V534">
            <v>0</v>
          </cell>
          <cell r="W534">
            <v>45897</v>
          </cell>
          <cell r="X534">
            <v>50</v>
          </cell>
          <cell r="Y534">
            <v>6822</v>
          </cell>
        </row>
        <row r="535">
          <cell r="L535" t="str">
            <v>7304-7669-01</v>
          </cell>
          <cell r="M535" t="str">
            <v>SHANK T38 RD520/525 D45 L525</v>
          </cell>
          <cell r="N535" t="str">
            <v>NNAV.E155</v>
          </cell>
          <cell r="P535" t="str">
            <v>MIN_SANDVIK_001</v>
          </cell>
          <cell r="Q535">
            <v>308.10000000000002</v>
          </cell>
          <cell r="R535" t="str">
            <v>EACH</v>
          </cell>
          <cell r="S535" t="str">
            <v>AUD</v>
          </cell>
          <cell r="T535">
            <v>50</v>
          </cell>
          <cell r="U535">
            <v>0</v>
          </cell>
          <cell r="V535">
            <v>0</v>
          </cell>
          <cell r="W535">
            <v>45897</v>
          </cell>
          <cell r="X535">
            <v>50</v>
          </cell>
          <cell r="Y535">
            <v>15405</v>
          </cell>
        </row>
        <row r="536">
          <cell r="L536" t="str">
            <v>7314-3652</v>
          </cell>
          <cell r="M536" t="str">
            <v>COUPLING SLEEVE T38</v>
          </cell>
          <cell r="N536" t="str">
            <v>NNAV.E155</v>
          </cell>
          <cell r="P536" t="str">
            <v>MIN_SANDVIK_001</v>
          </cell>
          <cell r="Q536">
            <v>69.959999999999994</v>
          </cell>
          <cell r="R536" t="str">
            <v>EACH</v>
          </cell>
          <cell r="S536" t="str">
            <v>AUD</v>
          </cell>
          <cell r="T536">
            <v>50</v>
          </cell>
          <cell r="U536">
            <v>0</v>
          </cell>
          <cell r="V536">
            <v>0</v>
          </cell>
          <cell r="W536">
            <v>45897</v>
          </cell>
          <cell r="X536">
            <v>50</v>
          </cell>
          <cell r="Y536">
            <v>3498</v>
          </cell>
        </row>
        <row r="537">
          <cell r="L537" t="str">
            <v>7979-2630</v>
          </cell>
          <cell r="M537" t="str">
            <v>THD F/BOLT DOLLY T38 46</v>
          </cell>
          <cell r="N537" t="str">
            <v>NNAV.E155</v>
          </cell>
          <cell r="P537" t="str">
            <v>MIN_SANDVIK_001</v>
          </cell>
          <cell r="Q537">
            <v>96.3</v>
          </cell>
          <cell r="R537" t="str">
            <v>EACH</v>
          </cell>
          <cell r="S537" t="str">
            <v>AUD</v>
          </cell>
          <cell r="T537">
            <v>40</v>
          </cell>
          <cell r="U537">
            <v>0</v>
          </cell>
          <cell r="V537">
            <v>0</v>
          </cell>
          <cell r="W537">
            <v>45897</v>
          </cell>
          <cell r="X537">
            <v>40</v>
          </cell>
          <cell r="Y537">
            <v>3852</v>
          </cell>
        </row>
        <row r="538">
          <cell r="L538" t="str">
            <v>7979-2626</v>
          </cell>
          <cell r="M538" t="str">
            <v>T38 DOLLY 39MM</v>
          </cell>
          <cell r="N538" t="str">
            <v>NNAV.E155</v>
          </cell>
          <cell r="P538" t="str">
            <v>MIN_SANDVIK_001</v>
          </cell>
          <cell r="Q538">
            <v>96.3</v>
          </cell>
          <cell r="R538" t="str">
            <v>EACH</v>
          </cell>
          <cell r="S538" t="str">
            <v>AUD</v>
          </cell>
          <cell r="T538">
            <v>5</v>
          </cell>
          <cell r="U538">
            <v>0</v>
          </cell>
          <cell r="V538">
            <v>0</v>
          </cell>
          <cell r="W538">
            <v>45897</v>
          </cell>
          <cell r="X538">
            <v>5</v>
          </cell>
          <cell r="Y538">
            <v>481.5</v>
          </cell>
        </row>
        <row r="539">
          <cell r="L539" t="str">
            <v>7324-4309C-30</v>
          </cell>
          <cell r="M539" t="str">
            <v>EXTENSION ROD T38 R39 L = 915M</v>
          </cell>
          <cell r="N539" t="str">
            <v>NNAV.E155</v>
          </cell>
          <cell r="P539" t="str">
            <v>MIN_SANDVIK_001</v>
          </cell>
          <cell r="Q539">
            <v>184.75</v>
          </cell>
          <cell r="R539" t="str">
            <v>EACH</v>
          </cell>
          <cell r="S539" t="str">
            <v>AUD</v>
          </cell>
          <cell r="T539">
            <v>0</v>
          </cell>
          <cell r="U539">
            <v>0</v>
          </cell>
          <cell r="V539">
            <v>0</v>
          </cell>
          <cell r="W539">
            <v>45897</v>
          </cell>
          <cell r="X539">
            <v>0</v>
          </cell>
          <cell r="Y539">
            <v>0</v>
          </cell>
        </row>
        <row r="540">
          <cell r="L540" t="str">
            <v>7324-4709C-20</v>
          </cell>
          <cell r="M540" t="str">
            <v>MF ROD T38 R39 L=915MM</v>
          </cell>
          <cell r="N540" t="str">
            <v>NNAV.E155</v>
          </cell>
          <cell r="P540" t="str">
            <v>MIN_SANDVIK_001</v>
          </cell>
          <cell r="Q540">
            <v>276.63</v>
          </cell>
          <cell r="R540" t="str">
            <v>EACH</v>
          </cell>
          <cell r="S540" t="str">
            <v>AUD</v>
          </cell>
          <cell r="T540">
            <v>0</v>
          </cell>
          <cell r="U540">
            <v>0</v>
          </cell>
          <cell r="V540">
            <v>0</v>
          </cell>
          <cell r="W540">
            <v>45897</v>
          </cell>
          <cell r="X540">
            <v>0</v>
          </cell>
          <cell r="Y540">
            <v>0</v>
          </cell>
        </row>
        <row r="541">
          <cell r="L541" t="str">
            <v>7324-8031-20</v>
          </cell>
          <cell r="M541" t="str">
            <v>DRIFTER ROD T38 H35 A340 L=309</v>
          </cell>
          <cell r="N541" t="str">
            <v>NNAV.E155</v>
          </cell>
          <cell r="P541" t="str">
            <v>MIN_SANDVIK_001</v>
          </cell>
          <cell r="Q541">
            <v>443.78</v>
          </cell>
          <cell r="R541" t="str">
            <v>EACH</v>
          </cell>
          <cell r="S541" t="str">
            <v>AUD</v>
          </cell>
          <cell r="T541">
            <v>0</v>
          </cell>
          <cell r="U541">
            <v>0</v>
          </cell>
          <cell r="V541">
            <v>0</v>
          </cell>
          <cell r="W541">
            <v>45897</v>
          </cell>
          <cell r="X541">
            <v>0</v>
          </cell>
          <cell r="Y541">
            <v>0</v>
          </cell>
        </row>
        <row r="542">
          <cell r="L542" t="str">
            <v>7324-8037-20</v>
          </cell>
          <cell r="M542" t="str">
            <v>DRIFTER ROD T38 H35 A340 L=370</v>
          </cell>
          <cell r="N542" t="str">
            <v>NNAV.E155</v>
          </cell>
          <cell r="P542" t="str">
            <v>MIN_SANDVIK_001</v>
          </cell>
          <cell r="Q542">
            <v>498.85</v>
          </cell>
          <cell r="R542" t="str">
            <v>EACH</v>
          </cell>
          <cell r="S542" t="str">
            <v>AUD</v>
          </cell>
          <cell r="T542">
            <v>0</v>
          </cell>
          <cell r="U542">
            <v>0</v>
          </cell>
          <cell r="V542">
            <v>0</v>
          </cell>
          <cell r="W542">
            <v>45897</v>
          </cell>
          <cell r="X542">
            <v>0</v>
          </cell>
          <cell r="Y542">
            <v>0</v>
          </cell>
        </row>
        <row r="543">
          <cell r="L543" t="str">
            <v>7324-8043-20</v>
          </cell>
          <cell r="M543" t="str">
            <v>DRIFTER ROD T38 H35 A340 L=430</v>
          </cell>
          <cell r="N543" t="str">
            <v>NNAV.E155</v>
          </cell>
          <cell r="P543" t="str">
            <v>MIN_SANDVIK_001</v>
          </cell>
          <cell r="Q543">
            <v>513.01</v>
          </cell>
          <cell r="R543" t="str">
            <v>EACH</v>
          </cell>
          <cell r="S543" t="str">
            <v>AUD</v>
          </cell>
          <cell r="T543">
            <v>0</v>
          </cell>
          <cell r="U543">
            <v>0</v>
          </cell>
          <cell r="V543">
            <v>0</v>
          </cell>
          <cell r="W543">
            <v>45897</v>
          </cell>
          <cell r="X543">
            <v>0</v>
          </cell>
          <cell r="Y543">
            <v>0</v>
          </cell>
        </row>
        <row r="544">
          <cell r="L544" t="str">
            <v>7324-7949-20</v>
          </cell>
          <cell r="M544" t="str">
            <v>DRIFTER ROD T38 R39 A340 L=491</v>
          </cell>
          <cell r="N544" t="str">
            <v>NNAV.E155</v>
          </cell>
          <cell r="P544" t="str">
            <v>MIN_SANDVIK_001</v>
          </cell>
          <cell r="Q544">
            <v>639</v>
          </cell>
          <cell r="R544" t="str">
            <v>EACH</v>
          </cell>
          <cell r="S544" t="str">
            <v>AUD</v>
          </cell>
          <cell r="T544">
            <v>0</v>
          </cell>
          <cell r="U544">
            <v>0</v>
          </cell>
          <cell r="V544">
            <v>0</v>
          </cell>
          <cell r="W544">
            <v>45897</v>
          </cell>
          <cell r="X544">
            <v>0</v>
          </cell>
          <cell r="Y544">
            <v>0</v>
          </cell>
        </row>
        <row r="545">
          <cell r="L545" t="str">
            <v>7324-4731-85</v>
          </cell>
          <cell r="M545" t="str">
            <v>MF ROD T38 R39 L=3050MM</v>
          </cell>
          <cell r="N545" t="str">
            <v>NNAV.E155</v>
          </cell>
          <cell r="P545" t="str">
            <v>MIN_SANDVIK_001</v>
          </cell>
          <cell r="Q545">
            <v>439.59</v>
          </cell>
          <cell r="R545" t="str">
            <v>EACH</v>
          </cell>
          <cell r="S545" t="str">
            <v>AUD</v>
          </cell>
          <cell r="T545">
            <v>0</v>
          </cell>
          <cell r="U545">
            <v>0</v>
          </cell>
          <cell r="V545">
            <v>0</v>
          </cell>
          <cell r="W545">
            <v>45897</v>
          </cell>
          <cell r="X545">
            <v>0</v>
          </cell>
          <cell r="Y545">
            <v>0</v>
          </cell>
        </row>
        <row r="546">
          <cell r="L546" t="str">
            <v>7324-4331C-30</v>
          </cell>
          <cell r="M546" t="str">
            <v>EXTENSION ROD T38 R39 L=3050MM</v>
          </cell>
          <cell r="N546" t="str">
            <v>NNAV.E155</v>
          </cell>
          <cell r="P546" t="str">
            <v>MIN_SANDVIK_001</v>
          </cell>
          <cell r="Q546">
            <v>317.43</v>
          </cell>
          <cell r="R546" t="str">
            <v>EACH</v>
          </cell>
          <cell r="S546" t="str">
            <v>AUD</v>
          </cell>
          <cell r="T546">
            <v>0</v>
          </cell>
          <cell r="U546">
            <v>0</v>
          </cell>
          <cell r="V546">
            <v>0</v>
          </cell>
          <cell r="W546">
            <v>45897</v>
          </cell>
          <cell r="X546">
            <v>0</v>
          </cell>
          <cell r="Y546">
            <v>0</v>
          </cell>
        </row>
        <row r="547">
          <cell r="L547" t="str">
            <v>7580-5602P-S70</v>
          </cell>
          <cell r="M547" t="str">
            <v>REAMING BIT A340 102MM</v>
          </cell>
          <cell r="N547" t="str">
            <v>NNAV.E155</v>
          </cell>
          <cell r="P547" t="str">
            <v>MIN_SANDVIK_001</v>
          </cell>
          <cell r="Q547">
            <v>343.33</v>
          </cell>
          <cell r="R547" t="str">
            <v>EACH</v>
          </cell>
          <cell r="S547" t="str">
            <v>AUD</v>
          </cell>
          <cell r="T547">
            <v>50</v>
          </cell>
          <cell r="U547">
            <v>0</v>
          </cell>
          <cell r="V547">
            <v>0</v>
          </cell>
          <cell r="W547">
            <v>45897</v>
          </cell>
          <cell r="X547">
            <v>50</v>
          </cell>
          <cell r="Y547">
            <v>17166.5</v>
          </cell>
        </row>
        <row r="548">
          <cell r="L548" t="str">
            <v>7580-5243A-S70</v>
          </cell>
          <cell r="M548" t="str">
            <v>BUTTON BIT A340 43MM SH70</v>
          </cell>
          <cell r="N548" t="str">
            <v>NNAV.E155</v>
          </cell>
          <cell r="P548" t="str">
            <v>MIN_SANDVIK_001</v>
          </cell>
          <cell r="Q548">
            <v>66.52</v>
          </cell>
          <cell r="R548" t="str">
            <v>EACH</v>
          </cell>
          <cell r="S548" t="str">
            <v>AUD</v>
          </cell>
          <cell r="T548">
            <v>250</v>
          </cell>
          <cell r="U548">
            <v>0</v>
          </cell>
          <cell r="V548">
            <v>0</v>
          </cell>
          <cell r="W548">
            <v>45897</v>
          </cell>
          <cell r="X548">
            <v>250</v>
          </cell>
          <cell r="Y548">
            <v>16630</v>
          </cell>
        </row>
        <row r="549">
          <cell r="L549" t="str">
            <v>7580-5345A-R48</v>
          </cell>
          <cell r="M549" t="str">
            <v>BUTTON BIT A340 45MM</v>
          </cell>
          <cell r="N549" t="str">
            <v>NNAV.E155</v>
          </cell>
          <cell r="P549" t="str">
            <v>MIN_SANDVIK_001</v>
          </cell>
          <cell r="Q549">
            <v>78.930000000000007</v>
          </cell>
          <cell r="R549" t="str">
            <v>EACH</v>
          </cell>
          <cell r="S549" t="str">
            <v>AUD</v>
          </cell>
          <cell r="T549">
            <v>306</v>
          </cell>
          <cell r="U549">
            <v>0</v>
          </cell>
          <cell r="V549">
            <v>0</v>
          </cell>
          <cell r="W549">
            <v>45897</v>
          </cell>
          <cell r="X549">
            <v>306</v>
          </cell>
          <cell r="Y549">
            <v>24152.58</v>
          </cell>
        </row>
        <row r="550">
          <cell r="L550" t="str">
            <v>7580-5148A-S81</v>
          </cell>
          <cell r="M550" t="str">
            <v>BUTTON BIT A340 48MM TC</v>
          </cell>
          <cell r="N550" t="str">
            <v>NNAV.E155</v>
          </cell>
          <cell r="P550" t="str">
            <v>MIN_SANDVIK_001</v>
          </cell>
          <cell r="Q550">
            <v>108.19</v>
          </cell>
          <cell r="R550" t="str">
            <v>EACH</v>
          </cell>
          <cell r="S550" t="str">
            <v>AUD</v>
          </cell>
          <cell r="T550">
            <v>0</v>
          </cell>
          <cell r="U550">
            <v>0</v>
          </cell>
          <cell r="V550">
            <v>0</v>
          </cell>
          <cell r="W550">
            <v>45897</v>
          </cell>
          <cell r="X550">
            <v>0</v>
          </cell>
          <cell r="Y550">
            <v>0</v>
          </cell>
        </row>
        <row r="551">
          <cell r="L551" t="str">
            <v>7324-4309C-30</v>
          </cell>
          <cell r="M551" t="str">
            <v>EXTENSION ROD T38 R39 L = 915M</v>
          </cell>
          <cell r="N551" t="str">
            <v>NNAV.E155</v>
          </cell>
          <cell r="P551" t="str">
            <v>MIN_SANDVIK_001</v>
          </cell>
          <cell r="Q551">
            <v>184.75</v>
          </cell>
          <cell r="R551" t="str">
            <v>EACH</v>
          </cell>
          <cell r="S551" t="str">
            <v>AUD</v>
          </cell>
          <cell r="T551">
            <v>0</v>
          </cell>
          <cell r="U551">
            <v>0</v>
          </cell>
          <cell r="V551">
            <v>0</v>
          </cell>
          <cell r="W551">
            <v>45897</v>
          </cell>
          <cell r="X551">
            <v>0</v>
          </cell>
          <cell r="Y551">
            <v>0</v>
          </cell>
        </row>
        <row r="552">
          <cell r="L552" t="str">
            <v>7324-4709C-20</v>
          </cell>
          <cell r="M552" t="str">
            <v>MF ROD T38 R39 L=915MM</v>
          </cell>
          <cell r="N552" t="str">
            <v>NNAV.E155</v>
          </cell>
          <cell r="P552" t="str">
            <v>MIN_SANDVIK_001</v>
          </cell>
          <cell r="Q552">
            <v>276.63</v>
          </cell>
          <cell r="R552" t="str">
            <v>EACH</v>
          </cell>
          <cell r="S552" t="str">
            <v>AUD</v>
          </cell>
          <cell r="T552">
            <v>0</v>
          </cell>
          <cell r="U552">
            <v>0</v>
          </cell>
          <cell r="V552">
            <v>0</v>
          </cell>
          <cell r="W552">
            <v>45897</v>
          </cell>
          <cell r="X552">
            <v>0</v>
          </cell>
          <cell r="Y552">
            <v>0</v>
          </cell>
        </row>
        <row r="553">
          <cell r="L553" t="str">
            <v>7324-8031-20</v>
          </cell>
          <cell r="M553" t="str">
            <v>DRIFTER ROD T38 H35 A340 L=309</v>
          </cell>
          <cell r="N553" t="str">
            <v>NNAV.E155</v>
          </cell>
          <cell r="P553" t="str">
            <v>MIN_SANDVIK_001</v>
          </cell>
          <cell r="Q553">
            <v>443.78</v>
          </cell>
          <cell r="R553" t="str">
            <v>EACH</v>
          </cell>
          <cell r="S553" t="str">
            <v>AUD</v>
          </cell>
          <cell r="T553">
            <v>75</v>
          </cell>
          <cell r="U553">
            <v>0</v>
          </cell>
          <cell r="V553">
            <v>0</v>
          </cell>
          <cell r="W553">
            <v>45897</v>
          </cell>
          <cell r="X553">
            <v>75</v>
          </cell>
          <cell r="Y553">
            <v>33283.5</v>
          </cell>
        </row>
        <row r="554">
          <cell r="L554" t="str">
            <v>7324-8037-20</v>
          </cell>
          <cell r="M554" t="str">
            <v>DRIFTER ROD T38 H35 A340 L=370</v>
          </cell>
          <cell r="N554" t="str">
            <v>NNAV.E155</v>
          </cell>
          <cell r="P554" t="str">
            <v>MIN_SANDVIK_001</v>
          </cell>
          <cell r="Q554">
            <v>498.85</v>
          </cell>
          <cell r="R554" t="str">
            <v>EACH</v>
          </cell>
          <cell r="S554" t="str">
            <v>AUD</v>
          </cell>
          <cell r="T554">
            <v>0</v>
          </cell>
          <cell r="U554">
            <v>0</v>
          </cell>
          <cell r="V554">
            <v>0</v>
          </cell>
          <cell r="W554">
            <v>45897</v>
          </cell>
          <cell r="X554">
            <v>0</v>
          </cell>
          <cell r="Y554">
            <v>0</v>
          </cell>
        </row>
        <row r="555">
          <cell r="L555" t="str">
            <v>7324-8043-20</v>
          </cell>
          <cell r="M555" t="str">
            <v>DRIFTER ROD T38 H35 A340 L=430</v>
          </cell>
          <cell r="N555" t="str">
            <v>NNAV.E155</v>
          </cell>
          <cell r="P555" t="str">
            <v>MIN_SANDVIK_001</v>
          </cell>
          <cell r="Q555">
            <v>513.01</v>
          </cell>
          <cell r="R555" t="str">
            <v>EACH</v>
          </cell>
          <cell r="S555" t="str">
            <v>AUD</v>
          </cell>
          <cell r="T555">
            <v>0</v>
          </cell>
          <cell r="U555">
            <v>0</v>
          </cell>
          <cell r="V555">
            <v>0</v>
          </cell>
          <cell r="W555">
            <v>45897</v>
          </cell>
          <cell r="X555">
            <v>0</v>
          </cell>
          <cell r="Y555">
            <v>0</v>
          </cell>
        </row>
        <row r="556">
          <cell r="L556" t="str">
            <v>7324-7949-20</v>
          </cell>
          <cell r="M556" t="str">
            <v>DRIFTER ROD T38 R39 A340 L=491</v>
          </cell>
          <cell r="N556" t="str">
            <v>NNAV.E155</v>
          </cell>
          <cell r="P556" t="str">
            <v>MIN_SANDVIK_001</v>
          </cell>
          <cell r="Q556">
            <v>639</v>
          </cell>
          <cell r="R556" t="str">
            <v>EACH</v>
          </cell>
          <cell r="S556" t="str">
            <v>AUD</v>
          </cell>
          <cell r="T556">
            <v>0</v>
          </cell>
          <cell r="U556">
            <v>0</v>
          </cell>
          <cell r="V556">
            <v>0</v>
          </cell>
          <cell r="W556">
            <v>45897</v>
          </cell>
          <cell r="X556">
            <v>0</v>
          </cell>
          <cell r="Y556">
            <v>0</v>
          </cell>
        </row>
        <row r="557">
          <cell r="L557" t="str">
            <v>7324-4731-85</v>
          </cell>
          <cell r="M557" t="str">
            <v>MF ROD T38 R39 L=3050MM</v>
          </cell>
          <cell r="N557" t="str">
            <v>NNAV.E155</v>
          </cell>
          <cell r="P557" t="str">
            <v>MIN_SANDVIK_001</v>
          </cell>
          <cell r="Q557">
            <v>439.59</v>
          </cell>
          <cell r="R557" t="str">
            <v>EACH</v>
          </cell>
          <cell r="S557" t="str">
            <v>AUD</v>
          </cell>
          <cell r="T557">
            <v>50</v>
          </cell>
          <cell r="U557">
            <v>0</v>
          </cell>
          <cell r="V557">
            <v>0</v>
          </cell>
          <cell r="W557">
            <v>45897</v>
          </cell>
          <cell r="X557">
            <v>50</v>
          </cell>
          <cell r="Y557">
            <v>21979.5</v>
          </cell>
        </row>
        <row r="558">
          <cell r="L558" t="str">
            <v>7324-4331C-30</v>
          </cell>
          <cell r="M558" t="str">
            <v>EXTENSION ROD T38 R39 L=3050MM</v>
          </cell>
          <cell r="N558" t="str">
            <v>NNAV.E155</v>
          </cell>
          <cell r="P558" t="str">
            <v>MIN_SANDVIK_001</v>
          </cell>
          <cell r="Q558">
            <v>317.43</v>
          </cell>
          <cell r="R558" t="str">
            <v>EACH</v>
          </cell>
          <cell r="S558" t="str">
            <v>AUD</v>
          </cell>
          <cell r="T558">
            <v>50</v>
          </cell>
          <cell r="U558">
            <v>0</v>
          </cell>
          <cell r="V558">
            <v>0</v>
          </cell>
          <cell r="W558">
            <v>45897</v>
          </cell>
          <cell r="X558">
            <v>50</v>
          </cell>
          <cell r="Y558">
            <v>15871.5</v>
          </cell>
        </row>
        <row r="559">
          <cell r="L559" t="str">
            <v>7580-5148A-S81</v>
          </cell>
          <cell r="M559" t="str">
            <v>BUTTON BIT A340 48MM TC</v>
          </cell>
          <cell r="N559" t="str">
            <v>NNAV.E155</v>
          </cell>
          <cell r="P559" t="str">
            <v>MIN_SANDVIK_001</v>
          </cell>
          <cell r="Q559">
            <v>108.19</v>
          </cell>
          <cell r="R559" t="str">
            <v>EACH</v>
          </cell>
          <cell r="S559" t="str">
            <v>AUD</v>
          </cell>
          <cell r="T559">
            <v>0</v>
          </cell>
          <cell r="U559">
            <v>0</v>
          </cell>
          <cell r="V559">
            <v>0</v>
          </cell>
          <cell r="W559">
            <v>45897</v>
          </cell>
          <cell r="X559">
            <v>0</v>
          </cell>
          <cell r="Y559">
            <v>0</v>
          </cell>
        </row>
        <row r="560">
          <cell r="L560" t="str">
            <v>7324-4309C-30</v>
          </cell>
          <cell r="M560" t="str">
            <v>EXTENSION ROD T38 R39 L = 915M</v>
          </cell>
          <cell r="N560" t="str">
            <v>NNAV.E155</v>
          </cell>
          <cell r="P560" t="str">
            <v>MIN_SANDVIK_001</v>
          </cell>
          <cell r="Q560">
            <v>184.75</v>
          </cell>
          <cell r="R560" t="str">
            <v>EACH</v>
          </cell>
          <cell r="S560" t="str">
            <v>AUD</v>
          </cell>
          <cell r="T560">
            <v>0</v>
          </cell>
          <cell r="U560">
            <v>0</v>
          </cell>
          <cell r="V560">
            <v>0</v>
          </cell>
          <cell r="W560">
            <v>45897</v>
          </cell>
          <cell r="X560">
            <v>0</v>
          </cell>
          <cell r="Y560">
            <v>0</v>
          </cell>
        </row>
        <row r="561">
          <cell r="L561" t="str">
            <v>7324-4709C-20</v>
          </cell>
          <cell r="M561" t="str">
            <v>MF ROD T38 R39 L=915MM</v>
          </cell>
          <cell r="N561" t="str">
            <v>NNAV.E155</v>
          </cell>
          <cell r="P561" t="str">
            <v>MIN_SANDVIK_001</v>
          </cell>
          <cell r="Q561">
            <v>276.63</v>
          </cell>
          <cell r="R561" t="str">
            <v>EACH</v>
          </cell>
          <cell r="S561" t="str">
            <v>AUD</v>
          </cell>
          <cell r="T561">
            <v>5</v>
          </cell>
          <cell r="U561">
            <v>0</v>
          </cell>
          <cell r="V561">
            <v>0</v>
          </cell>
          <cell r="W561">
            <v>45897</v>
          </cell>
          <cell r="X561">
            <v>5</v>
          </cell>
          <cell r="Y561">
            <v>1383.15</v>
          </cell>
        </row>
        <row r="562">
          <cell r="L562" t="str">
            <v>7324-8037-20</v>
          </cell>
          <cell r="M562" t="str">
            <v>DRIFTER ROD T38 H35 A340 L=370</v>
          </cell>
          <cell r="N562" t="str">
            <v>NNAV.E155</v>
          </cell>
          <cell r="P562" t="str">
            <v>MIN_SANDVIK_001</v>
          </cell>
          <cell r="Q562">
            <v>498.85</v>
          </cell>
          <cell r="R562" t="str">
            <v>EACH</v>
          </cell>
          <cell r="S562" t="str">
            <v>AUD</v>
          </cell>
          <cell r="T562">
            <v>25</v>
          </cell>
          <cell r="U562">
            <v>0</v>
          </cell>
          <cell r="V562">
            <v>0</v>
          </cell>
          <cell r="W562">
            <v>45897</v>
          </cell>
          <cell r="X562">
            <v>25</v>
          </cell>
          <cell r="Y562">
            <v>12471.25</v>
          </cell>
        </row>
        <row r="563">
          <cell r="L563" t="str">
            <v>7324-8043-20</v>
          </cell>
          <cell r="M563" t="str">
            <v>DRIFTER ROD T38 H35 A340 L=430</v>
          </cell>
          <cell r="N563" t="str">
            <v>NNAV.E155</v>
          </cell>
          <cell r="P563" t="str">
            <v>MIN_SANDVIK_001</v>
          </cell>
          <cell r="Q563">
            <v>513.01</v>
          </cell>
          <cell r="R563" t="str">
            <v>EACH</v>
          </cell>
          <cell r="S563" t="str">
            <v>AUD</v>
          </cell>
          <cell r="T563">
            <v>0</v>
          </cell>
          <cell r="U563">
            <v>0</v>
          </cell>
          <cell r="V563">
            <v>0</v>
          </cell>
          <cell r="W563">
            <v>45897</v>
          </cell>
          <cell r="X563">
            <v>0</v>
          </cell>
          <cell r="Y563">
            <v>0</v>
          </cell>
        </row>
        <row r="564">
          <cell r="L564" t="str">
            <v>7324-7949-20</v>
          </cell>
          <cell r="M564" t="str">
            <v>DRIFTER ROD T38 R39 A340 L=491</v>
          </cell>
          <cell r="N564" t="str">
            <v>NNAV.E155</v>
          </cell>
          <cell r="P564" t="str">
            <v>MIN_SANDVIK_001</v>
          </cell>
          <cell r="Q564">
            <v>639</v>
          </cell>
          <cell r="R564" t="str">
            <v>EACH</v>
          </cell>
          <cell r="S564" t="str">
            <v>AUD</v>
          </cell>
          <cell r="T564">
            <v>150</v>
          </cell>
          <cell r="U564">
            <v>0</v>
          </cell>
          <cell r="V564">
            <v>0</v>
          </cell>
          <cell r="W564">
            <v>45897</v>
          </cell>
          <cell r="X564">
            <v>150</v>
          </cell>
          <cell r="Y564">
            <v>95850</v>
          </cell>
        </row>
        <row r="565">
          <cell r="L565" t="str">
            <v>7580-5148A-S81</v>
          </cell>
          <cell r="M565" t="str">
            <v>BUTTON BIT A340 48MM TC</v>
          </cell>
          <cell r="N565" t="str">
            <v>NNAV.E155</v>
          </cell>
          <cell r="P565" t="str">
            <v>MIN_SANDVIK_001</v>
          </cell>
          <cell r="Q565">
            <v>108.19</v>
          </cell>
          <cell r="R565" t="str">
            <v>EACH</v>
          </cell>
          <cell r="S565" t="str">
            <v>AUD</v>
          </cell>
          <cell r="T565">
            <v>0</v>
          </cell>
          <cell r="U565">
            <v>0</v>
          </cell>
          <cell r="V565">
            <v>0</v>
          </cell>
          <cell r="W565">
            <v>45897</v>
          </cell>
          <cell r="X565">
            <v>0</v>
          </cell>
          <cell r="Y565">
            <v>0</v>
          </cell>
        </row>
        <row r="566">
          <cell r="L566" t="str">
            <v>7324-4309C-30</v>
          </cell>
          <cell r="M566" t="str">
            <v>EXTENSION ROD T38 R39 L = 915M</v>
          </cell>
          <cell r="N566" t="str">
            <v>NNAV.E155</v>
          </cell>
          <cell r="P566" t="str">
            <v>MIN_SANDVIK_001</v>
          </cell>
          <cell r="Q566">
            <v>184.75</v>
          </cell>
          <cell r="R566" t="str">
            <v>EACH</v>
          </cell>
          <cell r="S566" t="str">
            <v>AUD</v>
          </cell>
          <cell r="T566">
            <v>0</v>
          </cell>
          <cell r="U566">
            <v>0</v>
          </cell>
          <cell r="V566">
            <v>0</v>
          </cell>
          <cell r="W566">
            <v>45897</v>
          </cell>
          <cell r="X566">
            <v>0</v>
          </cell>
          <cell r="Y566">
            <v>0</v>
          </cell>
        </row>
        <row r="567">
          <cell r="L567" t="str">
            <v>7324-8043-20</v>
          </cell>
          <cell r="M567" t="str">
            <v>DRIFTER ROD T38 H35 A340 L=430</v>
          </cell>
          <cell r="N567" t="str">
            <v>NNAV.E155</v>
          </cell>
          <cell r="P567" t="str">
            <v>MIN_SANDVIK_001</v>
          </cell>
          <cell r="Q567">
            <v>513.01</v>
          </cell>
          <cell r="R567" t="str">
            <v>EACH</v>
          </cell>
          <cell r="S567" t="str">
            <v>AUD</v>
          </cell>
          <cell r="T567">
            <v>50</v>
          </cell>
          <cell r="U567">
            <v>0</v>
          </cell>
          <cell r="V567">
            <v>0</v>
          </cell>
          <cell r="W567">
            <v>45897</v>
          </cell>
          <cell r="X567">
            <v>50</v>
          </cell>
          <cell r="Y567">
            <v>25650.5</v>
          </cell>
        </row>
        <row r="568">
          <cell r="L568" t="str">
            <v>7580-5148A-S81</v>
          </cell>
          <cell r="M568" t="str">
            <v>BUTTON BIT A340 48MM TC</v>
          </cell>
          <cell r="N568" t="str">
            <v>NNAV.E155</v>
          </cell>
          <cell r="P568" t="str">
            <v>MIN_SANDVIK_001</v>
          </cell>
          <cell r="Q568">
            <v>108.19</v>
          </cell>
          <cell r="R568" t="str">
            <v>EACH</v>
          </cell>
          <cell r="S568" t="str">
            <v>AUD</v>
          </cell>
          <cell r="T568">
            <v>0</v>
          </cell>
          <cell r="U568">
            <v>0</v>
          </cell>
          <cell r="V568">
            <v>0</v>
          </cell>
          <cell r="W568">
            <v>45897</v>
          </cell>
          <cell r="X568">
            <v>0</v>
          </cell>
          <cell r="Y568">
            <v>0</v>
          </cell>
        </row>
        <row r="569">
          <cell r="L569" t="str">
            <v>7324-4309C-30</v>
          </cell>
          <cell r="M569" t="str">
            <v>EXTENSION ROD T38 R39 L = 915M</v>
          </cell>
          <cell r="N569" t="str">
            <v>NNAV.E155</v>
          </cell>
          <cell r="P569" t="str">
            <v>MIN_SANDVIK_001</v>
          </cell>
          <cell r="Q569">
            <v>184.75</v>
          </cell>
          <cell r="R569" t="str">
            <v>EACH</v>
          </cell>
          <cell r="S569" t="str">
            <v>AUD</v>
          </cell>
          <cell r="T569">
            <v>0</v>
          </cell>
          <cell r="U569">
            <v>0</v>
          </cell>
          <cell r="V569">
            <v>0</v>
          </cell>
          <cell r="W569">
            <v>45897</v>
          </cell>
          <cell r="X569">
            <v>0</v>
          </cell>
          <cell r="Y569">
            <v>0</v>
          </cell>
        </row>
        <row r="570">
          <cell r="L570" t="str">
            <v>7580-5148A-S81</v>
          </cell>
          <cell r="M570" t="str">
            <v>BUTTON BIT A340 48MM TC</v>
          </cell>
          <cell r="N570" t="str">
            <v>NNAV.E155</v>
          </cell>
          <cell r="P570" t="str">
            <v>MIN_SANDVIK_001</v>
          </cell>
          <cell r="Q570">
            <v>108.19</v>
          </cell>
          <cell r="R570" t="str">
            <v>EACH</v>
          </cell>
          <cell r="S570" t="str">
            <v>AUD</v>
          </cell>
          <cell r="T570">
            <v>0</v>
          </cell>
          <cell r="U570">
            <v>0</v>
          </cell>
          <cell r="V570">
            <v>0</v>
          </cell>
          <cell r="W570">
            <v>45953</v>
          </cell>
          <cell r="X570">
            <v>0</v>
          </cell>
          <cell r="Y570">
            <v>0</v>
          </cell>
        </row>
        <row r="571">
          <cell r="L571" t="str">
            <v>7324-4309C-30</v>
          </cell>
          <cell r="M571" t="str">
            <v>EXTENSION ROD T38 R39 L = 915M</v>
          </cell>
          <cell r="N571" t="str">
            <v>NNAV.E155</v>
          </cell>
          <cell r="P571" t="str">
            <v>MIN_SANDVIK_001</v>
          </cell>
          <cell r="Q571">
            <v>184.75</v>
          </cell>
          <cell r="R571" t="str">
            <v>EACH</v>
          </cell>
          <cell r="S571" t="str">
            <v>AUD</v>
          </cell>
          <cell r="T571">
            <v>5</v>
          </cell>
          <cell r="U571">
            <v>0</v>
          </cell>
          <cell r="V571">
            <v>0</v>
          </cell>
          <cell r="W571">
            <v>45953</v>
          </cell>
          <cell r="X571">
            <v>5</v>
          </cell>
          <cell r="Y571">
            <v>923.75</v>
          </cell>
        </row>
        <row r="572">
          <cell r="L572" t="str">
            <v>7580-5148A-S81</v>
          </cell>
          <cell r="M572" t="str">
            <v>BUTTON BIT A340 48MM TC</v>
          </cell>
          <cell r="N572" t="str">
            <v>NNAV.E155</v>
          </cell>
          <cell r="P572" t="str">
            <v>MIN_SANDVIK_001</v>
          </cell>
          <cell r="Q572">
            <v>108.19</v>
          </cell>
          <cell r="R572" t="str">
            <v>EACH</v>
          </cell>
          <cell r="S572" t="str">
            <v>AUD</v>
          </cell>
          <cell r="T572">
            <v>50</v>
          </cell>
          <cell r="U572">
            <v>0</v>
          </cell>
          <cell r="V572">
            <v>0</v>
          </cell>
          <cell r="W572">
            <v>45953</v>
          </cell>
          <cell r="X572">
            <v>50</v>
          </cell>
          <cell r="Y572">
            <v>5409.5</v>
          </cell>
        </row>
        <row r="573">
          <cell r="L573" t="str">
            <v>DCT-CTFL-SP</v>
          </cell>
          <cell r="M573" t="str">
            <v>CIRCUIT TESTER FIRING LINE</v>
          </cell>
          <cell r="N573" t="str">
            <v>NNAV.E499</v>
          </cell>
          <cell r="Q573">
            <v>365</v>
          </cell>
          <cell r="R573" t="str">
            <v>EACH</v>
          </cell>
          <cell r="S573" t="str">
            <v>AUD</v>
          </cell>
          <cell r="T573">
            <v>2</v>
          </cell>
          <cell r="U573">
            <v>0</v>
          </cell>
          <cell r="V573">
            <v>0</v>
          </cell>
          <cell r="W573">
            <v>45855</v>
          </cell>
          <cell r="X573">
            <v>2</v>
          </cell>
          <cell r="Y573">
            <v>730</v>
          </cell>
        </row>
        <row r="574">
          <cell r="L574" t="str">
            <v>BG-44-45-48</v>
          </cell>
          <cell r="M574" t="str">
            <v>44MM, 45MM AND 48MM BIT GAUGE</v>
          </cell>
          <cell r="N574" t="str">
            <v>NNAV.E155</v>
          </cell>
          <cell r="Q574">
            <v>633.36</v>
          </cell>
          <cell r="R574" t="str">
            <v>EACH</v>
          </cell>
          <cell r="S574" t="str">
            <v>ZAR</v>
          </cell>
          <cell r="T574">
            <v>6</v>
          </cell>
          <cell r="U574">
            <v>0</v>
          </cell>
          <cell r="V574">
            <v>0</v>
          </cell>
          <cell r="W574">
            <v>45953</v>
          </cell>
          <cell r="X574">
            <v>6</v>
          </cell>
          <cell r="Y574">
            <v>3800.16</v>
          </cell>
        </row>
        <row r="575">
          <cell r="L575" t="str">
            <v>SC-B-R-18</v>
          </cell>
          <cell r="M575" t="str">
            <v>SCALING BAR RACKS</v>
          </cell>
          <cell r="N575" t="str">
            <v>NNAV.E499</v>
          </cell>
          <cell r="P575" t="str">
            <v>MIN_GEMINI_001</v>
          </cell>
          <cell r="Q575">
            <v>3258.74</v>
          </cell>
          <cell r="R575" t="str">
            <v>EACH</v>
          </cell>
          <cell r="S575" t="str">
            <v>ZAR</v>
          </cell>
          <cell r="T575">
            <v>2</v>
          </cell>
          <cell r="U575">
            <v>0</v>
          </cell>
          <cell r="V575">
            <v>0</v>
          </cell>
          <cell r="W575">
            <v>45953</v>
          </cell>
          <cell r="X575">
            <v>2</v>
          </cell>
          <cell r="Y575">
            <v>6517.48</v>
          </cell>
        </row>
        <row r="576">
          <cell r="L576" t="str">
            <v>M-SRACHIE-2M</v>
          </cell>
          <cell r="M576" t="str">
            <v>2M MILD STEEL SCRATCHIES</v>
          </cell>
          <cell r="N576" t="str">
            <v>NNAV.E499</v>
          </cell>
          <cell r="P576" t="str">
            <v>MIN_GEMINI_001</v>
          </cell>
          <cell r="Q576">
            <v>119.08</v>
          </cell>
          <cell r="R576" t="str">
            <v>EACH</v>
          </cell>
          <cell r="S576" t="str">
            <v>ZAR</v>
          </cell>
          <cell r="T576">
            <v>10</v>
          </cell>
          <cell r="U576">
            <v>0</v>
          </cell>
          <cell r="V576">
            <v>0</v>
          </cell>
          <cell r="W576">
            <v>45953</v>
          </cell>
          <cell r="X576">
            <v>10</v>
          </cell>
          <cell r="Y576">
            <v>1190.8</v>
          </cell>
        </row>
        <row r="577">
          <cell r="L577" t="str">
            <v>GB-FB-0024</v>
          </cell>
          <cell r="M577" t="str">
            <v>SERVICE HANGERS 4 HOOK W CHAIN</v>
          </cell>
          <cell r="N577" t="str">
            <v>NNAV.E500</v>
          </cell>
          <cell r="P577" t="str">
            <v>MIN_GEMINI_001</v>
          </cell>
          <cell r="Q577">
            <v>543.91999999999996</v>
          </cell>
          <cell r="R577" t="str">
            <v>EACH</v>
          </cell>
          <cell r="S577" t="str">
            <v>ZAR</v>
          </cell>
          <cell r="T577">
            <v>600</v>
          </cell>
          <cell r="U577">
            <v>0</v>
          </cell>
          <cell r="V577">
            <v>0</v>
          </cell>
          <cell r="W577">
            <v>45953</v>
          </cell>
          <cell r="X577">
            <v>600</v>
          </cell>
          <cell r="Y577">
            <v>326352</v>
          </cell>
        </row>
        <row r="578">
          <cell r="L578" t="str">
            <v>PAINT-MMV-WHI</v>
          </cell>
          <cell r="M578" t="str">
            <v>PAINT MINE MARK TRIGGER WHI</v>
          </cell>
          <cell r="N578" t="str">
            <v>NNAV.E499</v>
          </cell>
          <cell r="P578" t="str">
            <v>MIN_DIXON_002</v>
          </cell>
          <cell r="Q578">
            <v>7.45</v>
          </cell>
          <cell r="R578" t="str">
            <v>EACH</v>
          </cell>
          <cell r="S578" t="str">
            <v>AUD</v>
          </cell>
          <cell r="T578">
            <v>1128</v>
          </cell>
          <cell r="U578">
            <v>0</v>
          </cell>
          <cell r="V578">
            <v>0</v>
          </cell>
          <cell r="W578">
            <v>45869</v>
          </cell>
          <cell r="X578">
            <v>1128</v>
          </cell>
          <cell r="Y578">
            <v>8403.6</v>
          </cell>
        </row>
        <row r="579">
          <cell r="L579" t="str">
            <v>PAINT-MMV-YEL</v>
          </cell>
          <cell r="M579" t="str">
            <v>PAINT MINE MARK TRIGGER YEL</v>
          </cell>
          <cell r="N579" t="str">
            <v>NNAV.E499</v>
          </cell>
          <cell r="P579" t="str">
            <v>MIN_DIXON_002</v>
          </cell>
          <cell r="Q579">
            <v>7.45</v>
          </cell>
          <cell r="R579" t="str">
            <v>EACH</v>
          </cell>
          <cell r="S579" t="str">
            <v>AUD</v>
          </cell>
          <cell r="T579">
            <v>2160</v>
          </cell>
          <cell r="U579">
            <v>0</v>
          </cell>
          <cell r="V579">
            <v>0</v>
          </cell>
          <cell r="W579">
            <v>45869</v>
          </cell>
          <cell r="X579">
            <v>2160</v>
          </cell>
          <cell r="Y579">
            <v>16092</v>
          </cell>
        </row>
        <row r="580">
          <cell r="L580" t="str">
            <v>PAINT-MMV-RED</v>
          </cell>
          <cell r="M580" t="str">
            <v>PAINT MINE MARK TRIGGER RED</v>
          </cell>
          <cell r="N580" t="str">
            <v>NNAV.E499</v>
          </cell>
          <cell r="P580" t="str">
            <v>MIN_DIXON_002</v>
          </cell>
          <cell r="Q580">
            <v>7.45</v>
          </cell>
          <cell r="R580" t="str">
            <v>EACH</v>
          </cell>
          <cell r="S580" t="str">
            <v>AUD</v>
          </cell>
          <cell r="T580">
            <v>1128</v>
          </cell>
          <cell r="U580">
            <v>0</v>
          </cell>
          <cell r="V580">
            <v>0</v>
          </cell>
          <cell r="W580">
            <v>45869</v>
          </cell>
          <cell r="X580">
            <v>1128</v>
          </cell>
          <cell r="Y580">
            <v>8403.6</v>
          </cell>
        </row>
        <row r="581">
          <cell r="L581" t="str">
            <v>PAINT-MMV-BLA</v>
          </cell>
          <cell r="M581" t="str">
            <v>PAINT MINE MARK TRIGGER BLK</v>
          </cell>
          <cell r="N581" t="str">
            <v>NNAV.E499</v>
          </cell>
          <cell r="P581" t="str">
            <v>MIN_DIXON_002</v>
          </cell>
          <cell r="Q581">
            <v>7.45</v>
          </cell>
          <cell r="R581" t="str">
            <v>EACH</v>
          </cell>
          <cell r="S581" t="str">
            <v>AUD</v>
          </cell>
          <cell r="T581">
            <v>96</v>
          </cell>
          <cell r="U581">
            <v>0</v>
          </cell>
          <cell r="V581">
            <v>0</v>
          </cell>
          <cell r="W581">
            <v>45869</v>
          </cell>
          <cell r="X581">
            <v>96</v>
          </cell>
          <cell r="Y581">
            <v>715.2</v>
          </cell>
        </row>
        <row r="582">
          <cell r="L582" t="str">
            <v>50736306</v>
          </cell>
          <cell r="M582" t="str">
            <v>MASTERROC SA167 1000L POD</v>
          </cell>
          <cell r="N582" t="str">
            <v>NNAV.E741</v>
          </cell>
          <cell r="P582" t="str">
            <v>MIN_MBS_001</v>
          </cell>
          <cell r="Q582">
            <v>1340</v>
          </cell>
          <cell r="R582" t="str">
            <v>EACH</v>
          </cell>
          <cell r="S582" t="str">
            <v>AUD</v>
          </cell>
          <cell r="T582">
            <v>4</v>
          </cell>
          <cell r="U582">
            <v>0</v>
          </cell>
          <cell r="V582">
            <v>0</v>
          </cell>
          <cell r="W582">
            <v>45869</v>
          </cell>
          <cell r="X582">
            <v>4</v>
          </cell>
          <cell r="Y582">
            <v>5360</v>
          </cell>
        </row>
        <row r="583">
          <cell r="L583" t="str">
            <v>50416039</v>
          </cell>
          <cell r="M583" t="str">
            <v>MASTERGLENIUM 8708 1000L POD</v>
          </cell>
          <cell r="N583" t="str">
            <v>NNAV.E741</v>
          </cell>
          <cell r="P583" t="str">
            <v>MIN_MBS_001</v>
          </cell>
          <cell r="Q583">
            <v>2370</v>
          </cell>
          <cell r="R583" t="str">
            <v>EACH</v>
          </cell>
          <cell r="S583" t="str">
            <v>AUD</v>
          </cell>
          <cell r="T583">
            <v>1</v>
          </cell>
          <cell r="U583">
            <v>0</v>
          </cell>
          <cell r="V583">
            <v>0</v>
          </cell>
          <cell r="W583">
            <v>45869</v>
          </cell>
          <cell r="X583">
            <v>1</v>
          </cell>
          <cell r="Y583">
            <v>2370</v>
          </cell>
        </row>
        <row r="584">
          <cell r="L584" t="str">
            <v>51715481</v>
          </cell>
          <cell r="M584" t="str">
            <v>MASTERROC HCA20 DELVO 1000L PO</v>
          </cell>
          <cell r="N584" t="str">
            <v>NNAV.E741</v>
          </cell>
          <cell r="P584" t="str">
            <v>MIN_MBS_001</v>
          </cell>
          <cell r="Q584">
            <v>2090</v>
          </cell>
          <cell r="R584" t="str">
            <v>EACH</v>
          </cell>
          <cell r="S584" t="str">
            <v>AUD</v>
          </cell>
          <cell r="T584">
            <v>1</v>
          </cell>
          <cell r="U584">
            <v>0</v>
          </cell>
          <cell r="V584">
            <v>0</v>
          </cell>
          <cell r="W584">
            <v>45869</v>
          </cell>
          <cell r="X584">
            <v>1</v>
          </cell>
          <cell r="Y584">
            <v>2090</v>
          </cell>
        </row>
        <row r="585">
          <cell r="L585" t="str">
            <v>18H082</v>
          </cell>
          <cell r="M585" t="str">
            <v>LPMD6 DIPHOTERINE 500ML PORTAB</v>
          </cell>
          <cell r="N585" t="str">
            <v>NNAV.E653</v>
          </cell>
          <cell r="P585" t="str">
            <v>MIN_IPP_001</v>
          </cell>
          <cell r="Q585">
            <v>225.61</v>
          </cell>
          <cell r="R585" t="str">
            <v>EACH</v>
          </cell>
          <cell r="S585" t="str">
            <v>AUD</v>
          </cell>
          <cell r="T585">
            <v>5</v>
          </cell>
          <cell r="U585">
            <v>0</v>
          </cell>
          <cell r="V585">
            <v>0</v>
          </cell>
          <cell r="W585">
            <v>45944</v>
          </cell>
          <cell r="X585">
            <v>5</v>
          </cell>
          <cell r="Y585">
            <v>1128.05</v>
          </cell>
        </row>
        <row r="586">
          <cell r="L586" t="str">
            <v>18H050</v>
          </cell>
          <cell r="M586" t="str">
            <v>MICRO 100ML AEROSOL DIPHOTERIN</v>
          </cell>
          <cell r="N586" t="str">
            <v>NNAV.E653</v>
          </cell>
          <cell r="Q586">
            <v>148.94999999999999</v>
          </cell>
          <cell r="R586" t="str">
            <v>EACH</v>
          </cell>
          <cell r="S586" t="str">
            <v>AUD</v>
          </cell>
          <cell r="T586">
            <v>10</v>
          </cell>
          <cell r="U586">
            <v>0</v>
          </cell>
          <cell r="V586">
            <v>0</v>
          </cell>
          <cell r="W586">
            <v>45944</v>
          </cell>
          <cell r="X586">
            <v>10</v>
          </cell>
          <cell r="Y586">
            <v>1489.5</v>
          </cell>
        </row>
        <row r="587">
          <cell r="L587" t="str">
            <v>MRAL001</v>
          </cell>
          <cell r="M587" t="str">
            <v>MCGARF LASER W/ POUCH</v>
          </cell>
          <cell r="N587" t="str">
            <v>NNAV.E779</v>
          </cell>
          <cell r="P587" t="str">
            <v>MIN_FRAZ_001</v>
          </cell>
          <cell r="Q587">
            <v>998</v>
          </cell>
          <cell r="R587" t="str">
            <v>EACH</v>
          </cell>
          <cell r="S587" t="str">
            <v>AUD</v>
          </cell>
          <cell r="T587">
            <v>6</v>
          </cell>
          <cell r="U587">
            <v>0</v>
          </cell>
          <cell r="V587">
            <v>0</v>
          </cell>
          <cell r="W587">
            <v>45855</v>
          </cell>
          <cell r="X587">
            <v>6</v>
          </cell>
          <cell r="Y587">
            <v>5988</v>
          </cell>
        </row>
        <row r="588">
          <cell r="L588" t="str">
            <v>MB001</v>
          </cell>
          <cell r="M588" t="str">
            <v>BATTERY 1/2AA 3V FOR MRLA001</v>
          </cell>
          <cell r="N588" t="str">
            <v>NNAV.E779</v>
          </cell>
          <cell r="P588" t="str">
            <v>MIN_FRAZ_001</v>
          </cell>
          <cell r="Q588">
            <v>89.5</v>
          </cell>
          <cell r="R588" t="str">
            <v>PACK</v>
          </cell>
          <cell r="S588" t="str">
            <v>AUD</v>
          </cell>
          <cell r="T588">
            <v>5</v>
          </cell>
          <cell r="U588">
            <v>0</v>
          </cell>
          <cell r="V588">
            <v>0</v>
          </cell>
          <cell r="W588">
            <v>45855</v>
          </cell>
          <cell r="X588">
            <v>5</v>
          </cell>
          <cell r="Y588">
            <v>447.5</v>
          </cell>
        </row>
        <row r="589">
          <cell r="L589" t="str">
            <v>MGLL001</v>
          </cell>
          <cell r="M589" t="str">
            <v>GRADE LINE LASER</v>
          </cell>
          <cell r="N589" t="str">
            <v>NNAV.E779</v>
          </cell>
          <cell r="P589" t="str">
            <v>MIN_FRAZ_001</v>
          </cell>
          <cell r="Q589">
            <v>620</v>
          </cell>
          <cell r="R589" t="str">
            <v>EACH</v>
          </cell>
          <cell r="S589" t="str">
            <v>AUD</v>
          </cell>
          <cell r="T589">
            <v>1</v>
          </cell>
          <cell r="U589">
            <v>0</v>
          </cell>
          <cell r="V589">
            <v>0</v>
          </cell>
          <cell r="W589">
            <v>45855</v>
          </cell>
          <cell r="X589">
            <v>1</v>
          </cell>
          <cell r="Y589">
            <v>620</v>
          </cell>
        </row>
        <row r="590">
          <cell r="L590" t="str">
            <v>MBP002</v>
          </cell>
          <cell r="M590" t="str">
            <v>GRADE LINE LASER POUCH</v>
          </cell>
          <cell r="N590" t="str">
            <v>NNAV.E779</v>
          </cell>
          <cell r="P590" t="str">
            <v>MIN_FRAZ_001</v>
          </cell>
          <cell r="Q590">
            <v>75</v>
          </cell>
          <cell r="R590" t="str">
            <v>EACH</v>
          </cell>
          <cell r="S590" t="str">
            <v>AUD</v>
          </cell>
          <cell r="T590">
            <v>1</v>
          </cell>
          <cell r="U590">
            <v>0</v>
          </cell>
          <cell r="V590">
            <v>0</v>
          </cell>
          <cell r="W590">
            <v>45855</v>
          </cell>
          <cell r="X590">
            <v>1</v>
          </cell>
          <cell r="Y590">
            <v>75</v>
          </cell>
        </row>
        <row r="591">
          <cell r="L591" t="str">
            <v>MWS001</v>
          </cell>
          <cell r="M591" t="str">
            <v>MCGARF WALL SLEEVES (PK/25)</v>
          </cell>
          <cell r="N591" t="str">
            <v>NNAV.E779</v>
          </cell>
          <cell r="Q591">
            <v>379.75</v>
          </cell>
          <cell r="R591" t="str">
            <v>PACK</v>
          </cell>
          <cell r="S591" t="str">
            <v>AUD</v>
          </cell>
          <cell r="T591">
            <v>4</v>
          </cell>
          <cell r="U591">
            <v>0</v>
          </cell>
          <cell r="V591">
            <v>0</v>
          </cell>
          <cell r="W591">
            <v>45855</v>
          </cell>
          <cell r="X591">
            <v>4</v>
          </cell>
          <cell r="Y591">
            <v>1519</v>
          </cell>
        </row>
        <row r="592">
          <cell r="L592" t="str">
            <v>GMP-PG</v>
          </cell>
          <cell r="M592" t="str">
            <v>POLYETHYLENE GROUT MIXER COMP</v>
          </cell>
          <cell r="N592" t="str">
            <v>NNAV.E226</v>
          </cell>
          <cell r="P592" t="str">
            <v>MIN_SRG_001</v>
          </cell>
          <cell r="Q592">
            <v>17541.93</v>
          </cell>
          <cell r="R592" t="str">
            <v>EACH</v>
          </cell>
          <cell r="S592" t="str">
            <v>AUD</v>
          </cell>
          <cell r="T592">
            <v>1</v>
          </cell>
          <cell r="U592">
            <v>0</v>
          </cell>
          <cell r="V592">
            <v>0</v>
          </cell>
          <cell r="W592">
            <v>45884</v>
          </cell>
          <cell r="X592">
            <v>1</v>
          </cell>
          <cell r="Y592">
            <v>17541.93</v>
          </cell>
        </row>
        <row r="593">
          <cell r="L593" t="str">
            <v>GMP-AM</v>
          </cell>
          <cell r="M593" t="str">
            <v>AIR MOTOR MRV050A SM8AMAN</v>
          </cell>
          <cell r="N593" t="str">
            <v>NNAV.E226</v>
          </cell>
          <cell r="P593" t="str">
            <v>MIN_SRG_001</v>
          </cell>
          <cell r="Q593">
            <v>3751.29</v>
          </cell>
          <cell r="R593" t="str">
            <v>EACH</v>
          </cell>
          <cell r="S593" t="str">
            <v>AUD</v>
          </cell>
          <cell r="T593">
            <v>0</v>
          </cell>
          <cell r="U593">
            <v>0</v>
          </cell>
          <cell r="V593">
            <v>0</v>
          </cell>
          <cell r="W593">
            <v>45884</v>
          </cell>
          <cell r="X593">
            <v>0</v>
          </cell>
          <cell r="Y593">
            <v>0</v>
          </cell>
        </row>
        <row r="594">
          <cell r="L594" t="str">
            <v>GMP-AM</v>
          </cell>
          <cell r="M594" t="str">
            <v>AIR MOTOR MRV050A SM8AMAN</v>
          </cell>
          <cell r="N594" t="str">
            <v>NNAV.E226</v>
          </cell>
          <cell r="P594" t="str">
            <v>MIN_SRG_001</v>
          </cell>
          <cell r="Q594">
            <v>3751.29</v>
          </cell>
          <cell r="R594" t="str">
            <v>EACH</v>
          </cell>
          <cell r="S594" t="str">
            <v>AUD</v>
          </cell>
          <cell r="T594">
            <v>1</v>
          </cell>
          <cell r="U594">
            <v>0</v>
          </cell>
          <cell r="V594">
            <v>0</v>
          </cell>
          <cell r="W594">
            <v>45884</v>
          </cell>
          <cell r="X594">
            <v>1</v>
          </cell>
          <cell r="Y594">
            <v>3751.29</v>
          </cell>
        </row>
        <row r="595">
          <cell r="L595" t="str">
            <v>CC10</v>
          </cell>
          <cell r="M595" t="str">
            <v>CABLE CUTTER 10 TON</v>
          </cell>
          <cell r="N595" t="str">
            <v>NNAV.E499</v>
          </cell>
          <cell r="P595" t="str">
            <v>MIN_SRG_001</v>
          </cell>
          <cell r="Q595">
            <v>6885.33</v>
          </cell>
          <cell r="R595" t="str">
            <v>EACH</v>
          </cell>
          <cell r="S595" t="str">
            <v>AUD</v>
          </cell>
          <cell r="T595">
            <v>0</v>
          </cell>
          <cell r="U595">
            <v>0</v>
          </cell>
          <cell r="V595">
            <v>0</v>
          </cell>
          <cell r="W595">
            <v>45884</v>
          </cell>
          <cell r="X595">
            <v>0</v>
          </cell>
          <cell r="Y595">
            <v>0</v>
          </cell>
        </row>
        <row r="596">
          <cell r="L596" t="str">
            <v>CC10-01</v>
          </cell>
          <cell r="M596" t="str">
            <v>MOVING BLADE CABLE CUTTER</v>
          </cell>
          <cell r="N596" t="str">
            <v>NNAV.E499</v>
          </cell>
          <cell r="P596" t="str">
            <v>MIN_SRG_001</v>
          </cell>
          <cell r="Q596">
            <v>260.42</v>
          </cell>
          <cell r="R596" t="str">
            <v>EACH</v>
          </cell>
          <cell r="S596" t="str">
            <v>AUD</v>
          </cell>
          <cell r="T596">
            <v>0</v>
          </cell>
          <cell r="U596">
            <v>0</v>
          </cell>
          <cell r="V596">
            <v>0</v>
          </cell>
          <cell r="W596">
            <v>45884</v>
          </cell>
          <cell r="X596">
            <v>0</v>
          </cell>
          <cell r="Y596">
            <v>0</v>
          </cell>
        </row>
        <row r="597">
          <cell r="L597" t="str">
            <v>CC10-02</v>
          </cell>
          <cell r="M597" t="str">
            <v>FIXED BLADE CABLE CUTTER</v>
          </cell>
          <cell r="N597" t="str">
            <v>NNAV.E499</v>
          </cell>
          <cell r="P597" t="str">
            <v>MIN_SRG_001</v>
          </cell>
          <cell r="Q597">
            <v>260.42</v>
          </cell>
          <cell r="R597" t="str">
            <v>EACH</v>
          </cell>
          <cell r="S597" t="str">
            <v>AUD</v>
          </cell>
          <cell r="T597">
            <v>0</v>
          </cell>
          <cell r="U597">
            <v>0</v>
          </cell>
          <cell r="V597">
            <v>0</v>
          </cell>
          <cell r="W597">
            <v>45884</v>
          </cell>
          <cell r="X597">
            <v>0</v>
          </cell>
          <cell r="Y597">
            <v>0</v>
          </cell>
        </row>
        <row r="598">
          <cell r="L598" t="str">
            <v>CC10-03</v>
          </cell>
          <cell r="M598" t="str">
            <v>CABLE CUTTER SEAL KIT</v>
          </cell>
          <cell r="N598" t="str">
            <v>NNAV.E499</v>
          </cell>
          <cell r="P598" t="str">
            <v>MIN_SRG_001</v>
          </cell>
          <cell r="Q598">
            <v>213.88</v>
          </cell>
          <cell r="R598" t="str">
            <v>EACH</v>
          </cell>
          <cell r="S598" t="str">
            <v>AUD</v>
          </cell>
          <cell r="T598">
            <v>0</v>
          </cell>
          <cell r="U598">
            <v>0</v>
          </cell>
          <cell r="V598">
            <v>0</v>
          </cell>
          <cell r="W598">
            <v>45884</v>
          </cell>
          <cell r="X598">
            <v>0</v>
          </cell>
          <cell r="Y598">
            <v>0</v>
          </cell>
        </row>
        <row r="599">
          <cell r="L599" t="str">
            <v>CC10-04</v>
          </cell>
          <cell r="M599" t="str">
            <v>CABLE CUTTER SPRING ASSEMBLY</v>
          </cell>
          <cell r="N599" t="str">
            <v>NNAV.E499</v>
          </cell>
          <cell r="P599" t="str">
            <v>MIN_SRG_001</v>
          </cell>
          <cell r="Q599">
            <v>75</v>
          </cell>
          <cell r="R599" t="str">
            <v>EACH</v>
          </cell>
          <cell r="S599" t="str">
            <v>AUD</v>
          </cell>
          <cell r="T599">
            <v>0</v>
          </cell>
          <cell r="U599">
            <v>0</v>
          </cell>
          <cell r="V599">
            <v>0</v>
          </cell>
          <cell r="W599">
            <v>45884</v>
          </cell>
          <cell r="X599">
            <v>0</v>
          </cell>
          <cell r="Y599">
            <v>0</v>
          </cell>
        </row>
        <row r="600">
          <cell r="L600" t="str">
            <v>CC10-06</v>
          </cell>
          <cell r="M600" t="str">
            <v>SAFETY SHROUD</v>
          </cell>
          <cell r="N600" t="str">
            <v>NNAV.E499</v>
          </cell>
          <cell r="P600" t="str">
            <v>MIN_SRG_001</v>
          </cell>
          <cell r="Q600">
            <v>393.75</v>
          </cell>
          <cell r="R600" t="str">
            <v>EACH</v>
          </cell>
          <cell r="S600" t="str">
            <v>AUD</v>
          </cell>
          <cell r="T600">
            <v>0</v>
          </cell>
          <cell r="U600">
            <v>0</v>
          </cell>
          <cell r="V600">
            <v>0</v>
          </cell>
          <cell r="W600">
            <v>45884</v>
          </cell>
          <cell r="X600">
            <v>0</v>
          </cell>
          <cell r="Y600">
            <v>0</v>
          </cell>
        </row>
        <row r="601">
          <cell r="L601" t="str">
            <v>CC10-07</v>
          </cell>
          <cell r="M601" t="str">
            <v>CATCHER</v>
          </cell>
          <cell r="N601" t="str">
            <v>NNAV.E499</v>
          </cell>
          <cell r="P601" t="str">
            <v>MIN_SRG_001</v>
          </cell>
          <cell r="Q601">
            <v>202.5</v>
          </cell>
          <cell r="R601" t="str">
            <v>EACH</v>
          </cell>
          <cell r="S601" t="str">
            <v>AUD</v>
          </cell>
          <cell r="T601">
            <v>0</v>
          </cell>
          <cell r="U601">
            <v>0</v>
          </cell>
          <cell r="V601">
            <v>0</v>
          </cell>
          <cell r="W601">
            <v>45884</v>
          </cell>
          <cell r="X601">
            <v>0</v>
          </cell>
          <cell r="Y601">
            <v>0</v>
          </cell>
        </row>
        <row r="602">
          <cell r="L602" t="str">
            <v>CT10RUNIT</v>
          </cell>
          <cell r="M602" t="str">
            <v>CT10R TENSION UNIT</v>
          </cell>
          <cell r="N602" t="str">
            <v>NNAV.E499</v>
          </cell>
          <cell r="P602" t="str">
            <v>MIN_SRG_001</v>
          </cell>
          <cell r="Q602">
            <v>14106.02</v>
          </cell>
          <cell r="R602" t="str">
            <v>EACH</v>
          </cell>
          <cell r="S602" t="str">
            <v>AUD</v>
          </cell>
          <cell r="T602">
            <v>0</v>
          </cell>
          <cell r="U602">
            <v>0</v>
          </cell>
          <cell r="V602">
            <v>0</v>
          </cell>
          <cell r="W602">
            <v>45884</v>
          </cell>
          <cell r="X602">
            <v>0</v>
          </cell>
          <cell r="Y602">
            <v>0</v>
          </cell>
        </row>
        <row r="603">
          <cell r="L603" t="str">
            <v>CT10-01</v>
          </cell>
          <cell r="M603" t="str">
            <v>ELBOW 3/8" NPT M/F</v>
          </cell>
          <cell r="N603" t="str">
            <v>NNAV.E499</v>
          </cell>
          <cell r="P603" t="str">
            <v>MIN_SRG_001</v>
          </cell>
          <cell r="Q603">
            <v>177.08</v>
          </cell>
          <cell r="R603" t="str">
            <v>EACH</v>
          </cell>
          <cell r="S603" t="str">
            <v>AUD</v>
          </cell>
          <cell r="T603">
            <v>0</v>
          </cell>
          <cell r="U603">
            <v>0</v>
          </cell>
          <cell r="V603">
            <v>0</v>
          </cell>
          <cell r="W603">
            <v>45884</v>
          </cell>
          <cell r="X603">
            <v>0</v>
          </cell>
          <cell r="Y603">
            <v>0</v>
          </cell>
        </row>
        <row r="604">
          <cell r="L604" t="str">
            <v>CT10-02</v>
          </cell>
          <cell r="M604" t="str">
            <v>CT10 CYLINDER OUTER BODY</v>
          </cell>
          <cell r="N604" t="str">
            <v>NNAV.E499</v>
          </cell>
          <cell r="P604" t="str">
            <v>MIN_SRG_001</v>
          </cell>
          <cell r="Q604">
            <v>1191.3699999999999</v>
          </cell>
          <cell r="R604" t="str">
            <v>EACH</v>
          </cell>
          <cell r="S604" t="str">
            <v>AUD</v>
          </cell>
          <cell r="T604">
            <v>0</v>
          </cell>
          <cell r="U604">
            <v>0</v>
          </cell>
          <cell r="V604">
            <v>0</v>
          </cell>
          <cell r="W604">
            <v>45884</v>
          </cell>
          <cell r="X604">
            <v>0</v>
          </cell>
          <cell r="Y604">
            <v>0</v>
          </cell>
        </row>
        <row r="605">
          <cell r="L605" t="str">
            <v>CT1003</v>
          </cell>
          <cell r="M605" t="str">
            <v>JACK SEAL KIT</v>
          </cell>
          <cell r="N605" t="str">
            <v>NNAV.E499</v>
          </cell>
          <cell r="P605" t="str">
            <v>MIN_SRG_001</v>
          </cell>
          <cell r="Q605">
            <v>167.56</v>
          </cell>
          <cell r="R605" t="str">
            <v>EACH</v>
          </cell>
          <cell r="S605" t="str">
            <v>AUD</v>
          </cell>
          <cell r="T605">
            <v>0</v>
          </cell>
          <cell r="U605">
            <v>0</v>
          </cell>
          <cell r="V605">
            <v>0</v>
          </cell>
          <cell r="W605">
            <v>45884</v>
          </cell>
          <cell r="X605">
            <v>0</v>
          </cell>
          <cell r="Y605">
            <v>0</v>
          </cell>
        </row>
        <row r="606">
          <cell r="L606" t="str">
            <v>CT1004</v>
          </cell>
          <cell r="M606" t="str">
            <v>LOAD CAP</v>
          </cell>
          <cell r="N606" t="str">
            <v>NNAV.E499</v>
          </cell>
          <cell r="P606" t="str">
            <v>MIN_SRG_001</v>
          </cell>
          <cell r="Q606">
            <v>168.9</v>
          </cell>
          <cell r="R606" t="str">
            <v>EACH</v>
          </cell>
          <cell r="S606" t="str">
            <v>AUD</v>
          </cell>
          <cell r="T606">
            <v>0</v>
          </cell>
          <cell r="U606">
            <v>0</v>
          </cell>
          <cell r="V606">
            <v>0</v>
          </cell>
          <cell r="W606">
            <v>45884</v>
          </cell>
          <cell r="X606">
            <v>0</v>
          </cell>
          <cell r="Y606">
            <v>0</v>
          </cell>
        </row>
        <row r="607">
          <cell r="L607" t="str">
            <v>CT10-05</v>
          </cell>
          <cell r="M607" t="str">
            <v>CT10 JACK PISTON ROD</v>
          </cell>
          <cell r="N607" t="str">
            <v>NNAV.E499</v>
          </cell>
          <cell r="P607" t="str">
            <v>MIN_SRG_001</v>
          </cell>
          <cell r="Q607">
            <v>1067.6099999999999</v>
          </cell>
          <cell r="R607" t="str">
            <v>EACH</v>
          </cell>
          <cell r="S607" t="str">
            <v>AUD</v>
          </cell>
          <cell r="T607">
            <v>0</v>
          </cell>
          <cell r="U607">
            <v>0</v>
          </cell>
          <cell r="V607">
            <v>0</v>
          </cell>
          <cell r="W607">
            <v>45884</v>
          </cell>
          <cell r="X607">
            <v>0</v>
          </cell>
          <cell r="Y607">
            <v>0</v>
          </cell>
        </row>
        <row r="608">
          <cell r="L608" t="str">
            <v>CT10-06</v>
          </cell>
          <cell r="M608" t="str">
            <v>CT10 JACK CYL INNER BODY</v>
          </cell>
          <cell r="N608" t="str">
            <v>NNAV.E499</v>
          </cell>
          <cell r="P608" t="str">
            <v>MIN_SRG_001</v>
          </cell>
          <cell r="Q608">
            <v>1097.29</v>
          </cell>
          <cell r="R608" t="str">
            <v>EACH</v>
          </cell>
          <cell r="S608" t="str">
            <v>AUD</v>
          </cell>
          <cell r="T608">
            <v>0</v>
          </cell>
          <cell r="U608">
            <v>0</v>
          </cell>
          <cell r="V608">
            <v>0</v>
          </cell>
          <cell r="W608">
            <v>45884</v>
          </cell>
          <cell r="X608">
            <v>0</v>
          </cell>
          <cell r="Y608">
            <v>0</v>
          </cell>
        </row>
        <row r="609">
          <cell r="L609" t="str">
            <v>CT10-07</v>
          </cell>
          <cell r="M609" t="str">
            <v>INNER GUIDE TUBE</v>
          </cell>
          <cell r="N609" t="str">
            <v>NNAV.E499</v>
          </cell>
          <cell r="P609" t="str">
            <v>MIN_SRG_001</v>
          </cell>
          <cell r="Q609">
            <v>42.84</v>
          </cell>
          <cell r="R609" t="str">
            <v>EACH</v>
          </cell>
          <cell r="S609" t="str">
            <v>AUD</v>
          </cell>
          <cell r="T609">
            <v>0</v>
          </cell>
          <cell r="U609">
            <v>0</v>
          </cell>
          <cell r="V609">
            <v>0</v>
          </cell>
          <cell r="W609">
            <v>45884</v>
          </cell>
          <cell r="X609">
            <v>0</v>
          </cell>
          <cell r="Y609">
            <v>0</v>
          </cell>
        </row>
        <row r="610">
          <cell r="L610" t="str">
            <v>CT10-08</v>
          </cell>
          <cell r="M610" t="str">
            <v>SPRING</v>
          </cell>
          <cell r="N610" t="str">
            <v>NNAV.E499</v>
          </cell>
          <cell r="P610" t="str">
            <v>MIN_SRG_001</v>
          </cell>
          <cell r="Q610">
            <v>22.92</v>
          </cell>
          <cell r="R610" t="str">
            <v>EACH</v>
          </cell>
          <cell r="S610" t="str">
            <v>AUD</v>
          </cell>
          <cell r="T610">
            <v>0</v>
          </cell>
          <cell r="U610">
            <v>0</v>
          </cell>
          <cell r="V610">
            <v>0</v>
          </cell>
          <cell r="W610">
            <v>45884</v>
          </cell>
          <cell r="X610">
            <v>0</v>
          </cell>
          <cell r="Y610">
            <v>0</v>
          </cell>
        </row>
        <row r="611">
          <cell r="L611" t="str">
            <v>CT10-09</v>
          </cell>
          <cell r="M611" t="str">
            <v>OUTER GUIDE TUBE</v>
          </cell>
          <cell r="N611" t="str">
            <v>NNAV.E499</v>
          </cell>
          <cell r="P611" t="str">
            <v>MIN_SRG_001</v>
          </cell>
          <cell r="Q611">
            <v>39.18</v>
          </cell>
          <cell r="R611" t="str">
            <v>EACH</v>
          </cell>
          <cell r="S611" t="str">
            <v>AUD</v>
          </cell>
          <cell r="T611">
            <v>0</v>
          </cell>
          <cell r="U611">
            <v>0</v>
          </cell>
          <cell r="V611">
            <v>0</v>
          </cell>
          <cell r="W611">
            <v>45884</v>
          </cell>
          <cell r="X611">
            <v>0</v>
          </cell>
          <cell r="Y611">
            <v>0</v>
          </cell>
        </row>
        <row r="612">
          <cell r="L612" t="str">
            <v>CT10-10</v>
          </cell>
          <cell r="M612" t="str">
            <v>SOCKET HIGH PRESSURE 3/8"NPT</v>
          </cell>
          <cell r="N612" t="str">
            <v>NNAV.E499</v>
          </cell>
          <cell r="P612" t="str">
            <v>MIN_SRG_001</v>
          </cell>
          <cell r="Q612">
            <v>21.17</v>
          </cell>
          <cell r="R612" t="str">
            <v>EACH</v>
          </cell>
          <cell r="S612" t="str">
            <v>AUD</v>
          </cell>
          <cell r="T612">
            <v>0</v>
          </cell>
          <cell r="U612">
            <v>0</v>
          </cell>
          <cell r="V612">
            <v>0</v>
          </cell>
          <cell r="W612">
            <v>45884</v>
          </cell>
          <cell r="X612">
            <v>0</v>
          </cell>
          <cell r="Y612">
            <v>0</v>
          </cell>
        </row>
        <row r="613">
          <cell r="L613" t="str">
            <v>CT10-13</v>
          </cell>
          <cell r="M613" t="str">
            <v>CT10 JACK ROD SCRAPER SEAL</v>
          </cell>
          <cell r="N613" t="str">
            <v>NNAV.E499</v>
          </cell>
          <cell r="P613" t="str">
            <v>MIN_SRG_001</v>
          </cell>
          <cell r="Q613">
            <v>49.32</v>
          </cell>
          <cell r="R613" t="str">
            <v>EACH</v>
          </cell>
          <cell r="S613" t="str">
            <v>AUD</v>
          </cell>
          <cell r="T613">
            <v>0</v>
          </cell>
          <cell r="U613">
            <v>0</v>
          </cell>
          <cell r="V613">
            <v>0</v>
          </cell>
          <cell r="W613">
            <v>45884</v>
          </cell>
          <cell r="X613">
            <v>0</v>
          </cell>
          <cell r="Y613">
            <v>0</v>
          </cell>
        </row>
        <row r="614">
          <cell r="L614" t="str">
            <v>CT10-14</v>
          </cell>
          <cell r="M614" t="str">
            <v>JACK JAW CLEANING BRUSH COMP</v>
          </cell>
          <cell r="N614" t="str">
            <v>NNAV.E499</v>
          </cell>
          <cell r="P614" t="str">
            <v>MIN_SRG_001</v>
          </cell>
          <cell r="Q614">
            <v>288.14999999999998</v>
          </cell>
          <cell r="R614" t="str">
            <v>EACH</v>
          </cell>
          <cell r="S614" t="str">
            <v>AUD</v>
          </cell>
          <cell r="T614">
            <v>0</v>
          </cell>
          <cell r="U614">
            <v>0</v>
          </cell>
          <cell r="V614">
            <v>0</v>
          </cell>
          <cell r="W614">
            <v>45884</v>
          </cell>
          <cell r="X614">
            <v>0</v>
          </cell>
          <cell r="Y614">
            <v>0</v>
          </cell>
        </row>
        <row r="615">
          <cell r="L615" t="str">
            <v>CT10JJ</v>
          </cell>
          <cell r="M615" t="str">
            <v>JACK JAW SET</v>
          </cell>
          <cell r="N615" t="str">
            <v>NNAV.E499</v>
          </cell>
          <cell r="P615" t="str">
            <v>MIN_SRG_001</v>
          </cell>
          <cell r="Q615">
            <v>142.53</v>
          </cell>
          <cell r="R615" t="str">
            <v>EACH</v>
          </cell>
          <cell r="S615" t="str">
            <v>AUD</v>
          </cell>
          <cell r="T615">
            <v>0</v>
          </cell>
          <cell r="U615">
            <v>0</v>
          </cell>
          <cell r="V615">
            <v>0</v>
          </cell>
          <cell r="W615">
            <v>45884</v>
          </cell>
          <cell r="X615">
            <v>0</v>
          </cell>
          <cell r="Y615">
            <v>0</v>
          </cell>
        </row>
        <row r="616">
          <cell r="L616" t="str">
            <v>CT10-JJ-01</v>
          </cell>
          <cell r="M616" t="str">
            <v>CT10 JACK JAW O-RING</v>
          </cell>
          <cell r="N616" t="str">
            <v>NNAV.E499</v>
          </cell>
          <cell r="P616" t="str">
            <v>MIN_SRG_001</v>
          </cell>
          <cell r="Q616">
            <v>1.1499999999999999</v>
          </cell>
          <cell r="R616" t="str">
            <v>EACH</v>
          </cell>
          <cell r="S616" t="str">
            <v>AUD</v>
          </cell>
          <cell r="T616">
            <v>0</v>
          </cell>
          <cell r="U616">
            <v>0</v>
          </cell>
          <cell r="V616">
            <v>0</v>
          </cell>
          <cell r="W616">
            <v>45884</v>
          </cell>
          <cell r="X616">
            <v>0</v>
          </cell>
          <cell r="Y616">
            <v>0</v>
          </cell>
        </row>
        <row r="617">
          <cell r="L617" t="str">
            <v>CT10R-01</v>
          </cell>
          <cell r="M617" t="str">
            <v>CT10R HANDLE REMOTE CONTROL</v>
          </cell>
          <cell r="N617" t="str">
            <v>NNAV.E499</v>
          </cell>
          <cell r="P617" t="str">
            <v>MIN_SRG_001</v>
          </cell>
          <cell r="Q617">
            <v>416.25</v>
          </cell>
          <cell r="R617" t="str">
            <v>EACH</v>
          </cell>
          <cell r="S617" t="str">
            <v>AUD</v>
          </cell>
          <cell r="T617">
            <v>0</v>
          </cell>
          <cell r="U617">
            <v>0</v>
          </cell>
          <cell r="V617">
            <v>0</v>
          </cell>
          <cell r="W617">
            <v>45884</v>
          </cell>
          <cell r="X617">
            <v>0</v>
          </cell>
          <cell r="Y617">
            <v>0</v>
          </cell>
        </row>
        <row r="618">
          <cell r="L618" t="str">
            <v>CT10R-02</v>
          </cell>
          <cell r="M618" t="str">
            <v>46.002 VALVE</v>
          </cell>
          <cell r="N618" t="str">
            <v>NNAV.E499</v>
          </cell>
          <cell r="P618" t="str">
            <v>MIN_SRG_001</v>
          </cell>
          <cell r="Q618">
            <v>243.48</v>
          </cell>
          <cell r="R618" t="str">
            <v>EACH</v>
          </cell>
          <cell r="S618" t="str">
            <v>AUD</v>
          </cell>
          <cell r="T618">
            <v>0</v>
          </cell>
          <cell r="U618">
            <v>0</v>
          </cell>
          <cell r="V618">
            <v>0</v>
          </cell>
          <cell r="W618">
            <v>45884</v>
          </cell>
          <cell r="X618">
            <v>0</v>
          </cell>
          <cell r="Y618">
            <v>0</v>
          </cell>
        </row>
        <row r="619">
          <cell r="L619" t="str">
            <v>CT10R-03</v>
          </cell>
          <cell r="M619" t="str">
            <v>CT10R REMOTE CONTROL HARNESS</v>
          </cell>
          <cell r="N619" t="str">
            <v>NNAV.E499</v>
          </cell>
          <cell r="P619" t="str">
            <v>MIN_SRG_001</v>
          </cell>
          <cell r="Q619">
            <v>111.38</v>
          </cell>
          <cell r="R619" t="str">
            <v>EACH</v>
          </cell>
          <cell r="S619" t="str">
            <v>AUD</v>
          </cell>
          <cell r="T619">
            <v>0</v>
          </cell>
          <cell r="U619">
            <v>0</v>
          </cell>
          <cell r="V619">
            <v>0</v>
          </cell>
          <cell r="W619">
            <v>45884</v>
          </cell>
          <cell r="X619">
            <v>0</v>
          </cell>
          <cell r="Y619">
            <v>0</v>
          </cell>
        </row>
        <row r="620">
          <cell r="L620" t="str">
            <v>CT10R-04</v>
          </cell>
          <cell r="M620" t="str">
            <v>TEE PIECE 3/8"NPT H/PRESS</v>
          </cell>
          <cell r="N620" t="str">
            <v>NNAV.E499</v>
          </cell>
          <cell r="P620" t="str">
            <v>MIN_SRG_001</v>
          </cell>
          <cell r="Q620">
            <v>51</v>
          </cell>
          <cell r="R620" t="str">
            <v>EACH</v>
          </cell>
          <cell r="S620" t="str">
            <v>AUD</v>
          </cell>
          <cell r="T620">
            <v>0</v>
          </cell>
          <cell r="U620">
            <v>0</v>
          </cell>
          <cell r="V620">
            <v>0</v>
          </cell>
          <cell r="W620">
            <v>45884</v>
          </cell>
          <cell r="X620">
            <v>0</v>
          </cell>
          <cell r="Y620">
            <v>0</v>
          </cell>
        </row>
        <row r="621">
          <cell r="L621" t="str">
            <v>CT10R-05</v>
          </cell>
          <cell r="M621" t="str">
            <v>REDUCING BUSH 3/8" X 1/4" NPT</v>
          </cell>
          <cell r="N621" t="str">
            <v>NNAV.E499</v>
          </cell>
          <cell r="P621" t="str">
            <v>MIN_SRG_001</v>
          </cell>
          <cell r="Q621">
            <v>8.92</v>
          </cell>
          <cell r="R621" t="str">
            <v>EACH</v>
          </cell>
          <cell r="S621" t="str">
            <v>AUD</v>
          </cell>
          <cell r="T621">
            <v>0</v>
          </cell>
          <cell r="U621">
            <v>0</v>
          </cell>
          <cell r="V621">
            <v>0</v>
          </cell>
          <cell r="W621">
            <v>45884</v>
          </cell>
          <cell r="X621">
            <v>0</v>
          </cell>
          <cell r="Y621">
            <v>0</v>
          </cell>
        </row>
        <row r="622">
          <cell r="L622" t="str">
            <v>CT10R-09</v>
          </cell>
          <cell r="M622" t="str">
            <v>STEEL REDUCING NIPPLE 1/2"X1/4</v>
          </cell>
          <cell r="N622" t="str">
            <v>NNAV.E499</v>
          </cell>
          <cell r="P622" t="str">
            <v>MIN_SRG_001</v>
          </cell>
          <cell r="Q622">
            <v>16.07</v>
          </cell>
          <cell r="R622" t="str">
            <v>EACH</v>
          </cell>
          <cell r="S622" t="str">
            <v>AUD</v>
          </cell>
          <cell r="T622">
            <v>0</v>
          </cell>
          <cell r="U622">
            <v>0</v>
          </cell>
          <cell r="V622">
            <v>0</v>
          </cell>
          <cell r="W622">
            <v>45884</v>
          </cell>
          <cell r="X622">
            <v>0</v>
          </cell>
          <cell r="Y622">
            <v>0</v>
          </cell>
        </row>
        <row r="623">
          <cell r="L623" t="str">
            <v>CT10R-10</v>
          </cell>
          <cell r="M623" t="str">
            <v>BRASS NIPPLE 1/4" BSP</v>
          </cell>
          <cell r="N623" t="str">
            <v>NNAV.E499</v>
          </cell>
          <cell r="P623" t="str">
            <v>MIN_SRG_001</v>
          </cell>
          <cell r="Q623">
            <v>4.75</v>
          </cell>
          <cell r="R623" t="str">
            <v>EACH</v>
          </cell>
          <cell r="S623" t="str">
            <v>AUD</v>
          </cell>
          <cell r="T623">
            <v>0</v>
          </cell>
          <cell r="U623">
            <v>0</v>
          </cell>
          <cell r="V623">
            <v>0</v>
          </cell>
          <cell r="W623">
            <v>45884</v>
          </cell>
          <cell r="X623">
            <v>0</v>
          </cell>
          <cell r="Y623">
            <v>0</v>
          </cell>
        </row>
        <row r="624">
          <cell r="L624" t="str">
            <v>CT10R-11</v>
          </cell>
          <cell r="M624" t="str">
            <v>1/8" BSP MALE BUTTON SILENCER</v>
          </cell>
          <cell r="N624" t="str">
            <v>NNAV.E499</v>
          </cell>
          <cell r="P624" t="str">
            <v>MIN_SRG_001</v>
          </cell>
          <cell r="Q624">
            <v>22.75</v>
          </cell>
          <cell r="R624" t="str">
            <v>EACH</v>
          </cell>
          <cell r="S624" t="str">
            <v>AUD</v>
          </cell>
          <cell r="T624">
            <v>0</v>
          </cell>
          <cell r="U624">
            <v>0</v>
          </cell>
          <cell r="V624">
            <v>0</v>
          </cell>
          <cell r="W624">
            <v>45884</v>
          </cell>
          <cell r="X624">
            <v>0</v>
          </cell>
          <cell r="Y624">
            <v>0</v>
          </cell>
        </row>
        <row r="625">
          <cell r="L625" t="str">
            <v>CT10R-12</v>
          </cell>
          <cell r="M625" t="str">
            <v>6MM PUSH-ON TUBE Y PIECE</v>
          </cell>
          <cell r="N625" t="str">
            <v>NNAV.E499</v>
          </cell>
          <cell r="P625" t="str">
            <v>MIN_SRG_001</v>
          </cell>
          <cell r="Q625">
            <v>68.319999999999993</v>
          </cell>
          <cell r="R625" t="str">
            <v>EACH</v>
          </cell>
          <cell r="S625" t="str">
            <v>AUD</v>
          </cell>
          <cell r="T625">
            <v>0</v>
          </cell>
          <cell r="U625">
            <v>0</v>
          </cell>
          <cell r="V625">
            <v>0</v>
          </cell>
          <cell r="W625">
            <v>45884</v>
          </cell>
          <cell r="X625">
            <v>0</v>
          </cell>
          <cell r="Y625">
            <v>0</v>
          </cell>
        </row>
        <row r="626">
          <cell r="L626" t="str">
            <v>CT10R-13</v>
          </cell>
          <cell r="M626" t="str">
            <v>6MM SWIVEL 90 TO 1/8"BSPP</v>
          </cell>
          <cell r="N626" t="str">
            <v>NNAV.E499</v>
          </cell>
          <cell r="P626" t="str">
            <v>MIN_SRG_001</v>
          </cell>
          <cell r="Q626">
            <v>10.8</v>
          </cell>
          <cell r="R626" t="str">
            <v>EACH</v>
          </cell>
          <cell r="S626" t="str">
            <v>AUD</v>
          </cell>
          <cell r="T626">
            <v>0</v>
          </cell>
          <cell r="U626">
            <v>0</v>
          </cell>
          <cell r="V626">
            <v>0</v>
          </cell>
          <cell r="W626">
            <v>45884</v>
          </cell>
          <cell r="X626">
            <v>0</v>
          </cell>
          <cell r="Y626">
            <v>0</v>
          </cell>
        </row>
        <row r="627">
          <cell r="L627" t="str">
            <v>CT10R-14</v>
          </cell>
          <cell r="M627" t="str">
            <v>6MM X 1/8"BSPP STR CONNECTOR</v>
          </cell>
          <cell r="N627" t="str">
            <v>NNAV.E499</v>
          </cell>
          <cell r="P627" t="str">
            <v>MIN_SRG_001</v>
          </cell>
          <cell r="Q627">
            <v>12.23</v>
          </cell>
          <cell r="R627" t="str">
            <v>EACH</v>
          </cell>
          <cell r="S627" t="str">
            <v>AUD</v>
          </cell>
          <cell r="T627">
            <v>0</v>
          </cell>
          <cell r="U627">
            <v>0</v>
          </cell>
          <cell r="V627">
            <v>0</v>
          </cell>
          <cell r="W627">
            <v>45884</v>
          </cell>
          <cell r="X627">
            <v>0</v>
          </cell>
          <cell r="Y627">
            <v>0</v>
          </cell>
        </row>
        <row r="628">
          <cell r="L628" t="str">
            <v>CT10R-15</v>
          </cell>
          <cell r="M628" t="str">
            <v>6MM X 5MMNPT STR NIPPLE</v>
          </cell>
          <cell r="N628" t="str">
            <v>NNAV.E499</v>
          </cell>
          <cell r="P628" t="str">
            <v>MIN_SRG_001</v>
          </cell>
          <cell r="Q628">
            <v>21.03</v>
          </cell>
          <cell r="R628" t="str">
            <v>EACH</v>
          </cell>
          <cell r="S628" t="str">
            <v>AUD</v>
          </cell>
          <cell r="T628">
            <v>0</v>
          </cell>
          <cell r="U628">
            <v>0</v>
          </cell>
          <cell r="V628">
            <v>0</v>
          </cell>
          <cell r="W628">
            <v>45884</v>
          </cell>
          <cell r="X628">
            <v>0</v>
          </cell>
          <cell r="Y628">
            <v>0</v>
          </cell>
        </row>
        <row r="629">
          <cell r="L629" t="str">
            <v>CT10R-16</v>
          </cell>
          <cell r="M629" t="str">
            <v>1/4"NPT BANJO FITTING</v>
          </cell>
          <cell r="N629" t="str">
            <v>NNAV.E499</v>
          </cell>
          <cell r="P629" t="str">
            <v>MIN_SRG_001</v>
          </cell>
          <cell r="Q629">
            <v>28.49</v>
          </cell>
          <cell r="R629" t="str">
            <v>EACH</v>
          </cell>
          <cell r="S629" t="str">
            <v>AUD</v>
          </cell>
          <cell r="T629">
            <v>0</v>
          </cell>
          <cell r="U629">
            <v>0</v>
          </cell>
          <cell r="V629">
            <v>0</v>
          </cell>
          <cell r="W629">
            <v>45884</v>
          </cell>
          <cell r="X629">
            <v>0</v>
          </cell>
          <cell r="Y629">
            <v>0</v>
          </cell>
        </row>
        <row r="630">
          <cell r="L630" t="str">
            <v>CT10R-18</v>
          </cell>
          <cell r="M630" t="str">
            <v>BRASS 5MM X 6MM HOSE CONNECTOR</v>
          </cell>
          <cell r="N630" t="str">
            <v>NNAV.E499</v>
          </cell>
          <cell r="P630" t="str">
            <v>MIN_SRG_001</v>
          </cell>
          <cell r="Q630">
            <v>11.46</v>
          </cell>
          <cell r="R630" t="str">
            <v>EACH</v>
          </cell>
          <cell r="S630" t="str">
            <v>AUD</v>
          </cell>
          <cell r="T630">
            <v>0</v>
          </cell>
          <cell r="U630">
            <v>0</v>
          </cell>
          <cell r="V630">
            <v>0</v>
          </cell>
          <cell r="W630">
            <v>45884</v>
          </cell>
          <cell r="X630">
            <v>0</v>
          </cell>
          <cell r="Y630">
            <v>0</v>
          </cell>
        </row>
        <row r="631">
          <cell r="L631" t="str">
            <v>CT10R-19</v>
          </cell>
          <cell r="M631" t="str">
            <v>BRASS 90° 5MM X 6MM HOSE CONT</v>
          </cell>
          <cell r="N631" t="str">
            <v>NNAV.E499</v>
          </cell>
          <cell r="P631" t="str">
            <v>MIN_SRG_001</v>
          </cell>
          <cell r="Q631">
            <v>18.149999999999999</v>
          </cell>
          <cell r="R631" t="str">
            <v>EACH</v>
          </cell>
          <cell r="S631" t="str">
            <v>AUD</v>
          </cell>
          <cell r="T631">
            <v>0</v>
          </cell>
          <cell r="U631">
            <v>0</v>
          </cell>
          <cell r="V631">
            <v>0</v>
          </cell>
          <cell r="W631">
            <v>45884</v>
          </cell>
          <cell r="X631">
            <v>0</v>
          </cell>
          <cell r="Y631">
            <v>0</v>
          </cell>
        </row>
        <row r="632">
          <cell r="L632" t="str">
            <v>PA554-07</v>
          </cell>
          <cell r="M632" t="str">
            <v>B&amp;S MUFFLER</v>
          </cell>
          <cell r="N632" t="str">
            <v>NNAV.E499</v>
          </cell>
          <cell r="P632" t="str">
            <v>MIN_SRG_001</v>
          </cell>
          <cell r="Q632">
            <v>25.94</v>
          </cell>
          <cell r="R632" t="str">
            <v>EACH</v>
          </cell>
          <cell r="S632" t="str">
            <v>AUD</v>
          </cell>
          <cell r="T632">
            <v>0</v>
          </cell>
          <cell r="U632">
            <v>0</v>
          </cell>
          <cell r="V632">
            <v>0</v>
          </cell>
          <cell r="W632">
            <v>45884</v>
          </cell>
          <cell r="X632">
            <v>0</v>
          </cell>
          <cell r="Y632">
            <v>0</v>
          </cell>
        </row>
        <row r="633">
          <cell r="L633" t="str">
            <v>PA554-19</v>
          </cell>
          <cell r="M633" t="str">
            <v>1/4"NPT M/F 45° ADAPTOR</v>
          </cell>
          <cell r="N633" t="str">
            <v>NNAV.E499</v>
          </cell>
          <cell r="P633" t="str">
            <v>MIN_SRG_001</v>
          </cell>
          <cell r="Q633">
            <v>28.67</v>
          </cell>
          <cell r="R633" t="str">
            <v>EACH</v>
          </cell>
          <cell r="S633" t="str">
            <v>AUD</v>
          </cell>
          <cell r="T633">
            <v>0</v>
          </cell>
          <cell r="U633">
            <v>0</v>
          </cell>
          <cell r="V633">
            <v>0</v>
          </cell>
          <cell r="W633">
            <v>45884</v>
          </cell>
          <cell r="X633">
            <v>0</v>
          </cell>
          <cell r="Y633">
            <v>0</v>
          </cell>
        </row>
        <row r="634">
          <cell r="L634" t="str">
            <v>PA6-01</v>
          </cell>
          <cell r="M634" t="str">
            <v>SOLENOID VALVE 9594</v>
          </cell>
          <cell r="N634" t="str">
            <v>NNAV.E499</v>
          </cell>
          <cell r="P634" t="str">
            <v>MIN_SRG_001</v>
          </cell>
          <cell r="Q634">
            <v>3201.67</v>
          </cell>
          <cell r="R634" t="str">
            <v>EACH</v>
          </cell>
          <cell r="S634" t="str">
            <v>AUD</v>
          </cell>
          <cell r="T634">
            <v>0</v>
          </cell>
          <cell r="U634">
            <v>0</v>
          </cell>
          <cell r="V634">
            <v>0</v>
          </cell>
          <cell r="W634">
            <v>45884</v>
          </cell>
          <cell r="X634">
            <v>0</v>
          </cell>
          <cell r="Y634">
            <v>0</v>
          </cell>
        </row>
        <row r="635">
          <cell r="L635" t="str">
            <v>PA6-02</v>
          </cell>
          <cell r="M635" t="str">
            <v>VALVE 87.027</v>
          </cell>
          <cell r="N635" t="str">
            <v>NNAV.E499</v>
          </cell>
          <cell r="P635" t="str">
            <v>MIN_SRG_001</v>
          </cell>
          <cell r="Q635">
            <v>660.96</v>
          </cell>
          <cell r="R635" t="str">
            <v>EACH</v>
          </cell>
          <cell r="S635" t="str">
            <v>AUD</v>
          </cell>
          <cell r="T635">
            <v>0</v>
          </cell>
          <cell r="U635">
            <v>0</v>
          </cell>
          <cell r="V635">
            <v>0</v>
          </cell>
          <cell r="W635">
            <v>45884</v>
          </cell>
          <cell r="X635">
            <v>0</v>
          </cell>
          <cell r="Y635">
            <v>0</v>
          </cell>
        </row>
        <row r="636">
          <cell r="L636" t="str">
            <v>PA6-03</v>
          </cell>
          <cell r="M636" t="str">
            <v>VALVE OR8-1/4</v>
          </cell>
          <cell r="N636" t="str">
            <v>NNAV.E499</v>
          </cell>
          <cell r="P636" t="str">
            <v>MIN_SRG_001</v>
          </cell>
          <cell r="Q636">
            <v>138.56</v>
          </cell>
          <cell r="R636" t="str">
            <v>EACH</v>
          </cell>
          <cell r="S636" t="str">
            <v>AUD</v>
          </cell>
          <cell r="T636">
            <v>0</v>
          </cell>
          <cell r="U636">
            <v>0</v>
          </cell>
          <cell r="V636">
            <v>0</v>
          </cell>
          <cell r="W636">
            <v>45884</v>
          </cell>
          <cell r="X636">
            <v>0</v>
          </cell>
          <cell r="Y636">
            <v>0</v>
          </cell>
        </row>
        <row r="637">
          <cell r="L637" t="str">
            <v>PA6-05</v>
          </cell>
          <cell r="M637" t="str">
            <v>AIR FILTER AFM20-02-C</v>
          </cell>
          <cell r="N637" t="str">
            <v>NNAV.E499</v>
          </cell>
          <cell r="P637" t="str">
            <v>MIN_SRG_001</v>
          </cell>
          <cell r="Q637">
            <v>171.15</v>
          </cell>
          <cell r="R637" t="str">
            <v>EACH</v>
          </cell>
          <cell r="S637" t="str">
            <v>AUD</v>
          </cell>
          <cell r="T637">
            <v>0</v>
          </cell>
          <cell r="U637">
            <v>0</v>
          </cell>
          <cell r="V637">
            <v>0</v>
          </cell>
          <cell r="W637">
            <v>45884</v>
          </cell>
          <cell r="X637">
            <v>0</v>
          </cell>
          <cell r="Y637">
            <v>0</v>
          </cell>
        </row>
        <row r="638">
          <cell r="L638" t="str">
            <v>PA6-06</v>
          </cell>
          <cell r="M638" t="str">
            <v>AIR LUBRICATOR AL20-02-C</v>
          </cell>
          <cell r="N638" t="str">
            <v>NNAV.E499</v>
          </cell>
          <cell r="P638" t="str">
            <v>MIN_SRG_001</v>
          </cell>
          <cell r="Q638">
            <v>119.16</v>
          </cell>
          <cell r="R638" t="str">
            <v>EACH</v>
          </cell>
          <cell r="S638" t="str">
            <v>AUD</v>
          </cell>
          <cell r="T638">
            <v>0</v>
          </cell>
          <cell r="U638">
            <v>0</v>
          </cell>
          <cell r="V638">
            <v>0</v>
          </cell>
          <cell r="W638">
            <v>45884</v>
          </cell>
          <cell r="X638">
            <v>0</v>
          </cell>
          <cell r="Y638">
            <v>0</v>
          </cell>
        </row>
        <row r="639">
          <cell r="L639" t="str">
            <v>PA6-07</v>
          </cell>
          <cell r="M639" t="str">
            <v>HOSE PROTECTOR  33MM</v>
          </cell>
          <cell r="N639" t="str">
            <v>NNAV.E499</v>
          </cell>
          <cell r="P639" t="str">
            <v>MIN_SRG_001</v>
          </cell>
          <cell r="Q639">
            <v>38.89</v>
          </cell>
          <cell r="R639" t="str">
            <v>EACH</v>
          </cell>
          <cell r="S639" t="str">
            <v>AUD</v>
          </cell>
          <cell r="T639">
            <v>0</v>
          </cell>
          <cell r="U639">
            <v>0</v>
          </cell>
          <cell r="V639">
            <v>0</v>
          </cell>
          <cell r="W639">
            <v>45884</v>
          </cell>
          <cell r="X639">
            <v>0</v>
          </cell>
          <cell r="Y639">
            <v>0</v>
          </cell>
        </row>
        <row r="640">
          <cell r="L640" t="str">
            <v>PA6-08</v>
          </cell>
          <cell r="M640" t="str">
            <v>SWIVEL ADAPTOR</v>
          </cell>
          <cell r="N640" t="str">
            <v>NNAV.E499</v>
          </cell>
          <cell r="P640" t="str">
            <v>MIN_SRG_001</v>
          </cell>
          <cell r="Q640">
            <v>18.100000000000001</v>
          </cell>
          <cell r="R640" t="str">
            <v>EACH</v>
          </cell>
          <cell r="S640" t="str">
            <v>AUD</v>
          </cell>
          <cell r="T640">
            <v>0</v>
          </cell>
          <cell r="U640">
            <v>0</v>
          </cell>
          <cell r="V640">
            <v>0</v>
          </cell>
          <cell r="W640">
            <v>45884</v>
          </cell>
          <cell r="X640">
            <v>0</v>
          </cell>
          <cell r="Y640">
            <v>0</v>
          </cell>
        </row>
        <row r="641">
          <cell r="L641" t="str">
            <v>PA6D-01</v>
          </cell>
          <cell r="M641" t="str">
            <v>RELIEF VALVE</v>
          </cell>
          <cell r="N641" t="str">
            <v>NNAV.E499</v>
          </cell>
          <cell r="P641" t="str">
            <v>MIN_SRG_001</v>
          </cell>
          <cell r="Q641">
            <v>247.4</v>
          </cell>
          <cell r="R641" t="str">
            <v>EACH</v>
          </cell>
          <cell r="S641" t="str">
            <v>AUD</v>
          </cell>
          <cell r="T641">
            <v>0</v>
          </cell>
          <cell r="U641">
            <v>0</v>
          </cell>
          <cell r="V641">
            <v>0</v>
          </cell>
          <cell r="W641">
            <v>45884</v>
          </cell>
          <cell r="X641">
            <v>0</v>
          </cell>
          <cell r="Y641">
            <v>0</v>
          </cell>
        </row>
        <row r="642">
          <cell r="L642" t="str">
            <v>PA6D-06C</v>
          </cell>
          <cell r="M642" t="str">
            <v>CALIBRATED 600 BAR GAUGE</v>
          </cell>
          <cell r="N642" t="str">
            <v>NNAV.E499</v>
          </cell>
          <cell r="P642" t="str">
            <v>MIN_SRG_001</v>
          </cell>
          <cell r="Q642">
            <v>281.18</v>
          </cell>
          <cell r="R642" t="str">
            <v>EACH</v>
          </cell>
          <cell r="S642" t="str">
            <v>AUD</v>
          </cell>
          <cell r="T642">
            <v>0</v>
          </cell>
          <cell r="U642">
            <v>0</v>
          </cell>
          <cell r="V642">
            <v>0</v>
          </cell>
          <cell r="W642">
            <v>45884</v>
          </cell>
          <cell r="X642">
            <v>0</v>
          </cell>
          <cell r="Y642">
            <v>0</v>
          </cell>
        </row>
        <row r="643">
          <cell r="L643" t="str">
            <v>PA6D-09</v>
          </cell>
          <cell r="M643" t="str">
            <v>FEMALE PIONEER COUPLING</v>
          </cell>
          <cell r="N643" t="str">
            <v>NNAV.E499</v>
          </cell>
          <cell r="P643" t="str">
            <v>MIN_SRG_001</v>
          </cell>
          <cell r="Q643">
            <v>115.06</v>
          </cell>
          <cell r="R643" t="str">
            <v>EACH</v>
          </cell>
          <cell r="S643" t="str">
            <v>AUD</v>
          </cell>
          <cell r="T643">
            <v>0</v>
          </cell>
          <cell r="U643">
            <v>0</v>
          </cell>
          <cell r="V643">
            <v>0</v>
          </cell>
          <cell r="W643">
            <v>45884</v>
          </cell>
          <cell r="X643">
            <v>0</v>
          </cell>
          <cell r="Y643">
            <v>0</v>
          </cell>
        </row>
        <row r="644">
          <cell r="L644" t="str">
            <v>PA6D-10</v>
          </cell>
          <cell r="M644" t="str">
            <v>MALE PIONEER COUPLING</v>
          </cell>
          <cell r="N644" t="str">
            <v>NNAV.E499</v>
          </cell>
          <cell r="P644" t="str">
            <v>MIN_SRG_001</v>
          </cell>
          <cell r="Q644">
            <v>90.31</v>
          </cell>
          <cell r="R644" t="str">
            <v>EACH</v>
          </cell>
          <cell r="S644" t="str">
            <v>AUD</v>
          </cell>
          <cell r="T644">
            <v>0</v>
          </cell>
          <cell r="U644">
            <v>0</v>
          </cell>
          <cell r="V644">
            <v>0</v>
          </cell>
          <cell r="W644">
            <v>45884</v>
          </cell>
          <cell r="X644">
            <v>0</v>
          </cell>
          <cell r="Y644">
            <v>0</v>
          </cell>
        </row>
        <row r="645">
          <cell r="L645" t="str">
            <v>PA6D-11</v>
          </cell>
          <cell r="M645" t="str">
            <v>NIPPLE 3/8" NPT</v>
          </cell>
          <cell r="N645" t="str">
            <v>NNAV.E499</v>
          </cell>
          <cell r="P645" t="str">
            <v>MIN_SRG_001</v>
          </cell>
          <cell r="Q645">
            <v>14.83</v>
          </cell>
          <cell r="R645" t="str">
            <v>EACH</v>
          </cell>
          <cell r="S645" t="str">
            <v>AUD</v>
          </cell>
          <cell r="T645">
            <v>0</v>
          </cell>
          <cell r="U645">
            <v>0</v>
          </cell>
          <cell r="V645">
            <v>0</v>
          </cell>
          <cell r="W645">
            <v>45884</v>
          </cell>
          <cell r="X645">
            <v>0</v>
          </cell>
          <cell r="Y645">
            <v>0</v>
          </cell>
        </row>
        <row r="646">
          <cell r="L646" t="str">
            <v>PA6D-13</v>
          </cell>
          <cell r="M646" t="str">
            <v>REPAIR KIT 300433</v>
          </cell>
          <cell r="N646" t="str">
            <v>NNAV.E499</v>
          </cell>
          <cell r="P646" t="str">
            <v>MIN_SRG_001</v>
          </cell>
          <cell r="Q646">
            <v>547.91999999999996</v>
          </cell>
          <cell r="R646" t="str">
            <v>EACH</v>
          </cell>
          <cell r="S646" t="str">
            <v>AUD</v>
          </cell>
          <cell r="T646">
            <v>0</v>
          </cell>
          <cell r="U646">
            <v>0</v>
          </cell>
          <cell r="V646">
            <v>0</v>
          </cell>
          <cell r="W646">
            <v>45884</v>
          </cell>
          <cell r="X646">
            <v>0</v>
          </cell>
          <cell r="Y646">
            <v>0</v>
          </cell>
        </row>
        <row r="647">
          <cell r="L647" t="str">
            <v>PA6D-17</v>
          </cell>
          <cell r="M647" t="str">
            <v>RESERVOIR GASKET</v>
          </cell>
          <cell r="N647" t="str">
            <v>NNAV.E499</v>
          </cell>
          <cell r="P647" t="str">
            <v>MIN_SRG_001</v>
          </cell>
          <cell r="Q647">
            <v>40.4</v>
          </cell>
          <cell r="R647" t="str">
            <v>EACH</v>
          </cell>
          <cell r="S647" t="str">
            <v>AUD</v>
          </cell>
          <cell r="T647">
            <v>0</v>
          </cell>
          <cell r="U647">
            <v>0</v>
          </cell>
          <cell r="V647">
            <v>0</v>
          </cell>
          <cell r="W647">
            <v>45884</v>
          </cell>
          <cell r="X647">
            <v>0</v>
          </cell>
          <cell r="Y647">
            <v>0</v>
          </cell>
        </row>
        <row r="648">
          <cell r="L648" t="str">
            <v>PA6D-19</v>
          </cell>
          <cell r="M648" t="str">
            <v>FEMALE PIONEER COUPLING PLUG</v>
          </cell>
          <cell r="N648" t="str">
            <v>NNAV.E499</v>
          </cell>
          <cell r="P648" t="str">
            <v>MIN_SRG_001</v>
          </cell>
          <cell r="Q648">
            <v>32.17</v>
          </cell>
          <cell r="R648" t="str">
            <v>EACH</v>
          </cell>
          <cell r="S648" t="str">
            <v>AUD</v>
          </cell>
          <cell r="T648">
            <v>0</v>
          </cell>
          <cell r="U648">
            <v>0</v>
          </cell>
          <cell r="V648">
            <v>0</v>
          </cell>
          <cell r="W648">
            <v>45884</v>
          </cell>
          <cell r="X648">
            <v>0</v>
          </cell>
          <cell r="Y648">
            <v>0</v>
          </cell>
        </row>
        <row r="649">
          <cell r="L649" t="str">
            <v>PA6D-20</v>
          </cell>
          <cell r="M649" t="str">
            <v>MALE PIONEER COUPLING CAP</v>
          </cell>
          <cell r="N649" t="str">
            <v>NNAV.E499</v>
          </cell>
          <cell r="P649" t="str">
            <v>MIN_SRG_001</v>
          </cell>
          <cell r="Q649">
            <v>43.23</v>
          </cell>
          <cell r="R649" t="str">
            <v>EACH</v>
          </cell>
          <cell r="S649" t="str">
            <v>AUD</v>
          </cell>
          <cell r="T649">
            <v>0</v>
          </cell>
          <cell r="U649">
            <v>0</v>
          </cell>
          <cell r="V649">
            <v>0</v>
          </cell>
          <cell r="W649">
            <v>45884</v>
          </cell>
          <cell r="X649">
            <v>0</v>
          </cell>
          <cell r="Y649">
            <v>0</v>
          </cell>
        </row>
        <row r="650">
          <cell r="L650" t="str">
            <v>GMP-AM-04</v>
          </cell>
          <cell r="M650" t="str">
            <v>COUPLING LO95 7/8"</v>
          </cell>
          <cell r="N650" t="str">
            <v>NNAV.E499</v>
          </cell>
          <cell r="P650" t="str">
            <v>MIN_SRG_001</v>
          </cell>
          <cell r="Q650">
            <v>57.56</v>
          </cell>
          <cell r="R650" t="str">
            <v>EACH</v>
          </cell>
          <cell r="S650" t="str">
            <v>AUD</v>
          </cell>
          <cell r="T650">
            <v>0</v>
          </cell>
          <cell r="U650">
            <v>0</v>
          </cell>
          <cell r="V650">
            <v>0</v>
          </cell>
          <cell r="W650">
            <v>45884</v>
          </cell>
          <cell r="X650">
            <v>0</v>
          </cell>
          <cell r="Y650">
            <v>0</v>
          </cell>
        </row>
        <row r="651">
          <cell r="L651" t="str">
            <v>GMP-AM-05</v>
          </cell>
          <cell r="M651" t="str">
            <v>LO95 COUPLING ELEMENT</v>
          </cell>
          <cell r="N651" t="str">
            <v>NNAV.E499</v>
          </cell>
          <cell r="P651" t="str">
            <v>MIN_SRG_001</v>
          </cell>
          <cell r="Q651">
            <v>53.96</v>
          </cell>
          <cell r="R651" t="str">
            <v>EACH</v>
          </cell>
          <cell r="S651" t="str">
            <v>AUD</v>
          </cell>
          <cell r="T651">
            <v>0</v>
          </cell>
          <cell r="U651">
            <v>0</v>
          </cell>
          <cell r="V651">
            <v>0</v>
          </cell>
          <cell r="W651">
            <v>45884</v>
          </cell>
          <cell r="X651">
            <v>0</v>
          </cell>
          <cell r="Y651">
            <v>0</v>
          </cell>
        </row>
        <row r="652">
          <cell r="L652" t="str">
            <v>GMP-AM-07</v>
          </cell>
          <cell r="M652" t="str">
            <v>AIR MOTOR REPAIR KIT</v>
          </cell>
          <cell r="N652" t="str">
            <v>NNAV.E499</v>
          </cell>
          <cell r="P652" t="str">
            <v>MIN_SRG_001</v>
          </cell>
          <cell r="Q652">
            <v>529.98</v>
          </cell>
          <cell r="R652" t="str">
            <v>EACH</v>
          </cell>
          <cell r="S652" t="str">
            <v>AUD</v>
          </cell>
          <cell r="T652">
            <v>0</v>
          </cell>
          <cell r="U652">
            <v>0</v>
          </cell>
          <cell r="V652">
            <v>0</v>
          </cell>
          <cell r="W652">
            <v>45884</v>
          </cell>
          <cell r="X652">
            <v>0</v>
          </cell>
          <cell r="Y652">
            <v>0</v>
          </cell>
        </row>
        <row r="653">
          <cell r="L653" t="str">
            <v>GMP-GB</v>
          </cell>
          <cell r="M653" t="str">
            <v>GROUT MIXER GEARBOX 15:1</v>
          </cell>
          <cell r="N653" t="str">
            <v>NNAV.E499</v>
          </cell>
          <cell r="P653" t="str">
            <v>MIN_SRG_001</v>
          </cell>
          <cell r="Q653">
            <v>2726.24</v>
          </cell>
          <cell r="R653" t="str">
            <v>EACH</v>
          </cell>
          <cell r="S653" t="str">
            <v>AUD</v>
          </cell>
          <cell r="T653">
            <v>1</v>
          </cell>
          <cell r="U653">
            <v>0</v>
          </cell>
          <cell r="V653">
            <v>0</v>
          </cell>
          <cell r="W653">
            <v>45884</v>
          </cell>
          <cell r="X653">
            <v>1</v>
          </cell>
          <cell r="Y653">
            <v>2726.24</v>
          </cell>
        </row>
        <row r="654">
          <cell r="L654" t="str">
            <v>GMP-GB-05</v>
          </cell>
          <cell r="M654" t="str">
            <v>COUPLING LO95 25MM BORE 6MM K</v>
          </cell>
          <cell r="N654" t="str">
            <v>NNAV.E499</v>
          </cell>
          <cell r="P654" t="str">
            <v>MIN_SRG_001</v>
          </cell>
          <cell r="Q654">
            <v>58.17</v>
          </cell>
          <cell r="R654" t="str">
            <v>EACH</v>
          </cell>
          <cell r="S654" t="str">
            <v>AUD</v>
          </cell>
          <cell r="T654">
            <v>0</v>
          </cell>
          <cell r="U654">
            <v>0</v>
          </cell>
          <cell r="V654">
            <v>0</v>
          </cell>
          <cell r="W654">
            <v>45884</v>
          </cell>
          <cell r="X654">
            <v>0</v>
          </cell>
          <cell r="Y654">
            <v>0</v>
          </cell>
        </row>
        <row r="655">
          <cell r="L655" t="str">
            <v>GMP-MT-01</v>
          </cell>
          <cell r="M655" t="str">
            <v>GROUT MIXER PADDLE - ALL</v>
          </cell>
          <cell r="N655" t="str">
            <v>NNAV.E499</v>
          </cell>
          <cell r="P655" t="str">
            <v>MIN_SRG_001</v>
          </cell>
          <cell r="Q655">
            <v>661.56</v>
          </cell>
          <cell r="R655" t="str">
            <v>EACH</v>
          </cell>
          <cell r="S655" t="str">
            <v>AUD</v>
          </cell>
          <cell r="T655">
            <v>0</v>
          </cell>
          <cell r="U655">
            <v>0</v>
          </cell>
          <cell r="V655">
            <v>0</v>
          </cell>
          <cell r="W655">
            <v>45884</v>
          </cell>
          <cell r="X655">
            <v>0</v>
          </cell>
          <cell r="Y655">
            <v>0</v>
          </cell>
        </row>
        <row r="656">
          <cell r="L656" t="str">
            <v>GR-301-102-04</v>
          </cell>
          <cell r="M656" t="str">
            <v>COPPER GASKET</v>
          </cell>
          <cell r="N656" t="str">
            <v>NNAV.E499</v>
          </cell>
          <cell r="P656" t="str">
            <v>MIN_SRG_001</v>
          </cell>
          <cell r="Q656">
            <v>1.75</v>
          </cell>
          <cell r="R656" t="str">
            <v>EACH</v>
          </cell>
          <cell r="S656" t="str">
            <v>AUD</v>
          </cell>
          <cell r="T656">
            <v>0</v>
          </cell>
          <cell r="U656">
            <v>0</v>
          </cell>
          <cell r="V656">
            <v>0</v>
          </cell>
          <cell r="W656">
            <v>45884</v>
          </cell>
          <cell r="X656">
            <v>0</v>
          </cell>
          <cell r="Y656">
            <v>0</v>
          </cell>
        </row>
        <row r="657">
          <cell r="L657" t="str">
            <v>GR-301-110</v>
          </cell>
          <cell r="M657" t="str">
            <v>ROCKER TOGGLE</v>
          </cell>
          <cell r="N657" t="str">
            <v>NNAV.E499</v>
          </cell>
          <cell r="P657" t="str">
            <v>MIN_SRG_001</v>
          </cell>
          <cell r="Q657">
            <v>46.75</v>
          </cell>
          <cell r="R657" t="str">
            <v>EACH</v>
          </cell>
          <cell r="S657" t="str">
            <v>AUD</v>
          </cell>
          <cell r="T657">
            <v>0</v>
          </cell>
          <cell r="U657">
            <v>0</v>
          </cell>
          <cell r="V657">
            <v>0</v>
          </cell>
          <cell r="W657">
            <v>45884</v>
          </cell>
          <cell r="X657">
            <v>0</v>
          </cell>
          <cell r="Y657">
            <v>0</v>
          </cell>
        </row>
        <row r="658">
          <cell r="L658" t="str">
            <v>GR-301-113</v>
          </cell>
          <cell r="M658" t="str">
            <v>SEAL CYLINDER</v>
          </cell>
          <cell r="N658" t="str">
            <v>NNAV.E499</v>
          </cell>
          <cell r="P658" t="str">
            <v>MIN_SRG_001</v>
          </cell>
          <cell r="Q658">
            <v>7.69</v>
          </cell>
          <cell r="R658" t="str">
            <v>EACH</v>
          </cell>
          <cell r="S658" t="str">
            <v>AUD</v>
          </cell>
          <cell r="T658">
            <v>0</v>
          </cell>
          <cell r="U658">
            <v>0</v>
          </cell>
          <cell r="V658">
            <v>0</v>
          </cell>
          <cell r="W658">
            <v>45884</v>
          </cell>
          <cell r="X658">
            <v>0</v>
          </cell>
          <cell r="Y658">
            <v>0</v>
          </cell>
        </row>
        <row r="659">
          <cell r="L659" t="str">
            <v>GR-301-114</v>
          </cell>
          <cell r="M659" t="str">
            <v>SEAL PISTON</v>
          </cell>
          <cell r="N659" t="str">
            <v>NNAV.E499</v>
          </cell>
          <cell r="P659" t="str">
            <v>MIN_SRG_001</v>
          </cell>
          <cell r="Q659">
            <v>8.92</v>
          </cell>
          <cell r="R659" t="str">
            <v>EACH</v>
          </cell>
          <cell r="S659" t="str">
            <v>AUD</v>
          </cell>
          <cell r="T659">
            <v>0</v>
          </cell>
          <cell r="U659">
            <v>0</v>
          </cell>
          <cell r="V659">
            <v>0</v>
          </cell>
          <cell r="W659">
            <v>45884</v>
          </cell>
          <cell r="X659">
            <v>0</v>
          </cell>
          <cell r="Y659">
            <v>0</v>
          </cell>
        </row>
        <row r="660">
          <cell r="L660" t="str">
            <v>GR-301-123</v>
          </cell>
          <cell r="M660" t="str">
            <v>SPRING COMPRESSION</v>
          </cell>
          <cell r="N660" t="str">
            <v>NNAV.E499</v>
          </cell>
          <cell r="P660" t="str">
            <v>MIN_SRG_001</v>
          </cell>
          <cell r="Q660">
            <v>9.84</v>
          </cell>
          <cell r="R660" t="str">
            <v>EACH</v>
          </cell>
          <cell r="S660" t="str">
            <v>AUD</v>
          </cell>
          <cell r="T660">
            <v>0</v>
          </cell>
          <cell r="U660">
            <v>0</v>
          </cell>
          <cell r="V660">
            <v>0</v>
          </cell>
          <cell r="W660">
            <v>45884</v>
          </cell>
          <cell r="X660">
            <v>0</v>
          </cell>
          <cell r="Y660">
            <v>0</v>
          </cell>
        </row>
        <row r="661">
          <cell r="L661" t="str">
            <v>GR-301-126</v>
          </cell>
          <cell r="M661" t="str">
            <v>POPPET VALVE #1</v>
          </cell>
          <cell r="N661" t="str">
            <v>NNAV.E499</v>
          </cell>
          <cell r="P661" t="str">
            <v>MIN_SRG_001</v>
          </cell>
          <cell r="Q661">
            <v>7.95</v>
          </cell>
          <cell r="R661" t="str">
            <v>EACH</v>
          </cell>
          <cell r="S661" t="str">
            <v>AUD</v>
          </cell>
          <cell r="T661">
            <v>0</v>
          </cell>
          <cell r="U661">
            <v>0</v>
          </cell>
          <cell r="V661">
            <v>0</v>
          </cell>
          <cell r="W661">
            <v>45884</v>
          </cell>
          <cell r="X661">
            <v>0</v>
          </cell>
          <cell r="Y661">
            <v>0</v>
          </cell>
        </row>
        <row r="662">
          <cell r="L662" t="str">
            <v>GR-301-127</v>
          </cell>
          <cell r="M662" t="str">
            <v>POPPET VALVE</v>
          </cell>
          <cell r="N662" t="str">
            <v>NNAV.E499</v>
          </cell>
          <cell r="P662" t="str">
            <v>MIN_SRG_001</v>
          </cell>
          <cell r="Q662">
            <v>18.809999999999999</v>
          </cell>
          <cell r="R662" t="str">
            <v>EACH</v>
          </cell>
          <cell r="S662" t="str">
            <v>AUD</v>
          </cell>
          <cell r="T662">
            <v>0</v>
          </cell>
          <cell r="U662">
            <v>0</v>
          </cell>
          <cell r="V662">
            <v>0</v>
          </cell>
          <cell r="W662">
            <v>45884</v>
          </cell>
          <cell r="X662">
            <v>0</v>
          </cell>
          <cell r="Y662">
            <v>0</v>
          </cell>
        </row>
        <row r="663">
          <cell r="L663" t="str">
            <v>GR-301-132</v>
          </cell>
          <cell r="M663" t="str">
            <v>PISTON ROD SEAL</v>
          </cell>
          <cell r="N663" t="str">
            <v>NNAV.E499</v>
          </cell>
          <cell r="P663" t="str">
            <v>MIN_SRG_001</v>
          </cell>
          <cell r="Q663">
            <v>13.56</v>
          </cell>
          <cell r="R663" t="str">
            <v>EACH</v>
          </cell>
          <cell r="S663" t="str">
            <v>AUD</v>
          </cell>
          <cell r="T663">
            <v>0</v>
          </cell>
          <cell r="U663">
            <v>0</v>
          </cell>
          <cell r="V663">
            <v>0</v>
          </cell>
          <cell r="W663">
            <v>45884</v>
          </cell>
          <cell r="X663">
            <v>0</v>
          </cell>
          <cell r="Y663">
            <v>0</v>
          </cell>
        </row>
        <row r="664">
          <cell r="L664" t="str">
            <v>GR41-1-1</v>
          </cell>
          <cell r="M664" t="str">
            <v>CYLINDER RISER TUBE</v>
          </cell>
          <cell r="N664" t="str">
            <v>NNAV.E499</v>
          </cell>
          <cell r="P664" t="str">
            <v>MIN_SRG_001</v>
          </cell>
          <cell r="Q664">
            <v>199.81</v>
          </cell>
          <cell r="R664" t="str">
            <v>EACH</v>
          </cell>
          <cell r="S664" t="str">
            <v>AUD</v>
          </cell>
          <cell r="T664">
            <v>0</v>
          </cell>
          <cell r="U664">
            <v>0</v>
          </cell>
          <cell r="V664">
            <v>0</v>
          </cell>
          <cell r="W664">
            <v>45884</v>
          </cell>
          <cell r="X664">
            <v>0</v>
          </cell>
          <cell r="Y664">
            <v>0</v>
          </cell>
        </row>
        <row r="665">
          <cell r="L665" t="str">
            <v>GR41-1-10</v>
          </cell>
          <cell r="M665" t="str">
            <v>INSERT</v>
          </cell>
          <cell r="N665" t="str">
            <v>NNAV.E499</v>
          </cell>
          <cell r="P665" t="str">
            <v>MIN_SRG_001</v>
          </cell>
          <cell r="Q665">
            <v>35.04</v>
          </cell>
          <cell r="R665" t="str">
            <v>EACH</v>
          </cell>
          <cell r="S665" t="str">
            <v>AUD</v>
          </cell>
          <cell r="T665">
            <v>0</v>
          </cell>
          <cell r="U665">
            <v>0</v>
          </cell>
          <cell r="V665">
            <v>0</v>
          </cell>
          <cell r="W665">
            <v>45884</v>
          </cell>
          <cell r="X665">
            <v>0</v>
          </cell>
          <cell r="Y665">
            <v>0</v>
          </cell>
        </row>
        <row r="666">
          <cell r="L666" t="str">
            <v>GR41-1-11</v>
          </cell>
          <cell r="M666" t="str">
            <v>SEAT</v>
          </cell>
          <cell r="N666" t="str">
            <v>NNAV.E499</v>
          </cell>
          <cell r="P666" t="str">
            <v>MIN_SRG_001</v>
          </cell>
          <cell r="Q666">
            <v>57.77</v>
          </cell>
          <cell r="R666" t="str">
            <v>EACH</v>
          </cell>
          <cell r="S666" t="str">
            <v>AUD</v>
          </cell>
          <cell r="T666">
            <v>0</v>
          </cell>
          <cell r="U666">
            <v>0</v>
          </cell>
          <cell r="V666">
            <v>0</v>
          </cell>
          <cell r="W666">
            <v>45884</v>
          </cell>
          <cell r="X666">
            <v>0</v>
          </cell>
          <cell r="Y666">
            <v>0</v>
          </cell>
        </row>
        <row r="667">
          <cell r="L667" t="str">
            <v>GR41-1-12</v>
          </cell>
          <cell r="M667" t="str">
            <v>WASHER FOOT BLOCK</v>
          </cell>
          <cell r="N667" t="str">
            <v>NNAV.E499</v>
          </cell>
          <cell r="P667" t="str">
            <v>MIN_SRG_001</v>
          </cell>
          <cell r="Q667">
            <v>20.82</v>
          </cell>
          <cell r="R667" t="str">
            <v>EACH</v>
          </cell>
          <cell r="S667" t="str">
            <v>AUD</v>
          </cell>
          <cell r="T667">
            <v>0</v>
          </cell>
          <cell r="U667">
            <v>0</v>
          </cell>
          <cell r="V667">
            <v>0</v>
          </cell>
          <cell r="W667">
            <v>45884</v>
          </cell>
          <cell r="X667">
            <v>0</v>
          </cell>
          <cell r="Y667">
            <v>0</v>
          </cell>
        </row>
        <row r="668">
          <cell r="L668" t="str">
            <v>GR41-1-13</v>
          </cell>
          <cell r="M668" t="str">
            <v>BEARING TEFLON</v>
          </cell>
          <cell r="N668" t="str">
            <v>NNAV.E499</v>
          </cell>
          <cell r="P668" t="str">
            <v>MIN_SRG_001</v>
          </cell>
          <cell r="Q668">
            <v>15</v>
          </cell>
          <cell r="R668" t="str">
            <v>EACH</v>
          </cell>
          <cell r="S668" t="str">
            <v>AUD</v>
          </cell>
          <cell r="T668">
            <v>0</v>
          </cell>
          <cell r="U668">
            <v>0</v>
          </cell>
          <cell r="V668">
            <v>0</v>
          </cell>
          <cell r="W668">
            <v>45884</v>
          </cell>
          <cell r="X668">
            <v>0</v>
          </cell>
          <cell r="Y668">
            <v>0</v>
          </cell>
        </row>
        <row r="669">
          <cell r="L669" t="str">
            <v>GR41-1-14</v>
          </cell>
          <cell r="M669" t="str">
            <v>WASHER CYLINDER</v>
          </cell>
          <cell r="N669" t="str">
            <v>NNAV.E499</v>
          </cell>
          <cell r="P669" t="str">
            <v>MIN_SRG_001</v>
          </cell>
          <cell r="Q669">
            <v>33.369999999999997</v>
          </cell>
          <cell r="R669" t="str">
            <v>EACH</v>
          </cell>
          <cell r="S669" t="str">
            <v>AUD</v>
          </cell>
          <cell r="T669">
            <v>0</v>
          </cell>
          <cell r="U669">
            <v>0</v>
          </cell>
          <cell r="V669">
            <v>0</v>
          </cell>
          <cell r="W669">
            <v>45884</v>
          </cell>
          <cell r="X669">
            <v>0</v>
          </cell>
          <cell r="Y669">
            <v>0</v>
          </cell>
        </row>
        <row r="670">
          <cell r="L670" t="str">
            <v>GR41-1-15</v>
          </cell>
          <cell r="M670" t="str">
            <v>SPACER O RING</v>
          </cell>
          <cell r="N670" t="str">
            <v>NNAV.E499</v>
          </cell>
          <cell r="P670" t="str">
            <v>MIN_SRG_001</v>
          </cell>
          <cell r="Q670">
            <v>1.38</v>
          </cell>
          <cell r="R670" t="str">
            <v>EACH</v>
          </cell>
          <cell r="S670" t="str">
            <v>AUD</v>
          </cell>
          <cell r="T670">
            <v>0</v>
          </cell>
          <cell r="U670">
            <v>0</v>
          </cell>
          <cell r="V670">
            <v>0</v>
          </cell>
          <cell r="W670">
            <v>45884</v>
          </cell>
          <cell r="X670">
            <v>0</v>
          </cell>
          <cell r="Y670">
            <v>0</v>
          </cell>
        </row>
        <row r="671">
          <cell r="L671" t="str">
            <v>GR41-1-16</v>
          </cell>
          <cell r="M671" t="str">
            <v>BALL 1.1/2'</v>
          </cell>
          <cell r="N671" t="str">
            <v>NNAV.E499</v>
          </cell>
          <cell r="P671" t="str">
            <v>MIN_SRG_001</v>
          </cell>
          <cell r="Q671">
            <v>48.38</v>
          </cell>
          <cell r="R671" t="str">
            <v>EACH</v>
          </cell>
          <cell r="S671" t="str">
            <v>AUD</v>
          </cell>
          <cell r="T671">
            <v>0</v>
          </cell>
          <cell r="U671">
            <v>0</v>
          </cell>
          <cell r="V671">
            <v>0</v>
          </cell>
          <cell r="W671">
            <v>45884</v>
          </cell>
          <cell r="X671">
            <v>0</v>
          </cell>
          <cell r="Y671">
            <v>0</v>
          </cell>
        </row>
        <row r="672">
          <cell r="L672" t="str">
            <v>GR41-1-17</v>
          </cell>
          <cell r="M672" t="str">
            <v>BALL 7/8'</v>
          </cell>
          <cell r="N672" t="str">
            <v>NNAV.E499</v>
          </cell>
          <cell r="P672" t="str">
            <v>MIN_SRG_001</v>
          </cell>
          <cell r="Q672">
            <v>10.79</v>
          </cell>
          <cell r="R672" t="str">
            <v>EACH</v>
          </cell>
          <cell r="S672" t="str">
            <v>AUD</v>
          </cell>
          <cell r="T672">
            <v>0</v>
          </cell>
          <cell r="U672">
            <v>0</v>
          </cell>
          <cell r="V672">
            <v>0</v>
          </cell>
          <cell r="W672">
            <v>45884</v>
          </cell>
          <cell r="X672">
            <v>0</v>
          </cell>
          <cell r="Y672">
            <v>0</v>
          </cell>
        </row>
        <row r="673">
          <cell r="L673" t="str">
            <v>GR41-1-18</v>
          </cell>
          <cell r="M673" t="str">
            <v>PACKING 'V'</v>
          </cell>
          <cell r="N673" t="str">
            <v>NNAV.E499</v>
          </cell>
          <cell r="P673" t="str">
            <v>MIN_SRG_001</v>
          </cell>
          <cell r="Q673">
            <v>57.56</v>
          </cell>
          <cell r="R673" t="str">
            <v>EACH</v>
          </cell>
          <cell r="S673" t="str">
            <v>AUD</v>
          </cell>
          <cell r="T673">
            <v>0</v>
          </cell>
          <cell r="U673">
            <v>0</v>
          </cell>
          <cell r="V673">
            <v>0</v>
          </cell>
          <cell r="W673">
            <v>45884</v>
          </cell>
          <cell r="X673">
            <v>0</v>
          </cell>
          <cell r="Y673">
            <v>0</v>
          </cell>
        </row>
        <row r="674">
          <cell r="L674" t="str">
            <v>GR41-1-19</v>
          </cell>
          <cell r="M674" t="str">
            <v>NUT PISTON ROD 1/2" UNC</v>
          </cell>
          <cell r="N674" t="str">
            <v>NNAV.E499</v>
          </cell>
          <cell r="P674" t="str">
            <v>MIN_SRG_001</v>
          </cell>
          <cell r="Q674">
            <v>6.18</v>
          </cell>
          <cell r="R674" t="str">
            <v>EACH</v>
          </cell>
          <cell r="S674" t="str">
            <v>AUD</v>
          </cell>
          <cell r="T674">
            <v>0</v>
          </cell>
          <cell r="U674">
            <v>0</v>
          </cell>
          <cell r="V674">
            <v>0</v>
          </cell>
          <cell r="W674">
            <v>45884</v>
          </cell>
          <cell r="X674">
            <v>0</v>
          </cell>
          <cell r="Y674">
            <v>0</v>
          </cell>
        </row>
        <row r="675">
          <cell r="L675" t="str">
            <v>GR41-1-2</v>
          </cell>
          <cell r="M675" t="str">
            <v>ROD</v>
          </cell>
          <cell r="N675" t="str">
            <v>NNAV.E499</v>
          </cell>
          <cell r="P675" t="str">
            <v>MIN_SRG_001</v>
          </cell>
          <cell r="Q675">
            <v>85.51</v>
          </cell>
          <cell r="R675" t="str">
            <v>EACH</v>
          </cell>
          <cell r="S675" t="str">
            <v>AUD</v>
          </cell>
          <cell r="T675">
            <v>0</v>
          </cell>
          <cell r="U675">
            <v>0</v>
          </cell>
          <cell r="V675">
            <v>0</v>
          </cell>
          <cell r="W675">
            <v>45884</v>
          </cell>
          <cell r="X675">
            <v>0</v>
          </cell>
          <cell r="Y675">
            <v>0</v>
          </cell>
        </row>
        <row r="676">
          <cell r="L676" t="str">
            <v>GR41-1-20</v>
          </cell>
          <cell r="M676" t="str">
            <v>ROD NUT 5/8' UNC</v>
          </cell>
          <cell r="N676" t="str">
            <v>NNAV.E499</v>
          </cell>
          <cell r="P676" t="str">
            <v>MIN_SRG_001</v>
          </cell>
          <cell r="Q676">
            <v>6.17</v>
          </cell>
          <cell r="R676" t="str">
            <v>EACH</v>
          </cell>
          <cell r="S676" t="str">
            <v>AUD</v>
          </cell>
          <cell r="T676">
            <v>0</v>
          </cell>
          <cell r="U676">
            <v>0</v>
          </cell>
          <cell r="V676">
            <v>0</v>
          </cell>
          <cell r="W676">
            <v>45884</v>
          </cell>
          <cell r="X676">
            <v>0</v>
          </cell>
          <cell r="Y676">
            <v>0</v>
          </cell>
        </row>
        <row r="677">
          <cell r="L677" t="str">
            <v>GR41-1-24</v>
          </cell>
          <cell r="M677" t="str">
            <v>CUP SEAL</v>
          </cell>
          <cell r="N677" t="str">
            <v>NNAV.E499</v>
          </cell>
          <cell r="P677" t="str">
            <v>MIN_SRG_001</v>
          </cell>
          <cell r="Q677">
            <v>46.23</v>
          </cell>
          <cell r="R677" t="str">
            <v>EACH</v>
          </cell>
          <cell r="S677" t="str">
            <v>AUD</v>
          </cell>
          <cell r="T677">
            <v>0</v>
          </cell>
          <cell r="U677">
            <v>0</v>
          </cell>
          <cell r="V677">
            <v>0</v>
          </cell>
          <cell r="W677">
            <v>45884</v>
          </cell>
          <cell r="X677">
            <v>0</v>
          </cell>
          <cell r="Y677">
            <v>0</v>
          </cell>
        </row>
        <row r="678">
          <cell r="L678" t="str">
            <v>GR41-1-3</v>
          </cell>
          <cell r="M678" t="str">
            <v>BODY</v>
          </cell>
          <cell r="N678" t="str">
            <v>NNAV.E499</v>
          </cell>
          <cell r="P678" t="str">
            <v>MIN_SRG_001</v>
          </cell>
          <cell r="Q678">
            <v>394.88</v>
          </cell>
          <cell r="R678" t="str">
            <v>EACH</v>
          </cell>
          <cell r="S678" t="str">
            <v>AUD</v>
          </cell>
          <cell r="T678">
            <v>0</v>
          </cell>
          <cell r="U678">
            <v>0</v>
          </cell>
          <cell r="V678">
            <v>0</v>
          </cell>
          <cell r="W678">
            <v>45884</v>
          </cell>
          <cell r="X678">
            <v>0</v>
          </cell>
          <cell r="Y678">
            <v>0</v>
          </cell>
        </row>
        <row r="679">
          <cell r="L679" t="str">
            <v>GR41-1-5</v>
          </cell>
          <cell r="M679" t="str">
            <v>NUT GLAND</v>
          </cell>
          <cell r="N679" t="str">
            <v>NNAV.E499</v>
          </cell>
          <cell r="P679" t="str">
            <v>MIN_SRG_001</v>
          </cell>
          <cell r="Q679">
            <v>43.75</v>
          </cell>
          <cell r="R679" t="str">
            <v>EACH</v>
          </cell>
          <cell r="S679" t="str">
            <v>AUD</v>
          </cell>
          <cell r="T679">
            <v>0</v>
          </cell>
          <cell r="U679">
            <v>0</v>
          </cell>
          <cell r="V679">
            <v>0</v>
          </cell>
          <cell r="W679">
            <v>45884</v>
          </cell>
          <cell r="X679">
            <v>0</v>
          </cell>
          <cell r="Y679">
            <v>0</v>
          </cell>
        </row>
        <row r="680">
          <cell r="L680" t="str">
            <v>GR41-1-6</v>
          </cell>
          <cell r="M680" t="str">
            <v>PISTON  BODY</v>
          </cell>
          <cell r="N680" t="str">
            <v>NNAV.E499</v>
          </cell>
          <cell r="P680" t="str">
            <v>MIN_SRG_001</v>
          </cell>
          <cell r="Q680">
            <v>52.14</v>
          </cell>
          <cell r="R680" t="str">
            <v>EACH</v>
          </cell>
          <cell r="S680" t="str">
            <v>AUD</v>
          </cell>
          <cell r="T680">
            <v>0</v>
          </cell>
          <cell r="U680">
            <v>0</v>
          </cell>
          <cell r="V680">
            <v>0</v>
          </cell>
          <cell r="W680">
            <v>45884</v>
          </cell>
          <cell r="X680">
            <v>0</v>
          </cell>
          <cell r="Y680">
            <v>0</v>
          </cell>
        </row>
        <row r="681">
          <cell r="L681" t="str">
            <v>GR41-1-7</v>
          </cell>
          <cell r="M681" t="str">
            <v>SPACER</v>
          </cell>
          <cell r="N681" t="str">
            <v>NNAV.E499</v>
          </cell>
          <cell r="P681" t="str">
            <v>MIN_SRG_001</v>
          </cell>
          <cell r="Q681">
            <v>37.619999999999997</v>
          </cell>
          <cell r="R681" t="str">
            <v>EACH</v>
          </cell>
          <cell r="S681" t="str">
            <v>AUD</v>
          </cell>
          <cell r="T681">
            <v>0</v>
          </cell>
          <cell r="U681">
            <v>0</v>
          </cell>
          <cell r="V681">
            <v>0</v>
          </cell>
          <cell r="W681">
            <v>45884</v>
          </cell>
          <cell r="X681">
            <v>0</v>
          </cell>
          <cell r="Y681">
            <v>0</v>
          </cell>
        </row>
        <row r="682">
          <cell r="L682" t="str">
            <v>GR41-1-8</v>
          </cell>
          <cell r="M682" t="str">
            <v>WASHER CUP SEAL</v>
          </cell>
          <cell r="N682" t="str">
            <v>NNAV.E499</v>
          </cell>
          <cell r="P682" t="str">
            <v>MIN_SRG_001</v>
          </cell>
          <cell r="Q682">
            <v>15.1</v>
          </cell>
          <cell r="R682" t="str">
            <v>EACH</v>
          </cell>
          <cell r="S682" t="str">
            <v>AUD</v>
          </cell>
          <cell r="T682">
            <v>0</v>
          </cell>
          <cell r="U682">
            <v>0</v>
          </cell>
          <cell r="V682">
            <v>0</v>
          </cell>
          <cell r="W682">
            <v>45884</v>
          </cell>
          <cell r="X682">
            <v>0</v>
          </cell>
          <cell r="Y682">
            <v>0</v>
          </cell>
        </row>
        <row r="683">
          <cell r="L683" t="str">
            <v>GR41-1-9</v>
          </cell>
          <cell r="M683" t="str">
            <v>FOOTBLOCK</v>
          </cell>
          <cell r="N683" t="str">
            <v>NNAV.E499</v>
          </cell>
          <cell r="P683" t="str">
            <v>MIN_SRG_001</v>
          </cell>
          <cell r="Q683">
            <v>134.84</v>
          </cell>
          <cell r="R683" t="str">
            <v>EACH</v>
          </cell>
          <cell r="S683" t="str">
            <v>AUD</v>
          </cell>
          <cell r="T683">
            <v>0</v>
          </cell>
          <cell r="U683">
            <v>0</v>
          </cell>
          <cell r="V683">
            <v>0</v>
          </cell>
          <cell r="W683">
            <v>45884</v>
          </cell>
          <cell r="X683">
            <v>0</v>
          </cell>
          <cell r="Y683">
            <v>0</v>
          </cell>
        </row>
        <row r="684">
          <cell r="L684" t="str">
            <v>GR-AM-KIT</v>
          </cell>
          <cell r="M684" t="str">
            <v>AIR MOTOR REPAIR KIT</v>
          </cell>
          <cell r="N684" t="str">
            <v>NNAV.E499</v>
          </cell>
          <cell r="P684" t="str">
            <v>MIN_SRG_001</v>
          </cell>
          <cell r="Q684">
            <v>219.5</v>
          </cell>
          <cell r="R684" t="str">
            <v>EACH</v>
          </cell>
          <cell r="S684" t="str">
            <v>AUD</v>
          </cell>
          <cell r="T684">
            <v>0</v>
          </cell>
          <cell r="U684">
            <v>0</v>
          </cell>
          <cell r="V684">
            <v>0</v>
          </cell>
          <cell r="W684">
            <v>45884</v>
          </cell>
          <cell r="X684">
            <v>0</v>
          </cell>
          <cell r="Y684">
            <v>0</v>
          </cell>
        </row>
        <row r="685">
          <cell r="L685" t="str">
            <v>GR-PP-COM</v>
          </cell>
          <cell r="M685" t="str">
            <v>ROCK GROUT PUMP (HAN DOK)</v>
          </cell>
          <cell r="N685" t="str">
            <v>NNAV.E499</v>
          </cell>
          <cell r="P685" t="str">
            <v>MIN_SRG_001</v>
          </cell>
          <cell r="Q685">
            <v>4416.97</v>
          </cell>
          <cell r="R685" t="str">
            <v>EACH</v>
          </cell>
          <cell r="S685" t="str">
            <v>AUD</v>
          </cell>
          <cell r="T685">
            <v>0</v>
          </cell>
          <cell r="U685">
            <v>0</v>
          </cell>
          <cell r="V685">
            <v>0</v>
          </cell>
          <cell r="W685">
            <v>45884</v>
          </cell>
          <cell r="X685">
            <v>0</v>
          </cell>
          <cell r="Y685">
            <v>0</v>
          </cell>
        </row>
        <row r="686">
          <cell r="L686" t="str">
            <v>GR-WET-COM</v>
          </cell>
          <cell r="M686" t="str">
            <v>WET END COMPLETE</v>
          </cell>
          <cell r="N686" t="str">
            <v>NNAV.E499</v>
          </cell>
          <cell r="P686" t="str">
            <v>MIN_SRG_001</v>
          </cell>
          <cell r="Q686">
            <v>1299.51</v>
          </cell>
          <cell r="R686" t="str">
            <v>EACH</v>
          </cell>
          <cell r="S686" t="str">
            <v>AUD</v>
          </cell>
          <cell r="T686">
            <v>0</v>
          </cell>
          <cell r="U686">
            <v>0</v>
          </cell>
          <cell r="V686">
            <v>0</v>
          </cell>
          <cell r="W686">
            <v>45884</v>
          </cell>
          <cell r="X686">
            <v>0</v>
          </cell>
          <cell r="Y686">
            <v>0</v>
          </cell>
        </row>
        <row r="687">
          <cell r="L687" t="str">
            <v>HOSE-3.0</v>
          </cell>
          <cell r="M687" t="str">
            <v>HYDRAULIC HOSE 3.0M</v>
          </cell>
          <cell r="N687" t="str">
            <v>NNAV.E499</v>
          </cell>
          <cell r="P687" t="str">
            <v>MIN_SRG_001</v>
          </cell>
          <cell r="Q687">
            <v>267.08</v>
          </cell>
          <cell r="R687" t="str">
            <v>EACH</v>
          </cell>
          <cell r="S687" t="str">
            <v>AUD</v>
          </cell>
          <cell r="T687">
            <v>0</v>
          </cell>
          <cell r="U687">
            <v>0</v>
          </cell>
          <cell r="V687">
            <v>0</v>
          </cell>
          <cell r="W687">
            <v>45884</v>
          </cell>
          <cell r="X687">
            <v>0</v>
          </cell>
          <cell r="Y687">
            <v>0</v>
          </cell>
        </row>
        <row r="688">
          <cell r="L688" t="str">
            <v>TURTLELUB</v>
          </cell>
          <cell r="M688" t="str">
            <v>TURTLE LUBRICATOR 1.5L</v>
          </cell>
          <cell r="N688" t="str">
            <v>NNAV.E499</v>
          </cell>
          <cell r="P688" t="str">
            <v>MIN_SRG_001</v>
          </cell>
          <cell r="Q688">
            <v>385</v>
          </cell>
          <cell r="R688" t="str">
            <v>EACH</v>
          </cell>
          <cell r="S688" t="str">
            <v>AUD</v>
          </cell>
          <cell r="T688">
            <v>0</v>
          </cell>
          <cell r="U688">
            <v>0</v>
          </cell>
          <cell r="V688">
            <v>0</v>
          </cell>
          <cell r="W688">
            <v>45884</v>
          </cell>
          <cell r="X688">
            <v>0</v>
          </cell>
          <cell r="Y688">
            <v>0</v>
          </cell>
        </row>
        <row r="689">
          <cell r="L689" t="str">
            <v>GMP-AM-01</v>
          </cell>
          <cell r="M689" t="str">
            <v>REAR ROTOR BEARING BEARING</v>
          </cell>
          <cell r="N689" t="str">
            <v>NNAV.E499</v>
          </cell>
          <cell r="P689" t="str">
            <v>MIN_SRG_001</v>
          </cell>
          <cell r="Q689">
            <v>17.920000000000002</v>
          </cell>
          <cell r="R689" t="str">
            <v>EACH</v>
          </cell>
          <cell r="S689" t="str">
            <v>AUD</v>
          </cell>
          <cell r="T689">
            <v>0</v>
          </cell>
          <cell r="U689">
            <v>0</v>
          </cell>
          <cell r="V689">
            <v>0</v>
          </cell>
          <cell r="W689">
            <v>45884</v>
          </cell>
          <cell r="X689">
            <v>0</v>
          </cell>
          <cell r="Y689">
            <v>0</v>
          </cell>
        </row>
        <row r="690">
          <cell r="L690" t="str">
            <v>GMP-AM-02</v>
          </cell>
          <cell r="M690" t="str">
            <v>FRONT ROTOR BEARING</v>
          </cell>
          <cell r="N690" t="str">
            <v>NNAV.E499</v>
          </cell>
          <cell r="P690" t="str">
            <v>MIN_SRG_001</v>
          </cell>
          <cell r="Q690">
            <v>207.31</v>
          </cell>
          <cell r="R690" t="str">
            <v>EACH</v>
          </cell>
          <cell r="S690" t="str">
            <v>AUD</v>
          </cell>
          <cell r="T690">
            <v>0</v>
          </cell>
          <cell r="U690">
            <v>0</v>
          </cell>
          <cell r="V690">
            <v>0</v>
          </cell>
          <cell r="W690">
            <v>45884</v>
          </cell>
          <cell r="X690">
            <v>0</v>
          </cell>
          <cell r="Y690">
            <v>0</v>
          </cell>
        </row>
        <row r="691">
          <cell r="L691" t="str">
            <v>GMP-AM-08</v>
          </cell>
          <cell r="M691" t="str">
            <v>GASKET</v>
          </cell>
          <cell r="N691" t="str">
            <v>NNAV.E499</v>
          </cell>
          <cell r="P691" t="str">
            <v>MIN_SRG_001</v>
          </cell>
          <cell r="Q691">
            <v>20.65</v>
          </cell>
          <cell r="R691" t="str">
            <v>EACH</v>
          </cell>
          <cell r="S691" t="str">
            <v>AUD</v>
          </cell>
          <cell r="T691">
            <v>0</v>
          </cell>
          <cell r="U691">
            <v>0</v>
          </cell>
          <cell r="V691">
            <v>0</v>
          </cell>
          <cell r="W691">
            <v>45884</v>
          </cell>
          <cell r="X691">
            <v>0</v>
          </cell>
          <cell r="Y691">
            <v>0</v>
          </cell>
        </row>
        <row r="692">
          <cell r="L692" t="str">
            <v>GMP-AM-09</v>
          </cell>
          <cell r="M692" t="str">
            <v>VANE KIT</v>
          </cell>
          <cell r="N692" t="str">
            <v>NNAV.E499</v>
          </cell>
          <cell r="P692" t="str">
            <v>MIN_SRG_001</v>
          </cell>
          <cell r="Q692">
            <v>227.77</v>
          </cell>
          <cell r="R692" t="str">
            <v>EACH</v>
          </cell>
          <cell r="S692" t="str">
            <v>AUD</v>
          </cell>
          <cell r="T692">
            <v>0</v>
          </cell>
          <cell r="U692">
            <v>0</v>
          </cell>
          <cell r="V692">
            <v>0</v>
          </cell>
          <cell r="W692">
            <v>45884</v>
          </cell>
          <cell r="X692">
            <v>0</v>
          </cell>
          <cell r="Y692">
            <v>0</v>
          </cell>
        </row>
        <row r="693">
          <cell r="L693" t="str">
            <v>GMP-AM-10</v>
          </cell>
          <cell r="M693" t="str">
            <v>ROTOR SHAFT SEAL</v>
          </cell>
          <cell r="N693" t="str">
            <v>NNAV.E499</v>
          </cell>
          <cell r="P693" t="str">
            <v>MIN_SRG_001</v>
          </cell>
          <cell r="Q693">
            <v>15.52</v>
          </cell>
          <cell r="R693" t="str">
            <v>EACH</v>
          </cell>
          <cell r="S693" t="str">
            <v>AUD</v>
          </cell>
          <cell r="T693">
            <v>0</v>
          </cell>
          <cell r="U693">
            <v>0</v>
          </cell>
          <cell r="V693">
            <v>0</v>
          </cell>
          <cell r="W693">
            <v>45884</v>
          </cell>
          <cell r="X693">
            <v>0</v>
          </cell>
          <cell r="Y693">
            <v>0</v>
          </cell>
        </row>
        <row r="694">
          <cell r="L694" t="str">
            <v>GMP-AM-11</v>
          </cell>
          <cell r="M694" t="str">
            <v>GASKET</v>
          </cell>
          <cell r="N694" t="str">
            <v>NNAV.E499</v>
          </cell>
          <cell r="P694" t="str">
            <v>MIN_SRG_001</v>
          </cell>
          <cell r="Q694">
            <v>8.65</v>
          </cell>
          <cell r="R694" t="str">
            <v>EACH</v>
          </cell>
          <cell r="S694" t="str">
            <v>AUD</v>
          </cell>
          <cell r="T694">
            <v>0</v>
          </cell>
          <cell r="U694">
            <v>0</v>
          </cell>
          <cell r="V694">
            <v>0</v>
          </cell>
          <cell r="W694">
            <v>45884</v>
          </cell>
          <cell r="X694">
            <v>0</v>
          </cell>
          <cell r="Y694">
            <v>0</v>
          </cell>
        </row>
        <row r="695">
          <cell r="L695" t="str">
            <v>GMP-AM-12</v>
          </cell>
          <cell r="M695" t="str">
            <v>ORING</v>
          </cell>
          <cell r="N695" t="str">
            <v>NNAV.E499</v>
          </cell>
          <cell r="P695" t="str">
            <v>MIN_SRG_001</v>
          </cell>
          <cell r="Q695">
            <v>7.27</v>
          </cell>
          <cell r="R695" t="str">
            <v>EACH</v>
          </cell>
          <cell r="S695" t="str">
            <v>AUD</v>
          </cell>
          <cell r="T695">
            <v>0</v>
          </cell>
          <cell r="U695">
            <v>0</v>
          </cell>
          <cell r="V695">
            <v>0</v>
          </cell>
          <cell r="W695">
            <v>45884</v>
          </cell>
          <cell r="X695">
            <v>0</v>
          </cell>
          <cell r="Y695">
            <v>0</v>
          </cell>
        </row>
        <row r="696">
          <cell r="L696" t="str">
            <v>GMP-AM-13</v>
          </cell>
          <cell r="M696" t="str">
            <v>VANE PINS</v>
          </cell>
          <cell r="N696" t="str">
            <v>NNAV.E499</v>
          </cell>
          <cell r="P696" t="str">
            <v>MIN_SRG_001</v>
          </cell>
          <cell r="Q696">
            <v>17.940000000000001</v>
          </cell>
          <cell r="R696" t="str">
            <v>EACH</v>
          </cell>
          <cell r="S696" t="str">
            <v>AUD</v>
          </cell>
          <cell r="T696">
            <v>0</v>
          </cell>
          <cell r="U696">
            <v>0</v>
          </cell>
          <cell r="V696">
            <v>0</v>
          </cell>
          <cell r="W696">
            <v>45884</v>
          </cell>
          <cell r="X696">
            <v>0</v>
          </cell>
          <cell r="Y696">
            <v>0</v>
          </cell>
        </row>
        <row r="697">
          <cell r="L697" t="str">
            <v>GMP-GB-01</v>
          </cell>
          <cell r="M697" t="str">
            <v>BEARING - GEARBOX</v>
          </cell>
          <cell r="N697" t="str">
            <v>NNAV.E499</v>
          </cell>
          <cell r="P697" t="str">
            <v>MIN_SRG_001</v>
          </cell>
          <cell r="Q697">
            <v>41.19</v>
          </cell>
          <cell r="R697" t="str">
            <v>EACH</v>
          </cell>
          <cell r="S697" t="str">
            <v>AUD</v>
          </cell>
          <cell r="T697">
            <v>0</v>
          </cell>
          <cell r="U697">
            <v>0</v>
          </cell>
          <cell r="V697">
            <v>0</v>
          </cell>
          <cell r="W697">
            <v>45884</v>
          </cell>
          <cell r="X697">
            <v>0</v>
          </cell>
          <cell r="Y697">
            <v>0</v>
          </cell>
        </row>
        <row r="698">
          <cell r="L698" t="str">
            <v>GMP-GB-02</v>
          </cell>
          <cell r="M698" t="str">
            <v>BEARING - GEARBOX</v>
          </cell>
          <cell r="N698" t="str">
            <v>NNAV.E499</v>
          </cell>
          <cell r="P698" t="str">
            <v>MIN_SRG_001</v>
          </cell>
          <cell r="Q698">
            <v>133.41999999999999</v>
          </cell>
          <cell r="R698" t="str">
            <v>EACH</v>
          </cell>
          <cell r="S698" t="str">
            <v>AUD</v>
          </cell>
          <cell r="T698">
            <v>0</v>
          </cell>
          <cell r="U698">
            <v>0</v>
          </cell>
          <cell r="V698">
            <v>0</v>
          </cell>
          <cell r="W698">
            <v>45884</v>
          </cell>
          <cell r="X698">
            <v>0</v>
          </cell>
          <cell r="Y698">
            <v>0</v>
          </cell>
        </row>
        <row r="699">
          <cell r="L699" t="str">
            <v>GMP-GB-03</v>
          </cell>
          <cell r="M699" t="str">
            <v>SEAL</v>
          </cell>
          <cell r="N699" t="str">
            <v>NNAV.E499</v>
          </cell>
          <cell r="P699" t="str">
            <v>MIN_SRG_001</v>
          </cell>
          <cell r="Q699">
            <v>20.3</v>
          </cell>
          <cell r="R699" t="str">
            <v>EACH</v>
          </cell>
          <cell r="S699" t="str">
            <v>AUD</v>
          </cell>
          <cell r="T699">
            <v>0</v>
          </cell>
          <cell r="U699">
            <v>0</v>
          </cell>
          <cell r="V699">
            <v>0</v>
          </cell>
          <cell r="W699">
            <v>45884</v>
          </cell>
          <cell r="X699">
            <v>0</v>
          </cell>
          <cell r="Y699">
            <v>0</v>
          </cell>
        </row>
        <row r="700">
          <cell r="L700" t="str">
            <v>GMP-GB-04</v>
          </cell>
          <cell r="M700" t="str">
            <v>OUTPUT SEAL</v>
          </cell>
          <cell r="N700" t="str">
            <v>NNAV.E499</v>
          </cell>
          <cell r="P700" t="str">
            <v>MIN_SRG_001</v>
          </cell>
          <cell r="Q700">
            <v>14.98</v>
          </cell>
          <cell r="R700" t="str">
            <v>EACH</v>
          </cell>
          <cell r="S700" t="str">
            <v>AUD</v>
          </cell>
          <cell r="T700">
            <v>0</v>
          </cell>
          <cell r="U700">
            <v>0</v>
          </cell>
          <cell r="V700">
            <v>0</v>
          </cell>
          <cell r="W700">
            <v>45884</v>
          </cell>
          <cell r="X700">
            <v>0</v>
          </cell>
          <cell r="Y700">
            <v>0</v>
          </cell>
        </row>
        <row r="701">
          <cell r="L701" t="str">
            <v>GMP-GB-06</v>
          </cell>
          <cell r="M701" t="str">
            <v>SHAFT</v>
          </cell>
          <cell r="N701" t="str">
            <v>NNAV.E499</v>
          </cell>
          <cell r="P701" t="str">
            <v>MIN_SRG_001</v>
          </cell>
          <cell r="Q701">
            <v>198</v>
          </cell>
          <cell r="R701" t="str">
            <v>EACH</v>
          </cell>
          <cell r="S701" t="str">
            <v>AUD</v>
          </cell>
          <cell r="T701">
            <v>0</v>
          </cell>
          <cell r="U701">
            <v>0</v>
          </cell>
          <cell r="V701">
            <v>0</v>
          </cell>
          <cell r="W701">
            <v>45884</v>
          </cell>
          <cell r="X701">
            <v>0</v>
          </cell>
          <cell r="Y701">
            <v>0</v>
          </cell>
        </row>
        <row r="702">
          <cell r="L702" t="str">
            <v>GMP-GB-07</v>
          </cell>
          <cell r="M702" t="str">
            <v>BEARING</v>
          </cell>
          <cell r="N702" t="str">
            <v>NNAV.E499</v>
          </cell>
          <cell r="P702" t="str">
            <v>MIN_SRG_001</v>
          </cell>
          <cell r="Q702">
            <v>27.94</v>
          </cell>
          <cell r="R702" t="str">
            <v>EACH</v>
          </cell>
          <cell r="S702" t="str">
            <v>AUD</v>
          </cell>
          <cell r="T702">
            <v>0</v>
          </cell>
          <cell r="U702">
            <v>0</v>
          </cell>
          <cell r="V702">
            <v>0</v>
          </cell>
          <cell r="W702">
            <v>45884</v>
          </cell>
          <cell r="X702">
            <v>0</v>
          </cell>
          <cell r="Y702">
            <v>0</v>
          </cell>
        </row>
        <row r="703">
          <cell r="L703" t="str">
            <v>PA6D-23</v>
          </cell>
          <cell r="M703" t="str">
            <v>REPAIR KIT 300844</v>
          </cell>
          <cell r="N703" t="str">
            <v>NNAV.E499</v>
          </cell>
          <cell r="P703" t="str">
            <v>MIN_SRG_001</v>
          </cell>
          <cell r="Q703">
            <v>677.08</v>
          </cell>
          <cell r="R703" t="str">
            <v>EACH</v>
          </cell>
          <cell r="S703" t="str">
            <v>AUD</v>
          </cell>
          <cell r="T703">
            <v>0</v>
          </cell>
          <cell r="U703">
            <v>0</v>
          </cell>
          <cell r="V703">
            <v>0</v>
          </cell>
          <cell r="W703">
            <v>45884</v>
          </cell>
          <cell r="X703">
            <v>0</v>
          </cell>
          <cell r="Y703">
            <v>0</v>
          </cell>
        </row>
        <row r="704">
          <cell r="L704" t="str">
            <v>PA6D-24</v>
          </cell>
          <cell r="M704" t="str">
            <v>REPAIR KIT 300847</v>
          </cell>
          <cell r="N704" t="str">
            <v>NNAV.E499</v>
          </cell>
          <cell r="P704" t="str">
            <v>MIN_SRG_001</v>
          </cell>
          <cell r="Q704">
            <v>1089.0899999999999</v>
          </cell>
          <cell r="R704" t="str">
            <v>EACH</v>
          </cell>
          <cell r="S704" t="str">
            <v>AUD</v>
          </cell>
          <cell r="T704">
            <v>0</v>
          </cell>
          <cell r="U704">
            <v>0</v>
          </cell>
          <cell r="V704">
            <v>0</v>
          </cell>
          <cell r="W704">
            <v>45884</v>
          </cell>
          <cell r="X704">
            <v>0</v>
          </cell>
          <cell r="Y704">
            <v>0</v>
          </cell>
        </row>
        <row r="705">
          <cell r="L705" t="str">
            <v>CC10</v>
          </cell>
          <cell r="M705" t="str">
            <v>CABLE CUTTER 10 TON</v>
          </cell>
          <cell r="N705" t="str">
            <v>NNAV.E499</v>
          </cell>
          <cell r="P705" t="str">
            <v>MIN_SRG_001</v>
          </cell>
          <cell r="Q705">
            <v>6885.33</v>
          </cell>
          <cell r="R705" t="str">
            <v>EACH</v>
          </cell>
          <cell r="S705" t="str">
            <v>AUD</v>
          </cell>
          <cell r="T705">
            <v>1</v>
          </cell>
          <cell r="U705">
            <v>0</v>
          </cell>
          <cell r="V705">
            <v>0</v>
          </cell>
          <cell r="W705">
            <v>45884</v>
          </cell>
          <cell r="X705">
            <v>1</v>
          </cell>
          <cell r="Y705">
            <v>6885.33</v>
          </cell>
        </row>
        <row r="706">
          <cell r="L706" t="str">
            <v>CC10-01</v>
          </cell>
          <cell r="M706" t="str">
            <v>MOVING BLADE CABLE CUTTER</v>
          </cell>
          <cell r="N706" t="str">
            <v>NNAV.E499</v>
          </cell>
          <cell r="P706" t="str">
            <v>MIN_SRG_001</v>
          </cell>
          <cell r="Q706">
            <v>260.42</v>
          </cell>
          <cell r="R706" t="str">
            <v>EACH</v>
          </cell>
          <cell r="S706" t="str">
            <v>AUD</v>
          </cell>
          <cell r="T706">
            <v>4</v>
          </cell>
          <cell r="U706">
            <v>0</v>
          </cell>
          <cell r="V706">
            <v>0</v>
          </cell>
          <cell r="W706">
            <v>45884</v>
          </cell>
          <cell r="X706">
            <v>4</v>
          </cell>
          <cell r="Y706">
            <v>1041.68</v>
          </cell>
        </row>
        <row r="707">
          <cell r="L707" t="str">
            <v>CC10-02</v>
          </cell>
          <cell r="M707" t="str">
            <v>FIXED BLADE CABLE CUTTER</v>
          </cell>
          <cell r="N707" t="str">
            <v>NNAV.E499</v>
          </cell>
          <cell r="P707" t="str">
            <v>MIN_SRG_001</v>
          </cell>
          <cell r="Q707">
            <v>260.42</v>
          </cell>
          <cell r="R707" t="str">
            <v>EACH</v>
          </cell>
          <cell r="S707" t="str">
            <v>AUD</v>
          </cell>
          <cell r="T707">
            <v>4</v>
          </cell>
          <cell r="U707">
            <v>0</v>
          </cell>
          <cell r="V707">
            <v>0</v>
          </cell>
          <cell r="W707">
            <v>45884</v>
          </cell>
          <cell r="X707">
            <v>4</v>
          </cell>
          <cell r="Y707">
            <v>1041.68</v>
          </cell>
        </row>
        <row r="708">
          <cell r="L708" t="str">
            <v>CC10-03</v>
          </cell>
          <cell r="M708" t="str">
            <v>CABLE CUTTER SEAL KIT</v>
          </cell>
          <cell r="N708" t="str">
            <v>NNAV.E499</v>
          </cell>
          <cell r="P708" t="str">
            <v>MIN_SRG_001</v>
          </cell>
          <cell r="Q708">
            <v>213.88</v>
          </cell>
          <cell r="R708" t="str">
            <v>EACH</v>
          </cell>
          <cell r="S708" t="str">
            <v>AUD</v>
          </cell>
          <cell r="T708">
            <v>4</v>
          </cell>
          <cell r="U708">
            <v>0</v>
          </cell>
          <cell r="V708">
            <v>0</v>
          </cell>
          <cell r="W708">
            <v>45884</v>
          </cell>
          <cell r="X708">
            <v>4</v>
          </cell>
          <cell r="Y708">
            <v>855.52</v>
          </cell>
        </row>
        <row r="709">
          <cell r="L709" t="str">
            <v>CC10-04</v>
          </cell>
          <cell r="M709" t="str">
            <v>CABLE CUTTER SPRING ASSEMBLY</v>
          </cell>
          <cell r="N709" t="str">
            <v>NNAV.E499</v>
          </cell>
          <cell r="P709" t="str">
            <v>MIN_SRG_001</v>
          </cell>
          <cell r="Q709">
            <v>75</v>
          </cell>
          <cell r="R709" t="str">
            <v>EACH</v>
          </cell>
          <cell r="S709" t="str">
            <v>AUD</v>
          </cell>
          <cell r="T709">
            <v>10</v>
          </cell>
          <cell r="U709">
            <v>0</v>
          </cell>
          <cell r="V709">
            <v>0</v>
          </cell>
          <cell r="W709">
            <v>45884</v>
          </cell>
          <cell r="X709">
            <v>10</v>
          </cell>
          <cell r="Y709">
            <v>750</v>
          </cell>
        </row>
        <row r="710">
          <cell r="L710" t="str">
            <v>CC10-06</v>
          </cell>
          <cell r="M710" t="str">
            <v>SAFETY SHROUD</v>
          </cell>
          <cell r="N710" t="str">
            <v>NNAV.E499</v>
          </cell>
          <cell r="P710" t="str">
            <v>MIN_SRG_001</v>
          </cell>
          <cell r="Q710">
            <v>393.75</v>
          </cell>
          <cell r="R710" t="str">
            <v>EACH</v>
          </cell>
          <cell r="S710" t="str">
            <v>AUD</v>
          </cell>
          <cell r="T710">
            <v>2</v>
          </cell>
          <cell r="U710">
            <v>0</v>
          </cell>
          <cell r="V710">
            <v>0</v>
          </cell>
          <cell r="W710">
            <v>45884</v>
          </cell>
          <cell r="X710">
            <v>2</v>
          </cell>
          <cell r="Y710">
            <v>787.5</v>
          </cell>
        </row>
        <row r="711">
          <cell r="L711" t="str">
            <v>CC10-07</v>
          </cell>
          <cell r="M711" t="str">
            <v>CATCHER</v>
          </cell>
          <cell r="N711" t="str">
            <v>NNAV.E499</v>
          </cell>
          <cell r="P711" t="str">
            <v>MIN_SRG_001</v>
          </cell>
          <cell r="Q711">
            <v>202.5</v>
          </cell>
          <cell r="R711" t="str">
            <v>EACH</v>
          </cell>
          <cell r="S711" t="str">
            <v>AUD</v>
          </cell>
          <cell r="T711">
            <v>2</v>
          </cell>
          <cell r="U711">
            <v>0</v>
          </cell>
          <cell r="V711">
            <v>0</v>
          </cell>
          <cell r="W711">
            <v>45884</v>
          </cell>
          <cell r="X711">
            <v>2</v>
          </cell>
          <cell r="Y711">
            <v>405</v>
          </cell>
        </row>
        <row r="712">
          <cell r="L712" t="str">
            <v>CT10RUNIT</v>
          </cell>
          <cell r="M712" t="str">
            <v>CT10R TENSION UNIT</v>
          </cell>
          <cell r="N712" t="str">
            <v>NNAV.E499</v>
          </cell>
          <cell r="P712" t="str">
            <v>MIN_SRG_001</v>
          </cell>
          <cell r="Q712">
            <v>14106.02</v>
          </cell>
          <cell r="R712" t="str">
            <v>EACH</v>
          </cell>
          <cell r="S712" t="str">
            <v>AUD</v>
          </cell>
          <cell r="T712">
            <v>1</v>
          </cell>
          <cell r="U712">
            <v>0</v>
          </cell>
          <cell r="V712">
            <v>0</v>
          </cell>
          <cell r="W712">
            <v>45884</v>
          </cell>
          <cell r="X712">
            <v>1</v>
          </cell>
          <cell r="Y712">
            <v>14106.02</v>
          </cell>
        </row>
        <row r="713">
          <cell r="L713" t="str">
            <v>CT10-01</v>
          </cell>
          <cell r="M713" t="str">
            <v>ELBOW 3/8" NPT M/F</v>
          </cell>
          <cell r="N713" t="str">
            <v>NNAV.E499</v>
          </cell>
          <cell r="P713" t="str">
            <v>MIN_SRG_001</v>
          </cell>
          <cell r="Q713">
            <v>177.08</v>
          </cell>
          <cell r="R713" t="str">
            <v>EACH</v>
          </cell>
          <cell r="S713" t="str">
            <v>AUD</v>
          </cell>
          <cell r="T713">
            <v>4</v>
          </cell>
          <cell r="U713">
            <v>0</v>
          </cell>
          <cell r="V713">
            <v>0</v>
          </cell>
          <cell r="W713">
            <v>45884</v>
          </cell>
          <cell r="X713">
            <v>4</v>
          </cell>
          <cell r="Y713">
            <v>708.32</v>
          </cell>
        </row>
        <row r="714">
          <cell r="L714" t="str">
            <v>CT10-02</v>
          </cell>
          <cell r="M714" t="str">
            <v>CT10 CYLINDER OUTER BODY</v>
          </cell>
          <cell r="N714" t="str">
            <v>NNAV.E499</v>
          </cell>
          <cell r="P714" t="str">
            <v>MIN_SRG_001</v>
          </cell>
          <cell r="Q714">
            <v>1191.3699999999999</v>
          </cell>
          <cell r="R714" t="str">
            <v>EACH</v>
          </cell>
          <cell r="S714" t="str">
            <v>AUD</v>
          </cell>
          <cell r="T714">
            <v>1</v>
          </cell>
          <cell r="U714">
            <v>0</v>
          </cell>
          <cell r="V714">
            <v>0</v>
          </cell>
          <cell r="W714">
            <v>45884</v>
          </cell>
          <cell r="X714">
            <v>1</v>
          </cell>
          <cell r="Y714">
            <v>1191.3699999999999</v>
          </cell>
        </row>
        <row r="715">
          <cell r="L715" t="str">
            <v>CT1003</v>
          </cell>
          <cell r="M715" t="str">
            <v>JACK SEAL KIT</v>
          </cell>
          <cell r="N715" t="str">
            <v>NNAV.E499</v>
          </cell>
          <cell r="P715" t="str">
            <v>MIN_SRG_001</v>
          </cell>
          <cell r="Q715">
            <v>167.56</v>
          </cell>
          <cell r="R715" t="str">
            <v>EACH</v>
          </cell>
          <cell r="S715" t="str">
            <v>AUD</v>
          </cell>
          <cell r="T715">
            <v>8</v>
          </cell>
          <cell r="U715">
            <v>0</v>
          </cell>
          <cell r="V715">
            <v>0</v>
          </cell>
          <cell r="W715">
            <v>45884</v>
          </cell>
          <cell r="X715">
            <v>8</v>
          </cell>
          <cell r="Y715">
            <v>1340.48</v>
          </cell>
        </row>
        <row r="716">
          <cell r="L716" t="str">
            <v>CT1004</v>
          </cell>
          <cell r="M716" t="str">
            <v>LOAD CAP</v>
          </cell>
          <cell r="N716" t="str">
            <v>NNAV.E499</v>
          </cell>
          <cell r="P716" t="str">
            <v>MIN_SRG_001</v>
          </cell>
          <cell r="Q716">
            <v>168.9</v>
          </cell>
          <cell r="R716" t="str">
            <v>EACH</v>
          </cell>
          <cell r="S716" t="str">
            <v>AUD</v>
          </cell>
          <cell r="T716">
            <v>12</v>
          </cell>
          <cell r="U716">
            <v>0</v>
          </cell>
          <cell r="V716">
            <v>0</v>
          </cell>
          <cell r="W716">
            <v>45884</v>
          </cell>
          <cell r="X716">
            <v>12</v>
          </cell>
          <cell r="Y716">
            <v>2026.8</v>
          </cell>
        </row>
        <row r="717">
          <cell r="L717" t="str">
            <v>CT10-05</v>
          </cell>
          <cell r="M717" t="str">
            <v>CT10 JACK PISTON ROD</v>
          </cell>
          <cell r="N717" t="str">
            <v>NNAV.E499</v>
          </cell>
          <cell r="P717" t="str">
            <v>MIN_SRG_001</v>
          </cell>
          <cell r="Q717">
            <v>1067.6099999999999</v>
          </cell>
          <cell r="R717" t="str">
            <v>EACH</v>
          </cell>
          <cell r="S717" t="str">
            <v>AUD</v>
          </cell>
          <cell r="T717">
            <v>4</v>
          </cell>
          <cell r="U717">
            <v>0</v>
          </cell>
          <cell r="V717">
            <v>0</v>
          </cell>
          <cell r="W717">
            <v>45884</v>
          </cell>
          <cell r="X717">
            <v>4</v>
          </cell>
          <cell r="Y717">
            <v>4270.4399999999996</v>
          </cell>
        </row>
        <row r="718">
          <cell r="L718" t="str">
            <v>CT10-06</v>
          </cell>
          <cell r="M718" t="str">
            <v>CT10 JACK CYL INNER BODY</v>
          </cell>
          <cell r="N718" t="str">
            <v>NNAV.E499</v>
          </cell>
          <cell r="P718" t="str">
            <v>MIN_SRG_001</v>
          </cell>
          <cell r="Q718">
            <v>1097.29</v>
          </cell>
          <cell r="R718" t="str">
            <v>EACH</v>
          </cell>
          <cell r="S718" t="str">
            <v>AUD</v>
          </cell>
          <cell r="T718">
            <v>4</v>
          </cell>
          <cell r="U718">
            <v>0</v>
          </cell>
          <cell r="V718">
            <v>0</v>
          </cell>
          <cell r="W718">
            <v>45884</v>
          </cell>
          <cell r="X718">
            <v>4</v>
          </cell>
          <cell r="Y718">
            <v>4389.16</v>
          </cell>
        </row>
        <row r="719">
          <cell r="L719" t="str">
            <v>CT10-07</v>
          </cell>
          <cell r="M719" t="str">
            <v>INNER GUIDE TUBE</v>
          </cell>
          <cell r="N719" t="str">
            <v>NNAV.E499</v>
          </cell>
          <cell r="P719" t="str">
            <v>MIN_SRG_001</v>
          </cell>
          <cell r="Q719">
            <v>42.84</v>
          </cell>
          <cell r="R719" t="str">
            <v>EACH</v>
          </cell>
          <cell r="S719" t="str">
            <v>AUD</v>
          </cell>
          <cell r="T719">
            <v>4</v>
          </cell>
          <cell r="U719">
            <v>0</v>
          </cell>
          <cell r="V719">
            <v>0</v>
          </cell>
          <cell r="W719">
            <v>45884</v>
          </cell>
          <cell r="X719">
            <v>4</v>
          </cell>
          <cell r="Y719">
            <v>171.36</v>
          </cell>
        </row>
        <row r="720">
          <cell r="L720" t="str">
            <v>CT10-08</v>
          </cell>
          <cell r="M720" t="str">
            <v>SPRING</v>
          </cell>
          <cell r="N720" t="str">
            <v>NNAV.E499</v>
          </cell>
          <cell r="P720" t="str">
            <v>MIN_SRG_001</v>
          </cell>
          <cell r="Q720">
            <v>22.92</v>
          </cell>
          <cell r="R720" t="str">
            <v>EACH</v>
          </cell>
          <cell r="S720" t="str">
            <v>AUD</v>
          </cell>
          <cell r="T720">
            <v>4</v>
          </cell>
          <cell r="U720">
            <v>0</v>
          </cell>
          <cell r="V720">
            <v>0</v>
          </cell>
          <cell r="W720">
            <v>45884</v>
          </cell>
          <cell r="X720">
            <v>4</v>
          </cell>
          <cell r="Y720">
            <v>91.68</v>
          </cell>
        </row>
        <row r="721">
          <cell r="L721" t="str">
            <v>CT10-09</v>
          </cell>
          <cell r="M721" t="str">
            <v>OUTER GUIDE TUBE</v>
          </cell>
          <cell r="N721" t="str">
            <v>NNAV.E499</v>
          </cell>
          <cell r="P721" t="str">
            <v>MIN_SRG_001</v>
          </cell>
          <cell r="Q721">
            <v>39.18</v>
          </cell>
          <cell r="R721" t="str">
            <v>EACH</v>
          </cell>
          <cell r="S721" t="str">
            <v>AUD</v>
          </cell>
          <cell r="T721">
            <v>4</v>
          </cell>
          <cell r="U721">
            <v>0</v>
          </cell>
          <cell r="V721">
            <v>0</v>
          </cell>
          <cell r="W721">
            <v>45884</v>
          </cell>
          <cell r="X721">
            <v>4</v>
          </cell>
          <cell r="Y721">
            <v>156.72</v>
          </cell>
        </row>
        <row r="722">
          <cell r="L722" t="str">
            <v>CT10-10</v>
          </cell>
          <cell r="M722" t="str">
            <v>SOCKET HIGH PRESSURE 3/8"NPT</v>
          </cell>
          <cell r="N722" t="str">
            <v>NNAV.E499</v>
          </cell>
          <cell r="P722" t="str">
            <v>MIN_SRG_001</v>
          </cell>
          <cell r="Q722">
            <v>21.17</v>
          </cell>
          <cell r="R722" t="str">
            <v>EACH</v>
          </cell>
          <cell r="S722" t="str">
            <v>AUD</v>
          </cell>
          <cell r="T722">
            <v>4</v>
          </cell>
          <cell r="U722">
            <v>0</v>
          </cell>
          <cell r="V722">
            <v>0</v>
          </cell>
          <cell r="W722">
            <v>45884</v>
          </cell>
          <cell r="X722">
            <v>4</v>
          </cell>
          <cell r="Y722">
            <v>84.68</v>
          </cell>
        </row>
        <row r="723">
          <cell r="L723" t="str">
            <v>CT10-13</v>
          </cell>
          <cell r="M723" t="str">
            <v>CT10 JACK ROD SCRAPER SEAL</v>
          </cell>
          <cell r="N723" t="str">
            <v>NNAV.E499</v>
          </cell>
          <cell r="P723" t="str">
            <v>MIN_SRG_001</v>
          </cell>
          <cell r="Q723">
            <v>49.32</v>
          </cell>
          <cell r="R723" t="str">
            <v>EACH</v>
          </cell>
          <cell r="S723" t="str">
            <v>AUD</v>
          </cell>
          <cell r="T723">
            <v>20</v>
          </cell>
          <cell r="U723">
            <v>0</v>
          </cell>
          <cell r="V723">
            <v>0</v>
          </cell>
          <cell r="W723">
            <v>45884</v>
          </cell>
          <cell r="X723">
            <v>20</v>
          </cell>
          <cell r="Y723">
            <v>986.4</v>
          </cell>
        </row>
        <row r="724">
          <cell r="L724" t="str">
            <v>CT10-14</v>
          </cell>
          <cell r="M724" t="str">
            <v>JACK JAW CLEANING BRUSH COMP</v>
          </cell>
          <cell r="N724" t="str">
            <v>NNAV.E499</v>
          </cell>
          <cell r="P724" t="str">
            <v>MIN_SRG_001</v>
          </cell>
          <cell r="Q724">
            <v>288.14999999999998</v>
          </cell>
          <cell r="R724" t="str">
            <v>EACH</v>
          </cell>
          <cell r="S724" t="str">
            <v>AUD</v>
          </cell>
          <cell r="T724">
            <v>2</v>
          </cell>
          <cell r="U724">
            <v>0</v>
          </cell>
          <cell r="V724">
            <v>0</v>
          </cell>
          <cell r="W724">
            <v>45884</v>
          </cell>
          <cell r="X724">
            <v>2</v>
          </cell>
          <cell r="Y724">
            <v>576.29999999999995</v>
          </cell>
        </row>
        <row r="725">
          <cell r="L725" t="str">
            <v>CT10JJ</v>
          </cell>
          <cell r="M725" t="str">
            <v>JACK JAW SET</v>
          </cell>
          <cell r="N725" t="str">
            <v>NNAV.E499</v>
          </cell>
          <cell r="P725" t="str">
            <v>MIN_SRG_001</v>
          </cell>
          <cell r="Q725">
            <v>142.53</v>
          </cell>
          <cell r="R725" t="str">
            <v>EACH</v>
          </cell>
          <cell r="S725" t="str">
            <v>AUD</v>
          </cell>
          <cell r="T725">
            <v>40</v>
          </cell>
          <cell r="U725">
            <v>0</v>
          </cell>
          <cell r="V725">
            <v>0</v>
          </cell>
          <cell r="W725">
            <v>45884</v>
          </cell>
          <cell r="X725">
            <v>40</v>
          </cell>
          <cell r="Y725">
            <v>5701.2</v>
          </cell>
        </row>
        <row r="726">
          <cell r="L726" t="str">
            <v>CT10-JJ-01</v>
          </cell>
          <cell r="M726" t="str">
            <v>CT10 JACK JAW O-RING</v>
          </cell>
          <cell r="N726" t="str">
            <v>NNAV.E499</v>
          </cell>
          <cell r="P726" t="str">
            <v>MIN_SRG_001</v>
          </cell>
          <cell r="Q726">
            <v>1.1499999999999999</v>
          </cell>
          <cell r="R726" t="str">
            <v>EACH</v>
          </cell>
          <cell r="S726" t="str">
            <v>AUD</v>
          </cell>
          <cell r="T726">
            <v>30</v>
          </cell>
          <cell r="U726">
            <v>0</v>
          </cell>
          <cell r="V726">
            <v>0</v>
          </cell>
          <cell r="W726">
            <v>45884</v>
          </cell>
          <cell r="X726">
            <v>30</v>
          </cell>
          <cell r="Y726">
            <v>34.5</v>
          </cell>
        </row>
        <row r="727">
          <cell r="L727" t="str">
            <v>CT10R-01</v>
          </cell>
          <cell r="M727" t="str">
            <v>CT10R HANDLE REMOTE CONTROL</v>
          </cell>
          <cell r="N727" t="str">
            <v>NNAV.E499</v>
          </cell>
          <cell r="P727" t="str">
            <v>MIN_SRG_001</v>
          </cell>
          <cell r="Q727">
            <v>416.25</v>
          </cell>
          <cell r="R727" t="str">
            <v>EACH</v>
          </cell>
          <cell r="S727" t="str">
            <v>AUD</v>
          </cell>
          <cell r="T727">
            <v>20</v>
          </cell>
          <cell r="U727">
            <v>0</v>
          </cell>
          <cell r="V727">
            <v>0</v>
          </cell>
          <cell r="W727">
            <v>45884</v>
          </cell>
          <cell r="X727">
            <v>20</v>
          </cell>
          <cell r="Y727">
            <v>8325</v>
          </cell>
        </row>
        <row r="728">
          <cell r="L728" t="str">
            <v>CT10R-02</v>
          </cell>
          <cell r="M728" t="str">
            <v>46.002 VALVE</v>
          </cell>
          <cell r="N728" t="str">
            <v>NNAV.E499</v>
          </cell>
          <cell r="P728" t="str">
            <v>MIN_SRG_001</v>
          </cell>
          <cell r="Q728">
            <v>243.48</v>
          </cell>
          <cell r="R728" t="str">
            <v>EACH</v>
          </cell>
          <cell r="S728" t="str">
            <v>AUD</v>
          </cell>
          <cell r="T728">
            <v>8</v>
          </cell>
          <cell r="U728">
            <v>0</v>
          </cell>
          <cell r="V728">
            <v>0</v>
          </cell>
          <cell r="W728">
            <v>45884</v>
          </cell>
          <cell r="X728">
            <v>8</v>
          </cell>
          <cell r="Y728">
            <v>1947.84</v>
          </cell>
        </row>
        <row r="729">
          <cell r="L729" t="str">
            <v>CT10R-03</v>
          </cell>
          <cell r="M729" t="str">
            <v>CT10R REMOTE CONTROL HARNESS</v>
          </cell>
          <cell r="N729" t="str">
            <v>NNAV.E499</v>
          </cell>
          <cell r="P729" t="str">
            <v>MIN_SRG_001</v>
          </cell>
          <cell r="Q729">
            <v>111.38</v>
          </cell>
          <cell r="R729" t="str">
            <v>EACH</v>
          </cell>
          <cell r="S729" t="str">
            <v>AUD</v>
          </cell>
          <cell r="T729">
            <v>4</v>
          </cell>
          <cell r="U729">
            <v>0</v>
          </cell>
          <cell r="V729">
            <v>0</v>
          </cell>
          <cell r="W729">
            <v>45884</v>
          </cell>
          <cell r="X729">
            <v>4</v>
          </cell>
          <cell r="Y729">
            <v>445.52</v>
          </cell>
        </row>
        <row r="730">
          <cell r="L730" t="str">
            <v>CT10R-04</v>
          </cell>
          <cell r="M730" t="str">
            <v>TEE PIECE 3/8"NPT H/PRESS</v>
          </cell>
          <cell r="N730" t="str">
            <v>NNAV.E499</v>
          </cell>
          <cell r="P730" t="str">
            <v>MIN_SRG_001</v>
          </cell>
          <cell r="Q730">
            <v>51</v>
          </cell>
          <cell r="R730" t="str">
            <v>EACH</v>
          </cell>
          <cell r="S730" t="str">
            <v>AUD</v>
          </cell>
          <cell r="T730">
            <v>8</v>
          </cell>
          <cell r="U730">
            <v>0</v>
          </cell>
          <cell r="V730">
            <v>0</v>
          </cell>
          <cell r="W730">
            <v>45884</v>
          </cell>
          <cell r="X730">
            <v>8</v>
          </cell>
          <cell r="Y730">
            <v>408</v>
          </cell>
        </row>
        <row r="731">
          <cell r="L731" t="str">
            <v>CT10R-05</v>
          </cell>
          <cell r="M731" t="str">
            <v>REDUCING BUSH 3/8" X 1/4" NPT</v>
          </cell>
          <cell r="N731" t="str">
            <v>NNAV.E499</v>
          </cell>
          <cell r="P731" t="str">
            <v>MIN_SRG_001</v>
          </cell>
          <cell r="Q731">
            <v>8.92</v>
          </cell>
          <cell r="R731" t="str">
            <v>EACH</v>
          </cell>
          <cell r="S731" t="str">
            <v>AUD</v>
          </cell>
          <cell r="T731">
            <v>8</v>
          </cell>
          <cell r="U731">
            <v>0</v>
          </cell>
          <cell r="V731">
            <v>0</v>
          </cell>
          <cell r="W731">
            <v>45884</v>
          </cell>
          <cell r="X731">
            <v>8</v>
          </cell>
          <cell r="Y731">
            <v>71.36</v>
          </cell>
        </row>
        <row r="732">
          <cell r="L732" t="str">
            <v>CT10R-09</v>
          </cell>
          <cell r="M732" t="str">
            <v>STEEL REDUCING NIPPLE 1/2"X1/4</v>
          </cell>
          <cell r="N732" t="str">
            <v>NNAV.E499</v>
          </cell>
          <cell r="P732" t="str">
            <v>MIN_SRG_001</v>
          </cell>
          <cell r="Q732">
            <v>16.07</v>
          </cell>
          <cell r="R732" t="str">
            <v>EACH</v>
          </cell>
          <cell r="S732" t="str">
            <v>AUD</v>
          </cell>
          <cell r="T732">
            <v>4</v>
          </cell>
          <cell r="U732">
            <v>0</v>
          </cell>
          <cell r="V732">
            <v>0</v>
          </cell>
          <cell r="W732">
            <v>45884</v>
          </cell>
          <cell r="X732">
            <v>4</v>
          </cell>
          <cell r="Y732">
            <v>64.28</v>
          </cell>
        </row>
        <row r="733">
          <cell r="L733" t="str">
            <v>CT10R-10</v>
          </cell>
          <cell r="M733" t="str">
            <v>BRASS NIPPLE 1/4" BSP</v>
          </cell>
          <cell r="N733" t="str">
            <v>NNAV.E499</v>
          </cell>
          <cell r="P733" t="str">
            <v>MIN_SRG_001</v>
          </cell>
          <cell r="Q733">
            <v>4.75</v>
          </cell>
          <cell r="R733" t="str">
            <v>EACH</v>
          </cell>
          <cell r="S733" t="str">
            <v>AUD</v>
          </cell>
          <cell r="T733">
            <v>8</v>
          </cell>
          <cell r="U733">
            <v>0</v>
          </cell>
          <cell r="V733">
            <v>0</v>
          </cell>
          <cell r="W733">
            <v>45884</v>
          </cell>
          <cell r="X733">
            <v>8</v>
          </cell>
          <cell r="Y733">
            <v>38</v>
          </cell>
        </row>
        <row r="734">
          <cell r="L734" t="str">
            <v>CT10R-11</v>
          </cell>
          <cell r="M734" t="str">
            <v>1/8" BSP MALE BUTTON SILENCER</v>
          </cell>
          <cell r="N734" t="str">
            <v>NNAV.E499</v>
          </cell>
          <cell r="P734" t="str">
            <v>MIN_SRG_001</v>
          </cell>
          <cell r="Q734">
            <v>22.75</v>
          </cell>
          <cell r="R734" t="str">
            <v>EACH</v>
          </cell>
          <cell r="S734" t="str">
            <v>AUD</v>
          </cell>
          <cell r="T734">
            <v>8</v>
          </cell>
          <cell r="U734">
            <v>0</v>
          </cell>
          <cell r="V734">
            <v>0</v>
          </cell>
          <cell r="W734">
            <v>45884</v>
          </cell>
          <cell r="X734">
            <v>8</v>
          </cell>
          <cell r="Y734">
            <v>182</v>
          </cell>
        </row>
        <row r="735">
          <cell r="L735" t="str">
            <v>CT10R-12</v>
          </cell>
          <cell r="M735" t="str">
            <v>6MM PUSH-ON TUBE Y PIECE</v>
          </cell>
          <cell r="N735" t="str">
            <v>NNAV.E499</v>
          </cell>
          <cell r="P735" t="str">
            <v>MIN_SRG_001</v>
          </cell>
          <cell r="Q735">
            <v>68.319999999999993</v>
          </cell>
          <cell r="R735" t="str">
            <v>EACH</v>
          </cell>
          <cell r="S735" t="str">
            <v>AUD</v>
          </cell>
          <cell r="T735">
            <v>8</v>
          </cell>
          <cell r="U735">
            <v>0</v>
          </cell>
          <cell r="V735">
            <v>0</v>
          </cell>
          <cell r="W735">
            <v>45884</v>
          </cell>
          <cell r="X735">
            <v>8</v>
          </cell>
          <cell r="Y735">
            <v>546.55999999999995</v>
          </cell>
        </row>
        <row r="736">
          <cell r="L736" t="str">
            <v>CT10R-13</v>
          </cell>
          <cell r="M736" t="str">
            <v>6MM SWIVEL 90 TO 1/8"BSPP</v>
          </cell>
          <cell r="N736" t="str">
            <v>NNAV.E499</v>
          </cell>
          <cell r="P736" t="str">
            <v>MIN_SRG_001</v>
          </cell>
          <cell r="Q736">
            <v>10.8</v>
          </cell>
          <cell r="R736" t="str">
            <v>EACH</v>
          </cell>
          <cell r="S736" t="str">
            <v>AUD</v>
          </cell>
          <cell r="T736">
            <v>8</v>
          </cell>
          <cell r="U736">
            <v>0</v>
          </cell>
          <cell r="V736">
            <v>0</v>
          </cell>
          <cell r="W736">
            <v>45884</v>
          </cell>
          <cell r="X736">
            <v>8</v>
          </cell>
          <cell r="Y736">
            <v>86.4</v>
          </cell>
        </row>
        <row r="737">
          <cell r="L737" t="str">
            <v>CT10R-14</v>
          </cell>
          <cell r="M737" t="str">
            <v>6MM X 1/8"BSPP STR CONNECTOR</v>
          </cell>
          <cell r="N737" t="str">
            <v>NNAV.E499</v>
          </cell>
          <cell r="P737" t="str">
            <v>MIN_SRG_001</v>
          </cell>
          <cell r="Q737">
            <v>12.23</v>
          </cell>
          <cell r="R737" t="str">
            <v>EACH</v>
          </cell>
          <cell r="S737" t="str">
            <v>AUD</v>
          </cell>
          <cell r="T737">
            <v>8</v>
          </cell>
          <cell r="U737">
            <v>0</v>
          </cell>
          <cell r="V737">
            <v>0</v>
          </cell>
          <cell r="W737">
            <v>45884</v>
          </cell>
          <cell r="X737">
            <v>8</v>
          </cell>
          <cell r="Y737">
            <v>97.84</v>
          </cell>
        </row>
        <row r="738">
          <cell r="L738" t="str">
            <v>CT10R-15</v>
          </cell>
          <cell r="M738" t="str">
            <v>6MM X 5MMNPT STR NIPPLE</v>
          </cell>
          <cell r="N738" t="str">
            <v>NNAV.E499</v>
          </cell>
          <cell r="P738" t="str">
            <v>MIN_SRG_001</v>
          </cell>
          <cell r="Q738">
            <v>21.03</v>
          </cell>
          <cell r="R738" t="str">
            <v>EACH</v>
          </cell>
          <cell r="S738" t="str">
            <v>AUD</v>
          </cell>
          <cell r="T738">
            <v>8</v>
          </cell>
          <cell r="U738">
            <v>0</v>
          </cell>
          <cell r="V738">
            <v>0</v>
          </cell>
          <cell r="W738">
            <v>45884</v>
          </cell>
          <cell r="X738">
            <v>8</v>
          </cell>
          <cell r="Y738">
            <v>168.24</v>
          </cell>
        </row>
        <row r="739">
          <cell r="L739" t="str">
            <v>CT10R-16</v>
          </cell>
          <cell r="M739" t="str">
            <v>1/4"NPT BANJO FITTING</v>
          </cell>
          <cell r="N739" t="str">
            <v>NNAV.E499</v>
          </cell>
          <cell r="P739" t="str">
            <v>MIN_SRG_001</v>
          </cell>
          <cell r="Q739">
            <v>28.49</v>
          </cell>
          <cell r="R739" t="str">
            <v>EACH</v>
          </cell>
          <cell r="S739" t="str">
            <v>AUD</v>
          </cell>
          <cell r="T739">
            <v>8</v>
          </cell>
          <cell r="U739">
            <v>0</v>
          </cell>
          <cell r="V739">
            <v>0</v>
          </cell>
          <cell r="W739">
            <v>45884</v>
          </cell>
          <cell r="X739">
            <v>8</v>
          </cell>
          <cell r="Y739">
            <v>227.92</v>
          </cell>
        </row>
        <row r="740">
          <cell r="L740" t="str">
            <v>CT10R-18</v>
          </cell>
          <cell r="M740" t="str">
            <v>BRASS 5MM X 6MM HOSE CONNECTOR</v>
          </cell>
          <cell r="N740" t="str">
            <v>NNAV.E499</v>
          </cell>
          <cell r="P740" t="str">
            <v>MIN_SRG_001</v>
          </cell>
          <cell r="Q740">
            <v>11.46</v>
          </cell>
          <cell r="R740" t="str">
            <v>EACH</v>
          </cell>
          <cell r="S740" t="str">
            <v>AUD</v>
          </cell>
          <cell r="T740">
            <v>8</v>
          </cell>
          <cell r="U740">
            <v>0</v>
          </cell>
          <cell r="V740">
            <v>0</v>
          </cell>
          <cell r="W740">
            <v>45884</v>
          </cell>
          <cell r="X740">
            <v>8</v>
          </cell>
          <cell r="Y740">
            <v>91.68</v>
          </cell>
        </row>
        <row r="741">
          <cell r="L741" t="str">
            <v>CT10R-19</v>
          </cell>
          <cell r="M741" t="str">
            <v>BRASS 90° 5MM X 6MM HOSE CONT</v>
          </cell>
          <cell r="N741" t="str">
            <v>NNAV.E499</v>
          </cell>
          <cell r="P741" t="str">
            <v>MIN_SRG_001</v>
          </cell>
          <cell r="Q741">
            <v>18.149999999999999</v>
          </cell>
          <cell r="R741" t="str">
            <v>EACH</v>
          </cell>
          <cell r="S741" t="str">
            <v>AUD</v>
          </cell>
          <cell r="T741">
            <v>8</v>
          </cell>
          <cell r="U741">
            <v>0</v>
          </cell>
          <cell r="V741">
            <v>0</v>
          </cell>
          <cell r="W741">
            <v>45884</v>
          </cell>
          <cell r="X741">
            <v>8</v>
          </cell>
          <cell r="Y741">
            <v>145.19999999999999</v>
          </cell>
        </row>
        <row r="742">
          <cell r="L742" t="str">
            <v>PA554-07</v>
          </cell>
          <cell r="M742" t="str">
            <v>B&amp;S MUFFLER</v>
          </cell>
          <cell r="N742" t="str">
            <v>NNAV.E499</v>
          </cell>
          <cell r="P742" t="str">
            <v>MIN_SRG_001</v>
          </cell>
          <cell r="Q742">
            <v>25.94</v>
          </cell>
          <cell r="R742" t="str">
            <v>EACH</v>
          </cell>
          <cell r="S742" t="str">
            <v>AUD</v>
          </cell>
          <cell r="T742">
            <v>2</v>
          </cell>
          <cell r="U742">
            <v>0</v>
          </cell>
          <cell r="V742">
            <v>0</v>
          </cell>
          <cell r="W742">
            <v>45884</v>
          </cell>
          <cell r="X742">
            <v>2</v>
          </cell>
          <cell r="Y742">
            <v>51.88</v>
          </cell>
        </row>
        <row r="743">
          <cell r="L743" t="str">
            <v>PA554-19</v>
          </cell>
          <cell r="M743" t="str">
            <v>1/4"NPT M/F 45° ADAPTOR</v>
          </cell>
          <cell r="N743" t="str">
            <v>NNAV.E499</v>
          </cell>
          <cell r="P743" t="str">
            <v>MIN_SRG_001</v>
          </cell>
          <cell r="Q743">
            <v>28.67</v>
          </cell>
          <cell r="R743" t="str">
            <v>EACH</v>
          </cell>
          <cell r="S743" t="str">
            <v>AUD</v>
          </cell>
          <cell r="T743">
            <v>4</v>
          </cell>
          <cell r="U743">
            <v>0</v>
          </cell>
          <cell r="V743">
            <v>0</v>
          </cell>
          <cell r="W743">
            <v>45884</v>
          </cell>
          <cell r="X743">
            <v>4</v>
          </cell>
          <cell r="Y743">
            <v>114.68</v>
          </cell>
        </row>
        <row r="744">
          <cell r="L744" t="str">
            <v>PA6-01</v>
          </cell>
          <cell r="M744" t="str">
            <v>SOLENOID VALVE 9594</v>
          </cell>
          <cell r="N744" t="str">
            <v>NNAV.E499</v>
          </cell>
          <cell r="P744" t="str">
            <v>MIN_SRG_001</v>
          </cell>
          <cell r="Q744">
            <v>3201.67</v>
          </cell>
          <cell r="R744" t="str">
            <v>EACH</v>
          </cell>
          <cell r="S744" t="str">
            <v>AUD</v>
          </cell>
          <cell r="T744">
            <v>3</v>
          </cell>
          <cell r="U744">
            <v>0</v>
          </cell>
          <cell r="V744">
            <v>0</v>
          </cell>
          <cell r="W744">
            <v>45884</v>
          </cell>
          <cell r="X744">
            <v>3</v>
          </cell>
          <cell r="Y744">
            <v>9605.01</v>
          </cell>
        </row>
        <row r="745">
          <cell r="L745" t="str">
            <v>PA6-02</v>
          </cell>
          <cell r="M745" t="str">
            <v>VALVE 87.027</v>
          </cell>
          <cell r="N745" t="str">
            <v>NNAV.E499</v>
          </cell>
          <cell r="P745" t="str">
            <v>MIN_SRG_001</v>
          </cell>
          <cell r="Q745">
            <v>660.96</v>
          </cell>
          <cell r="R745" t="str">
            <v>EACH</v>
          </cell>
          <cell r="S745" t="str">
            <v>AUD</v>
          </cell>
          <cell r="T745">
            <v>3</v>
          </cell>
          <cell r="U745">
            <v>0</v>
          </cell>
          <cell r="V745">
            <v>0</v>
          </cell>
          <cell r="W745">
            <v>45884</v>
          </cell>
          <cell r="X745">
            <v>3</v>
          </cell>
          <cell r="Y745">
            <v>1982.88</v>
          </cell>
        </row>
        <row r="746">
          <cell r="L746" t="str">
            <v>PA6-03</v>
          </cell>
          <cell r="M746" t="str">
            <v>VALVE OR8-1/4</v>
          </cell>
          <cell r="N746" t="str">
            <v>NNAV.E499</v>
          </cell>
          <cell r="P746" t="str">
            <v>MIN_SRG_001</v>
          </cell>
          <cell r="Q746">
            <v>138.56</v>
          </cell>
          <cell r="R746" t="str">
            <v>EACH</v>
          </cell>
          <cell r="S746" t="str">
            <v>AUD</v>
          </cell>
          <cell r="T746">
            <v>3</v>
          </cell>
          <cell r="U746">
            <v>0</v>
          </cell>
          <cell r="V746">
            <v>0</v>
          </cell>
          <cell r="W746">
            <v>45884</v>
          </cell>
          <cell r="X746">
            <v>3</v>
          </cell>
          <cell r="Y746">
            <v>415.68</v>
          </cell>
        </row>
        <row r="747">
          <cell r="L747" t="str">
            <v>PA6-05</v>
          </cell>
          <cell r="M747" t="str">
            <v>AIR FILTER AFM20-02-C</v>
          </cell>
          <cell r="N747" t="str">
            <v>NNAV.E499</v>
          </cell>
          <cell r="P747" t="str">
            <v>MIN_SRG_001</v>
          </cell>
          <cell r="Q747">
            <v>171.15</v>
          </cell>
          <cell r="R747" t="str">
            <v>EACH</v>
          </cell>
          <cell r="S747" t="str">
            <v>AUD</v>
          </cell>
          <cell r="T747">
            <v>3</v>
          </cell>
          <cell r="U747">
            <v>0</v>
          </cell>
          <cell r="V747">
            <v>0</v>
          </cell>
          <cell r="W747">
            <v>45884</v>
          </cell>
          <cell r="X747">
            <v>3</v>
          </cell>
          <cell r="Y747">
            <v>513.45000000000005</v>
          </cell>
        </row>
        <row r="748">
          <cell r="L748" t="str">
            <v>PA6-06</v>
          </cell>
          <cell r="M748" t="str">
            <v>AIR LUBRICATOR AL20-02-C</v>
          </cell>
          <cell r="N748" t="str">
            <v>NNAV.E499</v>
          </cell>
          <cell r="P748" t="str">
            <v>MIN_SRG_001</v>
          </cell>
          <cell r="Q748">
            <v>119.16</v>
          </cell>
          <cell r="R748" t="str">
            <v>EACH</v>
          </cell>
          <cell r="S748" t="str">
            <v>AUD</v>
          </cell>
          <cell r="T748">
            <v>3</v>
          </cell>
          <cell r="U748">
            <v>0</v>
          </cell>
          <cell r="V748">
            <v>0</v>
          </cell>
          <cell r="W748">
            <v>45884</v>
          </cell>
          <cell r="X748">
            <v>3</v>
          </cell>
          <cell r="Y748">
            <v>357.48</v>
          </cell>
        </row>
        <row r="749">
          <cell r="L749" t="str">
            <v>PA6-07</v>
          </cell>
          <cell r="M749" t="str">
            <v>HOSE PROTECTOR  33MM</v>
          </cell>
          <cell r="N749" t="str">
            <v>NNAV.E499</v>
          </cell>
          <cell r="P749" t="str">
            <v>MIN_SRG_001</v>
          </cell>
          <cell r="Q749">
            <v>38.89</v>
          </cell>
          <cell r="R749" t="str">
            <v>EACH</v>
          </cell>
          <cell r="S749" t="str">
            <v>AUD</v>
          </cell>
          <cell r="T749">
            <v>3</v>
          </cell>
          <cell r="U749">
            <v>0</v>
          </cell>
          <cell r="V749">
            <v>0</v>
          </cell>
          <cell r="W749">
            <v>45884</v>
          </cell>
          <cell r="X749">
            <v>3</v>
          </cell>
          <cell r="Y749">
            <v>116.67</v>
          </cell>
        </row>
        <row r="750">
          <cell r="L750" t="str">
            <v>PA6-08</v>
          </cell>
          <cell r="M750" t="str">
            <v>SWIVEL ADAPTOR</v>
          </cell>
          <cell r="N750" t="str">
            <v>NNAV.E499</v>
          </cell>
          <cell r="P750" t="str">
            <v>MIN_SRG_001</v>
          </cell>
          <cell r="Q750">
            <v>18.100000000000001</v>
          </cell>
          <cell r="R750" t="str">
            <v>EACH</v>
          </cell>
          <cell r="S750" t="str">
            <v>AUD</v>
          </cell>
          <cell r="T750">
            <v>8</v>
          </cell>
          <cell r="U750">
            <v>0</v>
          </cell>
          <cell r="V750">
            <v>0</v>
          </cell>
          <cell r="W750">
            <v>45884</v>
          </cell>
          <cell r="X750">
            <v>8</v>
          </cell>
          <cell r="Y750">
            <v>144.80000000000001</v>
          </cell>
        </row>
        <row r="751">
          <cell r="L751" t="str">
            <v>PA6D-01</v>
          </cell>
          <cell r="M751" t="str">
            <v>RELIEF VALVE</v>
          </cell>
          <cell r="N751" t="str">
            <v>NNAV.E499</v>
          </cell>
          <cell r="P751" t="str">
            <v>MIN_SRG_001</v>
          </cell>
          <cell r="Q751">
            <v>247.4</v>
          </cell>
          <cell r="R751" t="str">
            <v>EACH</v>
          </cell>
          <cell r="S751" t="str">
            <v>AUD</v>
          </cell>
          <cell r="T751">
            <v>3</v>
          </cell>
          <cell r="U751">
            <v>0</v>
          </cell>
          <cell r="V751">
            <v>0</v>
          </cell>
          <cell r="W751">
            <v>45884</v>
          </cell>
          <cell r="X751">
            <v>3</v>
          </cell>
          <cell r="Y751">
            <v>742.2</v>
          </cell>
        </row>
        <row r="752">
          <cell r="L752" t="str">
            <v>PA6D-06C</v>
          </cell>
          <cell r="M752" t="str">
            <v>CALIBRATED 600 BAR GAUGE</v>
          </cell>
          <cell r="N752" t="str">
            <v>NNAV.E499</v>
          </cell>
          <cell r="P752" t="str">
            <v>MIN_SRG_001</v>
          </cell>
          <cell r="Q752">
            <v>281.18</v>
          </cell>
          <cell r="R752" t="str">
            <v>EACH</v>
          </cell>
          <cell r="S752" t="str">
            <v>AUD</v>
          </cell>
          <cell r="T752">
            <v>12</v>
          </cell>
          <cell r="U752">
            <v>0</v>
          </cell>
          <cell r="V752">
            <v>0</v>
          </cell>
          <cell r="W752">
            <v>45884</v>
          </cell>
          <cell r="X752">
            <v>12</v>
          </cell>
          <cell r="Y752">
            <v>3374.16</v>
          </cell>
        </row>
        <row r="753">
          <cell r="L753" t="str">
            <v>PA6D-09</v>
          </cell>
          <cell r="M753" t="str">
            <v>FEMALE PIONEER COUPLING</v>
          </cell>
          <cell r="N753" t="str">
            <v>NNAV.E499</v>
          </cell>
          <cell r="P753" t="str">
            <v>MIN_SRG_001</v>
          </cell>
          <cell r="Q753">
            <v>115.06</v>
          </cell>
          <cell r="R753" t="str">
            <v>EACH</v>
          </cell>
          <cell r="S753" t="str">
            <v>AUD</v>
          </cell>
          <cell r="T753">
            <v>8</v>
          </cell>
          <cell r="U753">
            <v>0</v>
          </cell>
          <cell r="V753">
            <v>0</v>
          </cell>
          <cell r="W753">
            <v>45884</v>
          </cell>
          <cell r="X753">
            <v>8</v>
          </cell>
          <cell r="Y753">
            <v>920.48</v>
          </cell>
        </row>
        <row r="754">
          <cell r="L754" t="str">
            <v>PA6D-10</v>
          </cell>
          <cell r="M754" t="str">
            <v>MALE PIONEER COUPLING</v>
          </cell>
          <cell r="N754" t="str">
            <v>NNAV.E499</v>
          </cell>
          <cell r="P754" t="str">
            <v>MIN_SRG_001</v>
          </cell>
          <cell r="Q754">
            <v>90.31</v>
          </cell>
          <cell r="R754" t="str">
            <v>EACH</v>
          </cell>
          <cell r="S754" t="str">
            <v>AUD</v>
          </cell>
          <cell r="T754">
            <v>8</v>
          </cell>
          <cell r="U754">
            <v>0</v>
          </cell>
          <cell r="V754">
            <v>0</v>
          </cell>
          <cell r="W754">
            <v>45884</v>
          </cell>
          <cell r="X754">
            <v>8</v>
          </cell>
          <cell r="Y754">
            <v>722.48</v>
          </cell>
        </row>
        <row r="755">
          <cell r="L755" t="str">
            <v>PA6D-11</v>
          </cell>
          <cell r="M755" t="str">
            <v>NIPPLE 3/8" NPT</v>
          </cell>
          <cell r="N755" t="str">
            <v>NNAV.E499</v>
          </cell>
          <cell r="P755" t="str">
            <v>MIN_SRG_001</v>
          </cell>
          <cell r="Q755">
            <v>14.83</v>
          </cell>
          <cell r="R755" t="str">
            <v>EACH</v>
          </cell>
          <cell r="S755" t="str">
            <v>AUD</v>
          </cell>
          <cell r="T755">
            <v>4</v>
          </cell>
          <cell r="U755">
            <v>0</v>
          </cell>
          <cell r="V755">
            <v>0</v>
          </cell>
          <cell r="W755">
            <v>45884</v>
          </cell>
          <cell r="X755">
            <v>4</v>
          </cell>
          <cell r="Y755">
            <v>59.32</v>
          </cell>
        </row>
        <row r="756">
          <cell r="L756" t="str">
            <v>PA6D-13</v>
          </cell>
          <cell r="M756" t="str">
            <v>REPAIR KIT 300433</v>
          </cell>
          <cell r="N756" t="str">
            <v>NNAV.E499</v>
          </cell>
          <cell r="P756" t="str">
            <v>MIN_SRG_001</v>
          </cell>
          <cell r="Q756">
            <v>547.91999999999996</v>
          </cell>
          <cell r="R756" t="str">
            <v>EACH</v>
          </cell>
          <cell r="S756" t="str">
            <v>AUD</v>
          </cell>
          <cell r="T756">
            <v>4</v>
          </cell>
          <cell r="U756">
            <v>0</v>
          </cell>
          <cell r="V756">
            <v>0</v>
          </cell>
          <cell r="W756">
            <v>45884</v>
          </cell>
          <cell r="X756">
            <v>4</v>
          </cell>
          <cell r="Y756">
            <v>2191.6799999999998</v>
          </cell>
        </row>
        <row r="757">
          <cell r="L757" t="str">
            <v>PA6D-17</v>
          </cell>
          <cell r="M757" t="str">
            <v>RESERVOIR GASKET</v>
          </cell>
          <cell r="N757" t="str">
            <v>NNAV.E499</v>
          </cell>
          <cell r="P757" t="str">
            <v>MIN_SRG_001</v>
          </cell>
          <cell r="Q757">
            <v>40.4</v>
          </cell>
          <cell r="R757" t="str">
            <v>EACH</v>
          </cell>
          <cell r="S757" t="str">
            <v>AUD</v>
          </cell>
          <cell r="T757">
            <v>12</v>
          </cell>
          <cell r="U757">
            <v>0</v>
          </cell>
          <cell r="V757">
            <v>0</v>
          </cell>
          <cell r="W757">
            <v>45884</v>
          </cell>
          <cell r="X757">
            <v>12</v>
          </cell>
          <cell r="Y757">
            <v>484.8</v>
          </cell>
        </row>
        <row r="758">
          <cell r="L758" t="str">
            <v>PA6D-19</v>
          </cell>
          <cell r="M758" t="str">
            <v>FEMALE PIONEER COUPLING PLUG</v>
          </cell>
          <cell r="N758" t="str">
            <v>NNAV.E499</v>
          </cell>
          <cell r="P758" t="str">
            <v>MIN_SRG_001</v>
          </cell>
          <cell r="Q758">
            <v>32.17</v>
          </cell>
          <cell r="R758" t="str">
            <v>EACH</v>
          </cell>
          <cell r="S758" t="str">
            <v>AUD</v>
          </cell>
          <cell r="T758">
            <v>6</v>
          </cell>
          <cell r="U758">
            <v>0</v>
          </cell>
          <cell r="V758">
            <v>0</v>
          </cell>
          <cell r="W758">
            <v>45884</v>
          </cell>
          <cell r="X758">
            <v>6</v>
          </cell>
          <cell r="Y758">
            <v>193.02</v>
          </cell>
        </row>
        <row r="759">
          <cell r="L759" t="str">
            <v>PA6D-20</v>
          </cell>
          <cell r="M759" t="str">
            <v>MALE PIONEER COUPLING CAP</v>
          </cell>
          <cell r="N759" t="str">
            <v>NNAV.E499</v>
          </cell>
          <cell r="P759" t="str">
            <v>MIN_SRG_001</v>
          </cell>
          <cell r="Q759">
            <v>43.23</v>
          </cell>
          <cell r="R759" t="str">
            <v>EACH</v>
          </cell>
          <cell r="S759" t="str">
            <v>AUD</v>
          </cell>
          <cell r="T759">
            <v>6</v>
          </cell>
          <cell r="U759">
            <v>0</v>
          </cell>
          <cell r="V759">
            <v>0</v>
          </cell>
          <cell r="W759">
            <v>45884</v>
          </cell>
          <cell r="X759">
            <v>6</v>
          </cell>
          <cell r="Y759">
            <v>259.38</v>
          </cell>
        </row>
        <row r="760">
          <cell r="L760" t="str">
            <v>GMP-AM-04</v>
          </cell>
          <cell r="M760" t="str">
            <v>COUPLING LO95 7/8"</v>
          </cell>
          <cell r="N760" t="str">
            <v>NNAV.E499</v>
          </cell>
          <cell r="P760" t="str">
            <v>MIN_SRG_001</v>
          </cell>
          <cell r="Q760">
            <v>57.56</v>
          </cell>
          <cell r="R760" t="str">
            <v>EACH</v>
          </cell>
          <cell r="S760" t="str">
            <v>AUD</v>
          </cell>
          <cell r="T760">
            <v>2</v>
          </cell>
          <cell r="U760">
            <v>0</v>
          </cell>
          <cell r="V760">
            <v>0</v>
          </cell>
          <cell r="W760">
            <v>45884</v>
          </cell>
          <cell r="X760">
            <v>2</v>
          </cell>
          <cell r="Y760">
            <v>115.12</v>
          </cell>
        </row>
        <row r="761">
          <cell r="L761" t="str">
            <v>GMP-AM-05</v>
          </cell>
          <cell r="M761" t="str">
            <v>LO95 COUPLING ELEMENT</v>
          </cell>
          <cell r="N761" t="str">
            <v>NNAV.E499</v>
          </cell>
          <cell r="P761" t="str">
            <v>MIN_SRG_001</v>
          </cell>
          <cell r="Q761">
            <v>53.96</v>
          </cell>
          <cell r="R761" t="str">
            <v>EACH</v>
          </cell>
          <cell r="S761" t="str">
            <v>AUD</v>
          </cell>
          <cell r="T761">
            <v>8</v>
          </cell>
          <cell r="U761">
            <v>0</v>
          </cell>
          <cell r="V761">
            <v>0</v>
          </cell>
          <cell r="W761">
            <v>45884</v>
          </cell>
          <cell r="X761">
            <v>8</v>
          </cell>
          <cell r="Y761">
            <v>431.68</v>
          </cell>
        </row>
        <row r="762">
          <cell r="L762" t="str">
            <v>GMP-AM-07</v>
          </cell>
          <cell r="M762" t="str">
            <v>AIR MOTOR REPAIR KIT</v>
          </cell>
          <cell r="N762" t="str">
            <v>NNAV.E499</v>
          </cell>
          <cell r="P762" t="str">
            <v>MIN_SRG_001</v>
          </cell>
          <cell r="Q762">
            <v>529.98</v>
          </cell>
          <cell r="R762" t="str">
            <v>EACH</v>
          </cell>
          <cell r="S762" t="str">
            <v>AUD</v>
          </cell>
          <cell r="T762">
            <v>5</v>
          </cell>
          <cell r="U762">
            <v>0</v>
          </cell>
          <cell r="V762">
            <v>0</v>
          </cell>
          <cell r="W762">
            <v>45884</v>
          </cell>
          <cell r="X762">
            <v>5</v>
          </cell>
          <cell r="Y762">
            <v>2649.9</v>
          </cell>
        </row>
        <row r="763">
          <cell r="L763" t="str">
            <v>GMP-GB-05</v>
          </cell>
          <cell r="M763" t="str">
            <v>COUPLING LO95 25MM BORE 6MM K</v>
          </cell>
          <cell r="N763" t="str">
            <v>NNAV.E499</v>
          </cell>
          <cell r="P763" t="str">
            <v>MIN_SRG_001</v>
          </cell>
          <cell r="Q763">
            <v>58.17</v>
          </cell>
          <cell r="R763" t="str">
            <v>EACH</v>
          </cell>
          <cell r="S763" t="str">
            <v>AUD</v>
          </cell>
          <cell r="T763">
            <v>2</v>
          </cell>
          <cell r="U763">
            <v>0</v>
          </cell>
          <cell r="V763">
            <v>0</v>
          </cell>
          <cell r="W763">
            <v>45884</v>
          </cell>
          <cell r="X763">
            <v>2</v>
          </cell>
          <cell r="Y763">
            <v>116.34</v>
          </cell>
        </row>
        <row r="764">
          <cell r="L764" t="str">
            <v>GMP-MT-01</v>
          </cell>
          <cell r="M764" t="str">
            <v>GROUT MIXER PADDLE - ALL</v>
          </cell>
          <cell r="N764" t="str">
            <v>NNAV.E499</v>
          </cell>
          <cell r="P764" t="str">
            <v>MIN_SRG_001</v>
          </cell>
          <cell r="Q764">
            <v>661.56</v>
          </cell>
          <cell r="R764" t="str">
            <v>EACH</v>
          </cell>
          <cell r="S764" t="str">
            <v>AUD</v>
          </cell>
          <cell r="T764">
            <v>1</v>
          </cell>
          <cell r="U764">
            <v>0</v>
          </cell>
          <cell r="V764">
            <v>0</v>
          </cell>
          <cell r="W764">
            <v>45884</v>
          </cell>
          <cell r="X764">
            <v>1</v>
          </cell>
          <cell r="Y764">
            <v>661.56</v>
          </cell>
        </row>
        <row r="765">
          <cell r="L765" t="str">
            <v>GR-301-102-04</v>
          </cell>
          <cell r="M765" t="str">
            <v>COPPER GASKET</v>
          </cell>
          <cell r="N765" t="str">
            <v>NNAV.E499</v>
          </cell>
          <cell r="P765" t="str">
            <v>MIN_SRG_001</v>
          </cell>
          <cell r="Q765">
            <v>1.75</v>
          </cell>
          <cell r="R765" t="str">
            <v>EACH</v>
          </cell>
          <cell r="S765" t="str">
            <v>AUD</v>
          </cell>
          <cell r="T765">
            <v>2</v>
          </cell>
          <cell r="U765">
            <v>0</v>
          </cell>
          <cell r="V765">
            <v>0</v>
          </cell>
          <cell r="W765">
            <v>45884</v>
          </cell>
          <cell r="X765">
            <v>2</v>
          </cell>
          <cell r="Y765">
            <v>3.5</v>
          </cell>
        </row>
        <row r="766">
          <cell r="L766" t="str">
            <v>GR-301-110</v>
          </cell>
          <cell r="M766" t="str">
            <v>ROCKER TOGGLE</v>
          </cell>
          <cell r="N766" t="str">
            <v>NNAV.E499</v>
          </cell>
          <cell r="P766" t="str">
            <v>MIN_SRG_001</v>
          </cell>
          <cell r="Q766">
            <v>46.75</v>
          </cell>
          <cell r="R766" t="str">
            <v>EACH</v>
          </cell>
          <cell r="S766" t="str">
            <v>AUD</v>
          </cell>
          <cell r="T766">
            <v>2</v>
          </cell>
          <cell r="U766">
            <v>0</v>
          </cell>
          <cell r="V766">
            <v>0</v>
          </cell>
          <cell r="W766">
            <v>45884</v>
          </cell>
          <cell r="X766">
            <v>2</v>
          </cell>
          <cell r="Y766">
            <v>93.5</v>
          </cell>
        </row>
        <row r="767">
          <cell r="L767" t="str">
            <v>GR-301-113</v>
          </cell>
          <cell r="M767" t="str">
            <v>SEAL CYLINDER</v>
          </cell>
          <cell r="N767" t="str">
            <v>NNAV.E499</v>
          </cell>
          <cell r="P767" t="str">
            <v>MIN_SRG_001</v>
          </cell>
          <cell r="Q767">
            <v>7.69</v>
          </cell>
          <cell r="R767" t="str">
            <v>EACH</v>
          </cell>
          <cell r="S767" t="str">
            <v>AUD</v>
          </cell>
          <cell r="T767">
            <v>2</v>
          </cell>
          <cell r="U767">
            <v>0</v>
          </cell>
          <cell r="V767">
            <v>0</v>
          </cell>
          <cell r="W767">
            <v>45884</v>
          </cell>
          <cell r="X767">
            <v>2</v>
          </cell>
          <cell r="Y767">
            <v>15.38</v>
          </cell>
        </row>
        <row r="768">
          <cell r="L768" t="str">
            <v>GR-301-114</v>
          </cell>
          <cell r="M768" t="str">
            <v>SEAL PISTON</v>
          </cell>
          <cell r="N768" t="str">
            <v>NNAV.E499</v>
          </cell>
          <cell r="P768" t="str">
            <v>MIN_SRG_001</v>
          </cell>
          <cell r="Q768">
            <v>8.92</v>
          </cell>
          <cell r="R768" t="str">
            <v>EACH</v>
          </cell>
          <cell r="S768" t="str">
            <v>AUD</v>
          </cell>
          <cell r="T768">
            <v>2</v>
          </cell>
          <cell r="U768">
            <v>0</v>
          </cell>
          <cell r="V768">
            <v>0</v>
          </cell>
          <cell r="W768">
            <v>45884</v>
          </cell>
          <cell r="X768">
            <v>2</v>
          </cell>
          <cell r="Y768">
            <v>17.84</v>
          </cell>
        </row>
        <row r="769">
          <cell r="L769" t="str">
            <v>GR-301-123</v>
          </cell>
          <cell r="M769" t="str">
            <v>SPRING COMPRESSION</v>
          </cell>
          <cell r="N769" t="str">
            <v>NNAV.E499</v>
          </cell>
          <cell r="P769" t="str">
            <v>MIN_SRG_001</v>
          </cell>
          <cell r="Q769">
            <v>9.84</v>
          </cell>
          <cell r="R769" t="str">
            <v>EACH</v>
          </cell>
          <cell r="S769" t="str">
            <v>AUD</v>
          </cell>
          <cell r="T769">
            <v>2</v>
          </cell>
          <cell r="U769">
            <v>0</v>
          </cell>
          <cell r="V769">
            <v>0</v>
          </cell>
          <cell r="W769">
            <v>45884</v>
          </cell>
          <cell r="X769">
            <v>2</v>
          </cell>
          <cell r="Y769">
            <v>19.68</v>
          </cell>
        </row>
        <row r="770">
          <cell r="L770" t="str">
            <v>GR-301-126</v>
          </cell>
          <cell r="M770" t="str">
            <v>POPPET VALVE #1</v>
          </cell>
          <cell r="N770" t="str">
            <v>NNAV.E499</v>
          </cell>
          <cell r="P770" t="str">
            <v>MIN_SRG_001</v>
          </cell>
          <cell r="Q770">
            <v>7.95</v>
          </cell>
          <cell r="R770" t="str">
            <v>EACH</v>
          </cell>
          <cell r="S770" t="str">
            <v>AUD</v>
          </cell>
          <cell r="T770">
            <v>2</v>
          </cell>
          <cell r="U770">
            <v>0</v>
          </cell>
          <cell r="V770">
            <v>0</v>
          </cell>
          <cell r="W770">
            <v>45884</v>
          </cell>
          <cell r="X770">
            <v>2</v>
          </cell>
          <cell r="Y770">
            <v>15.9</v>
          </cell>
        </row>
        <row r="771">
          <cell r="L771" t="str">
            <v>GR-301-127</v>
          </cell>
          <cell r="M771" t="str">
            <v>POPPET VALVE</v>
          </cell>
          <cell r="N771" t="str">
            <v>NNAV.E499</v>
          </cell>
          <cell r="P771" t="str">
            <v>MIN_SRG_001</v>
          </cell>
          <cell r="Q771">
            <v>18.809999999999999</v>
          </cell>
          <cell r="R771" t="str">
            <v>EACH</v>
          </cell>
          <cell r="S771" t="str">
            <v>AUD</v>
          </cell>
          <cell r="T771">
            <v>2</v>
          </cell>
          <cell r="U771">
            <v>0</v>
          </cell>
          <cell r="V771">
            <v>0</v>
          </cell>
          <cell r="W771">
            <v>45884</v>
          </cell>
          <cell r="X771">
            <v>2</v>
          </cell>
          <cell r="Y771">
            <v>37.619999999999997</v>
          </cell>
        </row>
        <row r="772">
          <cell r="L772" t="str">
            <v>GR-301-132</v>
          </cell>
          <cell r="M772" t="str">
            <v>PISTON ROD SEAL</v>
          </cell>
          <cell r="N772" t="str">
            <v>NNAV.E499</v>
          </cell>
          <cell r="P772" t="str">
            <v>MIN_SRG_001</v>
          </cell>
          <cell r="Q772">
            <v>13.56</v>
          </cell>
          <cell r="R772" t="str">
            <v>EACH</v>
          </cell>
          <cell r="S772" t="str">
            <v>AUD</v>
          </cell>
          <cell r="T772">
            <v>8</v>
          </cell>
          <cell r="U772">
            <v>0</v>
          </cell>
          <cell r="V772">
            <v>0</v>
          </cell>
          <cell r="W772">
            <v>45884</v>
          </cell>
          <cell r="X772">
            <v>8</v>
          </cell>
          <cell r="Y772">
            <v>108.48</v>
          </cell>
        </row>
        <row r="773">
          <cell r="L773" t="str">
            <v>GR41-1-1</v>
          </cell>
          <cell r="M773" t="str">
            <v>CYLINDER RISER TUBE</v>
          </cell>
          <cell r="N773" t="str">
            <v>NNAV.E499</v>
          </cell>
          <cell r="P773" t="str">
            <v>MIN_SRG_001</v>
          </cell>
          <cell r="Q773">
            <v>199.81</v>
          </cell>
          <cell r="R773" t="str">
            <v>EACH</v>
          </cell>
          <cell r="S773" t="str">
            <v>AUD</v>
          </cell>
          <cell r="T773">
            <v>8</v>
          </cell>
          <cell r="U773">
            <v>0</v>
          </cell>
          <cell r="V773">
            <v>0</v>
          </cell>
          <cell r="W773">
            <v>45884</v>
          </cell>
          <cell r="X773">
            <v>8</v>
          </cell>
          <cell r="Y773">
            <v>1598.48</v>
          </cell>
        </row>
        <row r="774">
          <cell r="L774" t="str">
            <v>GR41-1-10</v>
          </cell>
          <cell r="M774" t="str">
            <v>INSERT</v>
          </cell>
          <cell r="N774" t="str">
            <v>NNAV.E499</v>
          </cell>
          <cell r="P774" t="str">
            <v>MIN_SRG_001</v>
          </cell>
          <cell r="Q774">
            <v>35.04</v>
          </cell>
          <cell r="R774" t="str">
            <v>EACH</v>
          </cell>
          <cell r="S774" t="str">
            <v>AUD</v>
          </cell>
          <cell r="T774">
            <v>20</v>
          </cell>
          <cell r="U774">
            <v>0</v>
          </cell>
          <cell r="V774">
            <v>0</v>
          </cell>
          <cell r="W774">
            <v>45884</v>
          </cell>
          <cell r="X774">
            <v>20</v>
          </cell>
          <cell r="Y774">
            <v>700.8</v>
          </cell>
        </row>
        <row r="775">
          <cell r="L775" t="str">
            <v>GR41-1-11</v>
          </cell>
          <cell r="M775" t="str">
            <v>SEAT</v>
          </cell>
          <cell r="N775" t="str">
            <v>NNAV.E499</v>
          </cell>
          <cell r="P775" t="str">
            <v>MIN_SRG_001</v>
          </cell>
          <cell r="Q775">
            <v>57.77</v>
          </cell>
          <cell r="R775" t="str">
            <v>EACH</v>
          </cell>
          <cell r="S775" t="str">
            <v>AUD</v>
          </cell>
          <cell r="T775">
            <v>8</v>
          </cell>
          <cell r="U775">
            <v>0</v>
          </cell>
          <cell r="V775">
            <v>0</v>
          </cell>
          <cell r="W775">
            <v>45884</v>
          </cell>
          <cell r="X775">
            <v>8</v>
          </cell>
          <cell r="Y775">
            <v>462.16</v>
          </cell>
        </row>
        <row r="776">
          <cell r="L776" t="str">
            <v>GR41-1-12</v>
          </cell>
          <cell r="M776" t="str">
            <v>WASHER FOOT BLOCK</v>
          </cell>
          <cell r="N776" t="str">
            <v>NNAV.E499</v>
          </cell>
          <cell r="P776" t="str">
            <v>MIN_SRG_001</v>
          </cell>
          <cell r="Q776">
            <v>20.82</v>
          </cell>
          <cell r="R776" t="str">
            <v>EACH</v>
          </cell>
          <cell r="S776" t="str">
            <v>AUD</v>
          </cell>
          <cell r="T776">
            <v>8</v>
          </cell>
          <cell r="U776">
            <v>0</v>
          </cell>
          <cell r="V776">
            <v>0</v>
          </cell>
          <cell r="W776">
            <v>45884</v>
          </cell>
          <cell r="X776">
            <v>8</v>
          </cell>
          <cell r="Y776">
            <v>166.56</v>
          </cell>
        </row>
        <row r="777">
          <cell r="L777" t="str">
            <v>GR41-1-13</v>
          </cell>
          <cell r="M777" t="str">
            <v>BEARING TEFLON</v>
          </cell>
          <cell r="N777" t="str">
            <v>NNAV.E499</v>
          </cell>
          <cell r="P777" t="str">
            <v>MIN_SRG_001</v>
          </cell>
          <cell r="Q777">
            <v>15</v>
          </cell>
          <cell r="R777" t="str">
            <v>EACH</v>
          </cell>
          <cell r="S777" t="str">
            <v>AUD</v>
          </cell>
          <cell r="T777">
            <v>8</v>
          </cell>
          <cell r="U777">
            <v>0</v>
          </cell>
          <cell r="V777">
            <v>0</v>
          </cell>
          <cell r="W777">
            <v>45884</v>
          </cell>
          <cell r="X777">
            <v>8</v>
          </cell>
          <cell r="Y777">
            <v>120</v>
          </cell>
        </row>
        <row r="778">
          <cell r="L778" t="str">
            <v>GR41-1-14</v>
          </cell>
          <cell r="M778" t="str">
            <v>WASHER CYLINDER</v>
          </cell>
          <cell r="N778" t="str">
            <v>NNAV.E499</v>
          </cell>
          <cell r="P778" t="str">
            <v>MIN_SRG_001</v>
          </cell>
          <cell r="Q778">
            <v>33.369999999999997</v>
          </cell>
          <cell r="R778" t="str">
            <v>EACH</v>
          </cell>
          <cell r="S778" t="str">
            <v>AUD</v>
          </cell>
          <cell r="T778">
            <v>8</v>
          </cell>
          <cell r="U778">
            <v>0</v>
          </cell>
          <cell r="V778">
            <v>0</v>
          </cell>
          <cell r="W778">
            <v>45884</v>
          </cell>
          <cell r="X778">
            <v>8</v>
          </cell>
          <cell r="Y778">
            <v>266.95999999999998</v>
          </cell>
        </row>
        <row r="779">
          <cell r="L779" t="str">
            <v>GR41-1-15</v>
          </cell>
          <cell r="M779" t="str">
            <v>SPACER O RING</v>
          </cell>
          <cell r="N779" t="str">
            <v>NNAV.E499</v>
          </cell>
          <cell r="P779" t="str">
            <v>MIN_SRG_001</v>
          </cell>
          <cell r="Q779">
            <v>1.38</v>
          </cell>
          <cell r="R779" t="str">
            <v>EACH</v>
          </cell>
          <cell r="S779" t="str">
            <v>AUD</v>
          </cell>
          <cell r="T779">
            <v>8</v>
          </cell>
          <cell r="U779">
            <v>0</v>
          </cell>
          <cell r="V779">
            <v>0</v>
          </cell>
          <cell r="W779">
            <v>45884</v>
          </cell>
          <cell r="X779">
            <v>8</v>
          </cell>
          <cell r="Y779">
            <v>11.04</v>
          </cell>
        </row>
        <row r="780">
          <cell r="L780" t="str">
            <v>GR41-1-16</v>
          </cell>
          <cell r="M780" t="str">
            <v>BALL 1.1/2'</v>
          </cell>
          <cell r="N780" t="str">
            <v>NNAV.E499</v>
          </cell>
          <cell r="P780" t="str">
            <v>MIN_SRG_001</v>
          </cell>
          <cell r="Q780">
            <v>48.38</v>
          </cell>
          <cell r="R780" t="str">
            <v>EACH</v>
          </cell>
          <cell r="S780" t="str">
            <v>AUD</v>
          </cell>
          <cell r="T780">
            <v>8</v>
          </cell>
          <cell r="U780">
            <v>0</v>
          </cell>
          <cell r="V780">
            <v>0</v>
          </cell>
          <cell r="W780">
            <v>45884</v>
          </cell>
          <cell r="X780">
            <v>8</v>
          </cell>
          <cell r="Y780">
            <v>387.04</v>
          </cell>
        </row>
        <row r="781">
          <cell r="L781" t="str">
            <v>GR41-1-17</v>
          </cell>
          <cell r="M781" t="str">
            <v>BALL 7/8'</v>
          </cell>
          <cell r="N781" t="str">
            <v>NNAV.E499</v>
          </cell>
          <cell r="P781" t="str">
            <v>MIN_SRG_001</v>
          </cell>
          <cell r="Q781">
            <v>10.79</v>
          </cell>
          <cell r="R781" t="str">
            <v>EACH</v>
          </cell>
          <cell r="S781" t="str">
            <v>AUD</v>
          </cell>
          <cell r="T781">
            <v>8</v>
          </cell>
          <cell r="U781">
            <v>0</v>
          </cell>
          <cell r="V781">
            <v>0</v>
          </cell>
          <cell r="W781">
            <v>45884</v>
          </cell>
          <cell r="X781">
            <v>8</v>
          </cell>
          <cell r="Y781">
            <v>86.32</v>
          </cell>
        </row>
        <row r="782">
          <cell r="L782" t="str">
            <v>GR41-1-18</v>
          </cell>
          <cell r="M782" t="str">
            <v>PACKING 'V'</v>
          </cell>
          <cell r="N782" t="str">
            <v>NNAV.E499</v>
          </cell>
          <cell r="P782" t="str">
            <v>MIN_SRG_001</v>
          </cell>
          <cell r="Q782">
            <v>57.56</v>
          </cell>
          <cell r="R782" t="str">
            <v>EACH</v>
          </cell>
          <cell r="S782" t="str">
            <v>AUD</v>
          </cell>
          <cell r="T782">
            <v>8</v>
          </cell>
          <cell r="U782">
            <v>0</v>
          </cell>
          <cell r="V782">
            <v>0</v>
          </cell>
          <cell r="W782">
            <v>45884</v>
          </cell>
          <cell r="X782">
            <v>8</v>
          </cell>
          <cell r="Y782">
            <v>460.48</v>
          </cell>
        </row>
        <row r="783">
          <cell r="L783" t="str">
            <v>GR41-1-19</v>
          </cell>
          <cell r="M783" t="str">
            <v>NUT PISTON ROD 1/2" UNC</v>
          </cell>
          <cell r="N783" t="str">
            <v>NNAV.E499</v>
          </cell>
          <cell r="P783" t="str">
            <v>MIN_SRG_001</v>
          </cell>
          <cell r="Q783">
            <v>6.18</v>
          </cell>
          <cell r="R783" t="str">
            <v>EACH</v>
          </cell>
          <cell r="S783" t="str">
            <v>AUD</v>
          </cell>
          <cell r="T783">
            <v>8</v>
          </cell>
          <cell r="U783">
            <v>0</v>
          </cell>
          <cell r="V783">
            <v>0</v>
          </cell>
          <cell r="W783">
            <v>45884</v>
          </cell>
          <cell r="X783">
            <v>8</v>
          </cell>
          <cell r="Y783">
            <v>49.44</v>
          </cell>
        </row>
        <row r="784">
          <cell r="L784" t="str">
            <v>GR41-1-2</v>
          </cell>
          <cell r="M784" t="str">
            <v>ROD</v>
          </cell>
          <cell r="N784" t="str">
            <v>NNAV.E499</v>
          </cell>
          <cell r="P784" t="str">
            <v>MIN_SRG_001</v>
          </cell>
          <cell r="Q784">
            <v>85.51</v>
          </cell>
          <cell r="R784" t="str">
            <v>EACH</v>
          </cell>
          <cell r="S784" t="str">
            <v>AUD</v>
          </cell>
          <cell r="T784">
            <v>8</v>
          </cell>
          <cell r="U784">
            <v>0</v>
          </cell>
          <cell r="V784">
            <v>0</v>
          </cell>
          <cell r="W784">
            <v>45884</v>
          </cell>
          <cell r="X784">
            <v>8</v>
          </cell>
          <cell r="Y784">
            <v>684.08</v>
          </cell>
        </row>
        <row r="785">
          <cell r="L785" t="str">
            <v>GR41-1-20</v>
          </cell>
          <cell r="M785" t="str">
            <v>ROD NUT 5/8' UNC</v>
          </cell>
          <cell r="N785" t="str">
            <v>NNAV.E499</v>
          </cell>
          <cell r="P785" t="str">
            <v>MIN_SRG_001</v>
          </cell>
          <cell r="Q785">
            <v>6.17</v>
          </cell>
          <cell r="R785" t="str">
            <v>EACH</v>
          </cell>
          <cell r="S785" t="str">
            <v>AUD</v>
          </cell>
          <cell r="T785">
            <v>8</v>
          </cell>
          <cell r="U785">
            <v>0</v>
          </cell>
          <cell r="V785">
            <v>0</v>
          </cell>
          <cell r="W785">
            <v>45884</v>
          </cell>
          <cell r="X785">
            <v>8</v>
          </cell>
          <cell r="Y785">
            <v>49.36</v>
          </cell>
        </row>
        <row r="786">
          <cell r="L786" t="str">
            <v>GR41-1-24</v>
          </cell>
          <cell r="M786" t="str">
            <v>CUP SEAL</v>
          </cell>
          <cell r="N786" t="str">
            <v>NNAV.E499</v>
          </cell>
          <cell r="P786" t="str">
            <v>MIN_SRG_001</v>
          </cell>
          <cell r="Q786">
            <v>46.23</v>
          </cell>
          <cell r="R786" t="str">
            <v>EACH</v>
          </cell>
          <cell r="S786" t="str">
            <v>AUD</v>
          </cell>
          <cell r="T786">
            <v>40</v>
          </cell>
          <cell r="U786">
            <v>0</v>
          </cell>
          <cell r="V786">
            <v>0</v>
          </cell>
          <cell r="W786">
            <v>45884</v>
          </cell>
          <cell r="X786">
            <v>40</v>
          </cell>
          <cell r="Y786">
            <v>1849.2</v>
          </cell>
        </row>
        <row r="787">
          <cell r="L787" t="str">
            <v>GR41-1-3</v>
          </cell>
          <cell r="M787" t="str">
            <v>BODY</v>
          </cell>
          <cell r="N787" t="str">
            <v>NNAV.E499</v>
          </cell>
          <cell r="P787" t="str">
            <v>MIN_SRG_001</v>
          </cell>
          <cell r="Q787">
            <v>394.88</v>
          </cell>
          <cell r="R787" t="str">
            <v>EACH</v>
          </cell>
          <cell r="S787" t="str">
            <v>AUD</v>
          </cell>
          <cell r="T787">
            <v>2</v>
          </cell>
          <cell r="U787">
            <v>0</v>
          </cell>
          <cell r="V787">
            <v>0</v>
          </cell>
          <cell r="W787">
            <v>45884</v>
          </cell>
          <cell r="X787">
            <v>2</v>
          </cell>
          <cell r="Y787">
            <v>789.76</v>
          </cell>
        </row>
        <row r="788">
          <cell r="L788" t="str">
            <v>GR41-1-5</v>
          </cell>
          <cell r="M788" t="str">
            <v>NUT GLAND</v>
          </cell>
          <cell r="N788" t="str">
            <v>NNAV.E499</v>
          </cell>
          <cell r="P788" t="str">
            <v>MIN_SRG_001</v>
          </cell>
          <cell r="Q788">
            <v>43.75</v>
          </cell>
          <cell r="R788" t="str">
            <v>EACH</v>
          </cell>
          <cell r="S788" t="str">
            <v>AUD</v>
          </cell>
          <cell r="T788">
            <v>8</v>
          </cell>
          <cell r="U788">
            <v>0</v>
          </cell>
          <cell r="V788">
            <v>0</v>
          </cell>
          <cell r="W788">
            <v>45884</v>
          </cell>
          <cell r="X788">
            <v>8</v>
          </cell>
          <cell r="Y788">
            <v>350</v>
          </cell>
        </row>
        <row r="789">
          <cell r="L789" t="str">
            <v>GR41-1-6</v>
          </cell>
          <cell r="M789" t="str">
            <v>PISTON  BODY</v>
          </cell>
          <cell r="N789" t="str">
            <v>NNAV.E499</v>
          </cell>
          <cell r="P789" t="str">
            <v>MIN_SRG_001</v>
          </cell>
          <cell r="Q789">
            <v>52.14</v>
          </cell>
          <cell r="R789" t="str">
            <v>EACH</v>
          </cell>
          <cell r="S789" t="str">
            <v>AUD</v>
          </cell>
          <cell r="T789">
            <v>8</v>
          </cell>
          <cell r="U789">
            <v>0</v>
          </cell>
          <cell r="V789">
            <v>0</v>
          </cell>
          <cell r="W789">
            <v>45884</v>
          </cell>
          <cell r="X789">
            <v>8</v>
          </cell>
          <cell r="Y789">
            <v>417.12</v>
          </cell>
        </row>
        <row r="790">
          <cell r="L790" t="str">
            <v>GR41-1-7</v>
          </cell>
          <cell r="M790" t="str">
            <v>SPACER</v>
          </cell>
          <cell r="N790" t="str">
            <v>NNAV.E499</v>
          </cell>
          <cell r="P790" t="str">
            <v>MIN_SRG_001</v>
          </cell>
          <cell r="Q790">
            <v>37.619999999999997</v>
          </cell>
          <cell r="R790" t="str">
            <v>EACH</v>
          </cell>
          <cell r="S790" t="str">
            <v>AUD</v>
          </cell>
          <cell r="T790">
            <v>8</v>
          </cell>
          <cell r="U790">
            <v>0</v>
          </cell>
          <cell r="V790">
            <v>0</v>
          </cell>
          <cell r="W790">
            <v>45884</v>
          </cell>
          <cell r="X790">
            <v>8</v>
          </cell>
          <cell r="Y790">
            <v>300.95999999999998</v>
          </cell>
        </row>
        <row r="791">
          <cell r="L791" t="str">
            <v>GR41-1-8</v>
          </cell>
          <cell r="M791" t="str">
            <v>WASHER CUP SEAL</v>
          </cell>
          <cell r="N791" t="str">
            <v>NNAV.E499</v>
          </cell>
          <cell r="P791" t="str">
            <v>MIN_SRG_001</v>
          </cell>
          <cell r="Q791">
            <v>15.1</v>
          </cell>
          <cell r="R791" t="str">
            <v>EACH</v>
          </cell>
          <cell r="S791" t="str">
            <v>AUD</v>
          </cell>
          <cell r="T791">
            <v>8</v>
          </cell>
          <cell r="U791">
            <v>0</v>
          </cell>
          <cell r="V791">
            <v>0</v>
          </cell>
          <cell r="W791">
            <v>45884</v>
          </cell>
          <cell r="X791">
            <v>8</v>
          </cell>
          <cell r="Y791">
            <v>120.8</v>
          </cell>
        </row>
        <row r="792">
          <cell r="L792" t="str">
            <v>GR41-1-9</v>
          </cell>
          <cell r="M792" t="str">
            <v>FOOTBLOCK</v>
          </cell>
          <cell r="N792" t="str">
            <v>NNAV.E499</v>
          </cell>
          <cell r="P792" t="str">
            <v>MIN_SRG_001</v>
          </cell>
          <cell r="Q792">
            <v>134.84</v>
          </cell>
          <cell r="R792" t="str">
            <v>EACH</v>
          </cell>
          <cell r="S792" t="str">
            <v>AUD</v>
          </cell>
          <cell r="T792">
            <v>8</v>
          </cell>
          <cell r="U792">
            <v>0</v>
          </cell>
          <cell r="V792">
            <v>0</v>
          </cell>
          <cell r="W792">
            <v>45884</v>
          </cell>
          <cell r="X792">
            <v>8</v>
          </cell>
          <cell r="Y792">
            <v>1078.72</v>
          </cell>
        </row>
        <row r="793">
          <cell r="L793" t="str">
            <v>GR-AM-KIT</v>
          </cell>
          <cell r="M793" t="str">
            <v>AIR MOTOR REPAIR KIT</v>
          </cell>
          <cell r="N793" t="str">
            <v>NNAV.E499</v>
          </cell>
          <cell r="P793" t="str">
            <v>MIN_SRG_001</v>
          </cell>
          <cell r="Q793">
            <v>219.5</v>
          </cell>
          <cell r="R793" t="str">
            <v>EACH</v>
          </cell>
          <cell r="S793" t="str">
            <v>AUD</v>
          </cell>
          <cell r="T793">
            <v>5</v>
          </cell>
          <cell r="U793">
            <v>0</v>
          </cell>
          <cell r="V793">
            <v>0</v>
          </cell>
          <cell r="W793">
            <v>45884</v>
          </cell>
          <cell r="X793">
            <v>5</v>
          </cell>
          <cell r="Y793">
            <v>1097.5</v>
          </cell>
        </row>
        <row r="794">
          <cell r="L794" t="str">
            <v>GR-PP-COM</v>
          </cell>
          <cell r="M794" t="str">
            <v>ROCK GROUT PUMP (HAN DOK)</v>
          </cell>
          <cell r="N794" t="str">
            <v>NNAV.E499</v>
          </cell>
          <cell r="P794" t="str">
            <v>MIN_SRG_001</v>
          </cell>
          <cell r="Q794">
            <v>4416.97</v>
          </cell>
          <cell r="R794" t="str">
            <v>EACH</v>
          </cell>
          <cell r="S794" t="str">
            <v>AUD</v>
          </cell>
          <cell r="T794">
            <v>1</v>
          </cell>
          <cell r="U794">
            <v>0</v>
          </cell>
          <cell r="V794">
            <v>0</v>
          </cell>
          <cell r="W794">
            <v>45884</v>
          </cell>
          <cell r="X794">
            <v>1</v>
          </cell>
          <cell r="Y794">
            <v>4416.97</v>
          </cell>
        </row>
        <row r="795">
          <cell r="L795" t="str">
            <v>GR-WET-COM</v>
          </cell>
          <cell r="M795" t="str">
            <v>WET END COMPLETE</v>
          </cell>
          <cell r="N795" t="str">
            <v>NNAV.E499</v>
          </cell>
          <cell r="P795" t="str">
            <v>MIN_SRG_001</v>
          </cell>
          <cell r="Q795">
            <v>1299.51</v>
          </cell>
          <cell r="R795" t="str">
            <v>EACH</v>
          </cell>
          <cell r="S795" t="str">
            <v>AUD</v>
          </cell>
          <cell r="T795">
            <v>1</v>
          </cell>
          <cell r="U795">
            <v>0</v>
          </cell>
          <cell r="V795">
            <v>0</v>
          </cell>
          <cell r="W795">
            <v>45884</v>
          </cell>
          <cell r="X795">
            <v>1</v>
          </cell>
          <cell r="Y795">
            <v>1299.51</v>
          </cell>
        </row>
        <row r="796">
          <cell r="L796" t="str">
            <v>HOSE-3.0</v>
          </cell>
          <cell r="M796" t="str">
            <v>HYDRAULIC HOSE 3.0M</v>
          </cell>
          <cell r="N796" t="str">
            <v>NNAV.E499</v>
          </cell>
          <cell r="P796" t="str">
            <v>MIN_SRG_001</v>
          </cell>
          <cell r="Q796">
            <v>267.08</v>
          </cell>
          <cell r="R796" t="str">
            <v>EACH</v>
          </cell>
          <cell r="S796" t="str">
            <v>AUD</v>
          </cell>
          <cell r="T796">
            <v>12</v>
          </cell>
          <cell r="U796">
            <v>0</v>
          </cell>
          <cell r="V796">
            <v>0</v>
          </cell>
          <cell r="W796">
            <v>45884</v>
          </cell>
          <cell r="X796">
            <v>12</v>
          </cell>
          <cell r="Y796">
            <v>3204.96</v>
          </cell>
        </row>
        <row r="797">
          <cell r="L797" t="str">
            <v>TURTLELUB</v>
          </cell>
          <cell r="M797" t="str">
            <v>TURTLE LUBRICATOR 1.5L</v>
          </cell>
          <cell r="N797" t="str">
            <v>NNAV.E499</v>
          </cell>
          <cell r="P797" t="str">
            <v>MIN_SRG_001</v>
          </cell>
          <cell r="Q797">
            <v>385</v>
          </cell>
          <cell r="R797" t="str">
            <v>EACH</v>
          </cell>
          <cell r="S797" t="str">
            <v>AUD</v>
          </cell>
          <cell r="T797">
            <v>2</v>
          </cell>
          <cell r="U797">
            <v>0</v>
          </cell>
          <cell r="V797">
            <v>0</v>
          </cell>
          <cell r="W797">
            <v>45884</v>
          </cell>
          <cell r="X797">
            <v>2</v>
          </cell>
          <cell r="Y797">
            <v>770</v>
          </cell>
        </row>
        <row r="798">
          <cell r="L798" t="str">
            <v>GMP-AM-01</v>
          </cell>
          <cell r="M798" t="str">
            <v>REAR ROTOR BEARING BEARING</v>
          </cell>
          <cell r="N798" t="str">
            <v>NNAV.E499</v>
          </cell>
          <cell r="P798" t="str">
            <v>MIN_SRG_001</v>
          </cell>
          <cell r="Q798">
            <v>17.920000000000002</v>
          </cell>
          <cell r="R798" t="str">
            <v>EACH</v>
          </cell>
          <cell r="S798" t="str">
            <v>AUD</v>
          </cell>
          <cell r="T798">
            <v>5</v>
          </cell>
          <cell r="U798">
            <v>0</v>
          </cell>
          <cell r="V798">
            <v>0</v>
          </cell>
          <cell r="W798">
            <v>45884</v>
          </cell>
          <cell r="X798">
            <v>5</v>
          </cell>
          <cell r="Y798">
            <v>89.6</v>
          </cell>
        </row>
        <row r="799">
          <cell r="L799" t="str">
            <v>GMP-AM-02</v>
          </cell>
          <cell r="M799" t="str">
            <v>FRONT ROTOR BEARING</v>
          </cell>
          <cell r="N799" t="str">
            <v>NNAV.E499</v>
          </cell>
          <cell r="P799" t="str">
            <v>MIN_SRG_001</v>
          </cell>
          <cell r="Q799">
            <v>207.31</v>
          </cell>
          <cell r="R799" t="str">
            <v>EACH</v>
          </cell>
          <cell r="S799" t="str">
            <v>AUD</v>
          </cell>
          <cell r="T799">
            <v>5</v>
          </cell>
          <cell r="U799">
            <v>0</v>
          </cell>
          <cell r="V799">
            <v>0</v>
          </cell>
          <cell r="W799">
            <v>45884</v>
          </cell>
          <cell r="X799">
            <v>5</v>
          </cell>
          <cell r="Y799">
            <v>1036.55</v>
          </cell>
        </row>
        <row r="800">
          <cell r="L800" t="str">
            <v>GMP-AM-08</v>
          </cell>
          <cell r="M800" t="str">
            <v>GASKET</v>
          </cell>
          <cell r="N800" t="str">
            <v>NNAV.E499</v>
          </cell>
          <cell r="P800" t="str">
            <v>MIN_SRG_001</v>
          </cell>
          <cell r="Q800">
            <v>20.65</v>
          </cell>
          <cell r="R800" t="str">
            <v>EACH</v>
          </cell>
          <cell r="S800" t="str">
            <v>AUD</v>
          </cell>
          <cell r="T800">
            <v>5</v>
          </cell>
          <cell r="U800">
            <v>0</v>
          </cell>
          <cell r="V800">
            <v>0</v>
          </cell>
          <cell r="W800">
            <v>45884</v>
          </cell>
          <cell r="X800">
            <v>5</v>
          </cell>
          <cell r="Y800">
            <v>103.25</v>
          </cell>
        </row>
        <row r="801">
          <cell r="L801" t="str">
            <v>GMP-AM-09</v>
          </cell>
          <cell r="M801" t="str">
            <v>VANE KIT</v>
          </cell>
          <cell r="N801" t="str">
            <v>NNAV.E499</v>
          </cell>
          <cell r="P801" t="str">
            <v>MIN_SRG_001</v>
          </cell>
          <cell r="Q801">
            <v>227.77</v>
          </cell>
          <cell r="R801" t="str">
            <v>EACH</v>
          </cell>
          <cell r="S801" t="str">
            <v>AUD</v>
          </cell>
          <cell r="T801">
            <v>5</v>
          </cell>
          <cell r="U801">
            <v>0</v>
          </cell>
          <cell r="V801">
            <v>0</v>
          </cell>
          <cell r="W801">
            <v>45884</v>
          </cell>
          <cell r="X801">
            <v>5</v>
          </cell>
          <cell r="Y801">
            <v>1138.8499999999999</v>
          </cell>
        </row>
        <row r="802">
          <cell r="L802" t="str">
            <v>GMP-AM-10</v>
          </cell>
          <cell r="M802" t="str">
            <v>ROTOR SHAFT SEAL</v>
          </cell>
          <cell r="N802" t="str">
            <v>NNAV.E499</v>
          </cell>
          <cell r="P802" t="str">
            <v>MIN_SRG_001</v>
          </cell>
          <cell r="Q802">
            <v>15.52</v>
          </cell>
          <cell r="R802" t="str">
            <v>EACH</v>
          </cell>
          <cell r="S802" t="str">
            <v>AUD</v>
          </cell>
          <cell r="T802">
            <v>5</v>
          </cell>
          <cell r="U802">
            <v>0</v>
          </cell>
          <cell r="V802">
            <v>0</v>
          </cell>
          <cell r="W802">
            <v>45884</v>
          </cell>
          <cell r="X802">
            <v>5</v>
          </cell>
          <cell r="Y802">
            <v>77.599999999999994</v>
          </cell>
        </row>
        <row r="803">
          <cell r="L803" t="str">
            <v>GMP-AM-11</v>
          </cell>
          <cell r="M803" t="str">
            <v>GASKET</v>
          </cell>
          <cell r="N803" t="str">
            <v>NNAV.E499</v>
          </cell>
          <cell r="P803" t="str">
            <v>MIN_SRG_001</v>
          </cell>
          <cell r="Q803">
            <v>8.65</v>
          </cell>
          <cell r="R803" t="str">
            <v>EACH</v>
          </cell>
          <cell r="S803" t="str">
            <v>AUD</v>
          </cell>
          <cell r="T803">
            <v>5</v>
          </cell>
          <cell r="U803">
            <v>0</v>
          </cell>
          <cell r="V803">
            <v>0</v>
          </cell>
          <cell r="W803">
            <v>45884</v>
          </cell>
          <cell r="X803">
            <v>5</v>
          </cell>
          <cell r="Y803">
            <v>43.25</v>
          </cell>
        </row>
        <row r="804">
          <cell r="L804" t="str">
            <v>GMP-AM-12</v>
          </cell>
          <cell r="M804" t="str">
            <v>ORING</v>
          </cell>
          <cell r="N804" t="str">
            <v>NNAV.E499</v>
          </cell>
          <cell r="P804" t="str">
            <v>MIN_SRG_001</v>
          </cell>
          <cell r="Q804">
            <v>7.27</v>
          </cell>
          <cell r="R804" t="str">
            <v>EACH</v>
          </cell>
          <cell r="S804" t="str">
            <v>AUD</v>
          </cell>
          <cell r="T804">
            <v>5</v>
          </cell>
          <cell r="U804">
            <v>0</v>
          </cell>
          <cell r="V804">
            <v>0</v>
          </cell>
          <cell r="W804">
            <v>45884</v>
          </cell>
          <cell r="X804">
            <v>5</v>
          </cell>
          <cell r="Y804">
            <v>36.35</v>
          </cell>
        </row>
        <row r="805">
          <cell r="L805" t="str">
            <v>GMP-AM-13</v>
          </cell>
          <cell r="M805" t="str">
            <v>VANE PINS</v>
          </cell>
          <cell r="N805" t="str">
            <v>NNAV.E499</v>
          </cell>
          <cell r="P805" t="str">
            <v>MIN_SRG_001</v>
          </cell>
          <cell r="Q805">
            <v>17.940000000000001</v>
          </cell>
          <cell r="R805" t="str">
            <v>EACH</v>
          </cell>
          <cell r="S805" t="str">
            <v>AUD</v>
          </cell>
          <cell r="T805">
            <v>5</v>
          </cell>
          <cell r="U805">
            <v>0</v>
          </cell>
          <cell r="V805">
            <v>0</v>
          </cell>
          <cell r="W805">
            <v>45884</v>
          </cell>
          <cell r="X805">
            <v>5</v>
          </cell>
          <cell r="Y805">
            <v>89.7</v>
          </cell>
        </row>
        <row r="806">
          <cell r="L806" t="str">
            <v>GMP-GB-01</v>
          </cell>
          <cell r="M806" t="str">
            <v>BEARING - GEARBOX</v>
          </cell>
          <cell r="N806" t="str">
            <v>NNAV.E499</v>
          </cell>
          <cell r="P806" t="str">
            <v>MIN_SRG_001</v>
          </cell>
          <cell r="Q806">
            <v>41.19</v>
          </cell>
          <cell r="R806" t="str">
            <v>EACH</v>
          </cell>
          <cell r="S806" t="str">
            <v>AUD</v>
          </cell>
          <cell r="T806">
            <v>5</v>
          </cell>
          <cell r="U806">
            <v>0</v>
          </cell>
          <cell r="V806">
            <v>0</v>
          </cell>
          <cell r="W806">
            <v>45884</v>
          </cell>
          <cell r="X806">
            <v>5</v>
          </cell>
          <cell r="Y806">
            <v>205.95</v>
          </cell>
        </row>
        <row r="807">
          <cell r="L807" t="str">
            <v>GMP-GB-02</v>
          </cell>
          <cell r="M807" t="str">
            <v>BEARING - GEARBOX</v>
          </cell>
          <cell r="N807" t="str">
            <v>NNAV.E499</v>
          </cell>
          <cell r="P807" t="str">
            <v>MIN_SRG_001</v>
          </cell>
          <cell r="Q807">
            <v>133.41999999999999</v>
          </cell>
          <cell r="R807" t="str">
            <v>EACH</v>
          </cell>
          <cell r="S807" t="str">
            <v>AUD</v>
          </cell>
          <cell r="T807">
            <v>5</v>
          </cell>
          <cell r="U807">
            <v>0</v>
          </cell>
          <cell r="V807">
            <v>0</v>
          </cell>
          <cell r="W807">
            <v>45884</v>
          </cell>
          <cell r="X807">
            <v>5</v>
          </cell>
          <cell r="Y807">
            <v>667.1</v>
          </cell>
        </row>
        <row r="808">
          <cell r="L808" t="str">
            <v>GMP-GB-03</v>
          </cell>
          <cell r="M808" t="str">
            <v>SEAL</v>
          </cell>
          <cell r="N808" t="str">
            <v>NNAV.E499</v>
          </cell>
          <cell r="P808" t="str">
            <v>MIN_SRG_001</v>
          </cell>
          <cell r="Q808">
            <v>20.3</v>
          </cell>
          <cell r="R808" t="str">
            <v>EACH</v>
          </cell>
          <cell r="S808" t="str">
            <v>AUD</v>
          </cell>
          <cell r="T808">
            <v>5</v>
          </cell>
          <cell r="U808">
            <v>0</v>
          </cell>
          <cell r="V808">
            <v>0</v>
          </cell>
          <cell r="W808">
            <v>45884</v>
          </cell>
          <cell r="X808">
            <v>5</v>
          </cell>
          <cell r="Y808">
            <v>101.5</v>
          </cell>
        </row>
        <row r="809">
          <cell r="L809" t="str">
            <v>GMP-GB-04</v>
          </cell>
          <cell r="M809" t="str">
            <v>OUTPUT SEAL</v>
          </cell>
          <cell r="N809" t="str">
            <v>NNAV.E499</v>
          </cell>
          <cell r="P809" t="str">
            <v>MIN_SRG_001</v>
          </cell>
          <cell r="Q809">
            <v>14.98</v>
          </cell>
          <cell r="R809" t="str">
            <v>EACH</v>
          </cell>
          <cell r="S809" t="str">
            <v>AUD</v>
          </cell>
          <cell r="T809">
            <v>5</v>
          </cell>
          <cell r="U809">
            <v>0</v>
          </cell>
          <cell r="V809">
            <v>0</v>
          </cell>
          <cell r="W809">
            <v>45884</v>
          </cell>
          <cell r="X809">
            <v>5</v>
          </cell>
          <cell r="Y809">
            <v>74.900000000000006</v>
          </cell>
        </row>
        <row r="810">
          <cell r="L810" t="str">
            <v>GMP-GB-06</v>
          </cell>
          <cell r="M810" t="str">
            <v>SHAFT</v>
          </cell>
          <cell r="N810" t="str">
            <v>NNAV.E499</v>
          </cell>
          <cell r="P810" t="str">
            <v>MIN_SRG_001</v>
          </cell>
          <cell r="Q810">
            <v>198</v>
          </cell>
          <cell r="R810" t="str">
            <v>EACH</v>
          </cell>
          <cell r="S810" t="str">
            <v>AUD</v>
          </cell>
          <cell r="T810">
            <v>1</v>
          </cell>
          <cell r="U810">
            <v>0</v>
          </cell>
          <cell r="V810">
            <v>0</v>
          </cell>
          <cell r="W810">
            <v>45884</v>
          </cell>
          <cell r="X810">
            <v>1</v>
          </cell>
          <cell r="Y810">
            <v>198</v>
          </cell>
        </row>
        <row r="811">
          <cell r="L811" t="str">
            <v>GMP-GB-07</v>
          </cell>
          <cell r="M811" t="str">
            <v>BEARING</v>
          </cell>
          <cell r="N811" t="str">
            <v>NNAV.E499</v>
          </cell>
          <cell r="P811" t="str">
            <v>MIN_SRG_001</v>
          </cell>
          <cell r="Q811">
            <v>27.94</v>
          </cell>
          <cell r="R811" t="str">
            <v>EACH</v>
          </cell>
          <cell r="S811" t="str">
            <v>AUD</v>
          </cell>
          <cell r="T811">
            <v>5</v>
          </cell>
          <cell r="U811">
            <v>0</v>
          </cell>
          <cell r="V811">
            <v>0</v>
          </cell>
          <cell r="W811">
            <v>45884</v>
          </cell>
          <cell r="X811">
            <v>5</v>
          </cell>
          <cell r="Y811">
            <v>139.69999999999999</v>
          </cell>
        </row>
        <row r="812">
          <cell r="L812" t="str">
            <v>PA6D-23</v>
          </cell>
          <cell r="M812" t="str">
            <v>REPAIR KIT 300844</v>
          </cell>
          <cell r="N812" t="str">
            <v>NNAV.E499</v>
          </cell>
          <cell r="P812" t="str">
            <v>MIN_SRG_001</v>
          </cell>
          <cell r="Q812">
            <v>677.08</v>
          </cell>
          <cell r="R812" t="str">
            <v>EACH</v>
          </cell>
          <cell r="S812" t="str">
            <v>AUD</v>
          </cell>
          <cell r="T812">
            <v>3</v>
          </cell>
          <cell r="U812">
            <v>0</v>
          </cell>
          <cell r="V812">
            <v>0</v>
          </cell>
          <cell r="W812">
            <v>45884</v>
          </cell>
          <cell r="X812">
            <v>3</v>
          </cell>
          <cell r="Y812">
            <v>2031.24</v>
          </cell>
        </row>
        <row r="813">
          <cell r="L813" t="str">
            <v>PA6D-24</v>
          </cell>
          <cell r="M813" t="str">
            <v>REPAIR KIT 300847</v>
          </cell>
          <cell r="N813" t="str">
            <v>NNAV.E499</v>
          </cell>
          <cell r="P813" t="str">
            <v>MIN_SRG_001</v>
          </cell>
          <cell r="Q813">
            <v>1089.0899999999999</v>
          </cell>
          <cell r="R813" t="str">
            <v>EACH</v>
          </cell>
          <cell r="S813" t="str">
            <v>AUD</v>
          </cell>
          <cell r="T813">
            <v>3</v>
          </cell>
          <cell r="U813">
            <v>0</v>
          </cell>
          <cell r="V813">
            <v>0</v>
          </cell>
          <cell r="W813">
            <v>45884</v>
          </cell>
          <cell r="X813">
            <v>3</v>
          </cell>
          <cell r="Y813">
            <v>3267.27</v>
          </cell>
        </row>
        <row r="814">
          <cell r="L814" t="str">
            <v>31770001</v>
          </cell>
          <cell r="M814" t="str">
            <v>SOCKET SET + FLEXIBLE HANDLE</v>
          </cell>
          <cell r="N814" t="str">
            <v>NNAV.E499</v>
          </cell>
          <cell r="P814" t="str">
            <v>MIN_ATOM_002</v>
          </cell>
          <cell r="Q814">
            <v>323.29000000000002</v>
          </cell>
          <cell r="R814" t="str">
            <v>EACH</v>
          </cell>
          <cell r="S814" t="str">
            <v>AUD</v>
          </cell>
          <cell r="T814">
            <v>2</v>
          </cell>
          <cell r="U814">
            <v>0</v>
          </cell>
          <cell r="V814">
            <v>0</v>
          </cell>
          <cell r="W814">
            <v>45875</v>
          </cell>
          <cell r="X814">
            <v>2</v>
          </cell>
          <cell r="Y814">
            <v>646.58000000000004</v>
          </cell>
        </row>
        <row r="815">
          <cell r="L815" t="str">
            <v>88889573</v>
          </cell>
          <cell r="M815" t="str">
            <v>SOCKET SET 3/4'' DR AF 19 PCE</v>
          </cell>
          <cell r="N815" t="str">
            <v>NNAV.E499</v>
          </cell>
          <cell r="P815" t="str">
            <v>MIN_ATOM_002</v>
          </cell>
          <cell r="Q815">
            <v>640.86</v>
          </cell>
          <cell r="R815" t="str">
            <v>EACH</v>
          </cell>
          <cell r="S815" t="str">
            <v>AUD</v>
          </cell>
          <cell r="T815">
            <v>2</v>
          </cell>
          <cell r="U815">
            <v>0</v>
          </cell>
          <cell r="V815">
            <v>0</v>
          </cell>
          <cell r="W815">
            <v>45875</v>
          </cell>
          <cell r="X815">
            <v>2</v>
          </cell>
          <cell r="Y815">
            <v>1281.72</v>
          </cell>
        </row>
        <row r="816">
          <cell r="L816" t="str">
            <v>30000145</v>
          </cell>
          <cell r="M816" t="str">
            <v>GUMBOOTS MET GUARD 024 SIZE 6</v>
          </cell>
          <cell r="N816" t="str">
            <v>NNAV.E653</v>
          </cell>
          <cell r="P816" t="str">
            <v>MIN_ATOM_002</v>
          </cell>
          <cell r="Q816">
            <v>55.15</v>
          </cell>
          <cell r="R816" t="str">
            <v>PAIR</v>
          </cell>
          <cell r="S816" t="str">
            <v>AUD</v>
          </cell>
          <cell r="T816">
            <v>5</v>
          </cell>
          <cell r="U816">
            <v>0</v>
          </cell>
          <cell r="V816">
            <v>0</v>
          </cell>
          <cell r="W816">
            <v>45875</v>
          </cell>
          <cell r="X816">
            <v>5</v>
          </cell>
          <cell r="Y816">
            <v>275.75</v>
          </cell>
        </row>
        <row r="817">
          <cell r="L817" t="str">
            <v>30000146</v>
          </cell>
          <cell r="M817" t="str">
            <v>GUMBOOTS MET GUARD 024 SIZE 7</v>
          </cell>
          <cell r="N817" t="str">
            <v>NNAV.E653</v>
          </cell>
          <cell r="P817" t="str">
            <v>MIN_ATOM_002</v>
          </cell>
          <cell r="Q817">
            <v>55.15</v>
          </cell>
          <cell r="R817" t="str">
            <v>PAIR</v>
          </cell>
          <cell r="S817" t="str">
            <v>AUD</v>
          </cell>
          <cell r="T817">
            <v>20</v>
          </cell>
          <cell r="U817">
            <v>0</v>
          </cell>
          <cell r="V817">
            <v>0</v>
          </cell>
          <cell r="W817">
            <v>45875</v>
          </cell>
          <cell r="X817">
            <v>20</v>
          </cell>
          <cell r="Y817">
            <v>1103</v>
          </cell>
        </row>
        <row r="818">
          <cell r="L818" t="str">
            <v>30000147</v>
          </cell>
          <cell r="M818" t="str">
            <v>GUMBOOTS MET GUARD 024 SIZE 8</v>
          </cell>
          <cell r="N818" t="str">
            <v>NNAV.E653</v>
          </cell>
          <cell r="P818" t="str">
            <v>MIN_ATOM_002</v>
          </cell>
          <cell r="Q818">
            <v>55.15</v>
          </cell>
          <cell r="R818" t="str">
            <v>PAIR</v>
          </cell>
          <cell r="S818" t="str">
            <v>AUD</v>
          </cell>
          <cell r="T818">
            <v>35</v>
          </cell>
          <cell r="U818">
            <v>0</v>
          </cell>
          <cell r="V818">
            <v>0</v>
          </cell>
          <cell r="W818">
            <v>45875</v>
          </cell>
          <cell r="X818">
            <v>35</v>
          </cell>
          <cell r="Y818">
            <v>1930.25</v>
          </cell>
        </row>
        <row r="819">
          <cell r="L819" t="str">
            <v>30000148</v>
          </cell>
          <cell r="M819" t="str">
            <v>GUMBOOTS MET GUARD 024 SIZE 9</v>
          </cell>
          <cell r="N819" t="str">
            <v>NNAV.E653</v>
          </cell>
          <cell r="P819" t="str">
            <v>MIN_ATOM_002</v>
          </cell>
          <cell r="Q819">
            <v>55.15</v>
          </cell>
          <cell r="R819" t="str">
            <v>PAIR</v>
          </cell>
          <cell r="S819" t="str">
            <v>AUD</v>
          </cell>
          <cell r="T819">
            <v>35</v>
          </cell>
          <cell r="U819">
            <v>0</v>
          </cell>
          <cell r="V819">
            <v>0</v>
          </cell>
          <cell r="W819">
            <v>45875</v>
          </cell>
          <cell r="X819">
            <v>35</v>
          </cell>
          <cell r="Y819">
            <v>1930.25</v>
          </cell>
        </row>
        <row r="820">
          <cell r="L820" t="str">
            <v>30000149</v>
          </cell>
          <cell r="M820" t="str">
            <v>GUMBOOTS MET GUARD 024 SIZE 10</v>
          </cell>
          <cell r="N820" t="str">
            <v>NNAV.E653</v>
          </cell>
          <cell r="P820" t="str">
            <v>MIN_ATOM_002</v>
          </cell>
          <cell r="Q820">
            <v>55.15</v>
          </cell>
          <cell r="R820" t="str">
            <v>PAIR</v>
          </cell>
          <cell r="S820" t="str">
            <v>AUD</v>
          </cell>
          <cell r="T820">
            <v>30</v>
          </cell>
          <cell r="U820">
            <v>0</v>
          </cell>
          <cell r="V820">
            <v>0</v>
          </cell>
          <cell r="W820">
            <v>45875</v>
          </cell>
          <cell r="X820">
            <v>30</v>
          </cell>
          <cell r="Y820">
            <v>1654.5</v>
          </cell>
        </row>
        <row r="821">
          <cell r="L821" t="str">
            <v>30000150</v>
          </cell>
          <cell r="M821" t="str">
            <v>GUMBOOTS MET GUARD 024 SIZE 11</v>
          </cell>
          <cell r="N821" t="str">
            <v>NNAV.E653</v>
          </cell>
          <cell r="P821" t="str">
            <v>MIN_ATOM_002</v>
          </cell>
          <cell r="Q821">
            <v>55.15</v>
          </cell>
          <cell r="R821" t="str">
            <v>PAIR</v>
          </cell>
          <cell r="S821" t="str">
            <v>AUD</v>
          </cell>
          <cell r="T821">
            <v>20</v>
          </cell>
          <cell r="U821">
            <v>0</v>
          </cell>
          <cell r="V821">
            <v>0</v>
          </cell>
          <cell r="W821">
            <v>45875</v>
          </cell>
          <cell r="X821">
            <v>20</v>
          </cell>
          <cell r="Y821">
            <v>1103</v>
          </cell>
        </row>
        <row r="822">
          <cell r="L822" t="str">
            <v>30000151</v>
          </cell>
          <cell r="M822" t="str">
            <v>GUMBOOTS MET GUARD 024 SIZE 12</v>
          </cell>
          <cell r="N822" t="str">
            <v>NNAV.E653</v>
          </cell>
          <cell r="P822" t="str">
            <v>MIN_ATOM_002</v>
          </cell>
          <cell r="Q822">
            <v>55.15</v>
          </cell>
          <cell r="R822" t="str">
            <v>PAIR</v>
          </cell>
          <cell r="S822" t="str">
            <v>AUD</v>
          </cell>
          <cell r="T822">
            <v>15</v>
          </cell>
          <cell r="U822">
            <v>0</v>
          </cell>
          <cell r="V822">
            <v>0</v>
          </cell>
          <cell r="W822">
            <v>45875</v>
          </cell>
          <cell r="X822">
            <v>15</v>
          </cell>
          <cell r="Y822">
            <v>827.25</v>
          </cell>
        </row>
        <row r="823">
          <cell r="L823" t="str">
            <v>30000152</v>
          </cell>
          <cell r="M823" t="str">
            <v>GUMBOOTS MET GUARD 024 SIZE 13</v>
          </cell>
          <cell r="N823" t="str">
            <v>NNAV.E653</v>
          </cell>
          <cell r="P823" t="str">
            <v>MIN_ATOM_002</v>
          </cell>
          <cell r="Q823">
            <v>55.15</v>
          </cell>
          <cell r="R823" t="str">
            <v>PAIR</v>
          </cell>
          <cell r="S823" t="str">
            <v>AUD</v>
          </cell>
          <cell r="T823">
            <v>5</v>
          </cell>
          <cell r="U823">
            <v>0</v>
          </cell>
          <cell r="V823">
            <v>0</v>
          </cell>
          <cell r="W823">
            <v>45875</v>
          </cell>
          <cell r="X823">
            <v>5</v>
          </cell>
          <cell r="Y823">
            <v>275.75</v>
          </cell>
        </row>
        <row r="824">
          <cell r="L824" t="str">
            <v>453111</v>
          </cell>
          <cell r="M824" t="str">
            <v>BELT MINERS BUCKAROO 32"</v>
          </cell>
          <cell r="N824" t="str">
            <v>NNAV.E653</v>
          </cell>
          <cell r="P824" t="str">
            <v>MIN_ATOM_002</v>
          </cell>
          <cell r="Q824">
            <v>104.67</v>
          </cell>
          <cell r="R824" t="str">
            <v>EACH</v>
          </cell>
          <cell r="S824" t="str">
            <v>AUD</v>
          </cell>
          <cell r="T824">
            <v>15</v>
          </cell>
          <cell r="U824">
            <v>0</v>
          </cell>
          <cell r="V824">
            <v>0</v>
          </cell>
          <cell r="W824">
            <v>45875</v>
          </cell>
          <cell r="X824">
            <v>15</v>
          </cell>
          <cell r="Y824">
            <v>1570.05</v>
          </cell>
        </row>
        <row r="825">
          <cell r="L825" t="str">
            <v>407231</v>
          </cell>
          <cell r="M825" t="str">
            <v>BELT MINERS BUCKAROO 34"</v>
          </cell>
          <cell r="N825" t="str">
            <v>NNAV.E653</v>
          </cell>
          <cell r="P825" t="str">
            <v>MIN_ATOM_002</v>
          </cell>
          <cell r="Q825">
            <v>104.67</v>
          </cell>
          <cell r="R825" t="str">
            <v>EACH</v>
          </cell>
          <cell r="S825" t="str">
            <v>AUD</v>
          </cell>
          <cell r="T825">
            <v>30</v>
          </cell>
          <cell r="U825">
            <v>0</v>
          </cell>
          <cell r="V825">
            <v>0</v>
          </cell>
          <cell r="W825">
            <v>45875</v>
          </cell>
          <cell r="X825">
            <v>30</v>
          </cell>
          <cell r="Y825">
            <v>3140.1</v>
          </cell>
        </row>
        <row r="826">
          <cell r="L826" t="str">
            <v>421771</v>
          </cell>
          <cell r="M826" t="str">
            <v>BELT MINERS BUCKAROO 36"</v>
          </cell>
          <cell r="N826" t="str">
            <v>NNAV.E653</v>
          </cell>
          <cell r="P826" t="str">
            <v>MIN_ATOM_002</v>
          </cell>
          <cell r="Q826">
            <v>104.67</v>
          </cell>
          <cell r="R826" t="str">
            <v>EACH</v>
          </cell>
          <cell r="S826" t="str">
            <v>AUD</v>
          </cell>
          <cell r="T826">
            <v>20</v>
          </cell>
          <cell r="U826">
            <v>0</v>
          </cell>
          <cell r="V826">
            <v>0</v>
          </cell>
          <cell r="W826">
            <v>45875</v>
          </cell>
          <cell r="X826">
            <v>20</v>
          </cell>
          <cell r="Y826">
            <v>2093.4</v>
          </cell>
        </row>
        <row r="827">
          <cell r="L827" t="str">
            <v>531298</v>
          </cell>
          <cell r="M827" t="str">
            <v>BELT MINERS BUCKAROO 38'</v>
          </cell>
          <cell r="N827" t="str">
            <v>NNAV.E653</v>
          </cell>
          <cell r="P827" t="str">
            <v>MIN_ATOM_002</v>
          </cell>
          <cell r="Q827">
            <v>104.67</v>
          </cell>
          <cell r="R827" t="str">
            <v>EACH</v>
          </cell>
          <cell r="S827" t="str">
            <v>AUD</v>
          </cell>
          <cell r="T827">
            <v>20</v>
          </cell>
          <cell r="U827">
            <v>0</v>
          </cell>
          <cell r="V827">
            <v>0</v>
          </cell>
          <cell r="W827">
            <v>45875</v>
          </cell>
          <cell r="X827">
            <v>20</v>
          </cell>
          <cell r="Y827">
            <v>2093.4</v>
          </cell>
        </row>
        <row r="828">
          <cell r="L828" t="str">
            <v>535097</v>
          </cell>
          <cell r="M828" t="str">
            <v>BELT MINERS BUCKAROO 40"</v>
          </cell>
          <cell r="N828" t="str">
            <v>NNAV.E653</v>
          </cell>
          <cell r="P828" t="str">
            <v>MIN_ATOM_002</v>
          </cell>
          <cell r="Q828">
            <v>104.67</v>
          </cell>
          <cell r="R828" t="str">
            <v>EACH</v>
          </cell>
          <cell r="S828" t="str">
            <v>AUD</v>
          </cell>
          <cell r="T828">
            <v>10</v>
          </cell>
          <cell r="U828">
            <v>0</v>
          </cell>
          <cell r="V828">
            <v>0</v>
          </cell>
          <cell r="W828">
            <v>45875</v>
          </cell>
          <cell r="X828">
            <v>10</v>
          </cell>
          <cell r="Y828">
            <v>1046.7</v>
          </cell>
        </row>
        <row r="829">
          <cell r="L829" t="str">
            <v>40045937</v>
          </cell>
          <cell r="M829" t="str">
            <v>BELT MINERS BUCKAROO 42"</v>
          </cell>
          <cell r="N829" t="str">
            <v>NNAV.E653</v>
          </cell>
          <cell r="P829" t="str">
            <v>MIN_ATOM_002</v>
          </cell>
          <cell r="Q829">
            <v>104.67</v>
          </cell>
          <cell r="R829" t="str">
            <v>EACH</v>
          </cell>
          <cell r="S829" t="str">
            <v>AUD</v>
          </cell>
          <cell r="T829">
            <v>5</v>
          </cell>
          <cell r="U829">
            <v>0</v>
          </cell>
          <cell r="V829">
            <v>0</v>
          </cell>
          <cell r="W829">
            <v>45875</v>
          </cell>
          <cell r="X829">
            <v>5</v>
          </cell>
          <cell r="Y829">
            <v>523.35</v>
          </cell>
        </row>
        <row r="830">
          <cell r="L830" t="str">
            <v>531302</v>
          </cell>
          <cell r="M830" t="str">
            <v>BELT MINERS BUCKAROO 44"</v>
          </cell>
          <cell r="N830" t="str">
            <v>NNAV.E653</v>
          </cell>
          <cell r="P830" t="str">
            <v>MIN_ATOM_002</v>
          </cell>
          <cell r="Q830">
            <v>104.67</v>
          </cell>
          <cell r="R830" t="str">
            <v>EACH</v>
          </cell>
          <cell r="S830" t="str">
            <v>AUD</v>
          </cell>
          <cell r="T830">
            <v>5</v>
          </cell>
          <cell r="U830">
            <v>0</v>
          </cell>
          <cell r="V830">
            <v>0</v>
          </cell>
          <cell r="W830">
            <v>45875</v>
          </cell>
          <cell r="X830">
            <v>5</v>
          </cell>
          <cell r="Y830">
            <v>523.35</v>
          </cell>
        </row>
        <row r="831">
          <cell r="L831" t="str">
            <v>30007243</v>
          </cell>
          <cell r="M831" t="str">
            <v>BOOTS 55-345Z L/UP ZIP SZ 6</v>
          </cell>
          <cell r="N831" t="str">
            <v>NNAV.E653</v>
          </cell>
          <cell r="P831" t="str">
            <v>MIN_ATOM_002</v>
          </cell>
          <cell r="Q831">
            <v>147.15</v>
          </cell>
          <cell r="R831" t="str">
            <v>PAIR</v>
          </cell>
          <cell r="S831" t="str">
            <v>AUD</v>
          </cell>
          <cell r="T831">
            <v>5</v>
          </cell>
          <cell r="U831">
            <v>0</v>
          </cell>
          <cell r="V831">
            <v>0</v>
          </cell>
          <cell r="W831">
            <v>45875</v>
          </cell>
          <cell r="X831">
            <v>5</v>
          </cell>
          <cell r="Y831">
            <v>735.75</v>
          </cell>
        </row>
        <row r="832">
          <cell r="L832" t="str">
            <v>30007245</v>
          </cell>
          <cell r="M832" t="str">
            <v>BOOTS 55-345Z L/UP ZIP SZ 7</v>
          </cell>
          <cell r="N832" t="str">
            <v>NNAV.E653</v>
          </cell>
          <cell r="P832" t="str">
            <v>MIN_ATOM_002</v>
          </cell>
          <cell r="Q832">
            <v>147.15</v>
          </cell>
          <cell r="R832" t="str">
            <v>PAIR</v>
          </cell>
          <cell r="S832" t="str">
            <v>AUD</v>
          </cell>
          <cell r="T832">
            <v>10</v>
          </cell>
          <cell r="U832">
            <v>0</v>
          </cell>
          <cell r="V832">
            <v>0</v>
          </cell>
          <cell r="W832">
            <v>45875</v>
          </cell>
          <cell r="X832">
            <v>10</v>
          </cell>
          <cell r="Y832">
            <v>1471.5</v>
          </cell>
        </row>
        <row r="833">
          <cell r="L833" t="str">
            <v>30007283</v>
          </cell>
          <cell r="M833" t="str">
            <v>BOOTS 55-385 L/UP ZIP SZ 8</v>
          </cell>
          <cell r="N833" t="str">
            <v>NNAV.E653</v>
          </cell>
          <cell r="P833" t="str">
            <v>MIN_ATOM_002</v>
          </cell>
          <cell r="Q833">
            <v>143.07</v>
          </cell>
          <cell r="R833" t="str">
            <v>PAIR</v>
          </cell>
          <cell r="S833" t="str">
            <v>AUD</v>
          </cell>
          <cell r="T833">
            <v>10</v>
          </cell>
          <cell r="U833">
            <v>0</v>
          </cell>
          <cell r="V833">
            <v>0</v>
          </cell>
          <cell r="W833">
            <v>45875</v>
          </cell>
          <cell r="X833">
            <v>10</v>
          </cell>
          <cell r="Y833">
            <v>1430.7</v>
          </cell>
        </row>
        <row r="834">
          <cell r="L834" t="str">
            <v>30007285</v>
          </cell>
          <cell r="M834" t="str">
            <v>BOOTS 55-385 L/UP ZIP SZ 9</v>
          </cell>
          <cell r="N834" t="str">
            <v>NNAV.E653</v>
          </cell>
          <cell r="P834" t="str">
            <v>MIN_ATOM_002</v>
          </cell>
          <cell r="Q834">
            <v>143.07</v>
          </cell>
          <cell r="R834" t="str">
            <v>PAIR</v>
          </cell>
          <cell r="S834" t="str">
            <v>AUD</v>
          </cell>
          <cell r="T834">
            <v>15</v>
          </cell>
          <cell r="U834">
            <v>0</v>
          </cell>
          <cell r="V834">
            <v>0</v>
          </cell>
          <cell r="W834">
            <v>45875</v>
          </cell>
          <cell r="X834">
            <v>15</v>
          </cell>
          <cell r="Y834">
            <v>2146.0500000000002</v>
          </cell>
        </row>
        <row r="835">
          <cell r="L835" t="str">
            <v>30007287</v>
          </cell>
          <cell r="M835" t="str">
            <v>BOOTS 55-385 L/UP ZIP SZ 10</v>
          </cell>
          <cell r="N835" t="str">
            <v>NNAV.E653</v>
          </cell>
          <cell r="P835" t="str">
            <v>MIN_ATOM_002</v>
          </cell>
          <cell r="Q835">
            <v>143.07</v>
          </cell>
          <cell r="R835" t="str">
            <v>PAIR</v>
          </cell>
          <cell r="S835" t="str">
            <v>AUD</v>
          </cell>
          <cell r="T835">
            <v>15</v>
          </cell>
          <cell r="U835">
            <v>0</v>
          </cell>
          <cell r="V835">
            <v>0</v>
          </cell>
          <cell r="W835">
            <v>45875</v>
          </cell>
          <cell r="X835">
            <v>15</v>
          </cell>
          <cell r="Y835">
            <v>2146.0500000000002</v>
          </cell>
        </row>
        <row r="836">
          <cell r="L836" t="str">
            <v>30007289</v>
          </cell>
          <cell r="M836" t="str">
            <v>BOOTS 55-385 L/UP ZIP SZ 11</v>
          </cell>
          <cell r="N836" t="str">
            <v>NNAV.E653</v>
          </cell>
          <cell r="P836" t="str">
            <v>MIN_ATOM_002</v>
          </cell>
          <cell r="Q836">
            <v>143.07</v>
          </cell>
          <cell r="R836" t="str">
            <v>PAIR</v>
          </cell>
          <cell r="S836" t="str">
            <v>AUD</v>
          </cell>
          <cell r="T836">
            <v>5</v>
          </cell>
          <cell r="U836">
            <v>0</v>
          </cell>
          <cell r="V836">
            <v>0</v>
          </cell>
          <cell r="W836">
            <v>45875</v>
          </cell>
          <cell r="X836">
            <v>5</v>
          </cell>
          <cell r="Y836">
            <v>715.35</v>
          </cell>
        </row>
        <row r="837">
          <cell r="L837" t="str">
            <v>30007291</v>
          </cell>
          <cell r="M837" t="str">
            <v>BOOTS 55-385 L/UP ZIP SZ 12</v>
          </cell>
          <cell r="N837" t="str">
            <v>NNAV.E653</v>
          </cell>
          <cell r="P837" t="str">
            <v>MIN_ATOM_002</v>
          </cell>
          <cell r="Q837">
            <v>143.07</v>
          </cell>
          <cell r="R837" t="str">
            <v>PAIR</v>
          </cell>
          <cell r="S837" t="str">
            <v>AUD</v>
          </cell>
          <cell r="T837">
            <v>5</v>
          </cell>
          <cell r="U837">
            <v>0</v>
          </cell>
          <cell r="V837">
            <v>0</v>
          </cell>
          <cell r="W837">
            <v>45875</v>
          </cell>
          <cell r="X837">
            <v>5</v>
          </cell>
          <cell r="Y837">
            <v>715.35</v>
          </cell>
        </row>
        <row r="838">
          <cell r="L838" t="str">
            <v>30007293</v>
          </cell>
          <cell r="M838" t="str">
            <v>BOOTS 55-385 L/UP ZIP SZ13</v>
          </cell>
          <cell r="N838" t="str">
            <v>NNAV.E653</v>
          </cell>
          <cell r="P838" t="str">
            <v>MIN_ATOM_002</v>
          </cell>
          <cell r="Q838">
            <v>143.07</v>
          </cell>
          <cell r="R838" t="str">
            <v>PAIR</v>
          </cell>
          <cell r="S838" t="str">
            <v>AUD</v>
          </cell>
          <cell r="T838">
            <v>5</v>
          </cell>
          <cell r="U838">
            <v>0</v>
          </cell>
          <cell r="V838">
            <v>0</v>
          </cell>
          <cell r="W838">
            <v>45875</v>
          </cell>
          <cell r="X838">
            <v>5</v>
          </cell>
          <cell r="Y838">
            <v>715.35</v>
          </cell>
        </row>
        <row r="839">
          <cell r="L839" t="str">
            <v>55010160</v>
          </cell>
          <cell r="M839" t="str">
            <v>JACKET WET WEATHER PVC YEL MED</v>
          </cell>
          <cell r="N839" t="str">
            <v>NNAV.E653</v>
          </cell>
          <cell r="P839" t="str">
            <v>MIN_ATOM_002</v>
          </cell>
          <cell r="Q839">
            <v>7.86</v>
          </cell>
          <cell r="R839" t="str">
            <v>EACH</v>
          </cell>
          <cell r="S839" t="str">
            <v>AUD</v>
          </cell>
          <cell r="T839">
            <v>20</v>
          </cell>
          <cell r="U839">
            <v>0</v>
          </cell>
          <cell r="V839">
            <v>0</v>
          </cell>
          <cell r="W839">
            <v>45875</v>
          </cell>
          <cell r="X839">
            <v>20</v>
          </cell>
          <cell r="Y839">
            <v>157.19999999999999</v>
          </cell>
        </row>
        <row r="840">
          <cell r="L840" t="str">
            <v>55010170</v>
          </cell>
          <cell r="M840" t="str">
            <v>JACKET WET WEATHER PVC YEL LRG</v>
          </cell>
          <cell r="N840" t="str">
            <v>NNAV.E653</v>
          </cell>
          <cell r="P840" t="str">
            <v>MIN_ATOM_002</v>
          </cell>
          <cell r="Q840">
            <v>7.86</v>
          </cell>
          <cell r="R840" t="str">
            <v>EACH</v>
          </cell>
          <cell r="S840" t="str">
            <v>AUD</v>
          </cell>
          <cell r="T840">
            <v>40</v>
          </cell>
          <cell r="U840">
            <v>0</v>
          </cell>
          <cell r="V840">
            <v>0</v>
          </cell>
          <cell r="W840">
            <v>45875</v>
          </cell>
          <cell r="X840">
            <v>40</v>
          </cell>
          <cell r="Y840">
            <v>314.39999999999998</v>
          </cell>
        </row>
        <row r="841">
          <cell r="L841" t="str">
            <v>55010055</v>
          </cell>
          <cell r="M841" t="str">
            <v>PANTS WET WEATHER PVC YEL MED</v>
          </cell>
          <cell r="N841" t="str">
            <v>NNAV.E653</v>
          </cell>
          <cell r="P841" t="str">
            <v>MIN_ATOM_002</v>
          </cell>
          <cell r="Q841">
            <v>5.36</v>
          </cell>
          <cell r="R841" t="str">
            <v>EACH</v>
          </cell>
          <cell r="S841" t="str">
            <v>AUD</v>
          </cell>
          <cell r="T841">
            <v>20</v>
          </cell>
          <cell r="U841">
            <v>0</v>
          </cell>
          <cell r="V841">
            <v>0</v>
          </cell>
          <cell r="W841">
            <v>45875</v>
          </cell>
          <cell r="X841">
            <v>20</v>
          </cell>
          <cell r="Y841">
            <v>107.2</v>
          </cell>
        </row>
        <row r="842">
          <cell r="L842" t="str">
            <v>55010060</v>
          </cell>
          <cell r="M842" t="str">
            <v>PANTS WET WEATHER PVC YEL LRG</v>
          </cell>
          <cell r="N842" t="str">
            <v>NNAV.E653</v>
          </cell>
          <cell r="P842" t="str">
            <v>MIN_ATOM_002</v>
          </cell>
          <cell r="Q842">
            <v>5.36</v>
          </cell>
          <cell r="R842" t="str">
            <v>EACH</v>
          </cell>
          <cell r="S842" t="str">
            <v>AUD</v>
          </cell>
          <cell r="T842">
            <v>40</v>
          </cell>
          <cell r="U842">
            <v>0</v>
          </cell>
          <cell r="V842">
            <v>0</v>
          </cell>
          <cell r="W842">
            <v>45875</v>
          </cell>
          <cell r="X842">
            <v>40</v>
          </cell>
          <cell r="Y842">
            <v>214.4</v>
          </cell>
        </row>
        <row r="843">
          <cell r="L843" t="str">
            <v>40025724</v>
          </cell>
          <cell r="M843" t="str">
            <v>HAT HARD WHT UNVENT FULL BRIM</v>
          </cell>
          <cell r="N843" t="str">
            <v>NNAV.E653</v>
          </cell>
          <cell r="P843" t="str">
            <v>MIN_ATOM_002</v>
          </cell>
          <cell r="Q843">
            <v>22.71</v>
          </cell>
          <cell r="R843" t="str">
            <v>EACH</v>
          </cell>
          <cell r="S843" t="str">
            <v>AUD</v>
          </cell>
          <cell r="T843">
            <v>120</v>
          </cell>
          <cell r="U843">
            <v>0</v>
          </cell>
          <cell r="V843">
            <v>0</v>
          </cell>
          <cell r="W843">
            <v>45875</v>
          </cell>
          <cell r="X843">
            <v>120</v>
          </cell>
          <cell r="Y843">
            <v>2725.2</v>
          </cell>
        </row>
        <row r="844">
          <cell r="L844" t="str">
            <v>1437003</v>
          </cell>
          <cell r="M844" t="str">
            <v>SWEATBAND TERRY TOWELLING</v>
          </cell>
          <cell r="N844" t="str">
            <v>NNAV.E653</v>
          </cell>
          <cell r="P844" t="str">
            <v>MIN_ATOM_002</v>
          </cell>
          <cell r="Q844">
            <v>0.52</v>
          </cell>
          <cell r="R844" t="str">
            <v>EACH</v>
          </cell>
          <cell r="S844" t="str">
            <v>AUD</v>
          </cell>
          <cell r="T844">
            <v>100</v>
          </cell>
          <cell r="U844">
            <v>0</v>
          </cell>
          <cell r="V844">
            <v>0</v>
          </cell>
          <cell r="W844">
            <v>45875</v>
          </cell>
          <cell r="X844">
            <v>100</v>
          </cell>
          <cell r="Y844">
            <v>52</v>
          </cell>
        </row>
        <row r="845">
          <cell r="L845" t="str">
            <v>79900596</v>
          </cell>
          <cell r="M845" t="str">
            <v>GLOVES HYLITE 47-400 SIZE 8</v>
          </cell>
          <cell r="N845" t="str">
            <v>NNAV.E653</v>
          </cell>
          <cell r="P845" t="str">
            <v>MIN_ATOM_002</v>
          </cell>
          <cell r="Q845">
            <v>2.77</v>
          </cell>
          <cell r="R845" t="str">
            <v>PAIR</v>
          </cell>
          <cell r="S845" t="str">
            <v>AUD</v>
          </cell>
          <cell r="T845">
            <v>1200</v>
          </cell>
          <cell r="U845">
            <v>0</v>
          </cell>
          <cell r="V845">
            <v>0</v>
          </cell>
          <cell r="W845">
            <v>45875</v>
          </cell>
          <cell r="X845">
            <v>1200</v>
          </cell>
          <cell r="Y845">
            <v>3324</v>
          </cell>
        </row>
        <row r="846">
          <cell r="L846" t="str">
            <v>90110007</v>
          </cell>
          <cell r="M846" t="str">
            <v>GLOVES PVC HYLITE SIZE 9</v>
          </cell>
          <cell r="N846" t="str">
            <v>NNAV.E653</v>
          </cell>
          <cell r="P846" t="str">
            <v>MIN_ATOM_002</v>
          </cell>
          <cell r="Q846">
            <v>2.77</v>
          </cell>
          <cell r="R846" t="str">
            <v>PAIR</v>
          </cell>
          <cell r="S846" t="str">
            <v>AUD</v>
          </cell>
          <cell r="T846">
            <v>1200</v>
          </cell>
          <cell r="U846">
            <v>0</v>
          </cell>
          <cell r="V846">
            <v>0</v>
          </cell>
          <cell r="W846">
            <v>45875</v>
          </cell>
          <cell r="X846">
            <v>1200</v>
          </cell>
          <cell r="Y846">
            <v>3324</v>
          </cell>
        </row>
        <row r="847">
          <cell r="L847" t="str">
            <v>90110168</v>
          </cell>
          <cell r="M847" t="str">
            <v>GLOVES PVC HYLITE SIZE 10</v>
          </cell>
          <cell r="N847" t="str">
            <v>NNAV.E653</v>
          </cell>
          <cell r="P847" t="str">
            <v>MIN_ATOM_002</v>
          </cell>
          <cell r="Q847">
            <v>2.77</v>
          </cell>
          <cell r="R847" t="str">
            <v>PAIR</v>
          </cell>
          <cell r="S847" t="str">
            <v>AUD</v>
          </cell>
          <cell r="T847">
            <v>250</v>
          </cell>
          <cell r="U847">
            <v>0</v>
          </cell>
          <cell r="V847">
            <v>0</v>
          </cell>
          <cell r="W847">
            <v>45875</v>
          </cell>
          <cell r="X847">
            <v>250</v>
          </cell>
          <cell r="Y847">
            <v>692.5</v>
          </cell>
        </row>
        <row r="848">
          <cell r="L848" t="str">
            <v>40004260</v>
          </cell>
          <cell r="M848" t="str">
            <v>GLOVES CHEM+CUT RESIST SIZE 9</v>
          </cell>
          <cell r="N848" t="str">
            <v>NNAV.E653</v>
          </cell>
          <cell r="P848" t="str">
            <v>MIN_ATOM_002</v>
          </cell>
          <cell r="Q848">
            <v>15.42</v>
          </cell>
          <cell r="R848" t="str">
            <v>PAIR</v>
          </cell>
          <cell r="S848" t="str">
            <v>AUD</v>
          </cell>
          <cell r="T848">
            <v>100</v>
          </cell>
          <cell r="U848">
            <v>0</v>
          </cell>
          <cell r="V848">
            <v>0</v>
          </cell>
          <cell r="W848">
            <v>45875</v>
          </cell>
          <cell r="X848">
            <v>100</v>
          </cell>
          <cell r="Y848">
            <v>1542</v>
          </cell>
        </row>
        <row r="849">
          <cell r="L849" t="str">
            <v>40004261</v>
          </cell>
          <cell r="M849" t="str">
            <v>GLOVES CHEM+CUT RESIST SIZE 10</v>
          </cell>
          <cell r="N849" t="str">
            <v>NNAV.E653</v>
          </cell>
          <cell r="P849" t="str">
            <v>MIN_ATOM_002</v>
          </cell>
          <cell r="Q849">
            <v>15.42</v>
          </cell>
          <cell r="R849" t="str">
            <v>PAIR</v>
          </cell>
          <cell r="S849" t="str">
            <v>AUD</v>
          </cell>
          <cell r="T849">
            <v>100</v>
          </cell>
          <cell r="U849">
            <v>0</v>
          </cell>
          <cell r="V849">
            <v>0</v>
          </cell>
          <cell r="W849">
            <v>45875</v>
          </cell>
          <cell r="X849">
            <v>100</v>
          </cell>
          <cell r="Y849">
            <v>1542</v>
          </cell>
        </row>
        <row r="850">
          <cell r="L850" t="str">
            <v>40004262</v>
          </cell>
          <cell r="M850" t="str">
            <v>GLOVES CHEM+CUT RESIST SIZE 11</v>
          </cell>
          <cell r="N850" t="str">
            <v>NNAV.E653</v>
          </cell>
          <cell r="P850" t="str">
            <v>MIN_ATOM_002</v>
          </cell>
          <cell r="Q850">
            <v>15.42</v>
          </cell>
          <cell r="R850" t="str">
            <v>PAIR</v>
          </cell>
          <cell r="S850" t="str">
            <v>AUD</v>
          </cell>
          <cell r="T850">
            <v>50</v>
          </cell>
          <cell r="U850">
            <v>0</v>
          </cell>
          <cell r="V850">
            <v>0</v>
          </cell>
          <cell r="W850">
            <v>45875</v>
          </cell>
          <cell r="X850">
            <v>50</v>
          </cell>
          <cell r="Y850">
            <v>771</v>
          </cell>
        </row>
        <row r="851">
          <cell r="L851" t="str">
            <v>55040330</v>
          </cell>
          <cell r="M851" t="str">
            <v>GLOVES RIGGERS A GRADE  L</v>
          </cell>
          <cell r="N851" t="str">
            <v>NNAV.E653</v>
          </cell>
          <cell r="P851" t="str">
            <v>MIN_ATOM_002</v>
          </cell>
          <cell r="Q851">
            <v>4.12</v>
          </cell>
          <cell r="R851" t="str">
            <v>PAIR</v>
          </cell>
          <cell r="S851" t="str">
            <v>AUD</v>
          </cell>
          <cell r="T851">
            <v>50</v>
          </cell>
          <cell r="U851">
            <v>0</v>
          </cell>
          <cell r="V851">
            <v>0</v>
          </cell>
          <cell r="W851">
            <v>45875</v>
          </cell>
          <cell r="X851">
            <v>50</v>
          </cell>
          <cell r="Y851">
            <v>206</v>
          </cell>
        </row>
        <row r="852">
          <cell r="L852" t="str">
            <v>55040340</v>
          </cell>
          <cell r="M852" t="str">
            <v>GLOVES RIGGERS A GRADE XL</v>
          </cell>
          <cell r="N852" t="str">
            <v>NNAV.E653</v>
          </cell>
          <cell r="P852" t="str">
            <v>MIN_ATOM_002</v>
          </cell>
          <cell r="Q852">
            <v>4.12</v>
          </cell>
          <cell r="R852" t="str">
            <v>PAIR</v>
          </cell>
          <cell r="S852" t="str">
            <v>AUD</v>
          </cell>
          <cell r="T852">
            <v>50</v>
          </cell>
          <cell r="U852">
            <v>0</v>
          </cell>
          <cell r="V852">
            <v>0</v>
          </cell>
          <cell r="W852">
            <v>45875</v>
          </cell>
          <cell r="X852">
            <v>50</v>
          </cell>
          <cell r="Y852">
            <v>206</v>
          </cell>
        </row>
        <row r="853">
          <cell r="L853" t="str">
            <v>90118181</v>
          </cell>
          <cell r="M853" t="str">
            <v>GLOVE CLIP HI VIS YELLOW</v>
          </cell>
          <cell r="N853" t="str">
            <v>NNAV.E653</v>
          </cell>
          <cell r="P853" t="str">
            <v>MIN_ATOM_002</v>
          </cell>
          <cell r="Q853">
            <v>2.65</v>
          </cell>
          <cell r="R853" t="str">
            <v>EACH</v>
          </cell>
          <cell r="S853" t="str">
            <v>AUD</v>
          </cell>
          <cell r="T853">
            <v>50</v>
          </cell>
          <cell r="U853">
            <v>0</v>
          </cell>
          <cell r="V853">
            <v>0</v>
          </cell>
          <cell r="W853">
            <v>45875</v>
          </cell>
          <cell r="X853">
            <v>50</v>
          </cell>
          <cell r="Y853">
            <v>132.5</v>
          </cell>
        </row>
        <row r="854">
          <cell r="L854" t="str">
            <v>55040830</v>
          </cell>
          <cell r="M854" t="str">
            <v>GLOVES PVC CHEM RESIST 450MM</v>
          </cell>
          <cell r="N854" t="str">
            <v>NNAV.E653</v>
          </cell>
          <cell r="P854" t="str">
            <v>MIN_ATOM_002</v>
          </cell>
          <cell r="Q854">
            <v>2.63</v>
          </cell>
          <cell r="R854" t="str">
            <v>PAIR</v>
          </cell>
          <cell r="S854" t="str">
            <v>AUD</v>
          </cell>
          <cell r="T854">
            <v>50</v>
          </cell>
          <cell r="U854">
            <v>0</v>
          </cell>
          <cell r="V854">
            <v>0</v>
          </cell>
          <cell r="W854">
            <v>45875</v>
          </cell>
          <cell r="X854">
            <v>50</v>
          </cell>
          <cell r="Y854">
            <v>131.5</v>
          </cell>
        </row>
        <row r="855">
          <cell r="L855" t="str">
            <v>90080411</v>
          </cell>
          <cell r="M855" t="str">
            <v>GLASSES SAFETY HC CLEAR LENS</v>
          </cell>
          <cell r="N855" t="str">
            <v>NNAV.E653</v>
          </cell>
          <cell r="P855" t="str">
            <v>MIN_ATOM_002</v>
          </cell>
          <cell r="Q855">
            <v>1.57</v>
          </cell>
          <cell r="R855" t="str">
            <v>EACH</v>
          </cell>
          <cell r="S855" t="str">
            <v>AUD</v>
          </cell>
          <cell r="T855">
            <v>1000</v>
          </cell>
          <cell r="U855">
            <v>0</v>
          </cell>
          <cell r="V855">
            <v>0</v>
          </cell>
          <cell r="W855">
            <v>45875</v>
          </cell>
          <cell r="X855">
            <v>1000</v>
          </cell>
          <cell r="Y855">
            <v>1570</v>
          </cell>
        </row>
        <row r="856">
          <cell r="L856" t="str">
            <v>90080412</v>
          </cell>
          <cell r="M856" t="str">
            <v>GLASSES SAFETY HC SMOKE LENS</v>
          </cell>
          <cell r="N856" t="str">
            <v>NNAV.E653</v>
          </cell>
          <cell r="P856" t="str">
            <v>MIN_ATOM_002</v>
          </cell>
          <cell r="Q856">
            <v>1.57</v>
          </cell>
          <cell r="R856" t="str">
            <v>EACH</v>
          </cell>
          <cell r="S856" t="str">
            <v>AUD</v>
          </cell>
          <cell r="T856">
            <v>200</v>
          </cell>
          <cell r="U856">
            <v>0</v>
          </cell>
          <cell r="V856">
            <v>0</v>
          </cell>
          <cell r="W856">
            <v>45875</v>
          </cell>
          <cell r="X856">
            <v>200</v>
          </cell>
          <cell r="Y856">
            <v>314</v>
          </cell>
        </row>
        <row r="857">
          <cell r="L857" t="str">
            <v>88850974</v>
          </cell>
          <cell r="M857" t="str">
            <v>BROWGUARD BLACK EAGLE + VISOR</v>
          </cell>
          <cell r="N857" t="str">
            <v>NNAV.E653</v>
          </cell>
          <cell r="P857" t="str">
            <v>MIN_ATOM_002</v>
          </cell>
          <cell r="Q857">
            <v>28.77</v>
          </cell>
          <cell r="R857" t="str">
            <v>EACH</v>
          </cell>
          <cell r="S857" t="str">
            <v>AUD</v>
          </cell>
          <cell r="T857">
            <v>15</v>
          </cell>
          <cell r="U857">
            <v>0</v>
          </cell>
          <cell r="V857">
            <v>0</v>
          </cell>
          <cell r="W857">
            <v>45875</v>
          </cell>
          <cell r="X857">
            <v>15</v>
          </cell>
          <cell r="Y857">
            <v>431.55</v>
          </cell>
        </row>
        <row r="858">
          <cell r="L858" t="str">
            <v>93634002</v>
          </cell>
          <cell r="M858" t="str">
            <v>VISOR BLACK EAGLE CLEAR LENS</v>
          </cell>
          <cell r="N858" t="str">
            <v>NNAV.E653</v>
          </cell>
          <cell r="P858" t="str">
            <v>MIN_ATOM_002</v>
          </cell>
          <cell r="Q858">
            <v>13.05</v>
          </cell>
          <cell r="R858" t="str">
            <v>EACH</v>
          </cell>
          <cell r="S858" t="str">
            <v>AUD</v>
          </cell>
          <cell r="T858">
            <v>30</v>
          </cell>
          <cell r="U858">
            <v>0</v>
          </cell>
          <cell r="V858">
            <v>0</v>
          </cell>
          <cell r="W858">
            <v>45875</v>
          </cell>
          <cell r="X858">
            <v>30</v>
          </cell>
          <cell r="Y858">
            <v>391.5</v>
          </cell>
        </row>
        <row r="859">
          <cell r="L859" t="str">
            <v>5301101</v>
          </cell>
          <cell r="M859" t="str">
            <v>RAG COTTON LIGHT/HEAVY 15KG</v>
          </cell>
          <cell r="N859" t="str">
            <v>NNAV.E653</v>
          </cell>
          <cell r="P859" t="str">
            <v>MIN_ATOM_002</v>
          </cell>
          <cell r="Q859">
            <v>23.78</v>
          </cell>
          <cell r="R859" t="str">
            <v>EACH</v>
          </cell>
          <cell r="S859" t="str">
            <v>AUD</v>
          </cell>
          <cell r="T859">
            <v>50</v>
          </cell>
          <cell r="U859">
            <v>0</v>
          </cell>
          <cell r="V859">
            <v>0</v>
          </cell>
          <cell r="W859">
            <v>45875</v>
          </cell>
          <cell r="X859">
            <v>50</v>
          </cell>
          <cell r="Y859">
            <v>1189</v>
          </cell>
        </row>
        <row r="860">
          <cell r="L860" t="str">
            <v>90100128</v>
          </cell>
          <cell r="M860" t="str">
            <v>RESPIRATOR HALF FACE MASK DUAL</v>
          </cell>
          <cell r="N860" t="str">
            <v>NNAV.E653</v>
          </cell>
          <cell r="P860" t="str">
            <v>MIN_ATOM_002</v>
          </cell>
          <cell r="Q860">
            <v>59.72</v>
          </cell>
          <cell r="R860" t="str">
            <v>EACH</v>
          </cell>
          <cell r="S860" t="str">
            <v>AUD</v>
          </cell>
          <cell r="T860">
            <v>8</v>
          </cell>
          <cell r="U860">
            <v>0</v>
          </cell>
          <cell r="V860">
            <v>0</v>
          </cell>
          <cell r="W860">
            <v>45875</v>
          </cell>
          <cell r="X860">
            <v>8</v>
          </cell>
          <cell r="Y860">
            <v>477.76</v>
          </cell>
        </row>
        <row r="861">
          <cell r="L861" t="str">
            <v>90100185</v>
          </cell>
          <cell r="M861" t="str">
            <v>RESPIRATOR HALF FACE MASK DUAL</v>
          </cell>
          <cell r="N861" t="str">
            <v>NNAV.E653</v>
          </cell>
          <cell r="P861" t="str">
            <v>MIN_ATOM_002</v>
          </cell>
          <cell r="Q861">
            <v>59.72</v>
          </cell>
          <cell r="R861" t="str">
            <v>EACH</v>
          </cell>
          <cell r="S861" t="str">
            <v>AUD</v>
          </cell>
          <cell r="T861">
            <v>8</v>
          </cell>
          <cell r="U861">
            <v>0</v>
          </cell>
          <cell r="V861">
            <v>0</v>
          </cell>
          <cell r="W861">
            <v>45875</v>
          </cell>
          <cell r="X861">
            <v>8</v>
          </cell>
          <cell r="Y861">
            <v>477.76</v>
          </cell>
        </row>
        <row r="862">
          <cell r="L862" t="str">
            <v>90100232</v>
          </cell>
          <cell r="M862" t="str">
            <v>RESPIRATOR FULL FACE 6700 M</v>
          </cell>
          <cell r="N862" t="str">
            <v>NNAV.E653</v>
          </cell>
          <cell r="P862" t="str">
            <v>MIN_ATOM_002</v>
          </cell>
          <cell r="Q862">
            <v>252.05</v>
          </cell>
          <cell r="R862" t="str">
            <v>EACH</v>
          </cell>
          <cell r="S862" t="str">
            <v>AUD</v>
          </cell>
          <cell r="T862">
            <v>8</v>
          </cell>
          <cell r="U862">
            <v>0</v>
          </cell>
          <cell r="V862">
            <v>0</v>
          </cell>
          <cell r="W862">
            <v>45875</v>
          </cell>
          <cell r="X862">
            <v>8</v>
          </cell>
          <cell r="Y862">
            <v>2016.4</v>
          </cell>
        </row>
        <row r="863">
          <cell r="L863" t="str">
            <v>90100233</v>
          </cell>
          <cell r="M863" t="str">
            <v>RESPIRATOR FULL FACE 6700 L</v>
          </cell>
          <cell r="N863" t="str">
            <v>NNAV.E653</v>
          </cell>
          <cell r="P863" t="str">
            <v>MIN_ATOM_002</v>
          </cell>
          <cell r="Q863">
            <v>252.05</v>
          </cell>
          <cell r="R863" t="str">
            <v>EACH</v>
          </cell>
          <cell r="S863" t="str">
            <v>AUD</v>
          </cell>
          <cell r="T863">
            <v>8</v>
          </cell>
          <cell r="U863">
            <v>0</v>
          </cell>
          <cell r="V863">
            <v>0</v>
          </cell>
          <cell r="W863">
            <v>45875</v>
          </cell>
          <cell r="X863">
            <v>8</v>
          </cell>
          <cell r="Y863">
            <v>2016.4</v>
          </cell>
        </row>
        <row r="864">
          <cell r="L864" t="str">
            <v>90100443</v>
          </cell>
          <cell r="M864" t="str">
            <v>FILTER CARTRIDGE P2/P3</v>
          </cell>
          <cell r="N864" t="str">
            <v>NNAV.E653</v>
          </cell>
          <cell r="P864" t="str">
            <v>MIN_ATOM_002</v>
          </cell>
          <cell r="Q864">
            <v>22.09</v>
          </cell>
          <cell r="R864" t="str">
            <v>PAIR</v>
          </cell>
          <cell r="S864" t="str">
            <v>AUD</v>
          </cell>
          <cell r="T864">
            <v>20</v>
          </cell>
          <cell r="U864">
            <v>0</v>
          </cell>
          <cell r="V864">
            <v>0</v>
          </cell>
          <cell r="W864">
            <v>45875</v>
          </cell>
          <cell r="X864">
            <v>20</v>
          </cell>
          <cell r="Y864">
            <v>441.8</v>
          </cell>
        </row>
        <row r="865">
          <cell r="L865" t="str">
            <v>90100220</v>
          </cell>
          <cell r="M865" t="str">
            <v>FILTER CARTRIDGE A1 B1 E1 K1</v>
          </cell>
          <cell r="N865" t="str">
            <v>NNAV.E653</v>
          </cell>
          <cell r="P865" t="str">
            <v>MIN_ATOM_002</v>
          </cell>
          <cell r="Q865">
            <v>32.1</v>
          </cell>
          <cell r="R865" t="str">
            <v>PAIR</v>
          </cell>
          <cell r="S865" t="str">
            <v>AUD</v>
          </cell>
          <cell r="T865">
            <v>20</v>
          </cell>
          <cell r="U865">
            <v>0</v>
          </cell>
          <cell r="V865">
            <v>0</v>
          </cell>
          <cell r="W865">
            <v>45875</v>
          </cell>
          <cell r="X865">
            <v>20</v>
          </cell>
          <cell r="Y865">
            <v>642</v>
          </cell>
        </row>
        <row r="866">
          <cell r="L866" t="str">
            <v>192605</v>
          </cell>
          <cell r="M866" t="str">
            <v>GOGGLE BLAST DOUBLE CLEAR LENS</v>
          </cell>
          <cell r="N866" t="str">
            <v>NNAV.E653</v>
          </cell>
          <cell r="P866" t="str">
            <v>MIN_ATOM_002</v>
          </cell>
          <cell r="Q866">
            <v>24.9</v>
          </cell>
          <cell r="R866" t="str">
            <v>EACH</v>
          </cell>
          <cell r="S866" t="str">
            <v>AUD</v>
          </cell>
          <cell r="T866">
            <v>10</v>
          </cell>
          <cell r="U866">
            <v>0</v>
          </cell>
          <cell r="V866">
            <v>0</v>
          </cell>
          <cell r="W866">
            <v>45875</v>
          </cell>
          <cell r="X866">
            <v>10</v>
          </cell>
          <cell r="Y866">
            <v>249</v>
          </cell>
        </row>
        <row r="867">
          <cell r="L867" t="str">
            <v>490549</v>
          </cell>
          <cell r="M867" t="str">
            <v>BLAST DUO AS/AF CLEAR</v>
          </cell>
          <cell r="N867" t="str">
            <v>NNAV.E653</v>
          </cell>
          <cell r="P867" t="str">
            <v>MIN_ATOM_002</v>
          </cell>
          <cell r="Q867">
            <v>14.75</v>
          </cell>
          <cell r="R867" t="str">
            <v>EACH</v>
          </cell>
          <cell r="S867" t="str">
            <v>AUD</v>
          </cell>
          <cell r="T867">
            <v>20</v>
          </cell>
          <cell r="U867">
            <v>0</v>
          </cell>
          <cell r="V867">
            <v>0</v>
          </cell>
          <cell r="W867">
            <v>45875</v>
          </cell>
          <cell r="X867">
            <v>20</v>
          </cell>
          <cell r="Y867">
            <v>295</v>
          </cell>
        </row>
        <row r="868">
          <cell r="L868" t="str">
            <v>55015897</v>
          </cell>
          <cell r="M868" t="str">
            <v>WIPES LENS CLEANING TOWELETTES</v>
          </cell>
          <cell r="N868" t="str">
            <v>NNAV.E653</v>
          </cell>
          <cell r="P868" t="str">
            <v>MIN_ATOM_002</v>
          </cell>
          <cell r="Q868">
            <v>50</v>
          </cell>
          <cell r="R868" t="str">
            <v>PACK</v>
          </cell>
          <cell r="S868" t="str">
            <v>AUD</v>
          </cell>
          <cell r="T868">
            <v>100</v>
          </cell>
          <cell r="U868">
            <v>0</v>
          </cell>
          <cell r="V868">
            <v>0</v>
          </cell>
          <cell r="W868">
            <v>45875</v>
          </cell>
          <cell r="X868">
            <v>100</v>
          </cell>
          <cell r="Y868">
            <v>5000</v>
          </cell>
        </row>
        <row r="869">
          <cell r="L869" t="str">
            <v>88891525</v>
          </cell>
          <cell r="M869" t="str">
            <v>EARPLUGS UNCORDED SLC80 23DB</v>
          </cell>
          <cell r="N869" t="str">
            <v>NNAV.E653</v>
          </cell>
          <cell r="P869" t="str">
            <v>MIN_ATOM_002</v>
          </cell>
          <cell r="Q869">
            <v>38.89</v>
          </cell>
          <cell r="R869" t="str">
            <v>BOX</v>
          </cell>
          <cell r="S869" t="str">
            <v>AUD</v>
          </cell>
          <cell r="T869">
            <v>100</v>
          </cell>
          <cell r="U869">
            <v>0</v>
          </cell>
          <cell r="V869">
            <v>0</v>
          </cell>
          <cell r="W869">
            <v>45875</v>
          </cell>
          <cell r="X869">
            <v>100</v>
          </cell>
          <cell r="Y869">
            <v>3889</v>
          </cell>
        </row>
        <row r="870">
          <cell r="L870" t="str">
            <v>40045926</v>
          </cell>
          <cell r="M870" t="str">
            <v>HARNESS DURAFLEX M1020283 M</v>
          </cell>
          <cell r="N870" t="str">
            <v>NNAV.E653</v>
          </cell>
          <cell r="P870" t="str">
            <v>MIN_ATOM_002</v>
          </cell>
          <cell r="Q870">
            <v>260</v>
          </cell>
          <cell r="R870" t="str">
            <v>EACH</v>
          </cell>
          <cell r="S870" t="str">
            <v>AUD</v>
          </cell>
          <cell r="T870">
            <v>5</v>
          </cell>
          <cell r="U870">
            <v>0</v>
          </cell>
          <cell r="V870">
            <v>0</v>
          </cell>
          <cell r="W870">
            <v>45875</v>
          </cell>
          <cell r="X870">
            <v>5</v>
          </cell>
          <cell r="Y870">
            <v>1300</v>
          </cell>
        </row>
        <row r="871">
          <cell r="L871" t="str">
            <v>40045927</v>
          </cell>
          <cell r="M871" t="str">
            <v>HARNESS DURAFLEX M1020284 L</v>
          </cell>
          <cell r="N871" t="str">
            <v>NNAV.E653</v>
          </cell>
          <cell r="P871" t="str">
            <v>MIN_ATOM_002</v>
          </cell>
          <cell r="Q871">
            <v>260</v>
          </cell>
          <cell r="R871" t="str">
            <v>EACH</v>
          </cell>
          <cell r="S871" t="str">
            <v>AUD</v>
          </cell>
          <cell r="T871">
            <v>5</v>
          </cell>
          <cell r="U871">
            <v>0</v>
          </cell>
          <cell r="V871">
            <v>0</v>
          </cell>
          <cell r="W871">
            <v>45875</v>
          </cell>
          <cell r="X871">
            <v>5</v>
          </cell>
          <cell r="Y871">
            <v>1300</v>
          </cell>
        </row>
        <row r="872">
          <cell r="L872" t="str">
            <v>40045929</v>
          </cell>
          <cell r="M872" t="str">
            <v>HARNESS DURAFLEX M1020285 XL</v>
          </cell>
          <cell r="N872" t="str">
            <v>NNAV.E653</v>
          </cell>
          <cell r="P872" t="str">
            <v>MIN_ATOM_002</v>
          </cell>
          <cell r="Q872">
            <v>260</v>
          </cell>
          <cell r="R872" t="str">
            <v>EACH</v>
          </cell>
          <cell r="S872" t="str">
            <v>AUD</v>
          </cell>
          <cell r="T872">
            <v>5</v>
          </cell>
          <cell r="U872">
            <v>0</v>
          </cell>
          <cell r="V872">
            <v>0</v>
          </cell>
          <cell r="W872">
            <v>45875</v>
          </cell>
          <cell r="X872">
            <v>5</v>
          </cell>
          <cell r="Y872">
            <v>1300</v>
          </cell>
        </row>
        <row r="873">
          <cell r="L873" t="str">
            <v>40045930</v>
          </cell>
          <cell r="M873" t="str">
            <v>HARNESS DURAFLEX M1020286 2XL</v>
          </cell>
          <cell r="N873" t="str">
            <v>NNAV.E653</v>
          </cell>
          <cell r="P873" t="str">
            <v>MIN_ATOM_002</v>
          </cell>
          <cell r="Q873">
            <v>260</v>
          </cell>
          <cell r="R873" t="str">
            <v>EACH</v>
          </cell>
          <cell r="S873" t="str">
            <v>AUD</v>
          </cell>
          <cell r="T873">
            <v>5</v>
          </cell>
          <cell r="U873">
            <v>0</v>
          </cell>
          <cell r="V873">
            <v>0</v>
          </cell>
          <cell r="W873">
            <v>45875</v>
          </cell>
          <cell r="X873">
            <v>5</v>
          </cell>
          <cell r="Y873">
            <v>1300</v>
          </cell>
        </row>
        <row r="874">
          <cell r="L874" t="str">
            <v>40008029</v>
          </cell>
          <cell r="M874" t="str">
            <v>LANYARD SINGLE ADJUSTABLE 2M</v>
          </cell>
          <cell r="N874" t="str">
            <v>NNAV.E653</v>
          </cell>
          <cell r="P874" t="str">
            <v>MIN_ATOM_002</v>
          </cell>
          <cell r="Q874">
            <v>247.76</v>
          </cell>
          <cell r="R874" t="str">
            <v>EACH</v>
          </cell>
          <cell r="S874" t="str">
            <v>AUD</v>
          </cell>
          <cell r="T874">
            <v>10</v>
          </cell>
          <cell r="U874">
            <v>0</v>
          </cell>
          <cell r="V874">
            <v>0</v>
          </cell>
          <cell r="W874">
            <v>45875</v>
          </cell>
          <cell r="X874">
            <v>10</v>
          </cell>
          <cell r="Y874">
            <v>2477.6</v>
          </cell>
        </row>
        <row r="875">
          <cell r="L875" t="str">
            <v>30004531</v>
          </cell>
          <cell r="M875" t="str">
            <v>FIRST AID KIT WM1 WORKPLACE</v>
          </cell>
          <cell r="N875" t="str">
            <v>NNAV.E653</v>
          </cell>
          <cell r="P875" t="str">
            <v>MIN_ATOM_002</v>
          </cell>
          <cell r="Q875">
            <v>142.22</v>
          </cell>
          <cell r="R875" t="str">
            <v>EACH</v>
          </cell>
          <cell r="S875" t="str">
            <v>AUD</v>
          </cell>
          <cell r="T875">
            <v>10</v>
          </cell>
          <cell r="U875">
            <v>0</v>
          </cell>
          <cell r="V875">
            <v>0</v>
          </cell>
          <cell r="W875">
            <v>45875</v>
          </cell>
          <cell r="X875">
            <v>10</v>
          </cell>
          <cell r="Y875">
            <v>1422.2</v>
          </cell>
        </row>
        <row r="876">
          <cell r="L876" t="str">
            <v>79918221</v>
          </cell>
          <cell r="M876" t="str">
            <v>FIRST AID KIT SOFT-CASE</v>
          </cell>
          <cell r="N876" t="str">
            <v>NNAV.E653</v>
          </cell>
          <cell r="P876" t="str">
            <v>MIN_ATOM_002</v>
          </cell>
          <cell r="Q876">
            <v>28.41</v>
          </cell>
          <cell r="R876" t="str">
            <v>EACH</v>
          </cell>
          <cell r="S876" t="str">
            <v>AUD</v>
          </cell>
          <cell r="T876">
            <v>30</v>
          </cell>
          <cell r="U876">
            <v>0</v>
          </cell>
          <cell r="V876">
            <v>0</v>
          </cell>
          <cell r="W876">
            <v>45875</v>
          </cell>
          <cell r="X876">
            <v>30</v>
          </cell>
          <cell r="Y876">
            <v>852.3</v>
          </cell>
        </row>
        <row r="877">
          <cell r="L877" t="str">
            <v>91018143</v>
          </cell>
          <cell r="M877" t="str">
            <v>PADLOCK LOCKOUT 38/44MM</v>
          </cell>
          <cell r="N877" t="str">
            <v>NNAV.E653</v>
          </cell>
          <cell r="P877" t="str">
            <v>MIN_ATOM_002</v>
          </cell>
          <cell r="Q877">
            <v>23.07</v>
          </cell>
          <cell r="R877" t="str">
            <v>EACH</v>
          </cell>
          <cell r="S877" t="str">
            <v>AUD</v>
          </cell>
          <cell r="T877">
            <v>50</v>
          </cell>
          <cell r="U877">
            <v>0</v>
          </cell>
          <cell r="V877">
            <v>0</v>
          </cell>
          <cell r="W877">
            <v>45875</v>
          </cell>
          <cell r="X877">
            <v>50</v>
          </cell>
          <cell r="Y877">
            <v>1153.5</v>
          </cell>
        </row>
        <row r="878">
          <cell r="L878" t="str">
            <v>4229006</v>
          </cell>
          <cell r="M878" t="str">
            <v>LOCKOUT HASP 6 HOLE 25MM</v>
          </cell>
          <cell r="N878" t="str">
            <v>NNAV.E653</v>
          </cell>
          <cell r="P878" t="str">
            <v>MIN_ATOM_002</v>
          </cell>
          <cell r="Q878">
            <v>9.5500000000000007</v>
          </cell>
          <cell r="R878" t="str">
            <v>EACH</v>
          </cell>
          <cell r="S878" t="str">
            <v>AUD</v>
          </cell>
          <cell r="T878">
            <v>50</v>
          </cell>
          <cell r="U878">
            <v>0</v>
          </cell>
          <cell r="V878">
            <v>0</v>
          </cell>
          <cell r="W878">
            <v>45875</v>
          </cell>
          <cell r="X878">
            <v>50</v>
          </cell>
          <cell r="Y878">
            <v>477.5</v>
          </cell>
        </row>
        <row r="879">
          <cell r="L879" t="str">
            <v>28000013</v>
          </cell>
          <cell r="M879" t="str">
            <v>COOLER JUG ALPINE 5L + TAP</v>
          </cell>
          <cell r="N879" t="str">
            <v>NNAV.E653</v>
          </cell>
          <cell r="P879" t="str">
            <v>MIN_ATOM_002</v>
          </cell>
          <cell r="Q879">
            <v>21.76</v>
          </cell>
          <cell r="R879" t="str">
            <v>EACH</v>
          </cell>
          <cell r="S879" t="str">
            <v>AUD</v>
          </cell>
          <cell r="T879">
            <v>50</v>
          </cell>
          <cell r="U879">
            <v>0</v>
          </cell>
          <cell r="V879">
            <v>0</v>
          </cell>
          <cell r="W879">
            <v>45875</v>
          </cell>
          <cell r="X879">
            <v>50</v>
          </cell>
          <cell r="Y879">
            <v>1088</v>
          </cell>
        </row>
        <row r="880">
          <cell r="L880" t="str">
            <v>91521159</v>
          </cell>
          <cell r="M880" t="str">
            <v>AQUALYTE CONCENTRATE DRINK</v>
          </cell>
          <cell r="N880" t="str">
            <v>NNAV.E653</v>
          </cell>
          <cell r="P880" t="str">
            <v>MIN_ATOM_002</v>
          </cell>
          <cell r="Q880">
            <v>157.15</v>
          </cell>
          <cell r="R880" t="str">
            <v>CTN</v>
          </cell>
          <cell r="S880" t="str">
            <v>AUD</v>
          </cell>
          <cell r="T880">
            <v>10</v>
          </cell>
          <cell r="U880">
            <v>0</v>
          </cell>
          <cell r="V880">
            <v>0</v>
          </cell>
          <cell r="W880">
            <v>45875</v>
          </cell>
          <cell r="X880">
            <v>10</v>
          </cell>
          <cell r="Y880">
            <v>1571.5</v>
          </cell>
        </row>
        <row r="881">
          <cell r="L881" t="str">
            <v>90160436</v>
          </cell>
          <cell r="M881" t="str">
            <v>CONE TRAFFIC 700MM ORANGE HI</v>
          </cell>
          <cell r="N881" t="str">
            <v>NNAV.E653</v>
          </cell>
          <cell r="P881" t="str">
            <v>MIN_ATOM_002</v>
          </cell>
          <cell r="Q881">
            <v>16.329999999999998</v>
          </cell>
          <cell r="R881" t="str">
            <v>EACH</v>
          </cell>
          <cell r="S881" t="str">
            <v>AUD</v>
          </cell>
          <cell r="T881">
            <v>20</v>
          </cell>
          <cell r="U881">
            <v>0</v>
          </cell>
          <cell r="V881">
            <v>0</v>
          </cell>
          <cell r="W881">
            <v>45875</v>
          </cell>
          <cell r="X881">
            <v>20</v>
          </cell>
          <cell r="Y881">
            <v>326.60000000000002</v>
          </cell>
        </row>
        <row r="882">
          <cell r="L882" t="str">
            <v>4920004</v>
          </cell>
          <cell r="M882" t="str">
            <v>TAPE BARRICADE DANGER</v>
          </cell>
          <cell r="N882" t="str">
            <v>NNAV.E653</v>
          </cell>
          <cell r="P882" t="str">
            <v>MIN_ATOM_002</v>
          </cell>
          <cell r="Q882">
            <v>5.51</v>
          </cell>
          <cell r="R882" t="str">
            <v>ROLL</v>
          </cell>
          <cell r="S882" t="str">
            <v>AUD</v>
          </cell>
          <cell r="T882">
            <v>25</v>
          </cell>
          <cell r="U882">
            <v>0</v>
          </cell>
          <cell r="V882">
            <v>0</v>
          </cell>
          <cell r="W882">
            <v>45875</v>
          </cell>
          <cell r="X882">
            <v>25</v>
          </cell>
          <cell r="Y882">
            <v>137.75</v>
          </cell>
        </row>
        <row r="883">
          <cell r="L883" t="str">
            <v>79901774</v>
          </cell>
          <cell r="M883" t="str">
            <v>VISUAL WARNING REFLECTIVE TAPE</v>
          </cell>
          <cell r="N883" t="str">
            <v>NNAV.E653</v>
          </cell>
          <cell r="P883" t="str">
            <v>MIN_ATOM_002</v>
          </cell>
          <cell r="Q883">
            <v>54.75</v>
          </cell>
          <cell r="R883" t="str">
            <v>EACH</v>
          </cell>
          <cell r="S883" t="str">
            <v>AUD</v>
          </cell>
          <cell r="T883">
            <v>25</v>
          </cell>
          <cell r="U883">
            <v>0</v>
          </cell>
          <cell r="V883">
            <v>0</v>
          </cell>
          <cell r="W883">
            <v>45875</v>
          </cell>
          <cell r="X883">
            <v>25</v>
          </cell>
          <cell r="Y883">
            <v>1368.75</v>
          </cell>
        </row>
        <row r="884">
          <cell r="L884" t="str">
            <v>4121002</v>
          </cell>
          <cell r="M884" t="str">
            <v>FIRE EXTINGUISHER ABE 9KG DRY</v>
          </cell>
          <cell r="N884" t="str">
            <v>NNAV.E653</v>
          </cell>
          <cell r="P884" t="str">
            <v>MIN_ATOM_002</v>
          </cell>
          <cell r="Q884">
            <v>99.22</v>
          </cell>
          <cell r="R884" t="str">
            <v>EACH</v>
          </cell>
          <cell r="S884" t="str">
            <v>AUD</v>
          </cell>
          <cell r="T884">
            <v>25</v>
          </cell>
          <cell r="U884">
            <v>0</v>
          </cell>
          <cell r="V884">
            <v>0</v>
          </cell>
          <cell r="W884">
            <v>45875</v>
          </cell>
          <cell r="X884">
            <v>25</v>
          </cell>
          <cell r="Y884">
            <v>2480.5</v>
          </cell>
        </row>
        <row r="885">
          <cell r="L885" t="str">
            <v>1423038</v>
          </cell>
          <cell r="M885" t="str">
            <v>TAG DANGER DO NOT OPERATE</v>
          </cell>
          <cell r="N885" t="str">
            <v>NNAV.E653</v>
          </cell>
          <cell r="P885" t="str">
            <v>MIN_ATOM_002</v>
          </cell>
          <cell r="Q885">
            <v>0.28999999999999998</v>
          </cell>
          <cell r="R885" t="str">
            <v>EACH</v>
          </cell>
          <cell r="S885" t="str">
            <v>AUD</v>
          </cell>
          <cell r="T885">
            <v>40</v>
          </cell>
          <cell r="U885">
            <v>0</v>
          </cell>
          <cell r="V885">
            <v>0</v>
          </cell>
          <cell r="W885">
            <v>45875</v>
          </cell>
          <cell r="X885">
            <v>40</v>
          </cell>
          <cell r="Y885">
            <v>11.6</v>
          </cell>
        </row>
        <row r="886">
          <cell r="L886" t="str">
            <v>1423037</v>
          </cell>
          <cell r="M886" t="str">
            <v>TAG OUT SERVICE DO NOT OPERATE</v>
          </cell>
          <cell r="N886" t="str">
            <v>NNAV.E653</v>
          </cell>
          <cell r="P886" t="str">
            <v>MIN_ATOM_002</v>
          </cell>
          <cell r="Q886">
            <v>0.24</v>
          </cell>
          <cell r="R886" t="str">
            <v>EACH</v>
          </cell>
          <cell r="S886" t="str">
            <v>AUD</v>
          </cell>
          <cell r="T886">
            <v>50</v>
          </cell>
          <cell r="U886">
            <v>0</v>
          </cell>
          <cell r="V886">
            <v>0</v>
          </cell>
          <cell r="W886">
            <v>45875</v>
          </cell>
          <cell r="X886">
            <v>50</v>
          </cell>
          <cell r="Y886">
            <v>12</v>
          </cell>
        </row>
        <row r="887">
          <cell r="L887" t="str">
            <v>90030528</v>
          </cell>
          <cell r="M887" t="str">
            <v>TAG INFO BLUE/WHITE 80X160MM</v>
          </cell>
          <cell r="N887" t="str">
            <v>NNAV.E653</v>
          </cell>
          <cell r="P887" t="str">
            <v>MIN_ATOM_002</v>
          </cell>
          <cell r="Q887">
            <v>24.32</v>
          </cell>
          <cell r="R887" t="str">
            <v>PACK</v>
          </cell>
          <cell r="S887" t="str">
            <v>AUD</v>
          </cell>
          <cell r="T887">
            <v>50</v>
          </cell>
          <cell r="U887">
            <v>0</v>
          </cell>
          <cell r="V887">
            <v>0</v>
          </cell>
          <cell r="W887">
            <v>45875</v>
          </cell>
          <cell r="X887">
            <v>50</v>
          </cell>
          <cell r="Y887">
            <v>1216</v>
          </cell>
        </row>
        <row r="888">
          <cell r="L888" t="str">
            <v>62548108</v>
          </cell>
          <cell r="M888" t="str">
            <v>STEP SAFETY ORANGE ANTI SLIP</v>
          </cell>
          <cell r="N888" t="str">
            <v>NNAV.E653</v>
          </cell>
          <cell r="P888" t="str">
            <v>MIN_ATOM_002</v>
          </cell>
          <cell r="Q888">
            <v>73.569999999999993</v>
          </cell>
          <cell r="R888" t="str">
            <v>EACH</v>
          </cell>
          <cell r="S888" t="str">
            <v>AUD</v>
          </cell>
          <cell r="T888">
            <v>2</v>
          </cell>
          <cell r="U888">
            <v>0</v>
          </cell>
          <cell r="V888">
            <v>0</v>
          </cell>
          <cell r="W888">
            <v>45875</v>
          </cell>
          <cell r="X888">
            <v>2</v>
          </cell>
          <cell r="Y888">
            <v>147.13999999999999</v>
          </cell>
        </row>
        <row r="889">
          <cell r="L889" t="str">
            <v>90120231</v>
          </cell>
          <cell r="M889" t="str">
            <v>CLEANER HAND CITRA SCRUB 20L</v>
          </cell>
          <cell r="N889" t="str">
            <v>NNAV.E653</v>
          </cell>
          <cell r="P889" t="str">
            <v>MIN_ATOM_002</v>
          </cell>
          <cell r="Q889">
            <v>131.43</v>
          </cell>
          <cell r="R889" t="str">
            <v>EACH</v>
          </cell>
          <cell r="S889" t="str">
            <v>AUD</v>
          </cell>
          <cell r="T889">
            <v>10</v>
          </cell>
          <cell r="U889">
            <v>0</v>
          </cell>
          <cell r="V889">
            <v>0</v>
          </cell>
          <cell r="W889">
            <v>45875</v>
          </cell>
          <cell r="X889">
            <v>10</v>
          </cell>
          <cell r="Y889">
            <v>1314.3</v>
          </cell>
        </row>
        <row r="890">
          <cell r="L890" t="str">
            <v>160858</v>
          </cell>
          <cell r="M890" t="str">
            <v>PRUNER ANVIL LIME GREEN</v>
          </cell>
          <cell r="N890" t="str">
            <v>NNAV.E653</v>
          </cell>
          <cell r="P890" t="str">
            <v>MIN_ATOM_002</v>
          </cell>
          <cell r="Q890">
            <v>13.46</v>
          </cell>
          <cell r="R890" t="str">
            <v>EACH</v>
          </cell>
          <cell r="S890" t="str">
            <v>AUD</v>
          </cell>
          <cell r="T890">
            <v>20</v>
          </cell>
          <cell r="U890">
            <v>0</v>
          </cell>
          <cell r="V890">
            <v>0</v>
          </cell>
          <cell r="W890">
            <v>45875</v>
          </cell>
          <cell r="X890">
            <v>20</v>
          </cell>
          <cell r="Y890">
            <v>269.2</v>
          </cell>
        </row>
        <row r="891">
          <cell r="L891" t="str">
            <v>88890141</v>
          </cell>
          <cell r="M891" t="str">
            <v>SOLUTION EYE WASH WATER 250ML</v>
          </cell>
          <cell r="N891" t="str">
            <v>NNAV.E653</v>
          </cell>
          <cell r="P891" t="str">
            <v>MIN_ATOM_002</v>
          </cell>
          <cell r="Q891">
            <v>17.55</v>
          </cell>
          <cell r="R891" t="str">
            <v>EACH</v>
          </cell>
          <cell r="S891" t="str">
            <v>AUD</v>
          </cell>
          <cell r="T891">
            <v>20</v>
          </cell>
          <cell r="U891">
            <v>0</v>
          </cell>
          <cell r="V891">
            <v>0</v>
          </cell>
          <cell r="W891">
            <v>45875</v>
          </cell>
          <cell r="X891">
            <v>20</v>
          </cell>
          <cell r="Y891">
            <v>351</v>
          </cell>
        </row>
        <row r="892">
          <cell r="L892" t="str">
            <v>90168040</v>
          </cell>
          <cell r="M892" t="str">
            <v>EYE WASH WITH SHOWER</v>
          </cell>
          <cell r="N892" t="str">
            <v>NNAV.E653</v>
          </cell>
          <cell r="P892" t="str">
            <v>MIN_ATOM_002</v>
          </cell>
          <cell r="Q892">
            <v>1103.76</v>
          </cell>
          <cell r="R892" t="str">
            <v>EACH</v>
          </cell>
          <cell r="S892" t="str">
            <v>AUD</v>
          </cell>
          <cell r="T892">
            <v>2</v>
          </cell>
          <cell r="U892">
            <v>0</v>
          </cell>
          <cell r="V892">
            <v>0</v>
          </cell>
          <cell r="W892">
            <v>45875</v>
          </cell>
          <cell r="X892">
            <v>2</v>
          </cell>
          <cell r="Y892">
            <v>2207.52</v>
          </cell>
        </row>
        <row r="893">
          <cell r="L893" t="str">
            <v>90030090</v>
          </cell>
          <cell r="M893" t="str">
            <v>SIGN EMERGENCY SHOWER AND EYE</v>
          </cell>
          <cell r="N893" t="str">
            <v>NNAV.E653</v>
          </cell>
          <cell r="P893" t="str">
            <v>MIN_ATOM_002</v>
          </cell>
          <cell r="Q893">
            <v>22.07</v>
          </cell>
          <cell r="R893" t="str">
            <v>EACH</v>
          </cell>
          <cell r="S893" t="str">
            <v>AUD</v>
          </cell>
          <cell r="T893">
            <v>6</v>
          </cell>
          <cell r="U893">
            <v>0</v>
          </cell>
          <cell r="V893">
            <v>0</v>
          </cell>
          <cell r="W893">
            <v>45875</v>
          </cell>
          <cell r="X893">
            <v>6</v>
          </cell>
          <cell r="Y893">
            <v>132.41999999999999</v>
          </cell>
        </row>
        <row r="894">
          <cell r="L894" t="str">
            <v>40046971</v>
          </cell>
          <cell r="M894" t="str">
            <v>COVERALLS HI VIS YL/NA 82R</v>
          </cell>
          <cell r="N894" t="str">
            <v>NNAV.E653</v>
          </cell>
          <cell r="P894" t="str">
            <v>MIN_ATOM_002</v>
          </cell>
          <cell r="Q894">
            <v>54.66</v>
          </cell>
          <cell r="R894" t="str">
            <v>EACH</v>
          </cell>
          <cell r="S894" t="str">
            <v>AUD</v>
          </cell>
          <cell r="T894">
            <v>15</v>
          </cell>
          <cell r="U894">
            <v>0</v>
          </cell>
          <cell r="V894">
            <v>0</v>
          </cell>
          <cell r="W894">
            <v>45875</v>
          </cell>
          <cell r="X894">
            <v>15</v>
          </cell>
          <cell r="Y894">
            <v>819.9</v>
          </cell>
        </row>
        <row r="895">
          <cell r="L895" t="str">
            <v>40046972</v>
          </cell>
          <cell r="M895" t="str">
            <v>COVERALLS HI VIS YL/NA 87R</v>
          </cell>
          <cell r="N895" t="str">
            <v>NNAV.E653</v>
          </cell>
          <cell r="P895" t="str">
            <v>MIN_ATOM_002</v>
          </cell>
          <cell r="Q895">
            <v>54.66</v>
          </cell>
          <cell r="R895" t="str">
            <v>EACH</v>
          </cell>
          <cell r="S895" t="str">
            <v>AUD</v>
          </cell>
          <cell r="T895">
            <v>30</v>
          </cell>
          <cell r="U895">
            <v>0</v>
          </cell>
          <cell r="V895">
            <v>0</v>
          </cell>
          <cell r="W895">
            <v>45875</v>
          </cell>
          <cell r="X895">
            <v>30</v>
          </cell>
          <cell r="Y895">
            <v>1639.8</v>
          </cell>
        </row>
        <row r="896">
          <cell r="L896" t="str">
            <v>40046973</v>
          </cell>
          <cell r="M896" t="str">
            <v>COVERALLS HI VIS YL/NA 92R</v>
          </cell>
          <cell r="N896" t="str">
            <v>NNAV.E653</v>
          </cell>
          <cell r="P896" t="str">
            <v>MIN_ATOM_002</v>
          </cell>
          <cell r="Q896">
            <v>54.66</v>
          </cell>
          <cell r="R896" t="str">
            <v>EACH</v>
          </cell>
          <cell r="S896" t="str">
            <v>AUD</v>
          </cell>
          <cell r="T896">
            <v>30</v>
          </cell>
          <cell r="U896">
            <v>0</v>
          </cell>
          <cell r="V896">
            <v>0</v>
          </cell>
          <cell r="W896">
            <v>45875</v>
          </cell>
          <cell r="X896">
            <v>30</v>
          </cell>
          <cell r="Y896">
            <v>1639.8</v>
          </cell>
        </row>
        <row r="897">
          <cell r="L897" t="str">
            <v>40046974</v>
          </cell>
          <cell r="M897" t="str">
            <v>COVERALLS HI VIS YL/NA 97R</v>
          </cell>
          <cell r="N897" t="str">
            <v>NNAV.E653</v>
          </cell>
          <cell r="P897" t="str">
            <v>MIN_ATOM_002</v>
          </cell>
          <cell r="Q897">
            <v>54.66</v>
          </cell>
          <cell r="R897" t="str">
            <v>EACH</v>
          </cell>
          <cell r="S897" t="str">
            <v>AUD</v>
          </cell>
          <cell r="T897">
            <v>30</v>
          </cell>
          <cell r="U897">
            <v>0</v>
          </cell>
          <cell r="V897">
            <v>0</v>
          </cell>
          <cell r="W897">
            <v>45875</v>
          </cell>
          <cell r="X897">
            <v>30</v>
          </cell>
          <cell r="Y897">
            <v>1639.8</v>
          </cell>
        </row>
        <row r="898">
          <cell r="L898" t="str">
            <v>40046966</v>
          </cell>
          <cell r="M898" t="str">
            <v>COVERALLS HI VIS YL/NA 102R</v>
          </cell>
          <cell r="N898" t="str">
            <v>NNAV.E653</v>
          </cell>
          <cell r="P898" t="str">
            <v>MIN_ATOM_002</v>
          </cell>
          <cell r="Q898">
            <v>54.66</v>
          </cell>
          <cell r="R898" t="str">
            <v>EACH</v>
          </cell>
          <cell r="S898" t="str">
            <v>AUD</v>
          </cell>
          <cell r="T898">
            <v>30</v>
          </cell>
          <cell r="U898">
            <v>0</v>
          </cell>
          <cell r="V898">
            <v>0</v>
          </cell>
          <cell r="W898">
            <v>45875</v>
          </cell>
          <cell r="X898">
            <v>30</v>
          </cell>
          <cell r="Y898">
            <v>1639.8</v>
          </cell>
        </row>
        <row r="899">
          <cell r="L899" t="str">
            <v>40046967</v>
          </cell>
          <cell r="M899" t="str">
            <v>COVERALLS HI VIS YL/NA 107R</v>
          </cell>
          <cell r="N899" t="str">
            <v>NNAV.E653</v>
          </cell>
          <cell r="P899" t="str">
            <v>MIN_ATOM_002</v>
          </cell>
          <cell r="Q899">
            <v>54.66</v>
          </cell>
          <cell r="R899" t="str">
            <v>EACH</v>
          </cell>
          <cell r="S899" t="str">
            <v>AUD</v>
          </cell>
          <cell r="T899">
            <v>20</v>
          </cell>
          <cell r="U899">
            <v>0</v>
          </cell>
          <cell r="V899">
            <v>0</v>
          </cell>
          <cell r="W899">
            <v>45875</v>
          </cell>
          <cell r="X899">
            <v>20</v>
          </cell>
          <cell r="Y899">
            <v>1093.2</v>
          </cell>
        </row>
        <row r="900">
          <cell r="L900" t="str">
            <v>40046836</v>
          </cell>
          <cell r="M900" t="str">
            <v>COVERALL HI VIS YL/NA L/W 112R</v>
          </cell>
          <cell r="N900" t="str">
            <v>NNAV.E653</v>
          </cell>
          <cell r="P900" t="str">
            <v>MIN_ATOM_002</v>
          </cell>
          <cell r="Q900">
            <v>46.41</v>
          </cell>
          <cell r="R900" t="str">
            <v>EACH</v>
          </cell>
          <cell r="S900" t="str">
            <v>AUD</v>
          </cell>
          <cell r="T900">
            <v>10</v>
          </cell>
          <cell r="U900">
            <v>0</v>
          </cell>
          <cell r="V900">
            <v>0</v>
          </cell>
          <cell r="W900">
            <v>45875</v>
          </cell>
          <cell r="X900">
            <v>10</v>
          </cell>
          <cell r="Y900">
            <v>464.1</v>
          </cell>
        </row>
        <row r="901">
          <cell r="L901" t="str">
            <v>40046837</v>
          </cell>
          <cell r="M901" t="str">
            <v>COVERALL HI VIS YL/NA L/W 117R</v>
          </cell>
          <cell r="N901" t="str">
            <v>NNAV.E653</v>
          </cell>
          <cell r="P901" t="str">
            <v>MIN_ATOM_002</v>
          </cell>
          <cell r="Q901">
            <v>46.41</v>
          </cell>
          <cell r="R901" t="str">
            <v>EACH</v>
          </cell>
          <cell r="S901" t="str">
            <v>AUD</v>
          </cell>
          <cell r="T901">
            <v>10</v>
          </cell>
          <cell r="U901">
            <v>0</v>
          </cell>
          <cell r="V901">
            <v>0</v>
          </cell>
          <cell r="W901">
            <v>45875</v>
          </cell>
          <cell r="X901">
            <v>10</v>
          </cell>
          <cell r="Y901">
            <v>464.1</v>
          </cell>
        </row>
        <row r="902">
          <cell r="L902" t="str">
            <v>40046853</v>
          </cell>
          <cell r="M902" t="str">
            <v>SHIRT HI VIS L/S L/W YL/NA SML</v>
          </cell>
          <cell r="N902" t="str">
            <v>NNAV.E653</v>
          </cell>
          <cell r="P902" t="str">
            <v>MIN_ATOM_002</v>
          </cell>
          <cell r="Q902">
            <v>27.33</v>
          </cell>
          <cell r="R902" t="str">
            <v>EACH</v>
          </cell>
          <cell r="S902" t="str">
            <v>AUD</v>
          </cell>
          <cell r="T902">
            <v>10</v>
          </cell>
          <cell r="U902">
            <v>0</v>
          </cell>
          <cell r="V902">
            <v>0</v>
          </cell>
          <cell r="W902">
            <v>45875</v>
          </cell>
          <cell r="X902">
            <v>10</v>
          </cell>
          <cell r="Y902">
            <v>273.3</v>
          </cell>
        </row>
        <row r="903">
          <cell r="L903" t="str">
            <v>40046854</v>
          </cell>
          <cell r="M903" t="str">
            <v>SHIRT HI VIS L/S L/W YL/NA MED</v>
          </cell>
          <cell r="N903" t="str">
            <v>NNAV.E653</v>
          </cell>
          <cell r="P903" t="str">
            <v>MIN_ATOM_002</v>
          </cell>
          <cell r="Q903">
            <v>27.33</v>
          </cell>
          <cell r="R903" t="str">
            <v>EACH</v>
          </cell>
          <cell r="S903" t="str">
            <v>AUD</v>
          </cell>
          <cell r="T903">
            <v>10</v>
          </cell>
          <cell r="U903">
            <v>0</v>
          </cell>
          <cell r="V903">
            <v>0</v>
          </cell>
          <cell r="W903">
            <v>45875</v>
          </cell>
          <cell r="X903">
            <v>10</v>
          </cell>
          <cell r="Y903">
            <v>273.3</v>
          </cell>
        </row>
        <row r="904">
          <cell r="L904" t="str">
            <v>40046855</v>
          </cell>
          <cell r="M904" t="str">
            <v>SHIRT HI VIS L/S L/W YL/NA LRG</v>
          </cell>
          <cell r="N904" t="str">
            <v>NNAV.E653</v>
          </cell>
          <cell r="P904" t="str">
            <v>MIN_ATOM_002</v>
          </cell>
          <cell r="Q904">
            <v>27.33</v>
          </cell>
          <cell r="R904" t="str">
            <v>EACH</v>
          </cell>
          <cell r="S904" t="str">
            <v>AUD</v>
          </cell>
          <cell r="T904">
            <v>30</v>
          </cell>
          <cell r="U904">
            <v>0</v>
          </cell>
          <cell r="V904">
            <v>0</v>
          </cell>
          <cell r="W904">
            <v>45875</v>
          </cell>
          <cell r="X904">
            <v>30</v>
          </cell>
          <cell r="Y904">
            <v>819.9</v>
          </cell>
        </row>
        <row r="905">
          <cell r="L905" t="str">
            <v>40046856</v>
          </cell>
          <cell r="M905" t="str">
            <v>SHIRT HI VIS L/S L/W YL/NA XL</v>
          </cell>
          <cell r="N905" t="str">
            <v>NNAV.E653</v>
          </cell>
          <cell r="P905" t="str">
            <v>MIN_ATOM_002</v>
          </cell>
          <cell r="Q905">
            <v>27.33</v>
          </cell>
          <cell r="R905" t="str">
            <v>EACH</v>
          </cell>
          <cell r="S905" t="str">
            <v>AUD</v>
          </cell>
          <cell r="T905">
            <v>30</v>
          </cell>
          <cell r="U905">
            <v>0</v>
          </cell>
          <cell r="V905">
            <v>0</v>
          </cell>
          <cell r="W905">
            <v>45875</v>
          </cell>
          <cell r="X905">
            <v>30</v>
          </cell>
          <cell r="Y905">
            <v>819.9</v>
          </cell>
        </row>
        <row r="906">
          <cell r="L906" t="str">
            <v>40046857</v>
          </cell>
          <cell r="M906" t="str">
            <v>SHIRT HI VIS L/S L/W YL/NA 2XL</v>
          </cell>
          <cell r="N906" t="str">
            <v>NNAV.E653</v>
          </cell>
          <cell r="P906" t="str">
            <v>MIN_ATOM_002</v>
          </cell>
          <cell r="Q906">
            <v>27.33</v>
          </cell>
          <cell r="R906" t="str">
            <v>EACH</v>
          </cell>
          <cell r="S906" t="str">
            <v>AUD</v>
          </cell>
          <cell r="T906">
            <v>10</v>
          </cell>
          <cell r="U906">
            <v>0</v>
          </cell>
          <cell r="V906">
            <v>0</v>
          </cell>
          <cell r="W906">
            <v>45875</v>
          </cell>
          <cell r="X906">
            <v>10</v>
          </cell>
          <cell r="Y906">
            <v>273.3</v>
          </cell>
        </row>
        <row r="907">
          <cell r="L907" t="str">
            <v>40046858</v>
          </cell>
          <cell r="M907" t="str">
            <v>SHIRT HI VIS L/S L/W YL/NA 3XL</v>
          </cell>
          <cell r="N907" t="str">
            <v>NNAV.E653</v>
          </cell>
          <cell r="P907" t="str">
            <v>MIN_ATOM_002</v>
          </cell>
          <cell r="Q907">
            <v>27.33</v>
          </cell>
          <cell r="R907" t="str">
            <v>EACH</v>
          </cell>
          <cell r="S907" t="str">
            <v>AUD</v>
          </cell>
          <cell r="T907">
            <v>10</v>
          </cell>
          <cell r="U907">
            <v>0</v>
          </cell>
          <cell r="V907">
            <v>0</v>
          </cell>
          <cell r="W907">
            <v>45875</v>
          </cell>
          <cell r="X907">
            <v>10</v>
          </cell>
          <cell r="Y907">
            <v>273.3</v>
          </cell>
        </row>
        <row r="908">
          <cell r="L908" t="str">
            <v>79013182</v>
          </cell>
          <cell r="M908" t="str">
            <v>PANTS CARGO NAVY COTTON 77R</v>
          </cell>
          <cell r="N908" t="str">
            <v>NNAV.E653</v>
          </cell>
          <cell r="P908" t="str">
            <v>MIN_ATOM_002</v>
          </cell>
          <cell r="Q908">
            <v>30.4</v>
          </cell>
          <cell r="R908" t="str">
            <v>EACH</v>
          </cell>
          <cell r="S908" t="str">
            <v>AUD</v>
          </cell>
          <cell r="T908">
            <v>10</v>
          </cell>
          <cell r="U908">
            <v>0</v>
          </cell>
          <cell r="V908">
            <v>0</v>
          </cell>
          <cell r="W908">
            <v>45875</v>
          </cell>
          <cell r="X908">
            <v>10</v>
          </cell>
          <cell r="Y908">
            <v>304</v>
          </cell>
        </row>
        <row r="909">
          <cell r="L909" t="str">
            <v>79013185</v>
          </cell>
          <cell r="M909" t="str">
            <v>PANTS CARGO NAVY COTTON 82R</v>
          </cell>
          <cell r="N909" t="str">
            <v>NNAV.E653</v>
          </cell>
          <cell r="P909" t="str">
            <v>MIN_ATOM_002</v>
          </cell>
          <cell r="Q909">
            <v>30.4</v>
          </cell>
          <cell r="R909" t="str">
            <v>EACH</v>
          </cell>
          <cell r="S909" t="str">
            <v>AUD</v>
          </cell>
          <cell r="T909">
            <v>20</v>
          </cell>
          <cell r="U909">
            <v>0</v>
          </cell>
          <cell r="V909">
            <v>0</v>
          </cell>
          <cell r="W909">
            <v>45875</v>
          </cell>
          <cell r="X909">
            <v>20</v>
          </cell>
          <cell r="Y909">
            <v>608</v>
          </cell>
        </row>
        <row r="910">
          <cell r="L910" t="str">
            <v>79013186</v>
          </cell>
          <cell r="M910" t="str">
            <v>PANTS CARGO NAVY COTTON 87R</v>
          </cell>
          <cell r="N910" t="str">
            <v>NNAV.E653</v>
          </cell>
          <cell r="P910" t="str">
            <v>MIN_ATOM_002</v>
          </cell>
          <cell r="Q910">
            <v>30.4</v>
          </cell>
          <cell r="R910" t="str">
            <v>EACH</v>
          </cell>
          <cell r="S910" t="str">
            <v>AUD</v>
          </cell>
          <cell r="T910">
            <v>30</v>
          </cell>
          <cell r="U910">
            <v>0</v>
          </cell>
          <cell r="V910">
            <v>0</v>
          </cell>
          <cell r="W910">
            <v>45875</v>
          </cell>
          <cell r="X910">
            <v>30</v>
          </cell>
          <cell r="Y910">
            <v>912</v>
          </cell>
        </row>
        <row r="911">
          <cell r="L911" t="str">
            <v>79013187</v>
          </cell>
          <cell r="M911" t="str">
            <v>PANTS CARGO NAVY COTTON 92R</v>
          </cell>
          <cell r="N911" t="str">
            <v>NNAV.E653</v>
          </cell>
          <cell r="P911" t="str">
            <v>MIN_ATOM_002</v>
          </cell>
          <cell r="Q911">
            <v>30.4</v>
          </cell>
          <cell r="R911" t="str">
            <v>EACH</v>
          </cell>
          <cell r="S911" t="str">
            <v>AUD</v>
          </cell>
          <cell r="T911">
            <v>30</v>
          </cell>
          <cell r="U911">
            <v>0</v>
          </cell>
          <cell r="V911">
            <v>0</v>
          </cell>
          <cell r="W911">
            <v>45875</v>
          </cell>
          <cell r="X911">
            <v>30</v>
          </cell>
          <cell r="Y911">
            <v>912</v>
          </cell>
        </row>
        <row r="912">
          <cell r="L912" t="str">
            <v>90012148</v>
          </cell>
          <cell r="M912" t="str">
            <v>PANTS CARGO NAVY COTTON 97R</v>
          </cell>
          <cell r="N912" t="str">
            <v>NNAV.E653</v>
          </cell>
          <cell r="P912" t="str">
            <v>MIN_ATOM_002</v>
          </cell>
          <cell r="Q912">
            <v>30.4</v>
          </cell>
          <cell r="R912" t="str">
            <v>EACH</v>
          </cell>
          <cell r="S912" t="str">
            <v>AUD</v>
          </cell>
          <cell r="T912">
            <v>20</v>
          </cell>
          <cell r="U912">
            <v>0</v>
          </cell>
          <cell r="V912">
            <v>0</v>
          </cell>
          <cell r="W912">
            <v>45875</v>
          </cell>
          <cell r="X912">
            <v>20</v>
          </cell>
          <cell r="Y912">
            <v>608</v>
          </cell>
        </row>
        <row r="913">
          <cell r="L913" t="str">
            <v>79013181</v>
          </cell>
          <cell r="M913" t="str">
            <v>PANTS CARGO NAVY COTTON 102R</v>
          </cell>
          <cell r="N913" t="str">
            <v>NNAV.E653</v>
          </cell>
          <cell r="P913" t="str">
            <v>MIN_ATOM_002</v>
          </cell>
          <cell r="Q913">
            <v>30.4</v>
          </cell>
          <cell r="R913" t="str">
            <v>EACH</v>
          </cell>
          <cell r="S913" t="str">
            <v>AUD</v>
          </cell>
          <cell r="T913">
            <v>10</v>
          </cell>
          <cell r="U913">
            <v>0</v>
          </cell>
          <cell r="V913">
            <v>0</v>
          </cell>
          <cell r="W913">
            <v>45875</v>
          </cell>
          <cell r="X913">
            <v>10</v>
          </cell>
          <cell r="Y913">
            <v>304</v>
          </cell>
        </row>
        <row r="914">
          <cell r="L914" t="str">
            <v>60010117</v>
          </cell>
          <cell r="M914" t="str">
            <v>PANTS CARGO NAVY COTTON 107R</v>
          </cell>
          <cell r="N914" t="str">
            <v>NNAV.E653</v>
          </cell>
          <cell r="P914" t="str">
            <v>MIN_ATOM_002</v>
          </cell>
          <cell r="Q914">
            <v>30.4</v>
          </cell>
          <cell r="R914" t="str">
            <v>EACH</v>
          </cell>
          <cell r="S914" t="str">
            <v>AUD</v>
          </cell>
          <cell r="T914">
            <v>10</v>
          </cell>
          <cell r="U914">
            <v>0</v>
          </cell>
          <cell r="V914">
            <v>0</v>
          </cell>
          <cell r="W914">
            <v>45875</v>
          </cell>
          <cell r="X914">
            <v>10</v>
          </cell>
          <cell r="Y914">
            <v>304</v>
          </cell>
        </row>
        <row r="915">
          <cell r="L915" t="str">
            <v>60010118</v>
          </cell>
          <cell r="M915" t="str">
            <v>PANTS CARGO NAVY COTTON 112R</v>
          </cell>
          <cell r="N915" t="str">
            <v>NNAV.E653</v>
          </cell>
          <cell r="P915" t="str">
            <v>MIN_ATOM_002</v>
          </cell>
          <cell r="Q915">
            <v>30.4</v>
          </cell>
          <cell r="R915" t="str">
            <v>EACH</v>
          </cell>
          <cell r="S915" t="str">
            <v>AUD</v>
          </cell>
          <cell r="T915">
            <v>10</v>
          </cell>
          <cell r="U915">
            <v>0</v>
          </cell>
          <cell r="V915">
            <v>0</v>
          </cell>
          <cell r="W915">
            <v>45875</v>
          </cell>
          <cell r="X915">
            <v>10</v>
          </cell>
          <cell r="Y915">
            <v>304</v>
          </cell>
        </row>
        <row r="916">
          <cell r="L916" t="str">
            <v>81003080</v>
          </cell>
          <cell r="M916" t="str">
            <v>RESPIRATOR HALF FACE SINGLE</v>
          </cell>
          <cell r="N916" t="str">
            <v>NWOL.E653</v>
          </cell>
          <cell r="P916" t="str">
            <v>MIN_ATOM_002</v>
          </cell>
          <cell r="Q916">
            <v>85.49</v>
          </cell>
          <cell r="R916" t="str">
            <v>EACH</v>
          </cell>
          <cell r="S916" t="str">
            <v>AUD</v>
          </cell>
          <cell r="T916">
            <v>50</v>
          </cell>
          <cell r="U916">
            <v>0</v>
          </cell>
          <cell r="V916">
            <v>0</v>
          </cell>
          <cell r="W916">
            <v>45875</v>
          </cell>
          <cell r="X916">
            <v>50</v>
          </cell>
          <cell r="Y916">
            <v>4274.5</v>
          </cell>
        </row>
        <row r="917">
          <cell r="L917" t="str">
            <v>40047106</v>
          </cell>
          <cell r="M917" t="str">
            <v>SHIRT HI VIS TAPE YEL/NAV XL</v>
          </cell>
          <cell r="N917" t="str">
            <v>NNAV.E653</v>
          </cell>
          <cell r="P917" t="str">
            <v>MIN_ATOM_001</v>
          </cell>
          <cell r="Q917">
            <v>27.33</v>
          </cell>
          <cell r="R917" t="str">
            <v>EACH</v>
          </cell>
          <cell r="S917" t="str">
            <v>AUD</v>
          </cell>
          <cell r="T917">
            <v>1</v>
          </cell>
          <cell r="U917">
            <v>0</v>
          </cell>
          <cell r="V917">
            <v>0</v>
          </cell>
          <cell r="W917">
            <v>45800</v>
          </cell>
          <cell r="X917">
            <v>1</v>
          </cell>
          <cell r="Y917">
            <v>27.33</v>
          </cell>
        </row>
        <row r="918">
          <cell r="L918" t="str">
            <v>ROPE-GAL-6-1000</v>
          </cell>
          <cell r="M918" t="str">
            <v>GALV WIRE ROPE 7 X 7</v>
          </cell>
          <cell r="N918" t="str">
            <v>NNAV.E499</v>
          </cell>
          <cell r="P918" t="str">
            <v>MIN_DIXON_001</v>
          </cell>
          <cell r="Q918">
            <v>721.85</v>
          </cell>
          <cell r="R918" t="str">
            <v>ROLL</v>
          </cell>
          <cell r="S918" t="str">
            <v>AUD</v>
          </cell>
          <cell r="T918">
            <v>8</v>
          </cell>
          <cell r="U918">
            <v>0</v>
          </cell>
          <cell r="V918">
            <v>0</v>
          </cell>
          <cell r="W918">
            <v>45870</v>
          </cell>
          <cell r="X918">
            <v>8</v>
          </cell>
          <cell r="Y918">
            <v>5774.8</v>
          </cell>
        </row>
        <row r="919">
          <cell r="L919" t="str">
            <v>CH-GAL-6-25</v>
          </cell>
          <cell r="M919" t="str">
            <v>6MM GAL CHAIN 25KG PACK</v>
          </cell>
          <cell r="N919" t="str">
            <v>NNAV.E499</v>
          </cell>
          <cell r="P919" t="str">
            <v>MIN_DIXON_001</v>
          </cell>
          <cell r="Q919">
            <v>89.97</v>
          </cell>
          <cell r="R919" t="str">
            <v>EACH</v>
          </cell>
          <cell r="S919" t="str">
            <v>AUD</v>
          </cell>
          <cell r="T919">
            <v>20</v>
          </cell>
          <cell r="U919">
            <v>0</v>
          </cell>
          <cell r="V919">
            <v>0</v>
          </cell>
          <cell r="W919">
            <v>45870</v>
          </cell>
          <cell r="X919">
            <v>20</v>
          </cell>
          <cell r="Y919">
            <v>1799.4</v>
          </cell>
        </row>
        <row r="920">
          <cell r="L920" t="str">
            <v>SH-D-6</v>
          </cell>
          <cell r="M920" t="str">
            <v>SHACKLE 6MM DEE GAL UNTESTED</v>
          </cell>
          <cell r="N920" t="str">
            <v>NNAV.E499</v>
          </cell>
          <cell r="P920" t="str">
            <v>MIN_DIXON_001</v>
          </cell>
          <cell r="Q920">
            <v>0.28000000000000003</v>
          </cell>
          <cell r="R920" t="str">
            <v>EACH</v>
          </cell>
          <cell r="S920" t="str">
            <v>AUD</v>
          </cell>
          <cell r="T920">
            <v>5000</v>
          </cell>
          <cell r="U920">
            <v>0</v>
          </cell>
          <cell r="V920">
            <v>0</v>
          </cell>
          <cell r="W920">
            <v>45870</v>
          </cell>
          <cell r="X920">
            <v>5000</v>
          </cell>
          <cell r="Y920">
            <v>1400</v>
          </cell>
        </row>
        <row r="921">
          <cell r="L921" t="str">
            <v>SH-D-20</v>
          </cell>
          <cell r="M921" t="str">
            <v>SHACKLE 20MM DEE GAL UNTESTED</v>
          </cell>
          <cell r="N921" t="str">
            <v>NNAV.E499</v>
          </cell>
          <cell r="P921" t="str">
            <v>MIN_DIXON_001</v>
          </cell>
          <cell r="Q921">
            <v>9.34</v>
          </cell>
          <cell r="R921" t="str">
            <v>EACH</v>
          </cell>
          <cell r="S921" t="str">
            <v>AUD</v>
          </cell>
          <cell r="T921">
            <v>20</v>
          </cell>
          <cell r="U921">
            <v>0</v>
          </cell>
          <cell r="V921">
            <v>0</v>
          </cell>
          <cell r="W921">
            <v>45870</v>
          </cell>
          <cell r="X921">
            <v>20</v>
          </cell>
          <cell r="Y921">
            <v>186.8</v>
          </cell>
        </row>
        <row r="922">
          <cell r="L922" t="str">
            <v>05/010/02/000B</v>
          </cell>
          <cell r="M922" t="str">
            <v>PIN LOCKING 10/02</v>
          </cell>
          <cell r="N922" t="str">
            <v>NNAV.E499</v>
          </cell>
          <cell r="P922" t="str">
            <v>MIN_DIXON_001</v>
          </cell>
          <cell r="Q922">
            <v>90.8</v>
          </cell>
          <cell r="R922" t="str">
            <v>BOX</v>
          </cell>
          <cell r="S922" t="str">
            <v>AUD</v>
          </cell>
          <cell r="T922">
            <v>25</v>
          </cell>
          <cell r="U922">
            <v>0</v>
          </cell>
          <cell r="V922">
            <v>0</v>
          </cell>
          <cell r="W922">
            <v>45870</v>
          </cell>
          <cell r="X922">
            <v>25</v>
          </cell>
          <cell r="Y922">
            <v>2270</v>
          </cell>
        </row>
        <row r="923">
          <cell r="L923" t="str">
            <v>SS500M</v>
          </cell>
          <cell r="M923" t="str">
            <v>12MM SS BANDIT STRAP</v>
          </cell>
          <cell r="N923" t="str">
            <v>NNAV.E499</v>
          </cell>
          <cell r="P923" t="str">
            <v>MIN_DIXON_001</v>
          </cell>
          <cell r="Q923">
            <v>55.2</v>
          </cell>
          <cell r="R923" t="str">
            <v>EACH</v>
          </cell>
          <cell r="S923" t="str">
            <v>AUD</v>
          </cell>
          <cell r="T923">
            <v>8</v>
          </cell>
          <cell r="U923">
            <v>0</v>
          </cell>
          <cell r="V923">
            <v>0</v>
          </cell>
          <cell r="W923">
            <v>45870</v>
          </cell>
          <cell r="X923">
            <v>8</v>
          </cell>
          <cell r="Y923">
            <v>441.6</v>
          </cell>
        </row>
        <row r="924">
          <cell r="L924" t="str">
            <v>CS500M</v>
          </cell>
          <cell r="M924" t="str">
            <v>BUCKLE BANDIT 12 MM SS</v>
          </cell>
          <cell r="N924" t="str">
            <v>NNAV.E499</v>
          </cell>
          <cell r="P924" t="str">
            <v>MIN_DIXON_001</v>
          </cell>
          <cell r="Q924">
            <v>40.9</v>
          </cell>
          <cell r="R924" t="str">
            <v>EACH</v>
          </cell>
          <cell r="S924" t="str">
            <v>AUD</v>
          </cell>
          <cell r="T924">
            <v>12</v>
          </cell>
          <cell r="U924">
            <v>0</v>
          </cell>
          <cell r="V924">
            <v>0</v>
          </cell>
          <cell r="W924">
            <v>45870</v>
          </cell>
          <cell r="X924">
            <v>12</v>
          </cell>
          <cell r="Y924">
            <v>490.8</v>
          </cell>
        </row>
        <row r="925">
          <cell r="L925" t="str">
            <v>KS7M</v>
          </cell>
          <cell r="M925" t="str">
            <v>1 3/4" PRE FORMED CLAMP SS</v>
          </cell>
          <cell r="N925" t="str">
            <v>NNAV.E499</v>
          </cell>
          <cell r="P925" t="str">
            <v>MIN_DIXON_001</v>
          </cell>
          <cell r="Q925">
            <v>112.84</v>
          </cell>
          <cell r="R925" t="str">
            <v>BOX</v>
          </cell>
          <cell r="S925" t="str">
            <v>AUD</v>
          </cell>
          <cell r="T925">
            <v>15</v>
          </cell>
          <cell r="U925">
            <v>0</v>
          </cell>
          <cell r="V925">
            <v>0</v>
          </cell>
          <cell r="W925">
            <v>45870</v>
          </cell>
          <cell r="X925">
            <v>15</v>
          </cell>
          <cell r="Y925">
            <v>1692.6</v>
          </cell>
        </row>
        <row r="926">
          <cell r="L926" t="str">
            <v>KS18M</v>
          </cell>
          <cell r="M926" t="str">
            <v>CLAMP PRE-FORMED 41/2 IN S/S</v>
          </cell>
          <cell r="N926" t="str">
            <v>NNAV.E499</v>
          </cell>
          <cell r="P926" t="str">
            <v>MIN_DIXON_001</v>
          </cell>
          <cell r="Q926">
            <v>51.55</v>
          </cell>
          <cell r="R926" t="str">
            <v>BOX</v>
          </cell>
          <cell r="S926" t="str">
            <v>AUD</v>
          </cell>
          <cell r="T926">
            <v>15</v>
          </cell>
          <cell r="U926">
            <v>0</v>
          </cell>
          <cell r="V926">
            <v>0</v>
          </cell>
          <cell r="W926">
            <v>45870</v>
          </cell>
          <cell r="X926">
            <v>15</v>
          </cell>
          <cell r="Y926">
            <v>773.25</v>
          </cell>
        </row>
        <row r="927">
          <cell r="L927" t="str">
            <v>08/080/01/000</v>
          </cell>
          <cell r="M927" t="str">
            <v>PICK PELICAN COMPLETE</v>
          </cell>
          <cell r="N927" t="str">
            <v>NNAV.E499</v>
          </cell>
          <cell r="P927" t="str">
            <v>MIN_DIXON_001</v>
          </cell>
          <cell r="Q927">
            <v>32.58</v>
          </cell>
          <cell r="R927" t="str">
            <v>EACH</v>
          </cell>
          <cell r="S927" t="str">
            <v>AUD</v>
          </cell>
          <cell r="T927">
            <v>10</v>
          </cell>
          <cell r="U927">
            <v>0</v>
          </cell>
          <cell r="V927">
            <v>0</v>
          </cell>
          <cell r="W927">
            <v>45870</v>
          </cell>
          <cell r="X927">
            <v>10</v>
          </cell>
          <cell r="Y927">
            <v>325.8</v>
          </cell>
        </row>
        <row r="928">
          <cell r="L928" t="str">
            <v>SBAR22MMX1800F</v>
          </cell>
          <cell r="M928" t="str">
            <v>BAR SCALING STEEL HEX 6FT</v>
          </cell>
          <cell r="N928" t="str">
            <v>NNAV.E499</v>
          </cell>
          <cell r="P928" t="str">
            <v>MIN_DIXON_001</v>
          </cell>
          <cell r="Q928">
            <v>163.85</v>
          </cell>
          <cell r="R928" t="str">
            <v>EACH</v>
          </cell>
          <cell r="S928" t="str">
            <v>AUD</v>
          </cell>
          <cell r="T928">
            <v>20</v>
          </cell>
          <cell r="U928">
            <v>0</v>
          </cell>
          <cell r="V928">
            <v>0</v>
          </cell>
          <cell r="W928">
            <v>45870</v>
          </cell>
          <cell r="X928">
            <v>20</v>
          </cell>
          <cell r="Y928">
            <v>3277</v>
          </cell>
        </row>
        <row r="929">
          <cell r="L929" t="str">
            <v>08/100/01/861</v>
          </cell>
          <cell r="M929" t="str">
            <v>SCALING BAR 8' (2400MM) ALUMIN</v>
          </cell>
          <cell r="N929" t="str">
            <v>NNAV.E499</v>
          </cell>
          <cell r="P929" t="str">
            <v>MIN_DIXON_001</v>
          </cell>
          <cell r="Q929">
            <v>161.63</v>
          </cell>
          <cell r="R929" t="str">
            <v>EACH</v>
          </cell>
          <cell r="S929" t="str">
            <v>AUD</v>
          </cell>
          <cell r="T929">
            <v>10</v>
          </cell>
          <cell r="U929">
            <v>0</v>
          </cell>
          <cell r="V929">
            <v>0</v>
          </cell>
          <cell r="W929">
            <v>45870</v>
          </cell>
          <cell r="X929">
            <v>10</v>
          </cell>
          <cell r="Y929">
            <v>1616.3</v>
          </cell>
        </row>
        <row r="930">
          <cell r="L930" t="str">
            <v>TTB50</v>
          </cell>
          <cell r="M930" t="str">
            <v>TAPE THREAD</v>
          </cell>
          <cell r="N930" t="str">
            <v>NNAV.E499</v>
          </cell>
          <cell r="P930" t="str">
            <v>MIN_DIXON_001</v>
          </cell>
          <cell r="Q930">
            <v>0.6</v>
          </cell>
          <cell r="R930" t="str">
            <v>EACH</v>
          </cell>
          <cell r="S930" t="str">
            <v>AUD</v>
          </cell>
          <cell r="T930">
            <v>70</v>
          </cell>
          <cell r="U930">
            <v>0</v>
          </cell>
          <cell r="V930">
            <v>0</v>
          </cell>
          <cell r="W930">
            <v>45870</v>
          </cell>
          <cell r="X930">
            <v>70</v>
          </cell>
          <cell r="Y930">
            <v>42</v>
          </cell>
        </row>
        <row r="931">
          <cell r="L931" t="str">
            <v>PAINT-STICK</v>
          </cell>
          <cell r="M931" t="str">
            <v>PAINTSTICK 3M TO 5M</v>
          </cell>
          <cell r="N931" t="str">
            <v>NNAV.E499</v>
          </cell>
          <cell r="P931" t="str">
            <v>MIN_DIXON_001</v>
          </cell>
          <cell r="Q931">
            <v>205.88</v>
          </cell>
          <cell r="R931" t="str">
            <v>EACH</v>
          </cell>
          <cell r="S931" t="str">
            <v>AUD</v>
          </cell>
          <cell r="T931">
            <v>3</v>
          </cell>
          <cell r="U931">
            <v>0</v>
          </cell>
          <cell r="V931">
            <v>0</v>
          </cell>
          <cell r="W931">
            <v>45870</v>
          </cell>
          <cell r="X931">
            <v>3</v>
          </cell>
          <cell r="Y931">
            <v>617.64</v>
          </cell>
        </row>
        <row r="932">
          <cell r="L932" t="str">
            <v>PCF-SPAN-63-125</v>
          </cell>
          <cell r="M932" t="str">
            <v>PLASSON WRENCH 63-125 7990</v>
          </cell>
          <cell r="N932" t="str">
            <v>NNAV.E499</v>
          </cell>
          <cell r="P932" t="str">
            <v>MIN_DIXON_001</v>
          </cell>
          <cell r="Q932">
            <v>55.62</v>
          </cell>
          <cell r="R932" t="str">
            <v>EACH</v>
          </cell>
          <cell r="S932" t="str">
            <v>AUD</v>
          </cell>
          <cell r="T932">
            <v>16</v>
          </cell>
          <cell r="U932">
            <v>0</v>
          </cell>
          <cell r="V932">
            <v>0</v>
          </cell>
          <cell r="W932">
            <v>45870</v>
          </cell>
          <cell r="X932">
            <v>16</v>
          </cell>
          <cell r="Y932">
            <v>889.92</v>
          </cell>
        </row>
        <row r="933">
          <cell r="L933" t="str">
            <v>PCF-SPAN-40-75</v>
          </cell>
          <cell r="M933" t="str">
            <v>SPANNER PLASSON FITTINGS</v>
          </cell>
          <cell r="N933" t="str">
            <v>NNAV.E499</v>
          </cell>
          <cell r="P933" t="str">
            <v>MIN_DIXON_001</v>
          </cell>
          <cell r="Q933">
            <v>42.18</v>
          </cell>
          <cell r="R933" t="str">
            <v>EACH</v>
          </cell>
          <cell r="S933" t="str">
            <v>AUD</v>
          </cell>
          <cell r="T933">
            <v>16</v>
          </cell>
          <cell r="U933">
            <v>0</v>
          </cell>
          <cell r="V933">
            <v>0</v>
          </cell>
          <cell r="W933">
            <v>45870</v>
          </cell>
          <cell r="X933">
            <v>16</v>
          </cell>
          <cell r="Y933">
            <v>674.88</v>
          </cell>
        </row>
        <row r="934">
          <cell r="L934" t="str">
            <v>PCF-SPAN-16-40</v>
          </cell>
          <cell r="M934" t="str">
            <v>SPANNER PLASSON FITTINGS</v>
          </cell>
          <cell r="N934" t="str">
            <v>NNAV.E499</v>
          </cell>
          <cell r="P934" t="str">
            <v>MIN_DIXON_001</v>
          </cell>
          <cell r="Q934">
            <v>44.84</v>
          </cell>
          <cell r="R934" t="str">
            <v>EACH</v>
          </cell>
          <cell r="S934" t="str">
            <v>AUD</v>
          </cell>
          <cell r="T934">
            <v>16</v>
          </cell>
          <cell r="U934">
            <v>0</v>
          </cell>
          <cell r="V934">
            <v>0</v>
          </cell>
          <cell r="W934">
            <v>45870</v>
          </cell>
          <cell r="X934">
            <v>16</v>
          </cell>
          <cell r="Y934">
            <v>717.44</v>
          </cell>
        </row>
        <row r="935">
          <cell r="L935" t="str">
            <v>SH-BOW-22-4.7</v>
          </cell>
          <cell r="M935" t="str">
            <v>SHACKLE 4.7T 19MM SCREW BOW S</v>
          </cell>
          <cell r="N935" t="str">
            <v>NNAV.E499</v>
          </cell>
          <cell r="P935" t="str">
            <v>MIN_DIXON_001</v>
          </cell>
          <cell r="Q935">
            <v>11.55</v>
          </cell>
          <cell r="R935" t="str">
            <v>EACH</v>
          </cell>
          <cell r="S935" t="str">
            <v>AUD</v>
          </cell>
          <cell r="T935">
            <v>30</v>
          </cell>
          <cell r="U935">
            <v>0</v>
          </cell>
          <cell r="V935">
            <v>0</v>
          </cell>
          <cell r="W935">
            <v>45870</v>
          </cell>
          <cell r="X935">
            <v>30</v>
          </cell>
          <cell r="Y935">
            <v>346.5</v>
          </cell>
        </row>
        <row r="936">
          <cell r="L936" t="str">
            <v>ROPE-POLY-6-125</v>
          </cell>
          <cell r="M936" t="str">
            <v>POLY ROPE 125M</v>
          </cell>
          <cell r="N936" t="str">
            <v>NNAV.E499</v>
          </cell>
          <cell r="P936" t="str">
            <v>MIN_DIXON_001</v>
          </cell>
          <cell r="Q936">
            <v>33.22</v>
          </cell>
          <cell r="R936" t="str">
            <v>ROLL</v>
          </cell>
          <cell r="S936" t="str">
            <v>AUD</v>
          </cell>
          <cell r="T936">
            <v>40</v>
          </cell>
          <cell r="U936">
            <v>0</v>
          </cell>
          <cell r="V936">
            <v>0</v>
          </cell>
          <cell r="W936">
            <v>45870</v>
          </cell>
          <cell r="X936">
            <v>40</v>
          </cell>
          <cell r="Y936">
            <v>1328.8</v>
          </cell>
        </row>
        <row r="937">
          <cell r="L937" t="str">
            <v>05/100/01/124</v>
          </cell>
          <cell r="M937" t="str">
            <v>ANFO LO STAT 20MM SEMI RIGID H</v>
          </cell>
          <cell r="N937" t="str">
            <v>NNAV.E499</v>
          </cell>
          <cell r="P937" t="str">
            <v>MIN_DIXON_001</v>
          </cell>
          <cell r="Q937">
            <v>363.68</v>
          </cell>
          <cell r="R937" t="str">
            <v>ROLL</v>
          </cell>
          <cell r="S937" t="str">
            <v>AUD</v>
          </cell>
          <cell r="T937">
            <v>30</v>
          </cell>
          <cell r="U937">
            <v>0</v>
          </cell>
          <cell r="V937">
            <v>0</v>
          </cell>
          <cell r="W937">
            <v>45870</v>
          </cell>
          <cell r="X937">
            <v>30</v>
          </cell>
          <cell r="Y937">
            <v>10910.4</v>
          </cell>
        </row>
        <row r="938">
          <cell r="L938" t="str">
            <v>05/100/01/455</v>
          </cell>
          <cell r="M938" t="str">
            <v>ANFO HOSE 25MM X 60MTR RIGID</v>
          </cell>
          <cell r="N938" t="str">
            <v>NNAV.E499</v>
          </cell>
          <cell r="P938" t="str">
            <v>MIN_DIXON_001</v>
          </cell>
          <cell r="Q938">
            <v>754.84</v>
          </cell>
          <cell r="R938" t="str">
            <v>ROLL</v>
          </cell>
          <cell r="S938" t="str">
            <v>AUD</v>
          </cell>
          <cell r="T938">
            <v>10</v>
          </cell>
          <cell r="U938">
            <v>0</v>
          </cell>
          <cell r="V938">
            <v>0</v>
          </cell>
          <cell r="W938">
            <v>45870</v>
          </cell>
          <cell r="X938">
            <v>10</v>
          </cell>
          <cell r="Y938">
            <v>7548.4</v>
          </cell>
        </row>
        <row r="939">
          <cell r="L939" t="str">
            <v>NIR03</v>
          </cell>
          <cell r="M939" t="str">
            <v>RBR NAT INSERT 1PLY 3.0MM</v>
          </cell>
          <cell r="N939" t="str">
            <v>NNAV.E499</v>
          </cell>
          <cell r="P939" t="str">
            <v>MIN_DIXON_001</v>
          </cell>
          <cell r="Q939">
            <v>149.13999999999999</v>
          </cell>
          <cell r="R939" t="str">
            <v>EACH</v>
          </cell>
          <cell r="S939" t="str">
            <v>AUD</v>
          </cell>
          <cell r="T939">
            <v>1</v>
          </cell>
          <cell r="U939">
            <v>0</v>
          </cell>
          <cell r="V939">
            <v>0</v>
          </cell>
          <cell r="W939">
            <v>45870</v>
          </cell>
          <cell r="X939">
            <v>1</v>
          </cell>
          <cell r="Y939">
            <v>149.13999999999999</v>
          </cell>
        </row>
        <row r="940">
          <cell r="L940" t="str">
            <v>IT100SL</v>
          </cell>
          <cell r="M940" t="str">
            <v>25MM SURELOCK SEAL</v>
          </cell>
          <cell r="N940" t="str">
            <v>NNAV.E499</v>
          </cell>
          <cell r="P940" t="str">
            <v>MIN_DIXON_001</v>
          </cell>
          <cell r="Q940">
            <v>38.46</v>
          </cell>
          <cell r="R940" t="str">
            <v>EACH</v>
          </cell>
          <cell r="S940" t="str">
            <v>AUD</v>
          </cell>
          <cell r="T940">
            <v>5</v>
          </cell>
          <cell r="U940">
            <v>0</v>
          </cell>
          <cell r="V940">
            <v>0</v>
          </cell>
          <cell r="W940">
            <v>45870</v>
          </cell>
          <cell r="X940">
            <v>5</v>
          </cell>
          <cell r="Y940">
            <v>192.3</v>
          </cell>
        </row>
        <row r="941">
          <cell r="L941" t="str">
            <v>S191025020</v>
          </cell>
          <cell r="M941" t="str">
            <v>HOSE 25MM SUPER AIR</v>
          </cell>
          <cell r="N941" t="str">
            <v>NNAV.E500</v>
          </cell>
          <cell r="P941" t="str">
            <v>MIN_DIXON_001</v>
          </cell>
          <cell r="Q941">
            <v>105.4</v>
          </cell>
          <cell r="R941" t="str">
            <v>ROLL</v>
          </cell>
          <cell r="S941" t="str">
            <v>AUD</v>
          </cell>
          <cell r="T941">
            <v>50</v>
          </cell>
          <cell r="U941">
            <v>0</v>
          </cell>
          <cell r="V941">
            <v>0</v>
          </cell>
          <cell r="W941">
            <v>45870</v>
          </cell>
          <cell r="X941">
            <v>50</v>
          </cell>
          <cell r="Y941">
            <v>5270</v>
          </cell>
        </row>
        <row r="942">
          <cell r="L942" t="str">
            <v>S191080020</v>
          </cell>
          <cell r="M942" t="str">
            <v>HOSE 75MM SUPER AIR</v>
          </cell>
          <cell r="N942" t="str">
            <v>NNAV.E500</v>
          </cell>
          <cell r="P942" t="str">
            <v>MIN_DIXON_001</v>
          </cell>
          <cell r="Q942">
            <v>459</v>
          </cell>
          <cell r="R942" t="str">
            <v>ROLL</v>
          </cell>
          <cell r="S942" t="str">
            <v>AUD</v>
          </cell>
          <cell r="T942">
            <v>15</v>
          </cell>
          <cell r="U942">
            <v>0</v>
          </cell>
          <cell r="V942">
            <v>0</v>
          </cell>
          <cell r="W942">
            <v>45870</v>
          </cell>
          <cell r="X942">
            <v>15</v>
          </cell>
          <cell r="Y942">
            <v>6885</v>
          </cell>
        </row>
        <row r="943">
          <cell r="L943" t="str">
            <v>08/013/14/000</v>
          </cell>
          <cell r="M943" t="str">
            <v>COUPLING SURELOCK M 25MM</v>
          </cell>
          <cell r="N943" t="str">
            <v>NNAV.E500</v>
          </cell>
          <cell r="P943" t="str">
            <v>MIN_DIXON_001</v>
          </cell>
          <cell r="Q943">
            <v>3.69</v>
          </cell>
          <cell r="R943" t="str">
            <v>EACH</v>
          </cell>
          <cell r="S943" t="str">
            <v>AUD</v>
          </cell>
          <cell r="T943">
            <v>20</v>
          </cell>
          <cell r="U943">
            <v>0</v>
          </cell>
          <cell r="V943">
            <v>0</v>
          </cell>
          <cell r="W943">
            <v>45870</v>
          </cell>
          <cell r="X943">
            <v>20</v>
          </cell>
          <cell r="Y943">
            <v>73.8</v>
          </cell>
        </row>
        <row r="944">
          <cell r="L944" t="str">
            <v>08/013/15/000</v>
          </cell>
          <cell r="M944" t="str">
            <v>COUPLING SURELOCK F 25MM</v>
          </cell>
          <cell r="N944" t="str">
            <v>NNAV.E500</v>
          </cell>
          <cell r="P944" t="str">
            <v>MIN_DIXON_001</v>
          </cell>
          <cell r="Q944">
            <v>3.69</v>
          </cell>
          <cell r="R944" t="str">
            <v>EACH</v>
          </cell>
          <cell r="S944" t="str">
            <v>AUD</v>
          </cell>
          <cell r="T944">
            <v>20</v>
          </cell>
          <cell r="U944">
            <v>0</v>
          </cell>
          <cell r="V944">
            <v>0</v>
          </cell>
          <cell r="W944">
            <v>45870</v>
          </cell>
          <cell r="X944">
            <v>20</v>
          </cell>
          <cell r="Y944">
            <v>73.8</v>
          </cell>
        </row>
        <row r="945">
          <cell r="L945" t="str">
            <v>08/013/22/000</v>
          </cell>
          <cell r="M945" t="str">
            <v>COUPLING SURELOCK H END 12MM</v>
          </cell>
          <cell r="N945" t="str">
            <v>NNAV.E500</v>
          </cell>
          <cell r="P945" t="str">
            <v>MIN_DIXON_001</v>
          </cell>
          <cell r="Q945">
            <v>3.92</v>
          </cell>
          <cell r="R945" t="str">
            <v>EACH</v>
          </cell>
          <cell r="S945" t="str">
            <v>AUD</v>
          </cell>
          <cell r="T945">
            <v>50</v>
          </cell>
          <cell r="U945">
            <v>0</v>
          </cell>
          <cell r="V945">
            <v>0</v>
          </cell>
          <cell r="W945">
            <v>45870</v>
          </cell>
          <cell r="X945">
            <v>50</v>
          </cell>
          <cell r="Y945">
            <v>196</v>
          </cell>
        </row>
        <row r="946">
          <cell r="L946" t="str">
            <v>08/013/16/000</v>
          </cell>
          <cell r="M946" t="str">
            <v>COUPLING SURELOCK HOSE END 25M</v>
          </cell>
          <cell r="N946" t="str">
            <v>NNAV.E500</v>
          </cell>
          <cell r="P946" t="str">
            <v>MIN_DIXON_001</v>
          </cell>
          <cell r="Q946">
            <v>3.69</v>
          </cell>
          <cell r="R946" t="str">
            <v>EACH</v>
          </cell>
          <cell r="S946" t="str">
            <v>AUD</v>
          </cell>
          <cell r="T946">
            <v>100</v>
          </cell>
          <cell r="U946">
            <v>0</v>
          </cell>
          <cell r="V946">
            <v>0</v>
          </cell>
          <cell r="W946">
            <v>45870</v>
          </cell>
          <cell r="X946">
            <v>100</v>
          </cell>
          <cell r="Y946">
            <v>369</v>
          </cell>
        </row>
        <row r="947">
          <cell r="L947" t="str">
            <v>08/013/27/000</v>
          </cell>
          <cell r="M947" t="str">
            <v>COUPLING 3 WAY SURELOCK</v>
          </cell>
          <cell r="N947" t="str">
            <v>NNAV.E500</v>
          </cell>
          <cell r="P947" t="str">
            <v>MIN_DIXON_001</v>
          </cell>
          <cell r="Q947">
            <v>15.09</v>
          </cell>
          <cell r="R947" t="str">
            <v>EACH</v>
          </cell>
          <cell r="S947" t="str">
            <v>AUD</v>
          </cell>
          <cell r="T947">
            <v>10</v>
          </cell>
          <cell r="U947">
            <v>0</v>
          </cell>
          <cell r="V947">
            <v>0</v>
          </cell>
          <cell r="W947">
            <v>45870</v>
          </cell>
          <cell r="X947">
            <v>10</v>
          </cell>
          <cell r="Y947">
            <v>150.9</v>
          </cell>
        </row>
        <row r="948">
          <cell r="L948" t="str">
            <v>08/030/03/000</v>
          </cell>
          <cell r="M948" t="str">
            <v>JOINER STEEL TUBE 25MM 30/03</v>
          </cell>
          <cell r="N948" t="str">
            <v>NNAV.E500</v>
          </cell>
          <cell r="P948" t="str">
            <v>MIN_DIXON_001</v>
          </cell>
          <cell r="Q948">
            <v>3.67</v>
          </cell>
          <cell r="R948" t="str">
            <v>EACH</v>
          </cell>
          <cell r="S948" t="str">
            <v>AUD</v>
          </cell>
          <cell r="T948">
            <v>20</v>
          </cell>
          <cell r="U948">
            <v>0</v>
          </cell>
          <cell r="V948">
            <v>0</v>
          </cell>
          <cell r="W948">
            <v>45870</v>
          </cell>
          <cell r="X948">
            <v>20</v>
          </cell>
          <cell r="Y948">
            <v>73.400000000000006</v>
          </cell>
        </row>
        <row r="949">
          <cell r="L949" t="str">
            <v>05/007/07/000</v>
          </cell>
          <cell r="M949" t="str">
            <v>SEAL 3/8 - 1 1/4 INSERT 07/07</v>
          </cell>
          <cell r="N949" t="str">
            <v>NNAV.E500</v>
          </cell>
          <cell r="P949" t="str">
            <v>MIN_DIXON_001</v>
          </cell>
          <cell r="Q949">
            <v>1.25</v>
          </cell>
          <cell r="R949" t="str">
            <v>EACH</v>
          </cell>
          <cell r="S949" t="str">
            <v>AUD</v>
          </cell>
          <cell r="T949">
            <v>60</v>
          </cell>
          <cell r="U949">
            <v>0</v>
          </cell>
          <cell r="V949">
            <v>0</v>
          </cell>
          <cell r="W949">
            <v>45870</v>
          </cell>
          <cell r="X949">
            <v>60</v>
          </cell>
          <cell r="Y949">
            <v>75</v>
          </cell>
        </row>
        <row r="950">
          <cell r="L950" t="str">
            <v>08/023/90/000</v>
          </cell>
          <cell r="M950" t="str">
            <v>WHIP CHECK 23/90 SMALL</v>
          </cell>
          <cell r="N950" t="str">
            <v>NNAV.E500</v>
          </cell>
          <cell r="P950" t="str">
            <v>MIN_DIXON_001</v>
          </cell>
          <cell r="Q950">
            <v>18.670000000000002</v>
          </cell>
          <cell r="R950" t="str">
            <v>EACH</v>
          </cell>
          <cell r="S950" t="str">
            <v>AUD</v>
          </cell>
          <cell r="T950">
            <v>10</v>
          </cell>
          <cell r="U950">
            <v>0</v>
          </cell>
          <cell r="V950">
            <v>0</v>
          </cell>
          <cell r="W950">
            <v>45870</v>
          </cell>
          <cell r="X950">
            <v>10</v>
          </cell>
          <cell r="Y950">
            <v>186.7</v>
          </cell>
        </row>
        <row r="951">
          <cell r="L951" t="str">
            <v>08/023/91/000</v>
          </cell>
          <cell r="M951" t="str">
            <v>WHIP CHECK 23/91 MEDIUM</v>
          </cell>
          <cell r="N951" t="str">
            <v>NNAV.E500</v>
          </cell>
          <cell r="P951" t="str">
            <v>MIN_DIXON_001</v>
          </cell>
          <cell r="Q951">
            <v>37.090000000000003</v>
          </cell>
          <cell r="R951" t="str">
            <v>EACH</v>
          </cell>
          <cell r="S951" t="str">
            <v>AUD</v>
          </cell>
          <cell r="T951">
            <v>20</v>
          </cell>
          <cell r="U951">
            <v>0</v>
          </cell>
          <cell r="V951">
            <v>0</v>
          </cell>
          <cell r="W951">
            <v>45870</v>
          </cell>
          <cell r="X951">
            <v>20</v>
          </cell>
          <cell r="Y951">
            <v>741.8</v>
          </cell>
        </row>
        <row r="952">
          <cell r="L952" t="str">
            <v>08/023/92/000</v>
          </cell>
          <cell r="M952" t="str">
            <v>WHIP CHECK 23/92 LARGE</v>
          </cell>
          <cell r="N952" t="str">
            <v>NNAV.E500</v>
          </cell>
          <cell r="P952" t="str">
            <v>MIN_DIXON_001</v>
          </cell>
          <cell r="Q952">
            <v>49.69</v>
          </cell>
          <cell r="R952" t="str">
            <v>EACH</v>
          </cell>
          <cell r="S952" t="str">
            <v>AUD</v>
          </cell>
          <cell r="T952">
            <v>10</v>
          </cell>
          <cell r="U952">
            <v>0</v>
          </cell>
          <cell r="V952">
            <v>0</v>
          </cell>
          <cell r="W952">
            <v>45870</v>
          </cell>
          <cell r="X952">
            <v>10</v>
          </cell>
          <cell r="Y952">
            <v>496.9</v>
          </cell>
        </row>
        <row r="953">
          <cell r="L953" t="str">
            <v>DM11</v>
          </cell>
          <cell r="M953" t="str">
            <v>STEEL HOSE MENDER 25 MM</v>
          </cell>
          <cell r="N953" t="str">
            <v>NNAV.E500</v>
          </cell>
          <cell r="P953" t="str">
            <v>MIN_DIXON_001</v>
          </cell>
          <cell r="Q953">
            <v>2.3199999999999998</v>
          </cell>
          <cell r="R953" t="str">
            <v>EACH</v>
          </cell>
          <cell r="S953" t="str">
            <v>AUD</v>
          </cell>
          <cell r="T953">
            <v>20</v>
          </cell>
          <cell r="U953">
            <v>0</v>
          </cell>
          <cell r="V953">
            <v>0</v>
          </cell>
          <cell r="W953">
            <v>45870</v>
          </cell>
          <cell r="X953">
            <v>20</v>
          </cell>
          <cell r="Y953">
            <v>46.4</v>
          </cell>
        </row>
        <row r="954">
          <cell r="L954" t="str">
            <v>M36</v>
          </cell>
          <cell r="M954" t="str">
            <v>SPLICER HOSE 75MM HD 32/06</v>
          </cell>
          <cell r="N954" t="str">
            <v>NNAV.E500</v>
          </cell>
          <cell r="P954" t="str">
            <v>MIN_DIXON_001</v>
          </cell>
          <cell r="Q954">
            <v>60.93</v>
          </cell>
          <cell r="R954" t="str">
            <v>EACH</v>
          </cell>
          <cell r="S954" t="str">
            <v>AUD</v>
          </cell>
          <cell r="T954">
            <v>20</v>
          </cell>
          <cell r="U954">
            <v>0</v>
          </cell>
          <cell r="V954">
            <v>0</v>
          </cell>
          <cell r="W954">
            <v>45870</v>
          </cell>
          <cell r="X954">
            <v>20</v>
          </cell>
          <cell r="Y954">
            <v>1218.5999999999999</v>
          </cell>
        </row>
        <row r="955">
          <cell r="L955" t="str">
            <v>EAL075B</v>
          </cell>
          <cell r="M955" t="str">
            <v>20MM AL DIE CAST CAM TYPE B  B</v>
          </cell>
          <cell r="N955" t="str">
            <v>NNAV.E500</v>
          </cell>
          <cell r="P955" t="str">
            <v>MIN_DIXON_001</v>
          </cell>
          <cell r="Q955">
            <v>7.88</v>
          </cell>
          <cell r="R955" t="str">
            <v>EACH</v>
          </cell>
          <cell r="S955" t="str">
            <v>AUD</v>
          </cell>
          <cell r="T955">
            <v>10</v>
          </cell>
          <cell r="U955">
            <v>0</v>
          </cell>
          <cell r="V955">
            <v>0</v>
          </cell>
          <cell r="W955">
            <v>45870</v>
          </cell>
          <cell r="X955">
            <v>10</v>
          </cell>
          <cell r="Y955">
            <v>78.8</v>
          </cell>
        </row>
        <row r="956">
          <cell r="L956" t="str">
            <v>ALDC075C</v>
          </cell>
          <cell r="M956" t="str">
            <v>20MM AL DIE CAST CAM TYPE C</v>
          </cell>
          <cell r="N956" t="str">
            <v>NNAV.E500</v>
          </cell>
          <cell r="P956" t="str">
            <v>MIN_DIXON_001</v>
          </cell>
          <cell r="Q956">
            <v>7.37</v>
          </cell>
          <cell r="R956" t="str">
            <v>EACH</v>
          </cell>
          <cell r="S956" t="str">
            <v>AUD</v>
          </cell>
          <cell r="T956">
            <v>10</v>
          </cell>
          <cell r="U956">
            <v>0</v>
          </cell>
          <cell r="V956">
            <v>0</v>
          </cell>
          <cell r="W956">
            <v>45870</v>
          </cell>
          <cell r="X956">
            <v>10</v>
          </cell>
          <cell r="Y956">
            <v>73.7</v>
          </cell>
        </row>
        <row r="957">
          <cell r="L957" t="str">
            <v>EAL075E</v>
          </cell>
          <cell r="M957" t="str">
            <v>20MM AL DIE CAST CAM TYPE E</v>
          </cell>
          <cell r="N957" t="str">
            <v>NNAV.E500</v>
          </cell>
          <cell r="P957" t="str">
            <v>MIN_DIXON_001</v>
          </cell>
          <cell r="Q957">
            <v>2.97</v>
          </cell>
          <cell r="R957" t="str">
            <v>EACH</v>
          </cell>
          <cell r="S957" t="str">
            <v>AUD</v>
          </cell>
          <cell r="T957">
            <v>10</v>
          </cell>
          <cell r="U957">
            <v>0</v>
          </cell>
          <cell r="V957">
            <v>0</v>
          </cell>
          <cell r="W957">
            <v>45870</v>
          </cell>
          <cell r="X957">
            <v>10</v>
          </cell>
          <cell r="Y957">
            <v>29.7</v>
          </cell>
        </row>
        <row r="958">
          <cell r="L958" t="str">
            <v>ALDC075F</v>
          </cell>
          <cell r="M958" t="str">
            <v>20MM AL DIE CAST CAM TYPE F  B</v>
          </cell>
          <cell r="N958" t="str">
            <v>NNAV.E500</v>
          </cell>
          <cell r="P958" t="str">
            <v>MIN_DIXON_001</v>
          </cell>
          <cell r="Q958">
            <v>3.83</v>
          </cell>
          <cell r="R958" t="str">
            <v>EACH</v>
          </cell>
          <cell r="S958" t="str">
            <v>AUD</v>
          </cell>
          <cell r="T958">
            <v>10</v>
          </cell>
          <cell r="U958">
            <v>0</v>
          </cell>
          <cell r="V958">
            <v>0</v>
          </cell>
          <cell r="W958">
            <v>45870</v>
          </cell>
          <cell r="X958">
            <v>10</v>
          </cell>
          <cell r="Y958">
            <v>38.299999999999997</v>
          </cell>
        </row>
        <row r="959">
          <cell r="L959" t="str">
            <v>EAL300A</v>
          </cell>
          <cell r="M959" t="str">
            <v>CAMLOCK 633A80 ALUM MALE-FEMAL</v>
          </cell>
          <cell r="N959" t="str">
            <v>NNAV.E500</v>
          </cell>
          <cell r="P959" t="str">
            <v>MIN_DIXON_001</v>
          </cell>
          <cell r="Q959">
            <v>6.06</v>
          </cell>
          <cell r="R959" t="str">
            <v>EACH</v>
          </cell>
          <cell r="S959" t="str">
            <v>AUD</v>
          </cell>
          <cell r="T959">
            <v>15</v>
          </cell>
          <cell r="U959">
            <v>0</v>
          </cell>
          <cell r="V959">
            <v>0</v>
          </cell>
          <cell r="W959">
            <v>45870</v>
          </cell>
          <cell r="X959">
            <v>15</v>
          </cell>
          <cell r="Y959">
            <v>90.9</v>
          </cell>
        </row>
        <row r="960">
          <cell r="L960" t="str">
            <v>EAL300B</v>
          </cell>
          <cell r="M960" t="str">
            <v>CAMLOCK 633B80 ALUM</v>
          </cell>
          <cell r="N960" t="str">
            <v>NNAV.E500</v>
          </cell>
          <cell r="P960" t="str">
            <v>MIN_DIXON_001</v>
          </cell>
          <cell r="Q960">
            <v>12.65</v>
          </cell>
          <cell r="R960" t="str">
            <v>EACH</v>
          </cell>
          <cell r="S960" t="str">
            <v>AUD</v>
          </cell>
          <cell r="T960">
            <v>15</v>
          </cell>
          <cell r="U960">
            <v>0</v>
          </cell>
          <cell r="V960">
            <v>0</v>
          </cell>
          <cell r="W960">
            <v>45870</v>
          </cell>
          <cell r="X960">
            <v>15</v>
          </cell>
          <cell r="Y960">
            <v>189.75</v>
          </cell>
        </row>
        <row r="961">
          <cell r="L961" t="str">
            <v>EAL300C</v>
          </cell>
          <cell r="M961" t="str">
            <v>CAMLOCK 633C80 ALUM</v>
          </cell>
          <cell r="N961" t="str">
            <v>NNAV.E500</v>
          </cell>
          <cell r="P961" t="str">
            <v>MIN_DIXON_001</v>
          </cell>
          <cell r="Q961">
            <v>10.87</v>
          </cell>
          <cell r="R961" t="str">
            <v>EACH</v>
          </cell>
          <cell r="S961" t="str">
            <v>AUD</v>
          </cell>
          <cell r="T961">
            <v>15</v>
          </cell>
          <cell r="U961">
            <v>0</v>
          </cell>
          <cell r="V961">
            <v>0</v>
          </cell>
          <cell r="W961">
            <v>45870</v>
          </cell>
          <cell r="X961">
            <v>15</v>
          </cell>
          <cell r="Y961">
            <v>163.05000000000001</v>
          </cell>
        </row>
        <row r="962">
          <cell r="L962" t="str">
            <v>EAL300D</v>
          </cell>
          <cell r="M962" t="str">
            <v>CAMLOCK 633D80 ALUM</v>
          </cell>
          <cell r="N962" t="str">
            <v>NNAV.E500</v>
          </cell>
          <cell r="P962" t="str">
            <v>MIN_DIXON_001</v>
          </cell>
          <cell r="Q962">
            <v>13.09</v>
          </cell>
          <cell r="R962" t="str">
            <v>EACH</v>
          </cell>
          <cell r="S962" t="str">
            <v>AUD</v>
          </cell>
          <cell r="T962">
            <v>15</v>
          </cell>
          <cell r="U962">
            <v>0</v>
          </cell>
          <cell r="V962">
            <v>0</v>
          </cell>
          <cell r="W962">
            <v>45870</v>
          </cell>
          <cell r="X962">
            <v>15</v>
          </cell>
          <cell r="Y962">
            <v>196.35</v>
          </cell>
        </row>
        <row r="963">
          <cell r="L963" t="str">
            <v>EAL300E</v>
          </cell>
          <cell r="M963" t="str">
            <v>CAMLOCK 633E80 ALUM</v>
          </cell>
          <cell r="N963" t="str">
            <v>NNAV.E500</v>
          </cell>
          <cell r="P963" t="str">
            <v>MIN_DIXON_001</v>
          </cell>
          <cell r="Q963">
            <v>6.67</v>
          </cell>
          <cell r="R963" t="str">
            <v>EACH</v>
          </cell>
          <cell r="S963" t="str">
            <v>AUD</v>
          </cell>
          <cell r="T963">
            <v>15</v>
          </cell>
          <cell r="U963">
            <v>0</v>
          </cell>
          <cell r="V963">
            <v>0</v>
          </cell>
          <cell r="W963">
            <v>45870</v>
          </cell>
          <cell r="X963">
            <v>15</v>
          </cell>
          <cell r="Y963">
            <v>100.05</v>
          </cell>
        </row>
        <row r="964">
          <cell r="L964" t="str">
            <v>EAL300F</v>
          </cell>
          <cell r="M964" t="str">
            <v>CAMLOCK 633F80 ALUM</v>
          </cell>
          <cell r="N964" t="str">
            <v>NNAV.E500</v>
          </cell>
          <cell r="P964" t="str">
            <v>MIN_DIXON_001</v>
          </cell>
          <cell r="Q964">
            <v>9.33</v>
          </cell>
          <cell r="R964" t="str">
            <v>EACH</v>
          </cell>
          <cell r="S964" t="str">
            <v>AUD</v>
          </cell>
          <cell r="T964">
            <v>15</v>
          </cell>
          <cell r="U964">
            <v>0</v>
          </cell>
          <cell r="V964">
            <v>0</v>
          </cell>
          <cell r="W964">
            <v>45870</v>
          </cell>
          <cell r="X964">
            <v>15</v>
          </cell>
          <cell r="Y964">
            <v>139.94999999999999</v>
          </cell>
        </row>
        <row r="965">
          <cell r="L965" t="str">
            <v>300-G-BU</v>
          </cell>
          <cell r="M965" t="str">
            <v>75MM BUNA GASKET</v>
          </cell>
          <cell r="N965" t="str">
            <v>NNAV.E500</v>
          </cell>
          <cell r="P965" t="str">
            <v>MIN_DIXON_001</v>
          </cell>
          <cell r="Q965">
            <v>1.67</v>
          </cell>
          <cell r="R965" t="str">
            <v>EACH</v>
          </cell>
          <cell r="S965" t="str">
            <v>AUD</v>
          </cell>
          <cell r="T965">
            <v>20</v>
          </cell>
          <cell r="U965">
            <v>0</v>
          </cell>
          <cell r="V965">
            <v>0</v>
          </cell>
          <cell r="W965">
            <v>45870</v>
          </cell>
          <cell r="X965">
            <v>20</v>
          </cell>
          <cell r="Y965">
            <v>33.4</v>
          </cell>
        </row>
        <row r="966">
          <cell r="L966" t="str">
            <v>BSCV075</v>
          </cell>
          <cell r="M966" t="str">
            <v>VALVE CHECK 80NB TURNFLO BCH B</v>
          </cell>
          <cell r="N966" t="str">
            <v>NNAV.E500</v>
          </cell>
          <cell r="P966" t="str">
            <v>MIN_DIXON_001</v>
          </cell>
          <cell r="Q966">
            <v>85.37</v>
          </cell>
          <cell r="R966" t="str">
            <v>EACH</v>
          </cell>
          <cell r="S966" t="str">
            <v>AUD</v>
          </cell>
          <cell r="T966">
            <v>4</v>
          </cell>
          <cell r="U966">
            <v>0</v>
          </cell>
          <cell r="V966">
            <v>0</v>
          </cell>
          <cell r="W966">
            <v>45870</v>
          </cell>
          <cell r="X966">
            <v>4</v>
          </cell>
          <cell r="Y966">
            <v>341.48</v>
          </cell>
        </row>
        <row r="967">
          <cell r="L967" t="str">
            <v>BSCV100</v>
          </cell>
          <cell r="M967" t="str">
            <v>VALVE CHECK 100NB TURNFLO BCH</v>
          </cell>
          <cell r="N967" t="str">
            <v>NNAV.E500</v>
          </cell>
          <cell r="P967" t="str">
            <v>MIN_DIXON_001</v>
          </cell>
          <cell r="Q967">
            <v>128.16</v>
          </cell>
          <cell r="R967" t="str">
            <v>EACH</v>
          </cell>
          <cell r="S967" t="str">
            <v>AUD</v>
          </cell>
          <cell r="T967">
            <v>2</v>
          </cell>
          <cell r="U967">
            <v>0</v>
          </cell>
          <cell r="V967">
            <v>0</v>
          </cell>
          <cell r="W967">
            <v>45870</v>
          </cell>
          <cell r="X967">
            <v>2</v>
          </cell>
          <cell r="Y967">
            <v>256.32</v>
          </cell>
        </row>
        <row r="968">
          <cell r="L968" t="str">
            <v>YH1002</v>
          </cell>
          <cell r="M968" t="str">
            <v>TAB E RATIO VALVE 2:1</v>
          </cell>
          <cell r="N968" t="str">
            <v>NNAV.E500</v>
          </cell>
          <cell r="P968" t="str">
            <v>MIN_DIXON_001</v>
          </cell>
          <cell r="Q968">
            <v>2990.72</v>
          </cell>
          <cell r="R968" t="str">
            <v>EACH</v>
          </cell>
          <cell r="S968" t="str">
            <v>AUD</v>
          </cell>
          <cell r="T968">
            <v>2</v>
          </cell>
          <cell r="U968">
            <v>0</v>
          </cell>
          <cell r="V968">
            <v>0</v>
          </cell>
          <cell r="W968">
            <v>45870</v>
          </cell>
          <cell r="X968">
            <v>2</v>
          </cell>
          <cell r="Y968">
            <v>5981.44</v>
          </cell>
        </row>
        <row r="969">
          <cell r="L969" t="str">
            <v>BFVH100</v>
          </cell>
          <cell r="M969" t="str">
            <v>100MM CI WAF B/FLY VALVE LOP E</v>
          </cell>
          <cell r="N969" t="str">
            <v>NNAV.E500</v>
          </cell>
          <cell r="P969" t="str">
            <v>MIN_DIXON_001</v>
          </cell>
          <cell r="Q969">
            <v>75.42</v>
          </cell>
          <cell r="R969" t="str">
            <v>EACH</v>
          </cell>
          <cell r="S969" t="str">
            <v>AUD</v>
          </cell>
          <cell r="T969">
            <v>4</v>
          </cell>
          <cell r="U969">
            <v>0</v>
          </cell>
          <cell r="V969">
            <v>0</v>
          </cell>
          <cell r="W969">
            <v>45870</v>
          </cell>
          <cell r="X969">
            <v>4</v>
          </cell>
          <cell r="Y969">
            <v>301.68</v>
          </cell>
        </row>
        <row r="970">
          <cell r="L970" t="str">
            <v>SS1P-25MM</v>
          </cell>
          <cell r="M970" t="str">
            <v>BALL VALVE 25MM</v>
          </cell>
          <cell r="N970" t="str">
            <v>NNAV.E500</v>
          </cell>
          <cell r="P970" t="str">
            <v>MIN_DIXON_001</v>
          </cell>
          <cell r="Q970">
            <v>19.22</v>
          </cell>
          <cell r="R970" t="str">
            <v>EACH</v>
          </cell>
          <cell r="S970" t="str">
            <v>AUD</v>
          </cell>
          <cell r="T970">
            <v>20</v>
          </cell>
          <cell r="U970">
            <v>0</v>
          </cell>
          <cell r="V970">
            <v>0</v>
          </cell>
          <cell r="W970">
            <v>45870</v>
          </cell>
          <cell r="X970">
            <v>20</v>
          </cell>
          <cell r="Y970">
            <v>384.4</v>
          </cell>
        </row>
        <row r="971">
          <cell r="L971" t="str">
            <v>BVD-S-1201-100</v>
          </cell>
          <cell r="M971" t="str">
            <v>VALVE SHLD BUTTERFLY 100MM</v>
          </cell>
          <cell r="N971" t="str">
            <v>NNAV.E500</v>
          </cell>
          <cell r="P971" t="str">
            <v>MIN_DIXON_001</v>
          </cell>
          <cell r="Q971">
            <v>112.2</v>
          </cell>
          <cell r="R971" t="str">
            <v>EACH</v>
          </cell>
          <cell r="S971" t="str">
            <v>AUD</v>
          </cell>
          <cell r="T971">
            <v>4</v>
          </cell>
          <cell r="U971">
            <v>0</v>
          </cell>
          <cell r="V971">
            <v>0</v>
          </cell>
          <cell r="W971">
            <v>45870</v>
          </cell>
          <cell r="X971">
            <v>4</v>
          </cell>
          <cell r="Y971">
            <v>448.8</v>
          </cell>
        </row>
        <row r="972">
          <cell r="L972" t="str">
            <v>08/062/111/00LO</v>
          </cell>
          <cell r="M972" t="str">
            <v>VALVE ECONOVALVE</v>
          </cell>
          <cell r="N972" t="str">
            <v>NNAV.E500</v>
          </cell>
          <cell r="P972" t="str">
            <v>MIN_DIXON_001</v>
          </cell>
          <cell r="Q972">
            <v>32.07</v>
          </cell>
          <cell r="R972" t="str">
            <v>EACH</v>
          </cell>
          <cell r="S972" t="str">
            <v>AUD</v>
          </cell>
          <cell r="T972">
            <v>50</v>
          </cell>
          <cell r="U972">
            <v>0</v>
          </cell>
          <cell r="V972">
            <v>0</v>
          </cell>
          <cell r="W972">
            <v>45870</v>
          </cell>
          <cell r="X972">
            <v>50</v>
          </cell>
          <cell r="Y972">
            <v>1603.5</v>
          </cell>
        </row>
        <row r="973">
          <cell r="L973" t="str">
            <v>08/062/118/00</v>
          </cell>
          <cell r="M973" t="str">
            <v>ECONOVALVE 2" SHLD X 1" BSP F</v>
          </cell>
          <cell r="N973" t="str">
            <v>NNAV.E500</v>
          </cell>
          <cell r="P973" t="str">
            <v>MIN_DIXON_001</v>
          </cell>
          <cell r="Q973">
            <v>36.07</v>
          </cell>
          <cell r="R973" t="str">
            <v>EACH</v>
          </cell>
          <cell r="S973" t="str">
            <v>AUD</v>
          </cell>
          <cell r="T973">
            <v>10</v>
          </cell>
          <cell r="U973">
            <v>0</v>
          </cell>
          <cell r="V973">
            <v>0</v>
          </cell>
          <cell r="W973">
            <v>45870</v>
          </cell>
          <cell r="X973">
            <v>10</v>
          </cell>
          <cell r="Y973">
            <v>360.7</v>
          </cell>
        </row>
        <row r="974">
          <cell r="L974" t="str">
            <v>08/062/849/00LO</v>
          </cell>
          <cell r="M974" t="str">
            <v>VALVE ECONOVALVE</v>
          </cell>
          <cell r="N974" t="str">
            <v>NNAV.E500</v>
          </cell>
          <cell r="P974" t="str">
            <v>MIN_DIXON_001</v>
          </cell>
          <cell r="Q974">
            <v>64.03</v>
          </cell>
          <cell r="R974" t="str">
            <v>EACH</v>
          </cell>
          <cell r="S974" t="str">
            <v>AUD</v>
          </cell>
          <cell r="T974">
            <v>10</v>
          </cell>
          <cell r="U974">
            <v>0</v>
          </cell>
          <cell r="V974">
            <v>0</v>
          </cell>
          <cell r="W974">
            <v>45870</v>
          </cell>
          <cell r="X974">
            <v>10</v>
          </cell>
          <cell r="Y974">
            <v>640.29999999999995</v>
          </cell>
        </row>
        <row r="975">
          <cell r="L975" t="str">
            <v>FMG-HN-25</v>
          </cell>
          <cell r="M975" t="str">
            <v>NIPPLE 25MM HEX</v>
          </cell>
          <cell r="N975" t="str">
            <v>NNAV.E500</v>
          </cell>
          <cell r="P975" t="str">
            <v>MIN_DIXON_001</v>
          </cell>
          <cell r="Q975">
            <v>1.42</v>
          </cell>
          <cell r="R975" t="str">
            <v>EACH</v>
          </cell>
          <cell r="S975" t="str">
            <v>AUD</v>
          </cell>
          <cell r="T975">
            <v>10</v>
          </cell>
          <cell r="U975">
            <v>0</v>
          </cell>
          <cell r="V975">
            <v>0</v>
          </cell>
          <cell r="W975">
            <v>45870</v>
          </cell>
          <cell r="X975">
            <v>10</v>
          </cell>
          <cell r="Y975">
            <v>14.2</v>
          </cell>
        </row>
        <row r="976">
          <cell r="L976" t="str">
            <v>FMG-HN-50</v>
          </cell>
          <cell r="M976" t="str">
            <v>NIPPLE 50MM HEX</v>
          </cell>
          <cell r="N976" t="str">
            <v>NNAV.E500</v>
          </cell>
          <cell r="P976" t="str">
            <v>MIN_DIXON_001</v>
          </cell>
          <cell r="Q976">
            <v>4.5199999999999996</v>
          </cell>
          <cell r="R976" t="str">
            <v>EACH</v>
          </cell>
          <cell r="S976" t="str">
            <v>AUD</v>
          </cell>
          <cell r="T976">
            <v>10</v>
          </cell>
          <cell r="U976">
            <v>0</v>
          </cell>
          <cell r="V976">
            <v>0</v>
          </cell>
          <cell r="W976">
            <v>45870</v>
          </cell>
          <cell r="X976">
            <v>10</v>
          </cell>
          <cell r="Y976">
            <v>45.2</v>
          </cell>
        </row>
        <row r="977">
          <cell r="L977" t="str">
            <v>FMG-HN-80</v>
          </cell>
          <cell r="M977" t="str">
            <v>GAL MAL HEX NIPPLE 80MM</v>
          </cell>
          <cell r="N977" t="str">
            <v>NNAV.E500</v>
          </cell>
          <cell r="P977" t="str">
            <v>MIN_DIXON_001</v>
          </cell>
          <cell r="Q977">
            <v>14.62</v>
          </cell>
          <cell r="R977" t="str">
            <v>EACH</v>
          </cell>
          <cell r="S977" t="str">
            <v>AUD</v>
          </cell>
          <cell r="T977">
            <v>10</v>
          </cell>
          <cell r="U977">
            <v>0</v>
          </cell>
          <cell r="V977">
            <v>0</v>
          </cell>
          <cell r="W977">
            <v>45870</v>
          </cell>
          <cell r="X977">
            <v>10</v>
          </cell>
          <cell r="Y977">
            <v>146.19999999999999</v>
          </cell>
        </row>
        <row r="978">
          <cell r="L978" t="str">
            <v>FMG-HN-100</v>
          </cell>
          <cell r="M978" t="str">
            <v>NIPPLE 100MM HEX</v>
          </cell>
          <cell r="N978" t="str">
            <v>NNAV.E500</v>
          </cell>
          <cell r="P978" t="str">
            <v>MIN_DIXON_001</v>
          </cell>
          <cell r="Q978">
            <v>17.63</v>
          </cell>
          <cell r="R978" t="str">
            <v>EACH</v>
          </cell>
          <cell r="S978" t="str">
            <v>AUD</v>
          </cell>
          <cell r="T978">
            <v>10</v>
          </cell>
          <cell r="U978">
            <v>0</v>
          </cell>
          <cell r="V978">
            <v>0</v>
          </cell>
          <cell r="W978">
            <v>45870</v>
          </cell>
          <cell r="X978">
            <v>10</v>
          </cell>
          <cell r="Y978">
            <v>176.3</v>
          </cell>
        </row>
        <row r="979">
          <cell r="L979" t="str">
            <v>FMG-BUS-25-15</v>
          </cell>
          <cell r="M979" t="str">
            <v>REDUCING BUSH 25 X 15MM</v>
          </cell>
          <cell r="N979" t="str">
            <v>NNAV.E500</v>
          </cell>
          <cell r="P979" t="str">
            <v>MIN_DIXON_001</v>
          </cell>
          <cell r="Q979">
            <v>1.07</v>
          </cell>
          <cell r="R979" t="str">
            <v>EACH</v>
          </cell>
          <cell r="S979" t="str">
            <v>AUD</v>
          </cell>
          <cell r="T979">
            <v>10</v>
          </cell>
          <cell r="U979">
            <v>0</v>
          </cell>
          <cell r="V979">
            <v>0</v>
          </cell>
          <cell r="W979">
            <v>45870</v>
          </cell>
          <cell r="X979">
            <v>10</v>
          </cell>
          <cell r="Y979">
            <v>10.7</v>
          </cell>
        </row>
        <row r="980">
          <cell r="L980" t="str">
            <v>FMG-BUS-50-25</v>
          </cell>
          <cell r="M980" t="str">
            <v>REDUCING BUSH 50 X 25MM</v>
          </cell>
          <cell r="N980" t="str">
            <v>NNAV.E500</v>
          </cell>
          <cell r="P980" t="str">
            <v>MIN_DIXON_001</v>
          </cell>
          <cell r="Q980">
            <v>2.98</v>
          </cell>
          <cell r="R980" t="str">
            <v>EACH</v>
          </cell>
          <cell r="S980" t="str">
            <v>AUD</v>
          </cell>
          <cell r="T980">
            <v>20</v>
          </cell>
          <cell r="U980">
            <v>0</v>
          </cell>
          <cell r="V980">
            <v>0</v>
          </cell>
          <cell r="W980">
            <v>45870</v>
          </cell>
          <cell r="X980">
            <v>20</v>
          </cell>
          <cell r="Y980">
            <v>59.6</v>
          </cell>
        </row>
        <row r="981">
          <cell r="L981" t="str">
            <v>FMG-BUS-80-50</v>
          </cell>
          <cell r="M981" t="str">
            <v>REDUCING BUSH 80 X 50MM</v>
          </cell>
          <cell r="N981" t="str">
            <v>NNAV.E500</v>
          </cell>
          <cell r="P981" t="str">
            <v>MIN_DIXON_001</v>
          </cell>
          <cell r="Q981">
            <v>7.23</v>
          </cell>
          <cell r="R981" t="str">
            <v>EACH</v>
          </cell>
          <cell r="S981" t="str">
            <v>AUD</v>
          </cell>
          <cell r="T981">
            <v>10</v>
          </cell>
          <cell r="U981">
            <v>0</v>
          </cell>
          <cell r="V981">
            <v>0</v>
          </cell>
          <cell r="W981">
            <v>45870</v>
          </cell>
          <cell r="X981">
            <v>10</v>
          </cell>
          <cell r="Y981">
            <v>72.3</v>
          </cell>
        </row>
        <row r="982">
          <cell r="L982" t="str">
            <v>FMG-HN-50-25</v>
          </cell>
          <cell r="M982" t="str">
            <v>REDUCING NIPPLE 50 X 25MM</v>
          </cell>
          <cell r="N982" t="str">
            <v>NNAV.E500</v>
          </cell>
          <cell r="P982" t="str">
            <v>MIN_DIXON_001</v>
          </cell>
          <cell r="Q982">
            <v>4.8099999999999996</v>
          </cell>
          <cell r="R982" t="str">
            <v>EACH</v>
          </cell>
          <cell r="S982" t="str">
            <v>AUD</v>
          </cell>
          <cell r="T982">
            <v>20</v>
          </cell>
          <cell r="U982">
            <v>0</v>
          </cell>
          <cell r="V982">
            <v>0</v>
          </cell>
          <cell r="W982">
            <v>45870</v>
          </cell>
          <cell r="X982">
            <v>20</v>
          </cell>
          <cell r="Y982">
            <v>96.2</v>
          </cell>
        </row>
        <row r="983">
          <cell r="L983" t="str">
            <v>FMG-HN-80-50</v>
          </cell>
          <cell r="M983" t="str">
            <v>REDUCING NIPPLE 80 X 50MM</v>
          </cell>
          <cell r="N983" t="str">
            <v>NNAV.E500</v>
          </cell>
          <cell r="P983" t="str">
            <v>MIN_DIXON_001</v>
          </cell>
          <cell r="Q983">
            <v>15.69</v>
          </cell>
          <cell r="R983" t="str">
            <v>EACH</v>
          </cell>
          <cell r="S983" t="str">
            <v>AUD</v>
          </cell>
          <cell r="T983">
            <v>20</v>
          </cell>
          <cell r="U983">
            <v>0</v>
          </cell>
          <cell r="V983">
            <v>0</v>
          </cell>
          <cell r="W983">
            <v>45870</v>
          </cell>
          <cell r="X983">
            <v>20</v>
          </cell>
          <cell r="Y983">
            <v>313.8</v>
          </cell>
        </row>
        <row r="984">
          <cell r="L984" t="str">
            <v>FMG-HN-100-80</v>
          </cell>
          <cell r="M984" t="str">
            <v>REDUCING NIPPLE 100 X 80MM</v>
          </cell>
          <cell r="N984" t="str">
            <v>NNAV.E500</v>
          </cell>
          <cell r="P984" t="str">
            <v>MIN_DIXON_001</v>
          </cell>
          <cell r="Q984">
            <v>29.29</v>
          </cell>
          <cell r="R984" t="str">
            <v>EACH</v>
          </cell>
          <cell r="S984" t="str">
            <v>AUD</v>
          </cell>
          <cell r="T984">
            <v>20</v>
          </cell>
          <cell r="U984">
            <v>0</v>
          </cell>
          <cell r="V984">
            <v>0</v>
          </cell>
          <cell r="W984">
            <v>45870</v>
          </cell>
          <cell r="X984">
            <v>20</v>
          </cell>
          <cell r="Y984">
            <v>585.79999999999995</v>
          </cell>
        </row>
        <row r="985">
          <cell r="L985" t="str">
            <v>FMG-SOC-80-50</v>
          </cell>
          <cell r="M985" t="str">
            <v>SOCKET REDUCING 80X50 GALV MAL</v>
          </cell>
          <cell r="N985" t="str">
            <v>NNAV.E500</v>
          </cell>
          <cell r="P985" t="str">
            <v>MIN_DIXON_001</v>
          </cell>
          <cell r="Q985">
            <v>10.7</v>
          </cell>
          <cell r="R985" t="str">
            <v>EACH</v>
          </cell>
          <cell r="S985" t="str">
            <v>AUD</v>
          </cell>
          <cell r="T985">
            <v>10</v>
          </cell>
          <cell r="U985">
            <v>0</v>
          </cell>
          <cell r="V985">
            <v>0</v>
          </cell>
          <cell r="W985">
            <v>45870</v>
          </cell>
          <cell r="X985">
            <v>10</v>
          </cell>
          <cell r="Y985">
            <v>107</v>
          </cell>
        </row>
        <row r="986">
          <cell r="L986" t="str">
            <v>FMG-SOC-100-80</v>
          </cell>
          <cell r="M986" t="str">
            <v>SOCKET REDUCING 100 X 80MM</v>
          </cell>
          <cell r="N986" t="str">
            <v>NNAV.E500</v>
          </cell>
          <cell r="P986" t="str">
            <v>MIN_DIXON_001</v>
          </cell>
          <cell r="Q986">
            <v>19.37</v>
          </cell>
          <cell r="R986" t="str">
            <v>EACH</v>
          </cell>
          <cell r="S986" t="str">
            <v>AUD</v>
          </cell>
          <cell r="T986">
            <v>10</v>
          </cell>
          <cell r="U986">
            <v>0</v>
          </cell>
          <cell r="V986">
            <v>0</v>
          </cell>
          <cell r="W986">
            <v>45870</v>
          </cell>
          <cell r="X986">
            <v>10</v>
          </cell>
          <cell r="Y986">
            <v>193.7</v>
          </cell>
        </row>
        <row r="987">
          <cell r="L987" t="str">
            <v>FMG-SOC-25</v>
          </cell>
          <cell r="M987" t="str">
            <v>SOCKET 25MM</v>
          </cell>
          <cell r="N987" t="str">
            <v>NNAV.E500</v>
          </cell>
          <cell r="P987" t="str">
            <v>MIN_DIXON_001</v>
          </cell>
          <cell r="Q987">
            <v>1.22</v>
          </cell>
          <cell r="R987" t="str">
            <v>EACH</v>
          </cell>
          <cell r="S987" t="str">
            <v>AUD</v>
          </cell>
          <cell r="T987">
            <v>10</v>
          </cell>
          <cell r="U987">
            <v>0</v>
          </cell>
          <cell r="V987">
            <v>0</v>
          </cell>
          <cell r="W987">
            <v>45870</v>
          </cell>
          <cell r="X987">
            <v>10</v>
          </cell>
          <cell r="Y987">
            <v>12.2</v>
          </cell>
        </row>
        <row r="988">
          <cell r="L988" t="str">
            <v>FMG-SOC-50</v>
          </cell>
          <cell r="M988" t="str">
            <v>SOCKET 50MM</v>
          </cell>
          <cell r="N988" t="str">
            <v>NNAV.E500</v>
          </cell>
          <cell r="P988" t="str">
            <v>MIN_DIXON_001</v>
          </cell>
          <cell r="Q988">
            <v>3.77</v>
          </cell>
          <cell r="R988" t="str">
            <v>EACH</v>
          </cell>
          <cell r="S988" t="str">
            <v>AUD</v>
          </cell>
          <cell r="T988">
            <v>10</v>
          </cell>
          <cell r="U988">
            <v>0</v>
          </cell>
          <cell r="V988">
            <v>0</v>
          </cell>
          <cell r="W988">
            <v>45870</v>
          </cell>
          <cell r="X988">
            <v>10</v>
          </cell>
          <cell r="Y988">
            <v>37.700000000000003</v>
          </cell>
        </row>
        <row r="989">
          <cell r="L989" t="str">
            <v>08/048/14/002T</v>
          </cell>
          <cell r="M989" t="str">
            <v>REDUCER 100 X 50</v>
          </cell>
          <cell r="N989" t="str">
            <v>NNAV.E500</v>
          </cell>
          <cell r="P989" t="str">
            <v>MIN_DIXON_001</v>
          </cell>
          <cell r="Q989">
            <v>40.51</v>
          </cell>
          <cell r="R989" t="str">
            <v>EACH</v>
          </cell>
          <cell r="S989" t="str">
            <v>AUD</v>
          </cell>
          <cell r="T989">
            <v>20</v>
          </cell>
          <cell r="U989">
            <v>0</v>
          </cell>
          <cell r="V989">
            <v>0</v>
          </cell>
          <cell r="W989">
            <v>45870</v>
          </cell>
          <cell r="X989">
            <v>20</v>
          </cell>
          <cell r="Y989">
            <v>810.2</v>
          </cell>
        </row>
        <row r="990">
          <cell r="L990" t="str">
            <v>08/048/05/000T</v>
          </cell>
          <cell r="M990" t="str">
            <v>TEE 50NB GALV SHOULDERED</v>
          </cell>
          <cell r="N990" t="str">
            <v>NNAV.E500</v>
          </cell>
          <cell r="P990" t="str">
            <v>MIN_DIXON_001</v>
          </cell>
          <cell r="Q990">
            <v>52.44</v>
          </cell>
          <cell r="R990" t="str">
            <v>EACH</v>
          </cell>
          <cell r="S990" t="str">
            <v>AUD</v>
          </cell>
          <cell r="T990">
            <v>10</v>
          </cell>
          <cell r="U990">
            <v>0</v>
          </cell>
          <cell r="V990">
            <v>0</v>
          </cell>
          <cell r="W990">
            <v>45870</v>
          </cell>
          <cell r="X990">
            <v>10</v>
          </cell>
          <cell r="Y990">
            <v>524.4</v>
          </cell>
        </row>
        <row r="991">
          <cell r="L991" t="str">
            <v>08/048/05/003T</v>
          </cell>
          <cell r="M991" t="str">
            <v>TEE 100NB GALV SHOULDERED</v>
          </cell>
          <cell r="N991" t="str">
            <v>NNAV.E500</v>
          </cell>
          <cell r="P991" t="str">
            <v>MIN_DIXON_001</v>
          </cell>
          <cell r="Q991">
            <v>97.96</v>
          </cell>
          <cell r="R991" t="str">
            <v>EACH</v>
          </cell>
          <cell r="S991" t="str">
            <v>AUD</v>
          </cell>
          <cell r="T991">
            <v>10</v>
          </cell>
          <cell r="U991">
            <v>0</v>
          </cell>
          <cell r="V991">
            <v>0</v>
          </cell>
          <cell r="W991">
            <v>45870</v>
          </cell>
          <cell r="X991">
            <v>10</v>
          </cell>
          <cell r="Y991">
            <v>979.6</v>
          </cell>
        </row>
        <row r="992">
          <cell r="L992" t="str">
            <v>08/048/10/000</v>
          </cell>
          <cell r="M992" t="str">
            <v>ADAPTOR SCREWED 50NB</v>
          </cell>
          <cell r="N992" t="str">
            <v>NNAV.E500</v>
          </cell>
          <cell r="P992" t="str">
            <v>MIN_DIXON_001</v>
          </cell>
          <cell r="Q992">
            <v>29.15</v>
          </cell>
          <cell r="R992" t="str">
            <v>EACH</v>
          </cell>
          <cell r="S992" t="str">
            <v>AUD</v>
          </cell>
          <cell r="T992">
            <v>5</v>
          </cell>
          <cell r="U992">
            <v>0</v>
          </cell>
          <cell r="V992">
            <v>0</v>
          </cell>
          <cell r="W992">
            <v>45870</v>
          </cell>
          <cell r="X992">
            <v>5</v>
          </cell>
          <cell r="Y992">
            <v>145.75</v>
          </cell>
        </row>
        <row r="993">
          <cell r="L993" t="str">
            <v>08/048/10/003</v>
          </cell>
          <cell r="M993" t="str">
            <v>ADAPTOR SCREWED 100NB SHLD GAL</v>
          </cell>
          <cell r="N993" t="str">
            <v>NNAV.E500</v>
          </cell>
          <cell r="P993" t="str">
            <v>MIN_DIXON_001</v>
          </cell>
          <cell r="Q993">
            <v>53.03</v>
          </cell>
          <cell r="R993" t="str">
            <v>EACH</v>
          </cell>
          <cell r="S993" t="str">
            <v>AUD</v>
          </cell>
          <cell r="T993">
            <v>5</v>
          </cell>
          <cell r="U993">
            <v>0</v>
          </cell>
          <cell r="V993">
            <v>0</v>
          </cell>
          <cell r="W993">
            <v>45870</v>
          </cell>
          <cell r="X993">
            <v>5</v>
          </cell>
          <cell r="Y993">
            <v>265.14999999999998</v>
          </cell>
        </row>
        <row r="994">
          <cell r="L994" t="str">
            <v>FSHG-COUP-50</v>
          </cell>
          <cell r="M994" t="str">
            <v>COUPLING 50 MM SHLD GALVANISED</v>
          </cell>
          <cell r="N994" t="str">
            <v>NNAV.E500</v>
          </cell>
          <cell r="P994" t="str">
            <v>MIN_DIXON_001</v>
          </cell>
          <cell r="Q994">
            <v>9.59</v>
          </cell>
          <cell r="R994" t="str">
            <v>EACH</v>
          </cell>
          <cell r="S994" t="str">
            <v>AUD</v>
          </cell>
          <cell r="T994">
            <v>20</v>
          </cell>
          <cell r="U994">
            <v>0</v>
          </cell>
          <cell r="V994">
            <v>0</v>
          </cell>
          <cell r="W994">
            <v>45870</v>
          </cell>
          <cell r="X994">
            <v>20</v>
          </cell>
          <cell r="Y994">
            <v>191.8</v>
          </cell>
        </row>
        <row r="995">
          <cell r="L995" t="str">
            <v>FSHG-COUP-100</v>
          </cell>
          <cell r="M995" t="str">
            <v>COUPLING 100MM SHLD GALVANISED</v>
          </cell>
          <cell r="N995" t="str">
            <v>NNAV.E500</v>
          </cell>
          <cell r="P995" t="str">
            <v>MIN_DIXON_001</v>
          </cell>
          <cell r="Q995">
            <v>13.62</v>
          </cell>
          <cell r="R995" t="str">
            <v>EACH</v>
          </cell>
          <cell r="S995" t="str">
            <v>AUD</v>
          </cell>
          <cell r="T995">
            <v>20</v>
          </cell>
          <cell r="U995">
            <v>0</v>
          </cell>
          <cell r="V995">
            <v>0</v>
          </cell>
          <cell r="W995">
            <v>45870</v>
          </cell>
          <cell r="X995">
            <v>20</v>
          </cell>
          <cell r="Y995">
            <v>272.39999999999998</v>
          </cell>
        </row>
        <row r="996">
          <cell r="L996" t="str">
            <v>PCF-TEE-25-20M</v>
          </cell>
          <cell r="M996" t="str">
            <v>POLY TEE MALE BSP OFFTAKE 25MM</v>
          </cell>
          <cell r="N996" t="str">
            <v>NNAV.E500</v>
          </cell>
          <cell r="P996" t="str">
            <v>MIN_DIXON_001</v>
          </cell>
          <cell r="Q996">
            <v>9.41</v>
          </cell>
          <cell r="R996" t="str">
            <v>EACH</v>
          </cell>
          <cell r="S996" t="str">
            <v>AUD</v>
          </cell>
          <cell r="T996">
            <v>20</v>
          </cell>
          <cell r="U996">
            <v>0</v>
          </cell>
          <cell r="V996">
            <v>0</v>
          </cell>
          <cell r="W996">
            <v>45870</v>
          </cell>
          <cell r="X996">
            <v>20</v>
          </cell>
          <cell r="Y996">
            <v>188.2</v>
          </cell>
        </row>
        <row r="997">
          <cell r="L997" t="str">
            <v>PCF-TEE-25-20F</v>
          </cell>
          <cell r="M997" t="str">
            <v>POLY TEE FEMALE BSP OFFTAKE 25</v>
          </cell>
          <cell r="N997" t="str">
            <v>NNAV.E500</v>
          </cell>
          <cell r="P997" t="str">
            <v>MIN_DIXON_001</v>
          </cell>
          <cell r="Q997">
            <v>8.5299999999999994</v>
          </cell>
          <cell r="R997" t="str">
            <v>EACH</v>
          </cell>
          <cell r="S997" t="str">
            <v>AUD</v>
          </cell>
          <cell r="T997">
            <v>20</v>
          </cell>
          <cell r="U997">
            <v>0</v>
          </cell>
          <cell r="V997">
            <v>0</v>
          </cell>
          <cell r="W997">
            <v>45870</v>
          </cell>
          <cell r="X997">
            <v>20</v>
          </cell>
          <cell r="Y997">
            <v>170.6</v>
          </cell>
        </row>
        <row r="998">
          <cell r="L998" t="str">
            <v>PCF-COUP-25</v>
          </cell>
          <cell r="M998" t="str">
            <v>COUPLING PLASSON 7010 25MM 690</v>
          </cell>
          <cell r="N998" t="str">
            <v>NNAV.E500</v>
          </cell>
          <cell r="P998" t="str">
            <v>MIN_DIXON_001</v>
          </cell>
          <cell r="Q998">
            <v>3.97</v>
          </cell>
          <cell r="R998" t="str">
            <v>EACH</v>
          </cell>
          <cell r="S998" t="str">
            <v>AUD</v>
          </cell>
          <cell r="T998">
            <v>40</v>
          </cell>
          <cell r="U998">
            <v>0</v>
          </cell>
          <cell r="V998">
            <v>0</v>
          </cell>
          <cell r="W998">
            <v>45870</v>
          </cell>
          <cell r="X998">
            <v>40</v>
          </cell>
          <cell r="Y998">
            <v>158.80000000000001</v>
          </cell>
        </row>
        <row r="999">
          <cell r="L999" t="str">
            <v>PCF-COUP-63</v>
          </cell>
          <cell r="M999" t="str">
            <v>COUPLING 63MM</v>
          </cell>
          <cell r="N999" t="str">
            <v>NNAV.E500</v>
          </cell>
          <cell r="P999" t="str">
            <v>MIN_DIXON_001</v>
          </cell>
          <cell r="Q999">
            <v>14.67</v>
          </cell>
          <cell r="R999" t="str">
            <v>EACH</v>
          </cell>
          <cell r="S999" t="str">
            <v>AUD</v>
          </cell>
          <cell r="T999">
            <v>10</v>
          </cell>
          <cell r="U999">
            <v>0</v>
          </cell>
          <cell r="V999">
            <v>0</v>
          </cell>
          <cell r="W999">
            <v>45870</v>
          </cell>
          <cell r="X999">
            <v>10</v>
          </cell>
          <cell r="Y999">
            <v>146.69999999999999</v>
          </cell>
        </row>
        <row r="1000">
          <cell r="L1000" t="str">
            <v>PCF-COUP-110</v>
          </cell>
          <cell r="M1000" t="str">
            <v>COUPLING 110MM</v>
          </cell>
          <cell r="N1000" t="str">
            <v>NNAV.E500</v>
          </cell>
          <cell r="P1000" t="str">
            <v>MIN_DIXON_001</v>
          </cell>
          <cell r="Q1000">
            <v>76.7</v>
          </cell>
          <cell r="R1000" t="str">
            <v>EACH</v>
          </cell>
          <cell r="S1000" t="str">
            <v>AUD</v>
          </cell>
          <cell r="T1000">
            <v>40</v>
          </cell>
          <cell r="U1000">
            <v>0</v>
          </cell>
          <cell r="V1000">
            <v>0</v>
          </cell>
          <cell r="W1000">
            <v>45870</v>
          </cell>
          <cell r="X1000">
            <v>40</v>
          </cell>
          <cell r="Y1000">
            <v>3068</v>
          </cell>
        </row>
        <row r="1001">
          <cell r="L1001" t="str">
            <v>PCF-ELB90-63</v>
          </cell>
          <cell r="M1001" t="str">
            <v>ELBOW 90DEG 63MM</v>
          </cell>
          <cell r="N1001" t="str">
            <v>NNAV.E500</v>
          </cell>
          <cell r="P1001" t="str">
            <v>MIN_DIXON_001</v>
          </cell>
          <cell r="Q1001">
            <v>21.26</v>
          </cell>
          <cell r="R1001" t="str">
            <v>EACH</v>
          </cell>
          <cell r="S1001" t="str">
            <v>AUD</v>
          </cell>
          <cell r="T1001">
            <v>5</v>
          </cell>
          <cell r="U1001">
            <v>0</v>
          </cell>
          <cell r="V1001">
            <v>0</v>
          </cell>
          <cell r="W1001">
            <v>45870</v>
          </cell>
          <cell r="X1001">
            <v>5</v>
          </cell>
          <cell r="Y1001">
            <v>106.3</v>
          </cell>
        </row>
        <row r="1002">
          <cell r="L1002" t="str">
            <v>PCF-ELB90-110</v>
          </cell>
          <cell r="M1002" t="str">
            <v>ELBOW 90DEG 110MM</v>
          </cell>
          <cell r="N1002" t="str">
            <v>NNAV.E500</v>
          </cell>
          <cell r="P1002" t="str">
            <v>MIN_DIXON_001</v>
          </cell>
          <cell r="Q1002">
            <v>83.1</v>
          </cell>
          <cell r="R1002" t="str">
            <v>EACH</v>
          </cell>
          <cell r="S1002" t="str">
            <v>AUD</v>
          </cell>
          <cell r="T1002">
            <v>5</v>
          </cell>
          <cell r="U1002">
            <v>0</v>
          </cell>
          <cell r="V1002">
            <v>0</v>
          </cell>
          <cell r="W1002">
            <v>45870</v>
          </cell>
          <cell r="X1002">
            <v>5</v>
          </cell>
          <cell r="Y1002">
            <v>415.5</v>
          </cell>
        </row>
        <row r="1003">
          <cell r="L1003" t="str">
            <v>PCF-TEE-25</v>
          </cell>
          <cell r="M1003" t="str">
            <v>TEE 25MM</v>
          </cell>
          <cell r="N1003" t="str">
            <v>NNAV.E500</v>
          </cell>
          <cell r="P1003" t="str">
            <v>MIN_DIXON_001</v>
          </cell>
          <cell r="Q1003">
            <v>7.21</v>
          </cell>
          <cell r="R1003" t="str">
            <v>EACH</v>
          </cell>
          <cell r="S1003" t="str">
            <v>AUD</v>
          </cell>
          <cell r="T1003">
            <v>20</v>
          </cell>
          <cell r="U1003">
            <v>0</v>
          </cell>
          <cell r="V1003">
            <v>0</v>
          </cell>
          <cell r="W1003">
            <v>45870</v>
          </cell>
          <cell r="X1003">
            <v>20</v>
          </cell>
          <cell r="Y1003">
            <v>144.19999999999999</v>
          </cell>
        </row>
        <row r="1004">
          <cell r="L1004" t="str">
            <v>PCF-TEE-63</v>
          </cell>
          <cell r="M1004" t="str">
            <v>TEE 63MM</v>
          </cell>
          <cell r="N1004" t="str">
            <v>NNAV.E500</v>
          </cell>
          <cell r="P1004" t="str">
            <v>MIN_DIXON_001</v>
          </cell>
          <cell r="Q1004">
            <v>31.02</v>
          </cell>
          <cell r="R1004" t="str">
            <v>EACH</v>
          </cell>
          <cell r="S1004" t="str">
            <v>AUD</v>
          </cell>
          <cell r="T1004">
            <v>10</v>
          </cell>
          <cell r="U1004">
            <v>0</v>
          </cell>
          <cell r="V1004">
            <v>0</v>
          </cell>
          <cell r="W1004">
            <v>45870</v>
          </cell>
          <cell r="X1004">
            <v>10</v>
          </cell>
          <cell r="Y1004">
            <v>310.2</v>
          </cell>
        </row>
        <row r="1005">
          <cell r="L1005" t="str">
            <v>PCF-TEE-110</v>
          </cell>
          <cell r="M1005" t="str">
            <v>TEE 110MM</v>
          </cell>
          <cell r="N1005" t="str">
            <v>NNAV.E500</v>
          </cell>
          <cell r="P1005" t="str">
            <v>MIN_DIXON_001</v>
          </cell>
          <cell r="Q1005">
            <v>131.99</v>
          </cell>
          <cell r="R1005" t="str">
            <v>EACH</v>
          </cell>
          <cell r="S1005" t="str">
            <v>AUD</v>
          </cell>
          <cell r="T1005">
            <v>10</v>
          </cell>
          <cell r="U1005">
            <v>0</v>
          </cell>
          <cell r="V1005">
            <v>0</v>
          </cell>
          <cell r="W1005">
            <v>45870</v>
          </cell>
          <cell r="X1005">
            <v>10</v>
          </cell>
          <cell r="Y1005">
            <v>1319.9</v>
          </cell>
        </row>
        <row r="1006">
          <cell r="L1006" t="str">
            <v>PCF-TEE-110-63</v>
          </cell>
          <cell r="M1006" t="str">
            <v>TEE REDUCING POLY 110 63MM</v>
          </cell>
          <cell r="N1006" t="str">
            <v>NNAV.E500</v>
          </cell>
          <cell r="P1006" t="str">
            <v>MIN_DIXON_001</v>
          </cell>
          <cell r="Q1006">
            <v>182.9</v>
          </cell>
          <cell r="R1006" t="str">
            <v>EACH</v>
          </cell>
          <cell r="S1006" t="str">
            <v>AUD</v>
          </cell>
          <cell r="T1006">
            <v>10</v>
          </cell>
          <cell r="U1006">
            <v>0</v>
          </cell>
          <cell r="V1006">
            <v>0</v>
          </cell>
          <cell r="W1006">
            <v>45870</v>
          </cell>
          <cell r="X1006">
            <v>10</v>
          </cell>
          <cell r="Y1006">
            <v>1829</v>
          </cell>
        </row>
        <row r="1007">
          <cell r="L1007" t="str">
            <v>PCF-ASH-63-50</v>
          </cell>
          <cell r="M1007" t="str">
            <v>ADAPTOR SHOULDERED 63MM X 50MM</v>
          </cell>
          <cell r="N1007" t="str">
            <v>NNAV.E500</v>
          </cell>
          <cell r="P1007" t="str">
            <v>MIN_DIXON_001</v>
          </cell>
          <cell r="Q1007">
            <v>13.57</v>
          </cell>
          <cell r="R1007" t="str">
            <v>EACH</v>
          </cell>
          <cell r="S1007" t="str">
            <v>AUD</v>
          </cell>
          <cell r="T1007">
            <v>15</v>
          </cell>
          <cell r="U1007">
            <v>0</v>
          </cell>
          <cell r="V1007">
            <v>0</v>
          </cell>
          <cell r="W1007">
            <v>45870</v>
          </cell>
          <cell r="X1007">
            <v>15</v>
          </cell>
          <cell r="Y1007">
            <v>203.55</v>
          </cell>
        </row>
        <row r="1008">
          <cell r="L1008" t="str">
            <v>PCF-ASH-110-100</v>
          </cell>
          <cell r="M1008" t="str">
            <v>ADAPTOR SHOULDER 110MM X 100MM</v>
          </cell>
          <cell r="N1008" t="str">
            <v>NNAV.E500</v>
          </cell>
          <cell r="P1008" t="str">
            <v>MIN_DIXON_001</v>
          </cell>
          <cell r="Q1008">
            <v>53.13</v>
          </cell>
          <cell r="R1008" t="str">
            <v>EACH</v>
          </cell>
          <cell r="S1008" t="str">
            <v>AUD</v>
          </cell>
          <cell r="T1008">
            <v>15</v>
          </cell>
          <cell r="U1008">
            <v>0</v>
          </cell>
          <cell r="V1008">
            <v>0</v>
          </cell>
          <cell r="W1008">
            <v>45870</v>
          </cell>
          <cell r="X1008">
            <v>15</v>
          </cell>
          <cell r="Y1008">
            <v>796.95</v>
          </cell>
        </row>
        <row r="1009">
          <cell r="L1009" t="str">
            <v>PCF-ORING-63</v>
          </cell>
          <cell r="M1009" t="str">
            <v>POLY O-RING METRIC NITRILE 63</v>
          </cell>
          <cell r="N1009" t="str">
            <v>NNAV.E500</v>
          </cell>
          <cell r="P1009" t="str">
            <v>MIN_DIXON_001</v>
          </cell>
          <cell r="Q1009">
            <v>1.66</v>
          </cell>
          <cell r="R1009" t="str">
            <v>EACH</v>
          </cell>
          <cell r="S1009" t="str">
            <v>AUD</v>
          </cell>
          <cell r="T1009">
            <v>20</v>
          </cell>
          <cell r="U1009">
            <v>0</v>
          </cell>
          <cell r="V1009">
            <v>0</v>
          </cell>
          <cell r="W1009">
            <v>45870</v>
          </cell>
          <cell r="X1009">
            <v>20</v>
          </cell>
          <cell r="Y1009">
            <v>33.200000000000003</v>
          </cell>
        </row>
        <row r="1010">
          <cell r="L1010" t="str">
            <v>PCF-ORING-110</v>
          </cell>
          <cell r="M1010" t="str">
            <v>ORING NITRILE 7002 110MM 83826</v>
          </cell>
          <cell r="N1010" t="str">
            <v>NNAV.E500</v>
          </cell>
          <cell r="P1010" t="str">
            <v>MIN_DIXON_001</v>
          </cell>
          <cell r="Q1010">
            <v>2.61</v>
          </cell>
          <cell r="R1010" t="str">
            <v>EACH</v>
          </cell>
          <cell r="S1010" t="str">
            <v>AUD</v>
          </cell>
          <cell r="T1010">
            <v>20</v>
          </cell>
          <cell r="U1010">
            <v>0</v>
          </cell>
          <cell r="V1010">
            <v>0</v>
          </cell>
          <cell r="W1010">
            <v>45870</v>
          </cell>
          <cell r="X1010">
            <v>20</v>
          </cell>
          <cell r="Y1010">
            <v>52.2</v>
          </cell>
        </row>
        <row r="1011">
          <cell r="L1011" t="str">
            <v>PCF-SPLIT-63</v>
          </cell>
          <cell r="M1011" t="str">
            <v>SPLIT RING ACETAL 7003 63MM 69</v>
          </cell>
          <cell r="N1011" t="str">
            <v>NNAV.E500</v>
          </cell>
          <cell r="P1011" t="str">
            <v>MIN_DIXON_001</v>
          </cell>
          <cell r="Q1011">
            <v>1.47</v>
          </cell>
          <cell r="R1011" t="str">
            <v>EACH</v>
          </cell>
          <cell r="S1011" t="str">
            <v>AUD</v>
          </cell>
          <cell r="T1011">
            <v>50</v>
          </cell>
          <cell r="U1011">
            <v>0</v>
          </cell>
          <cell r="V1011">
            <v>0</v>
          </cell>
          <cell r="W1011">
            <v>45870</v>
          </cell>
          <cell r="X1011">
            <v>50</v>
          </cell>
          <cell r="Y1011">
            <v>73.5</v>
          </cell>
        </row>
        <row r="1012">
          <cell r="L1012" t="str">
            <v>PCF-SPLIT-110</v>
          </cell>
          <cell r="M1012" t="str">
            <v>POLY SPLIT RING ACETAL 110 MM</v>
          </cell>
          <cell r="N1012" t="str">
            <v>NNAV.E500</v>
          </cell>
          <cell r="P1012" t="str">
            <v>MIN_DIXON_001</v>
          </cell>
          <cell r="Q1012">
            <v>9.5</v>
          </cell>
          <cell r="R1012" t="str">
            <v>EACH</v>
          </cell>
          <cell r="S1012" t="str">
            <v>AUD</v>
          </cell>
          <cell r="T1012">
            <v>50</v>
          </cell>
          <cell r="U1012">
            <v>0</v>
          </cell>
          <cell r="V1012">
            <v>0</v>
          </cell>
          <cell r="W1012">
            <v>45870</v>
          </cell>
          <cell r="X1012">
            <v>50</v>
          </cell>
          <cell r="Y1012">
            <v>475</v>
          </cell>
        </row>
        <row r="1013">
          <cell r="L1013" t="str">
            <v>PCF-INSERT-63</v>
          </cell>
          <cell r="M1013" t="str">
            <v>POLY INSERT METRIC 63 MM TO</v>
          </cell>
          <cell r="N1013" t="str">
            <v>NNAV.E500</v>
          </cell>
          <cell r="P1013" t="str">
            <v>MIN_DIXON_001</v>
          </cell>
          <cell r="Q1013">
            <v>0.84</v>
          </cell>
          <cell r="R1013" t="str">
            <v>EACH</v>
          </cell>
          <cell r="S1013" t="str">
            <v>AUD</v>
          </cell>
          <cell r="T1013">
            <v>10</v>
          </cell>
          <cell r="U1013">
            <v>0</v>
          </cell>
          <cell r="V1013">
            <v>0</v>
          </cell>
          <cell r="W1013">
            <v>45870</v>
          </cell>
          <cell r="X1013">
            <v>10</v>
          </cell>
          <cell r="Y1013">
            <v>8.4</v>
          </cell>
        </row>
        <row r="1014">
          <cell r="L1014" t="str">
            <v>PCF-INSERT-110</v>
          </cell>
          <cell r="M1014" t="str">
            <v>INSERT PP7005 110MM 62834</v>
          </cell>
          <cell r="N1014" t="str">
            <v>NNAV.E500</v>
          </cell>
          <cell r="P1014" t="str">
            <v>MIN_DIXON_001</v>
          </cell>
          <cell r="Q1014">
            <v>6.47</v>
          </cell>
          <cell r="R1014" t="str">
            <v>EACH</v>
          </cell>
          <cell r="S1014" t="str">
            <v>AUD</v>
          </cell>
          <cell r="T1014">
            <v>10</v>
          </cell>
          <cell r="U1014">
            <v>0</v>
          </cell>
          <cell r="V1014">
            <v>0</v>
          </cell>
          <cell r="W1014">
            <v>45870</v>
          </cell>
          <cell r="X1014">
            <v>10</v>
          </cell>
          <cell r="Y1014">
            <v>64.7</v>
          </cell>
        </row>
        <row r="1015">
          <cell r="L1015" t="str">
            <v>PTF-HN-20</v>
          </cell>
          <cell r="M1015" t="str">
            <v>POLY NIPPLE 20 X 20 MM</v>
          </cell>
          <cell r="N1015" t="str">
            <v>NNAV.E500</v>
          </cell>
          <cell r="P1015" t="str">
            <v>MIN_DIXON_001</v>
          </cell>
          <cell r="Q1015">
            <v>1.31</v>
          </cell>
          <cell r="R1015" t="str">
            <v>EACH</v>
          </cell>
          <cell r="S1015" t="str">
            <v>AUD</v>
          </cell>
          <cell r="T1015">
            <v>20</v>
          </cell>
          <cell r="U1015">
            <v>0</v>
          </cell>
          <cell r="V1015">
            <v>0</v>
          </cell>
          <cell r="W1015">
            <v>45870</v>
          </cell>
          <cell r="X1015">
            <v>20</v>
          </cell>
          <cell r="Y1015">
            <v>26.2</v>
          </cell>
        </row>
        <row r="1016">
          <cell r="L1016" t="str">
            <v>PTF-BUSH-25-20</v>
          </cell>
          <cell r="M1016" t="str">
            <v>BUSH REDUCER 25MM X 20 MM</v>
          </cell>
          <cell r="N1016" t="str">
            <v>NNAV.E500</v>
          </cell>
          <cell r="P1016" t="str">
            <v>MIN_DIXON_001</v>
          </cell>
          <cell r="Q1016">
            <v>2.1800000000000002</v>
          </cell>
          <cell r="R1016" t="str">
            <v>EACH</v>
          </cell>
          <cell r="S1016" t="str">
            <v>AUD</v>
          </cell>
          <cell r="T1016">
            <v>20</v>
          </cell>
          <cell r="U1016">
            <v>0</v>
          </cell>
          <cell r="V1016">
            <v>0</v>
          </cell>
          <cell r="W1016">
            <v>45870</v>
          </cell>
          <cell r="X1016">
            <v>20</v>
          </cell>
          <cell r="Y1016">
            <v>43.6</v>
          </cell>
        </row>
        <row r="1017">
          <cell r="L1017" t="str">
            <v>PCF-AM-25-25</v>
          </cell>
          <cell r="M1017" t="str">
            <v>ADAPTOR 25MM X 25MM MALE</v>
          </cell>
          <cell r="N1017" t="str">
            <v>NNAV.E500</v>
          </cell>
          <cell r="P1017" t="str">
            <v>MIN_DIXON_001</v>
          </cell>
          <cell r="Q1017">
            <v>2.56</v>
          </cell>
          <cell r="R1017" t="str">
            <v>EACH</v>
          </cell>
          <cell r="S1017" t="str">
            <v>AUD</v>
          </cell>
          <cell r="T1017">
            <v>15</v>
          </cell>
          <cell r="U1017">
            <v>0</v>
          </cell>
          <cell r="V1017">
            <v>0</v>
          </cell>
          <cell r="W1017">
            <v>45870</v>
          </cell>
          <cell r="X1017">
            <v>15</v>
          </cell>
          <cell r="Y1017">
            <v>38.4</v>
          </cell>
        </row>
        <row r="1018">
          <cell r="L1018" t="str">
            <v>PCF-AF-25-25</v>
          </cell>
          <cell r="M1018" t="str">
            <v>ADAPTOR 25MM X 25MM FEMALE</v>
          </cell>
          <cell r="N1018" t="str">
            <v>NNAV.E500</v>
          </cell>
          <cell r="P1018" t="str">
            <v>MIN_DIXON_001</v>
          </cell>
          <cell r="Q1018">
            <v>3.36</v>
          </cell>
          <cell r="R1018" t="str">
            <v>EACH</v>
          </cell>
          <cell r="S1018" t="str">
            <v>AUD</v>
          </cell>
          <cell r="T1018">
            <v>15</v>
          </cell>
          <cell r="U1018">
            <v>0</v>
          </cell>
          <cell r="V1018">
            <v>0</v>
          </cell>
          <cell r="W1018">
            <v>45870</v>
          </cell>
          <cell r="X1018">
            <v>15</v>
          </cell>
          <cell r="Y1018">
            <v>50.4</v>
          </cell>
        </row>
        <row r="1019">
          <cell r="L1019" t="str">
            <v>PCF-AFL-110-100</v>
          </cell>
          <cell r="M1019" t="str">
            <v>ADAPTOR FLANGE  110MM X 100MM</v>
          </cell>
          <cell r="N1019" t="str">
            <v>NNAV.E500</v>
          </cell>
          <cell r="P1019" t="str">
            <v>MIN_DIXON_001</v>
          </cell>
          <cell r="Q1019">
            <v>68.78</v>
          </cell>
          <cell r="R1019" t="str">
            <v>EACH</v>
          </cell>
          <cell r="S1019" t="str">
            <v>AUD</v>
          </cell>
          <cell r="T1019">
            <v>10</v>
          </cell>
          <cell r="U1019">
            <v>0</v>
          </cell>
          <cell r="V1019">
            <v>0</v>
          </cell>
          <cell r="W1019">
            <v>45870</v>
          </cell>
          <cell r="X1019">
            <v>10</v>
          </cell>
          <cell r="Y1019">
            <v>687.8</v>
          </cell>
        </row>
        <row r="1020">
          <cell r="L1020" t="str">
            <v>PCF-AF-63-50</v>
          </cell>
          <cell r="M1020" t="str">
            <v>ADAPTOR 63MM  X 50MM FEMALE</v>
          </cell>
          <cell r="N1020" t="str">
            <v>NNAV.E500</v>
          </cell>
          <cell r="P1020" t="str">
            <v>MIN_DIXON_001</v>
          </cell>
          <cell r="Q1020">
            <v>15.3</v>
          </cell>
          <cell r="R1020" t="str">
            <v>EACH</v>
          </cell>
          <cell r="S1020" t="str">
            <v>AUD</v>
          </cell>
          <cell r="T1020">
            <v>10</v>
          </cell>
          <cell r="U1020">
            <v>0</v>
          </cell>
          <cell r="V1020">
            <v>0</v>
          </cell>
          <cell r="W1020">
            <v>45870</v>
          </cell>
          <cell r="X1020">
            <v>10</v>
          </cell>
          <cell r="Y1020">
            <v>153</v>
          </cell>
        </row>
        <row r="1021">
          <cell r="L1021" t="str">
            <v>PCF-AF-110-100</v>
          </cell>
          <cell r="M1021" t="str">
            <v>ADAPTOR 110MM X 100MM FEMALE</v>
          </cell>
          <cell r="N1021" t="str">
            <v>NNAV.E500</v>
          </cell>
          <cell r="P1021" t="str">
            <v>MIN_DIXON_001</v>
          </cell>
          <cell r="Q1021">
            <v>76.64</v>
          </cell>
          <cell r="R1021" t="str">
            <v>EACH</v>
          </cell>
          <cell r="S1021" t="str">
            <v>AUD</v>
          </cell>
          <cell r="T1021">
            <v>10</v>
          </cell>
          <cell r="U1021">
            <v>0</v>
          </cell>
          <cell r="V1021">
            <v>0</v>
          </cell>
          <cell r="W1021">
            <v>45870</v>
          </cell>
          <cell r="X1021">
            <v>10</v>
          </cell>
          <cell r="Y1021">
            <v>766.4</v>
          </cell>
        </row>
        <row r="1022">
          <cell r="L1022" t="str">
            <v>PCF-REDK-110-63</v>
          </cell>
          <cell r="M1022" t="str">
            <v>POLY REDUCING SET 110-63MM</v>
          </cell>
          <cell r="N1022" t="str">
            <v>NNAV.E500</v>
          </cell>
          <cell r="P1022" t="str">
            <v>MIN_DIXON_001</v>
          </cell>
          <cell r="Q1022">
            <v>50.9</v>
          </cell>
          <cell r="R1022" t="str">
            <v>EACH</v>
          </cell>
          <cell r="S1022" t="str">
            <v>AUD</v>
          </cell>
          <cell r="T1022">
            <v>10</v>
          </cell>
          <cell r="U1022">
            <v>0</v>
          </cell>
          <cell r="V1022">
            <v>0</v>
          </cell>
          <cell r="W1022">
            <v>45870</v>
          </cell>
          <cell r="X1022">
            <v>10</v>
          </cell>
          <cell r="Y1022">
            <v>509</v>
          </cell>
        </row>
        <row r="1023">
          <cell r="L1023" t="str">
            <v>NOZ-PL-YEL-20</v>
          </cell>
          <cell r="M1023" t="str">
            <v>DOVE TAIL WATER SPRAY BSP</v>
          </cell>
          <cell r="N1023" t="str">
            <v>NNAV.E500</v>
          </cell>
          <cell r="P1023" t="str">
            <v>MIN_DIXON_001</v>
          </cell>
          <cell r="Q1023">
            <v>25.45</v>
          </cell>
          <cell r="R1023" t="str">
            <v>EACH</v>
          </cell>
          <cell r="S1023" t="str">
            <v>AUD</v>
          </cell>
          <cell r="T1023">
            <v>50</v>
          </cell>
          <cell r="U1023">
            <v>0</v>
          </cell>
          <cell r="V1023">
            <v>0</v>
          </cell>
          <cell r="W1023">
            <v>45870</v>
          </cell>
          <cell r="X1023">
            <v>50</v>
          </cell>
          <cell r="Y1023">
            <v>1272.5</v>
          </cell>
        </row>
        <row r="1024">
          <cell r="L1024" t="str">
            <v>F1</v>
          </cell>
          <cell r="M1024" t="str">
            <v>PUNCHLOCK TOOL</v>
          </cell>
          <cell r="N1024" t="str">
            <v>NNAV.E750</v>
          </cell>
          <cell r="P1024" t="str">
            <v>MIN_DIXON_001</v>
          </cell>
          <cell r="Q1024">
            <v>125</v>
          </cell>
          <cell r="R1024" t="str">
            <v>EACH</v>
          </cell>
          <cell r="S1024" t="str">
            <v>AUD</v>
          </cell>
          <cell r="T1024">
            <v>5</v>
          </cell>
          <cell r="U1024">
            <v>0</v>
          </cell>
          <cell r="V1024">
            <v>0</v>
          </cell>
          <cell r="W1024">
            <v>45870</v>
          </cell>
          <cell r="X1024">
            <v>5</v>
          </cell>
          <cell r="Y1024">
            <v>625</v>
          </cell>
        </row>
        <row r="1025">
          <cell r="L1025" t="str">
            <v>51960</v>
          </cell>
          <cell r="M1025" t="str">
            <v>BANDIT TOOL</v>
          </cell>
          <cell r="N1025" t="str">
            <v>NNAV.E750</v>
          </cell>
          <cell r="P1025" t="str">
            <v>MIN_DIXON_001</v>
          </cell>
          <cell r="Q1025">
            <v>141.1</v>
          </cell>
          <cell r="R1025" t="str">
            <v>EACH</v>
          </cell>
          <cell r="S1025" t="str">
            <v>AUD</v>
          </cell>
          <cell r="T1025">
            <v>2</v>
          </cell>
          <cell r="U1025">
            <v>0</v>
          </cell>
          <cell r="V1025">
            <v>0</v>
          </cell>
          <cell r="W1025">
            <v>45870</v>
          </cell>
          <cell r="X1025">
            <v>2</v>
          </cell>
          <cell r="Y1025">
            <v>282.2</v>
          </cell>
        </row>
        <row r="1026">
          <cell r="L1026" t="str">
            <v>DBRT</v>
          </cell>
          <cell r="M1026" t="str">
            <v>TOOL BAG VINYL DOUBLE STITCHED</v>
          </cell>
          <cell r="N1026" t="str">
            <v>NNAV.E653</v>
          </cell>
          <cell r="P1026" t="str">
            <v>"MIN_BEEHIVE_001</v>
          </cell>
          <cell r="Q1026">
            <v>155</v>
          </cell>
          <cell r="R1026" t="str">
            <v>EACH</v>
          </cell>
          <cell r="S1026" t="str">
            <v>AUD</v>
          </cell>
          <cell r="T1026">
            <v>30</v>
          </cell>
          <cell r="U1026">
            <v>0</v>
          </cell>
          <cell r="V1026">
            <v>0</v>
          </cell>
          <cell r="W1026">
            <v>45855</v>
          </cell>
          <cell r="X1026">
            <v>30</v>
          </cell>
          <cell r="Y1026">
            <v>4650</v>
          </cell>
        </row>
        <row r="1027">
          <cell r="L1027" t="str">
            <v>PHIA0L</v>
          </cell>
          <cell r="M1027" t="str">
            <v>XLARGE PRINCIPLE HAZARD</v>
          </cell>
          <cell r="N1027" t="str">
            <v>NNAV.E575</v>
          </cell>
          <cell r="P1027" t="str">
            <v>MIN_EXBO_001</v>
          </cell>
          <cell r="Q1027">
            <v>70</v>
          </cell>
          <cell r="R1027" t="str">
            <v>EACH</v>
          </cell>
          <cell r="S1027" t="str">
            <v>AUD</v>
          </cell>
          <cell r="T1027">
            <v>5</v>
          </cell>
          <cell r="U1027">
            <v>0</v>
          </cell>
          <cell r="V1027">
            <v>0</v>
          </cell>
          <cell r="W1027">
            <v>45855</v>
          </cell>
          <cell r="X1027">
            <v>5</v>
          </cell>
          <cell r="Y1027">
            <v>350</v>
          </cell>
        </row>
        <row r="1028">
          <cell r="L1028" t="str">
            <v>SB100</v>
          </cell>
          <cell r="M1028" t="str">
            <v>STINGER INITIATOR SB100</v>
          </cell>
          <cell r="N1028" t="str">
            <v>NNAV.E890</v>
          </cell>
          <cell r="Q1028">
            <v>4295</v>
          </cell>
          <cell r="R1028" t="str">
            <v>EACH</v>
          </cell>
          <cell r="S1028" t="str">
            <v>AUD</v>
          </cell>
          <cell r="T1028">
            <v>2</v>
          </cell>
          <cell r="U1028">
            <v>0</v>
          </cell>
          <cell r="V1028">
            <v>0</v>
          </cell>
          <cell r="W1028">
            <v>45848</v>
          </cell>
          <cell r="X1028">
            <v>2</v>
          </cell>
          <cell r="Y1028">
            <v>8590</v>
          </cell>
        </row>
        <row r="1029">
          <cell r="L1029" t="str">
            <v>1123701</v>
          </cell>
          <cell r="M1029" t="str">
            <v>SSR30/100 MSA SELF RESCUER</v>
          </cell>
          <cell r="N1029" t="str">
            <v>NNAV.E653</v>
          </cell>
          <cell r="Q1029">
            <v>1264.1600000000001</v>
          </cell>
          <cell r="R1029" t="str">
            <v>EACH</v>
          </cell>
          <cell r="S1029" t="str">
            <v>AUD</v>
          </cell>
          <cell r="T1029">
            <v>67</v>
          </cell>
          <cell r="U1029">
            <v>0</v>
          </cell>
          <cell r="V1029">
            <v>0</v>
          </cell>
          <cell r="W1029">
            <v>45901</v>
          </cell>
          <cell r="X1029">
            <v>67</v>
          </cell>
          <cell r="Y1029">
            <v>84698.72</v>
          </cell>
        </row>
        <row r="1030">
          <cell r="L1030" t="str">
            <v>1123701</v>
          </cell>
          <cell r="M1030" t="str">
            <v>SSR30/100 MSA SELF RESCUER</v>
          </cell>
          <cell r="N1030" t="str">
            <v>NNAV.E653</v>
          </cell>
          <cell r="Q1030">
            <v>1328.73</v>
          </cell>
          <cell r="R1030" t="str">
            <v>EACH</v>
          </cell>
          <cell r="S1030" t="str">
            <v>AUD</v>
          </cell>
          <cell r="T1030">
            <v>67</v>
          </cell>
          <cell r="U1030">
            <v>0</v>
          </cell>
          <cell r="V1030">
            <v>0</v>
          </cell>
          <cell r="W1030">
            <v>45905</v>
          </cell>
          <cell r="X1030">
            <v>67</v>
          </cell>
          <cell r="Y1030">
            <v>89024.91</v>
          </cell>
        </row>
        <row r="1031">
          <cell r="L1031" t="str">
            <v>1123701</v>
          </cell>
          <cell r="M1031" t="str">
            <v>SSR30/100 MSA SELF RESCUER</v>
          </cell>
          <cell r="N1031" t="str">
            <v>NNAV.E653</v>
          </cell>
          <cell r="Q1031">
            <v>1264.1600000000001</v>
          </cell>
          <cell r="R1031" t="str">
            <v>EACH</v>
          </cell>
          <cell r="S1031" t="str">
            <v>AUD</v>
          </cell>
          <cell r="T1031">
            <v>-67</v>
          </cell>
          <cell r="U1031">
            <v>0</v>
          </cell>
          <cell r="V1031">
            <v>0</v>
          </cell>
          <cell r="W1031">
            <v>45905</v>
          </cell>
          <cell r="X1031">
            <v>-67</v>
          </cell>
          <cell r="Y1031">
            <v>-84698.72</v>
          </cell>
        </row>
      </sheetData>
      <sheetData sheetId="1"/>
      <sheetData sheetId="2">
        <row r="7">
          <cell r="D7" t="str">
            <v>SUPPLIERS STOCK NO.</v>
          </cell>
          <cell r="E7" t="str">
            <v>BCM No</v>
          </cell>
          <cell r="F7" t="str">
            <v>DESCRIPTION</v>
          </cell>
          <cell r="G7" t="str">
            <v>ALT PN</v>
          </cell>
          <cell r="H7" t="str">
            <v>PRONTO IN USE</v>
          </cell>
          <cell r="I7" t="str">
            <v>BCM No Confirmed</v>
          </cell>
          <cell r="J7" t="str">
            <v>Cost Centre</v>
          </cell>
          <cell r="K7" t="str">
            <v>ECODE</v>
          </cell>
          <cell r="L7" t="str">
            <v>SUPPLIER</v>
          </cell>
          <cell r="M7" t="str">
            <v>MIN</v>
          </cell>
          <cell r="N7" t="str">
            <v>MAX</v>
          </cell>
          <cell r="O7" t="str">
            <v>LOCATION</v>
          </cell>
          <cell r="P7" t="str">
            <v>QTY ORDERED</v>
          </cell>
          <cell r="Q7" t="str">
            <v>PL ITEMS</v>
          </cell>
          <cell r="R7" t="str">
            <v>SOH</v>
          </cell>
          <cell r="S7" t="str">
            <v>Months of Stock</v>
          </cell>
          <cell r="T7" t="str">
            <v>Column1</v>
          </cell>
          <cell r="U7" t="str">
            <v>ON ORDER</v>
          </cell>
          <cell r="V7" t="str">
            <v>TOTAL INVENTORY</v>
          </cell>
          <cell r="W7" t="str">
            <v>TO ORDER</v>
          </cell>
          <cell r="X7" t="str">
            <v>ORDER
Y / N</v>
          </cell>
          <cell r="Y7" t="str">
            <v>STOCKTAKE RESULTS</v>
          </cell>
          <cell r="Z7" t="str">
            <v>ISSUED ADJUSTMENT</v>
          </cell>
          <cell r="AA7" t="str">
            <v>OUM</v>
          </cell>
          <cell r="AB7" t="str">
            <v>RE ORDER CODE</v>
          </cell>
          <cell r="AC7" t="str">
            <v>STOCK #</v>
          </cell>
          <cell r="AD7" t="str">
            <v>EACH</v>
          </cell>
        </row>
        <row r="8">
          <cell r="D8" t="str">
            <v>91521159</v>
          </cell>
          <cell r="E8" t="str">
            <v>7400220</v>
          </cell>
          <cell r="F8" t="str">
            <v>AQUALYTE CONCENTRATE DRINK</v>
          </cell>
          <cell r="J8" t="str">
            <v>NNAV</v>
          </cell>
          <cell r="K8" t="str">
            <v>E653</v>
          </cell>
          <cell r="L8" t="str">
            <v>ATOM03</v>
          </cell>
          <cell r="P8">
            <v>10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 t="str">
            <v>No</v>
          </cell>
          <cell r="Z8" t="str">
            <v/>
          </cell>
          <cell r="AA8" t="str">
            <v>BOX</v>
          </cell>
          <cell r="AB8">
            <v>0</v>
          </cell>
          <cell r="AC8" t="str">
            <v>91521159</v>
          </cell>
          <cell r="AD8" t="str">
            <v>BOX</v>
          </cell>
        </row>
        <row r="9">
          <cell r="D9" t="str">
            <v>453111</v>
          </cell>
          <cell r="E9" t="str">
            <v>7400335</v>
          </cell>
          <cell r="F9" t="str">
            <v>BELT MINERS BUCKAROO 32"</v>
          </cell>
          <cell r="J9" t="str">
            <v>NNAV</v>
          </cell>
          <cell r="K9" t="str">
            <v>E653</v>
          </cell>
          <cell r="L9" t="str">
            <v>ATOM03</v>
          </cell>
          <cell r="P9">
            <v>15</v>
          </cell>
          <cell r="R9">
            <v>5</v>
          </cell>
          <cell r="S9">
            <v>0.33333333333333331</v>
          </cell>
          <cell r="U9">
            <v>0</v>
          </cell>
          <cell r="V9">
            <v>5</v>
          </cell>
          <cell r="W9">
            <v>0</v>
          </cell>
          <cell r="X9" t="str">
            <v>No</v>
          </cell>
          <cell r="Z9" t="str">
            <v/>
          </cell>
          <cell r="AA9" t="str">
            <v>EACH</v>
          </cell>
          <cell r="AB9">
            <v>0</v>
          </cell>
          <cell r="AC9" t="str">
            <v>453111</v>
          </cell>
          <cell r="AD9" t="str">
            <v>EACH</v>
          </cell>
        </row>
        <row r="10">
          <cell r="D10" t="str">
            <v>407231</v>
          </cell>
          <cell r="E10" t="str">
            <v>7400340</v>
          </cell>
          <cell r="F10" t="str">
            <v>BELT MINERS BUCKAROO 34"</v>
          </cell>
          <cell r="J10" t="str">
            <v>NNAV</v>
          </cell>
          <cell r="K10" t="str">
            <v>E653</v>
          </cell>
          <cell r="L10" t="str">
            <v>ATOM03</v>
          </cell>
          <cell r="P10">
            <v>30</v>
          </cell>
          <cell r="R10">
            <v>14</v>
          </cell>
          <cell r="S10">
            <v>0.46666666666666667</v>
          </cell>
          <cell r="U10">
            <v>0</v>
          </cell>
          <cell r="V10">
            <v>14</v>
          </cell>
          <cell r="W10">
            <v>0</v>
          </cell>
          <cell r="X10" t="str">
            <v>No</v>
          </cell>
          <cell r="Z10" t="str">
            <v/>
          </cell>
          <cell r="AA10" t="str">
            <v>EACH</v>
          </cell>
          <cell r="AB10">
            <v>0</v>
          </cell>
          <cell r="AC10" t="str">
            <v>407231</v>
          </cell>
          <cell r="AD10" t="str">
            <v>EACH</v>
          </cell>
        </row>
        <row r="11">
          <cell r="D11" t="str">
            <v>421771</v>
          </cell>
          <cell r="E11" t="str">
            <v>7400345</v>
          </cell>
          <cell r="F11" t="str">
            <v>BELT MINERS BUCKAROO 36"</v>
          </cell>
          <cell r="J11" t="str">
            <v>NNAV</v>
          </cell>
          <cell r="K11" t="str">
            <v>E653</v>
          </cell>
          <cell r="L11" t="str">
            <v>ATOM03</v>
          </cell>
          <cell r="P11">
            <v>20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>No</v>
          </cell>
          <cell r="Z11" t="str">
            <v/>
          </cell>
          <cell r="AA11" t="str">
            <v>EACH</v>
          </cell>
          <cell r="AB11">
            <v>0</v>
          </cell>
          <cell r="AC11" t="str">
            <v>421771</v>
          </cell>
          <cell r="AD11" t="str">
            <v>EACH</v>
          </cell>
        </row>
        <row r="12">
          <cell r="D12" t="str">
            <v>531298</v>
          </cell>
          <cell r="E12" t="str">
            <v>7400350</v>
          </cell>
          <cell r="F12" t="str">
            <v>BELT MINERS BUCKAROO 38'</v>
          </cell>
          <cell r="J12" t="str">
            <v>NNAV</v>
          </cell>
          <cell r="K12" t="str">
            <v>E653</v>
          </cell>
          <cell r="L12" t="str">
            <v>ATOM03</v>
          </cell>
          <cell r="P12">
            <v>20</v>
          </cell>
          <cell r="R12">
            <v>4</v>
          </cell>
          <cell r="S12">
            <v>0.2</v>
          </cell>
          <cell r="U12">
            <v>0</v>
          </cell>
          <cell r="V12">
            <v>4</v>
          </cell>
          <cell r="W12">
            <v>0</v>
          </cell>
          <cell r="X12" t="str">
            <v>No</v>
          </cell>
          <cell r="Z12" t="str">
            <v/>
          </cell>
          <cell r="AA12" t="str">
            <v>EACH</v>
          </cell>
          <cell r="AB12">
            <v>0</v>
          </cell>
          <cell r="AC12" t="str">
            <v>531298</v>
          </cell>
          <cell r="AD12" t="str">
            <v>EACH</v>
          </cell>
        </row>
        <row r="13">
          <cell r="D13" t="str">
            <v>535097</v>
          </cell>
          <cell r="E13" t="str">
            <v>7400355</v>
          </cell>
          <cell r="F13" t="str">
            <v>BELT MINERS BUCKAROO 40"</v>
          </cell>
          <cell r="J13" t="str">
            <v>NNAV</v>
          </cell>
          <cell r="K13" t="str">
            <v>E653</v>
          </cell>
          <cell r="L13" t="str">
            <v>ATOM03</v>
          </cell>
          <cell r="P13">
            <v>10</v>
          </cell>
          <cell r="R13">
            <v>1</v>
          </cell>
          <cell r="S13">
            <v>0.1</v>
          </cell>
          <cell r="U13">
            <v>0</v>
          </cell>
          <cell r="V13">
            <v>1</v>
          </cell>
          <cell r="W13">
            <v>0</v>
          </cell>
          <cell r="X13" t="str">
            <v>No</v>
          </cell>
          <cell r="Z13" t="str">
            <v/>
          </cell>
          <cell r="AA13" t="str">
            <v>EACH</v>
          </cell>
          <cell r="AB13">
            <v>0</v>
          </cell>
          <cell r="AC13" t="str">
            <v>535097</v>
          </cell>
          <cell r="AD13" t="str">
            <v>EACH</v>
          </cell>
        </row>
        <row r="14">
          <cell r="D14" t="str">
            <v>40045937</v>
          </cell>
          <cell r="E14" t="str">
            <v>7400360</v>
          </cell>
          <cell r="F14" t="str">
            <v>BELT MINERS BUCKAROO 42"</v>
          </cell>
          <cell r="J14" t="str">
            <v>NNAV</v>
          </cell>
          <cell r="K14" t="str">
            <v>E653</v>
          </cell>
          <cell r="L14" t="str">
            <v>ATOM03</v>
          </cell>
          <cell r="P14">
            <v>5</v>
          </cell>
          <cell r="R14">
            <v>1</v>
          </cell>
          <cell r="S14">
            <v>0.2</v>
          </cell>
          <cell r="U14">
            <v>0</v>
          </cell>
          <cell r="V14">
            <v>1</v>
          </cell>
          <cell r="W14">
            <v>0</v>
          </cell>
          <cell r="X14" t="str">
            <v>No</v>
          </cell>
          <cell r="Z14" t="str">
            <v/>
          </cell>
          <cell r="AA14" t="str">
            <v>EACH</v>
          </cell>
          <cell r="AB14">
            <v>0</v>
          </cell>
          <cell r="AC14" t="str">
            <v>40045937</v>
          </cell>
          <cell r="AD14" t="str">
            <v>EACH</v>
          </cell>
        </row>
        <row r="15">
          <cell r="D15" t="str">
            <v>531302</v>
          </cell>
          <cell r="E15" t="str">
            <v>7400365</v>
          </cell>
          <cell r="F15" t="str">
            <v>BELT MINERS BUCKAROO 44"</v>
          </cell>
          <cell r="J15" t="str">
            <v>NNAV</v>
          </cell>
          <cell r="K15" t="str">
            <v>E653</v>
          </cell>
          <cell r="L15" t="str">
            <v>ATOM03</v>
          </cell>
          <cell r="P15">
            <v>5</v>
          </cell>
          <cell r="R15">
            <v>44</v>
          </cell>
          <cell r="S15">
            <v>8.8000000000000007</v>
          </cell>
          <cell r="U15">
            <v>0</v>
          </cell>
          <cell r="V15">
            <v>44</v>
          </cell>
          <cell r="W15">
            <v>0</v>
          </cell>
          <cell r="X15" t="str">
            <v>No</v>
          </cell>
          <cell r="Z15" t="str">
            <v/>
          </cell>
          <cell r="AA15" t="str">
            <v>EACH</v>
          </cell>
          <cell r="AB15">
            <v>0</v>
          </cell>
          <cell r="AC15" t="str">
            <v>531302</v>
          </cell>
          <cell r="AD15" t="str">
            <v>EACH</v>
          </cell>
        </row>
        <row r="16">
          <cell r="D16" t="str">
            <v>490549</v>
          </cell>
          <cell r="E16" t="str">
            <v>7400555</v>
          </cell>
          <cell r="F16" t="str">
            <v>BLAST DUO AS/AF CLEAR - REPLACEMENT LENS</v>
          </cell>
          <cell r="J16" t="str">
            <v>NNAV</v>
          </cell>
          <cell r="K16" t="str">
            <v>E653</v>
          </cell>
          <cell r="L16" t="str">
            <v>ATOM03</v>
          </cell>
          <cell r="P16">
            <v>20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No</v>
          </cell>
          <cell r="Z16" t="str">
            <v/>
          </cell>
          <cell r="AA16" t="str">
            <v>EACH</v>
          </cell>
          <cell r="AB16">
            <v>0</v>
          </cell>
          <cell r="AC16" t="str">
            <v>490549</v>
          </cell>
          <cell r="AD16" t="str">
            <v>EACH</v>
          </cell>
        </row>
        <row r="17">
          <cell r="D17" t="str">
            <v>30007243</v>
          </cell>
          <cell r="E17" t="str">
            <v>7400615</v>
          </cell>
          <cell r="F17" t="str">
            <v>BOOTS 55-345Z L/UP ZIP SZ 6</v>
          </cell>
          <cell r="J17" t="str">
            <v>NNAV</v>
          </cell>
          <cell r="K17" t="str">
            <v>E653</v>
          </cell>
          <cell r="L17" t="str">
            <v>ATOM03</v>
          </cell>
          <cell r="P17">
            <v>5</v>
          </cell>
          <cell r="R17">
            <v>19</v>
          </cell>
          <cell r="S17">
            <v>3.8</v>
          </cell>
          <cell r="U17">
            <v>0</v>
          </cell>
          <cell r="V17">
            <v>19</v>
          </cell>
          <cell r="W17">
            <v>0</v>
          </cell>
          <cell r="X17" t="str">
            <v>No</v>
          </cell>
          <cell r="Z17" t="str">
            <v/>
          </cell>
          <cell r="AA17" t="str">
            <v>PAIR</v>
          </cell>
          <cell r="AB17">
            <v>0</v>
          </cell>
          <cell r="AC17" t="str">
            <v>30007243</v>
          </cell>
          <cell r="AD17" t="str">
            <v>PAIR</v>
          </cell>
        </row>
        <row r="18">
          <cell r="D18" t="str">
            <v>30007245</v>
          </cell>
          <cell r="E18" t="str">
            <v>7400625</v>
          </cell>
          <cell r="F18" t="str">
            <v>BOOTS 55-345Z L/UP ZIP SZ 7</v>
          </cell>
          <cell r="J18" t="str">
            <v>NNAV</v>
          </cell>
          <cell r="K18" t="str">
            <v>E653</v>
          </cell>
          <cell r="L18" t="str">
            <v>ATOM03</v>
          </cell>
          <cell r="P18">
            <v>10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No</v>
          </cell>
          <cell r="Z18" t="str">
            <v/>
          </cell>
          <cell r="AA18" t="str">
            <v>PAIR</v>
          </cell>
          <cell r="AB18">
            <v>0</v>
          </cell>
          <cell r="AC18" t="str">
            <v>30007245</v>
          </cell>
          <cell r="AD18" t="str">
            <v>PAIR</v>
          </cell>
        </row>
        <row r="19">
          <cell r="D19" t="str">
            <v>30007287</v>
          </cell>
          <cell r="E19" t="str">
            <v>7400655</v>
          </cell>
          <cell r="F19" t="str">
            <v>BOOTS 55-385 L/UP ZIP SZ 10</v>
          </cell>
          <cell r="J19" t="str">
            <v>NNAV</v>
          </cell>
          <cell r="K19" t="str">
            <v>E653</v>
          </cell>
          <cell r="L19" t="str">
            <v>ATOM03</v>
          </cell>
          <cell r="P19">
            <v>15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No</v>
          </cell>
          <cell r="Z19" t="str">
            <v/>
          </cell>
          <cell r="AA19" t="str">
            <v>PAIR</v>
          </cell>
          <cell r="AB19">
            <v>0</v>
          </cell>
          <cell r="AC19" t="str">
            <v>30007287</v>
          </cell>
          <cell r="AD19" t="str">
            <v>PAIR</v>
          </cell>
        </row>
        <row r="20">
          <cell r="D20" t="str">
            <v>30007289</v>
          </cell>
          <cell r="E20" t="str">
            <v>7400665</v>
          </cell>
          <cell r="F20" t="str">
            <v>BOOTS 55-385 L/UP ZIP SZ 11</v>
          </cell>
          <cell r="J20" t="str">
            <v>NNAV</v>
          </cell>
          <cell r="K20" t="str">
            <v>E653</v>
          </cell>
          <cell r="L20" t="str">
            <v>ATOM03</v>
          </cell>
          <cell r="P20">
            <v>5</v>
          </cell>
          <cell r="R20">
            <v>9</v>
          </cell>
          <cell r="S20">
            <v>1.8</v>
          </cell>
          <cell r="U20">
            <v>0</v>
          </cell>
          <cell r="V20">
            <v>9</v>
          </cell>
          <cell r="W20">
            <v>0</v>
          </cell>
          <cell r="X20" t="str">
            <v>No</v>
          </cell>
          <cell r="Z20" t="str">
            <v/>
          </cell>
          <cell r="AA20" t="str">
            <v>PAIR</v>
          </cell>
          <cell r="AB20">
            <v>0</v>
          </cell>
          <cell r="AC20" t="str">
            <v>30007289</v>
          </cell>
          <cell r="AD20" t="str">
            <v>PAIR</v>
          </cell>
        </row>
        <row r="21">
          <cell r="D21" t="str">
            <v>30007291</v>
          </cell>
          <cell r="E21" t="str">
            <v>7400675</v>
          </cell>
          <cell r="F21" t="str">
            <v>BOOTS 55-385 L/UP ZIP SZ 12</v>
          </cell>
          <cell r="J21" t="str">
            <v>NNAV</v>
          </cell>
          <cell r="K21" t="str">
            <v>E653</v>
          </cell>
          <cell r="L21" t="str">
            <v>ATOM03</v>
          </cell>
          <cell r="P21">
            <v>5</v>
          </cell>
          <cell r="R21">
            <v>1</v>
          </cell>
          <cell r="S21">
            <v>0.2</v>
          </cell>
          <cell r="U21">
            <v>0</v>
          </cell>
          <cell r="V21">
            <v>1</v>
          </cell>
          <cell r="W21">
            <v>0</v>
          </cell>
          <cell r="X21" t="str">
            <v>No</v>
          </cell>
          <cell r="Z21" t="str">
            <v/>
          </cell>
          <cell r="AA21" t="str">
            <v>PAIR</v>
          </cell>
          <cell r="AB21">
            <v>0</v>
          </cell>
          <cell r="AC21" t="str">
            <v>30007291</v>
          </cell>
          <cell r="AD21" t="str">
            <v>PAIR</v>
          </cell>
        </row>
        <row r="22">
          <cell r="D22" t="str">
            <v>30007283</v>
          </cell>
          <cell r="E22" t="str">
            <v>7400695</v>
          </cell>
          <cell r="F22" t="str">
            <v>BOOTS 55-385 L/UP ZIP SZ 8</v>
          </cell>
          <cell r="J22" t="str">
            <v>NNAV</v>
          </cell>
          <cell r="K22" t="str">
            <v>E653</v>
          </cell>
          <cell r="L22" t="str">
            <v>ATOM03</v>
          </cell>
          <cell r="P22">
            <v>10</v>
          </cell>
          <cell r="R22">
            <v>3</v>
          </cell>
          <cell r="S22">
            <v>0.3</v>
          </cell>
          <cell r="U22">
            <v>0</v>
          </cell>
          <cell r="V22">
            <v>3</v>
          </cell>
          <cell r="W22">
            <v>0</v>
          </cell>
          <cell r="X22" t="str">
            <v>No</v>
          </cell>
          <cell r="Z22" t="str">
            <v/>
          </cell>
          <cell r="AA22" t="str">
            <v>PAIR</v>
          </cell>
          <cell r="AB22">
            <v>0</v>
          </cell>
          <cell r="AC22" t="str">
            <v>30007283</v>
          </cell>
          <cell r="AD22" t="str">
            <v>PAIR</v>
          </cell>
        </row>
        <row r="23">
          <cell r="D23" t="str">
            <v>30007285</v>
          </cell>
          <cell r="E23" t="str">
            <v>7400700</v>
          </cell>
          <cell r="F23" t="str">
            <v>BOOTS 55-385 L/UP ZIP SZ 9</v>
          </cell>
          <cell r="J23" t="str">
            <v>NNAV</v>
          </cell>
          <cell r="K23" t="str">
            <v>E653</v>
          </cell>
          <cell r="L23" t="str">
            <v>ATOM03</v>
          </cell>
          <cell r="P23">
            <v>15</v>
          </cell>
          <cell r="R23">
            <v>3</v>
          </cell>
          <cell r="S23">
            <v>0.2</v>
          </cell>
          <cell r="U23">
            <v>0</v>
          </cell>
          <cell r="V23">
            <v>3</v>
          </cell>
          <cell r="W23">
            <v>0</v>
          </cell>
          <cell r="X23" t="str">
            <v>No</v>
          </cell>
          <cell r="Z23" t="str">
            <v/>
          </cell>
          <cell r="AA23" t="str">
            <v>PAIR</v>
          </cell>
          <cell r="AB23">
            <v>0</v>
          </cell>
          <cell r="AC23" t="str">
            <v>30007285</v>
          </cell>
          <cell r="AD23" t="str">
            <v>PAIR</v>
          </cell>
        </row>
        <row r="24">
          <cell r="D24" t="str">
            <v>30007293</v>
          </cell>
          <cell r="E24" t="str">
            <v>7400710</v>
          </cell>
          <cell r="F24" t="str">
            <v>BOOTS 55-385 L/UP ZIP SZ13</v>
          </cell>
          <cell r="J24" t="str">
            <v>NNAV</v>
          </cell>
          <cell r="K24" t="str">
            <v>E653</v>
          </cell>
          <cell r="L24" t="str">
            <v>ATOM03</v>
          </cell>
          <cell r="P24">
            <v>5</v>
          </cell>
          <cell r="R24">
            <v>7</v>
          </cell>
          <cell r="S24">
            <v>1.4</v>
          </cell>
          <cell r="U24">
            <v>0</v>
          </cell>
          <cell r="V24">
            <v>7</v>
          </cell>
          <cell r="W24">
            <v>0</v>
          </cell>
          <cell r="X24" t="str">
            <v>No</v>
          </cell>
          <cell r="Z24" t="str">
            <v/>
          </cell>
          <cell r="AA24" t="str">
            <v>PAIR</v>
          </cell>
          <cell r="AB24">
            <v>0</v>
          </cell>
          <cell r="AC24" t="str">
            <v>30007293</v>
          </cell>
          <cell r="AD24" t="str">
            <v>PAIR</v>
          </cell>
        </row>
        <row r="25">
          <cell r="D25" t="str">
            <v>88850974</v>
          </cell>
          <cell r="E25" t="str">
            <v>7401090</v>
          </cell>
          <cell r="F25" t="str">
            <v>BROWGUARD BLACK EAGLE + VISOR</v>
          </cell>
          <cell r="J25" t="str">
            <v>NNAV</v>
          </cell>
          <cell r="K25" t="str">
            <v>E653</v>
          </cell>
          <cell r="L25" t="str">
            <v>ATOM03</v>
          </cell>
          <cell r="P25">
            <v>15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No</v>
          </cell>
          <cell r="Z25" t="str">
            <v/>
          </cell>
          <cell r="AA25" t="str">
            <v>EACH</v>
          </cell>
          <cell r="AB25">
            <v>0</v>
          </cell>
          <cell r="AC25" t="str">
            <v>88850974</v>
          </cell>
          <cell r="AD25" t="str">
            <v>EACH</v>
          </cell>
        </row>
        <row r="26">
          <cell r="D26" t="str">
            <v>90120231</v>
          </cell>
          <cell r="E26" t="str">
            <v>7401490</v>
          </cell>
          <cell r="F26" t="str">
            <v>CLEANER HAND CITRA SCRUB 20L</v>
          </cell>
          <cell r="J26" t="str">
            <v>NNAV</v>
          </cell>
          <cell r="K26" t="str">
            <v>E653</v>
          </cell>
          <cell r="L26" t="str">
            <v>ATOM03</v>
          </cell>
          <cell r="P26">
            <v>10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No</v>
          </cell>
          <cell r="Z26" t="str">
            <v/>
          </cell>
          <cell r="AA26" t="str">
            <v>EACH</v>
          </cell>
          <cell r="AB26">
            <v>0</v>
          </cell>
          <cell r="AC26" t="str">
            <v>90120231</v>
          </cell>
          <cell r="AD26" t="str">
            <v>EACH</v>
          </cell>
        </row>
        <row r="27">
          <cell r="D27" t="str">
            <v>90160436</v>
          </cell>
          <cell r="E27" t="str">
            <v>7401615</v>
          </cell>
          <cell r="F27" t="str">
            <v>CONE TRAFFIC 700MM ORANGE HI</v>
          </cell>
          <cell r="J27" t="str">
            <v>NNAV</v>
          </cell>
          <cell r="K27" t="str">
            <v>E653</v>
          </cell>
          <cell r="L27" t="str">
            <v>ATOM03</v>
          </cell>
          <cell r="P27">
            <v>20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No</v>
          </cell>
          <cell r="Z27" t="str">
            <v/>
          </cell>
          <cell r="AA27" t="str">
            <v>EACH</v>
          </cell>
          <cell r="AB27">
            <v>0</v>
          </cell>
          <cell r="AC27" t="str">
            <v>90160436</v>
          </cell>
          <cell r="AD27" t="str">
            <v>EACH</v>
          </cell>
        </row>
        <row r="28">
          <cell r="D28" t="str">
            <v>28000013</v>
          </cell>
          <cell r="E28" t="str">
            <v>7401640</v>
          </cell>
          <cell r="F28" t="str">
            <v>COOLER JUG ALPINE 5L + TAP</v>
          </cell>
          <cell r="J28" t="str">
            <v>NNAV</v>
          </cell>
          <cell r="K28" t="str">
            <v>E653</v>
          </cell>
          <cell r="L28" t="str">
            <v>ATOM03</v>
          </cell>
          <cell r="P28">
            <v>50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No</v>
          </cell>
          <cell r="Z28" t="str">
            <v/>
          </cell>
          <cell r="AA28" t="str">
            <v>EACH</v>
          </cell>
          <cell r="AB28">
            <v>0</v>
          </cell>
          <cell r="AC28" t="str">
            <v>28000013</v>
          </cell>
          <cell r="AD28" t="str">
            <v>EACH</v>
          </cell>
        </row>
        <row r="29">
          <cell r="D29" t="str">
            <v>40046836</v>
          </cell>
          <cell r="E29" t="str">
            <v>1673705</v>
          </cell>
          <cell r="F29" t="str">
            <v>COVERALL HI VIS YL/NA L/W 112R</v>
          </cell>
          <cell r="J29" t="str">
            <v>NNAV</v>
          </cell>
          <cell r="K29" t="str">
            <v>E653</v>
          </cell>
          <cell r="L29" t="str">
            <v>ATOM03</v>
          </cell>
          <cell r="P29">
            <v>10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No</v>
          </cell>
          <cell r="Z29" t="str">
            <v/>
          </cell>
          <cell r="AA29" t="str">
            <v>EACH</v>
          </cell>
          <cell r="AB29">
            <v>0</v>
          </cell>
          <cell r="AC29" t="str">
            <v>40046836</v>
          </cell>
          <cell r="AD29" t="str">
            <v>EACH</v>
          </cell>
        </row>
        <row r="30">
          <cell r="D30" t="str">
            <v>40046837</v>
          </cell>
          <cell r="E30" t="str">
            <v>1673710</v>
          </cell>
          <cell r="F30" t="str">
            <v>COVERALL HI VIS YL/NA L/W 117R</v>
          </cell>
          <cell r="J30" t="str">
            <v>NNAV</v>
          </cell>
          <cell r="K30" t="str">
            <v>E653</v>
          </cell>
          <cell r="L30" t="str">
            <v>ATOM03</v>
          </cell>
          <cell r="P30">
            <v>10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No</v>
          </cell>
          <cell r="Z30" t="str">
            <v/>
          </cell>
          <cell r="AA30" t="str">
            <v>EACH</v>
          </cell>
          <cell r="AB30">
            <v>0</v>
          </cell>
          <cell r="AC30" t="str">
            <v>40046837</v>
          </cell>
          <cell r="AD30" t="str">
            <v>EACH</v>
          </cell>
        </row>
        <row r="31">
          <cell r="D31" t="str">
            <v>40046966</v>
          </cell>
          <cell r="E31" t="str">
            <v>1674635</v>
          </cell>
          <cell r="F31" t="str">
            <v>COVERALLS HI VIS YL/NA 102R</v>
          </cell>
          <cell r="J31" t="str">
            <v>NNAV</v>
          </cell>
          <cell r="K31" t="str">
            <v>E653</v>
          </cell>
          <cell r="L31" t="str">
            <v>ATOM03</v>
          </cell>
          <cell r="P31">
            <v>30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No</v>
          </cell>
          <cell r="Z31" t="str">
            <v/>
          </cell>
          <cell r="AA31" t="str">
            <v>EACH</v>
          </cell>
          <cell r="AB31">
            <v>0</v>
          </cell>
          <cell r="AC31" t="str">
            <v>40046966</v>
          </cell>
          <cell r="AD31" t="str">
            <v>EACH</v>
          </cell>
        </row>
        <row r="32">
          <cell r="D32" t="str">
            <v>40046967</v>
          </cell>
          <cell r="E32" t="str">
            <v>1674640</v>
          </cell>
          <cell r="F32" t="str">
            <v>COVERALLS HI VIS YL/NA 107R</v>
          </cell>
          <cell r="J32" t="str">
            <v>NNAV</v>
          </cell>
          <cell r="K32" t="str">
            <v>E653</v>
          </cell>
          <cell r="L32" t="str">
            <v>ATOM03</v>
          </cell>
          <cell r="P32">
            <v>20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No</v>
          </cell>
          <cell r="Z32" t="str">
            <v/>
          </cell>
          <cell r="AA32" t="str">
            <v>EACH</v>
          </cell>
          <cell r="AB32">
            <v>0</v>
          </cell>
          <cell r="AC32" t="str">
            <v>40046967</v>
          </cell>
          <cell r="AD32" t="str">
            <v>EACH</v>
          </cell>
        </row>
        <row r="33">
          <cell r="D33" t="str">
            <v>40046971</v>
          </cell>
          <cell r="E33" t="str">
            <v>1674615</v>
          </cell>
          <cell r="F33" t="str">
            <v>COVERALLS HI VIS YL/NA 82R</v>
          </cell>
          <cell r="J33" t="str">
            <v>NNAV</v>
          </cell>
          <cell r="K33" t="str">
            <v>E653</v>
          </cell>
          <cell r="L33" t="str">
            <v>ATOM03</v>
          </cell>
          <cell r="P33">
            <v>15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No</v>
          </cell>
          <cell r="Z33" t="str">
            <v/>
          </cell>
          <cell r="AA33" t="str">
            <v>EACH</v>
          </cell>
          <cell r="AB33">
            <v>0</v>
          </cell>
          <cell r="AC33" t="str">
            <v>40046971</v>
          </cell>
          <cell r="AD33" t="str">
            <v>EACH</v>
          </cell>
        </row>
        <row r="34">
          <cell r="D34" t="str">
            <v>40046972</v>
          </cell>
          <cell r="E34" t="str">
            <v>1674620</v>
          </cell>
          <cell r="F34" t="str">
            <v>COVERALLS HI VIS YL/NA 87R</v>
          </cell>
          <cell r="J34" t="str">
            <v>NNAV</v>
          </cell>
          <cell r="K34" t="str">
            <v>E653</v>
          </cell>
          <cell r="L34" t="str">
            <v>ATOM03</v>
          </cell>
          <cell r="P34">
            <v>30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No</v>
          </cell>
          <cell r="Z34" t="str">
            <v/>
          </cell>
          <cell r="AA34" t="str">
            <v>EACH</v>
          </cell>
          <cell r="AB34">
            <v>0</v>
          </cell>
          <cell r="AC34" t="str">
            <v>40046972</v>
          </cell>
          <cell r="AD34" t="str">
            <v>EACH</v>
          </cell>
        </row>
        <row r="35">
          <cell r="D35" t="str">
            <v>40046973</v>
          </cell>
          <cell r="E35" t="str">
            <v>1674625</v>
          </cell>
          <cell r="F35" t="str">
            <v>COVERALLS HI VIS YL/NA 92R</v>
          </cell>
          <cell r="J35" t="str">
            <v>NNAV</v>
          </cell>
          <cell r="K35" t="str">
            <v>E653</v>
          </cell>
          <cell r="L35" t="str">
            <v>ATOM03</v>
          </cell>
          <cell r="P35">
            <v>30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No</v>
          </cell>
          <cell r="Z35" t="str">
            <v/>
          </cell>
          <cell r="AA35" t="str">
            <v>EACH</v>
          </cell>
          <cell r="AB35">
            <v>0</v>
          </cell>
          <cell r="AC35" t="str">
            <v>40046973</v>
          </cell>
          <cell r="AD35" t="str">
            <v>EACH</v>
          </cell>
        </row>
        <row r="36">
          <cell r="D36" t="str">
            <v>40046974</v>
          </cell>
          <cell r="E36" t="str">
            <v>1674630</v>
          </cell>
          <cell r="F36" t="str">
            <v>COVERALLS HI VIS YL/NA 97R</v>
          </cell>
          <cell r="J36" t="str">
            <v>NNAV</v>
          </cell>
          <cell r="K36" t="str">
            <v>E653</v>
          </cell>
          <cell r="L36" t="str">
            <v>ATOM03</v>
          </cell>
          <cell r="P36">
            <v>30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No</v>
          </cell>
          <cell r="Z36" t="str">
            <v/>
          </cell>
          <cell r="AA36" t="str">
            <v>EACH</v>
          </cell>
          <cell r="AB36">
            <v>0</v>
          </cell>
          <cell r="AC36" t="str">
            <v>40046974</v>
          </cell>
          <cell r="AD36" t="str">
            <v>EACH</v>
          </cell>
        </row>
        <row r="37">
          <cell r="D37" t="str">
            <v>88891525</v>
          </cell>
          <cell r="E37" t="str">
            <v>7402060</v>
          </cell>
          <cell r="F37" t="str">
            <v>3M CLASSIC EARPLUGS UNCORDED SLC80 23DB</v>
          </cell>
          <cell r="J37" t="str">
            <v>NNAV</v>
          </cell>
          <cell r="K37" t="str">
            <v>E653</v>
          </cell>
          <cell r="L37" t="str">
            <v>ATOM03</v>
          </cell>
          <cell r="P37">
            <v>100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No</v>
          </cell>
          <cell r="Z37" t="str">
            <v/>
          </cell>
          <cell r="AA37" t="str">
            <v>BOX</v>
          </cell>
          <cell r="AB37">
            <v>0</v>
          </cell>
          <cell r="AC37" t="str">
            <v>88891525</v>
          </cell>
          <cell r="AD37" t="str">
            <v>BOX</v>
          </cell>
        </row>
        <row r="38">
          <cell r="D38" t="str">
            <v>90168040</v>
          </cell>
          <cell r="E38" t="str">
            <v>7407155</v>
          </cell>
          <cell r="F38" t="str">
            <v>EYE WASH WITH SHOWER</v>
          </cell>
          <cell r="J38" t="str">
            <v>NNAV</v>
          </cell>
          <cell r="K38" t="str">
            <v>E653</v>
          </cell>
          <cell r="L38" t="str">
            <v>ATOM03</v>
          </cell>
          <cell r="P38">
            <v>2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No</v>
          </cell>
          <cell r="Z38" t="str">
            <v/>
          </cell>
          <cell r="AA38" t="str">
            <v>EACH</v>
          </cell>
          <cell r="AB38">
            <v>0</v>
          </cell>
          <cell r="AC38" t="str">
            <v>90168040</v>
          </cell>
          <cell r="AD38" t="str">
            <v>EACH</v>
          </cell>
        </row>
        <row r="39">
          <cell r="D39" t="str">
            <v>90100220</v>
          </cell>
          <cell r="E39" t="str">
            <v>7402175</v>
          </cell>
          <cell r="F39" t="str">
            <v>3M FILTER CARTRIDGE A1 B1 E1 K1</v>
          </cell>
          <cell r="J39" t="str">
            <v>NNAV</v>
          </cell>
          <cell r="K39" t="str">
            <v>E653</v>
          </cell>
          <cell r="L39" t="str">
            <v>ATOM03</v>
          </cell>
          <cell r="P39">
            <v>20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No</v>
          </cell>
          <cell r="Z39" t="str">
            <v/>
          </cell>
          <cell r="AA39" t="str">
            <v>PAIR</v>
          </cell>
          <cell r="AB39">
            <v>0</v>
          </cell>
          <cell r="AC39" t="str">
            <v>90100220</v>
          </cell>
          <cell r="AD39" t="str">
            <v>PAIR</v>
          </cell>
        </row>
        <row r="40">
          <cell r="D40" t="str">
            <v>90100443</v>
          </cell>
          <cell r="E40" t="str">
            <v>7402180</v>
          </cell>
          <cell r="F40" t="str">
            <v>3M FILTER CARTRIDGE P2/P3</v>
          </cell>
          <cell r="J40" t="str">
            <v>NNAV</v>
          </cell>
          <cell r="K40" t="str">
            <v>E653</v>
          </cell>
          <cell r="L40" t="str">
            <v>ATOM03</v>
          </cell>
          <cell r="P40">
            <v>20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No</v>
          </cell>
          <cell r="Z40" t="str">
            <v/>
          </cell>
          <cell r="AA40" t="str">
            <v>PAIR</v>
          </cell>
          <cell r="AB40">
            <v>0</v>
          </cell>
          <cell r="AC40" t="str">
            <v>90100443</v>
          </cell>
          <cell r="AD40" t="str">
            <v>PAIR</v>
          </cell>
        </row>
        <row r="41">
          <cell r="D41" t="str">
            <v>4121002</v>
          </cell>
          <cell r="E41" t="str">
            <v>7402195</v>
          </cell>
          <cell r="F41" t="str">
            <v>FIRE EXTINGUISHER ABE 9KG DRY</v>
          </cell>
          <cell r="J41" t="str">
            <v>NNAV</v>
          </cell>
          <cell r="K41" t="str">
            <v>E653</v>
          </cell>
          <cell r="L41" t="str">
            <v>ATOM03</v>
          </cell>
          <cell r="P41">
            <v>25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No</v>
          </cell>
          <cell r="Z41" t="str">
            <v/>
          </cell>
          <cell r="AA41" t="str">
            <v>EACH</v>
          </cell>
          <cell r="AB41">
            <v>0</v>
          </cell>
          <cell r="AC41" t="str">
            <v>4121002</v>
          </cell>
          <cell r="AD41" t="str">
            <v>EACH</v>
          </cell>
        </row>
        <row r="42">
          <cell r="D42" t="str">
            <v>79918221</v>
          </cell>
          <cell r="E42" t="str">
            <v>7402220</v>
          </cell>
          <cell r="F42" t="str">
            <v>FIRST AID KIT SOFT-CASE</v>
          </cell>
          <cell r="J42" t="str">
            <v>NNAV</v>
          </cell>
          <cell r="K42" t="str">
            <v>E653</v>
          </cell>
          <cell r="L42" t="str">
            <v>ATOM03</v>
          </cell>
          <cell r="P42">
            <v>30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No</v>
          </cell>
          <cell r="Z42" t="str">
            <v/>
          </cell>
          <cell r="AA42" t="str">
            <v>EACH</v>
          </cell>
          <cell r="AB42">
            <v>0</v>
          </cell>
          <cell r="AC42" t="str">
            <v>79918221</v>
          </cell>
          <cell r="AD42" t="str">
            <v>EACH</v>
          </cell>
        </row>
        <row r="43">
          <cell r="D43" t="str">
            <v>30004531</v>
          </cell>
          <cell r="E43" t="str">
            <v>7402225</v>
          </cell>
          <cell r="F43" t="str">
            <v>FIRST AID KIT WM1 WORKPLACE</v>
          </cell>
          <cell r="J43" t="str">
            <v>NNAV</v>
          </cell>
          <cell r="K43" t="str">
            <v>E653</v>
          </cell>
          <cell r="L43" t="str">
            <v>ATOM03</v>
          </cell>
          <cell r="P43">
            <v>10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No</v>
          </cell>
          <cell r="Z43" t="str">
            <v/>
          </cell>
          <cell r="AA43" t="str">
            <v>EACH</v>
          </cell>
          <cell r="AB43">
            <v>0</v>
          </cell>
          <cell r="AC43" t="str">
            <v>30004531</v>
          </cell>
          <cell r="AD43" t="str">
            <v>EACH</v>
          </cell>
        </row>
        <row r="44">
          <cell r="D44" t="str">
            <v>90080411</v>
          </cell>
          <cell r="E44" t="str">
            <v>7402360</v>
          </cell>
          <cell r="F44" t="str">
            <v>GLASSES SAFETY HC CLEAR LENS</v>
          </cell>
          <cell r="J44" t="str">
            <v>NNAV</v>
          </cell>
          <cell r="K44" t="str">
            <v>E653</v>
          </cell>
          <cell r="L44" t="str">
            <v>ATOM03</v>
          </cell>
          <cell r="P44">
            <v>1000</v>
          </cell>
          <cell r="R44">
            <v>0</v>
          </cell>
          <cell r="S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No</v>
          </cell>
          <cell r="Z44" t="str">
            <v/>
          </cell>
          <cell r="AA44" t="str">
            <v>EACH</v>
          </cell>
          <cell r="AB44">
            <v>0</v>
          </cell>
          <cell r="AC44" t="str">
            <v>90080411</v>
          </cell>
          <cell r="AD44" t="str">
            <v>EACH</v>
          </cell>
        </row>
        <row r="45">
          <cell r="D45" t="str">
            <v>90080412</v>
          </cell>
          <cell r="E45" t="str">
            <v>7402370</v>
          </cell>
          <cell r="F45" t="str">
            <v>GLASSES SAFETY HC SMOKE LENS</v>
          </cell>
          <cell r="J45" t="str">
            <v>NNAV</v>
          </cell>
          <cell r="K45" t="str">
            <v>E653</v>
          </cell>
          <cell r="L45" t="str">
            <v>ATOM03</v>
          </cell>
          <cell r="P45">
            <v>200</v>
          </cell>
          <cell r="R45">
            <v>0</v>
          </cell>
          <cell r="S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No</v>
          </cell>
          <cell r="Z45" t="str">
            <v/>
          </cell>
          <cell r="AA45" t="str">
            <v>EACH</v>
          </cell>
          <cell r="AB45">
            <v>0</v>
          </cell>
          <cell r="AC45" t="str">
            <v>90080412</v>
          </cell>
          <cell r="AD45" t="str">
            <v>EACH</v>
          </cell>
        </row>
        <row r="46">
          <cell r="D46" t="str">
            <v>90118181</v>
          </cell>
          <cell r="E46" t="str">
            <v>7402400</v>
          </cell>
          <cell r="F46" t="str">
            <v>GLOVE CLIP HI VIS YELLOW</v>
          </cell>
          <cell r="J46" t="str">
            <v>NNAV</v>
          </cell>
          <cell r="K46" t="str">
            <v>E653</v>
          </cell>
          <cell r="L46" t="str">
            <v>ATOM03</v>
          </cell>
          <cell r="P46">
            <v>50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No</v>
          </cell>
          <cell r="Z46" t="str">
            <v/>
          </cell>
          <cell r="AA46" t="str">
            <v>EACH</v>
          </cell>
          <cell r="AB46">
            <v>0</v>
          </cell>
          <cell r="AC46" t="str">
            <v>90118181</v>
          </cell>
          <cell r="AD46" t="str">
            <v>EACH</v>
          </cell>
        </row>
        <row r="47">
          <cell r="D47" t="str">
            <v>40004261</v>
          </cell>
          <cell r="E47" t="str">
            <v>7402460</v>
          </cell>
          <cell r="F47" t="str">
            <v>GLOVES CHEM+CUT RESIST SIZE 10 GREEN 58-735</v>
          </cell>
          <cell r="J47" t="str">
            <v>NNAV</v>
          </cell>
          <cell r="K47" t="str">
            <v>E653</v>
          </cell>
          <cell r="L47" t="str">
            <v>ATOM03</v>
          </cell>
          <cell r="P47">
            <v>100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No</v>
          </cell>
          <cell r="Z47" t="str">
            <v/>
          </cell>
          <cell r="AA47" t="str">
            <v>PAIR</v>
          </cell>
          <cell r="AB47">
            <v>0</v>
          </cell>
          <cell r="AC47" t="str">
            <v>40004261</v>
          </cell>
          <cell r="AD47" t="str">
            <v>PAIR</v>
          </cell>
        </row>
        <row r="48">
          <cell r="D48" t="str">
            <v>40004262</v>
          </cell>
          <cell r="E48" t="str">
            <v>7402465</v>
          </cell>
          <cell r="F48" t="str">
            <v>GLOVES CHEM+CUT RESIST SIZE 11 GREEN 58-735</v>
          </cell>
          <cell r="J48" t="str">
            <v>NNAV</v>
          </cell>
          <cell r="K48" t="str">
            <v>E653</v>
          </cell>
          <cell r="L48" t="str">
            <v>ATOM03</v>
          </cell>
          <cell r="P48">
            <v>50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No</v>
          </cell>
          <cell r="Z48" t="str">
            <v/>
          </cell>
          <cell r="AA48" t="str">
            <v>PAIR</v>
          </cell>
          <cell r="AB48">
            <v>0</v>
          </cell>
          <cell r="AC48" t="str">
            <v>40004262</v>
          </cell>
          <cell r="AD48" t="str">
            <v>PAIR</v>
          </cell>
        </row>
        <row r="49">
          <cell r="D49" t="str">
            <v>40004260</v>
          </cell>
          <cell r="E49" t="str">
            <v>7402480</v>
          </cell>
          <cell r="F49" t="str">
            <v>GLOVES CHEM+CUT RESIST SIZE 9 GREEN 58-735</v>
          </cell>
          <cell r="J49" t="str">
            <v>NNAV</v>
          </cell>
          <cell r="K49" t="str">
            <v>E653</v>
          </cell>
          <cell r="L49" t="str">
            <v>ATOM03</v>
          </cell>
          <cell r="P49">
            <v>100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No</v>
          </cell>
          <cell r="Z49" t="str">
            <v/>
          </cell>
          <cell r="AA49" t="str">
            <v>PAIR</v>
          </cell>
          <cell r="AB49">
            <v>0</v>
          </cell>
          <cell r="AC49" t="str">
            <v>40004260</v>
          </cell>
          <cell r="AD49" t="str">
            <v>PAIR</v>
          </cell>
        </row>
        <row r="50">
          <cell r="D50" t="str">
            <v>30004752</v>
          </cell>
          <cell r="E50" t="str">
            <v>7402545</v>
          </cell>
          <cell r="F50" t="str">
            <v>GLOVES 11-840 HYFLEX FOAM SIZE 10</v>
          </cell>
          <cell r="J50" t="str">
            <v>NNAV</v>
          </cell>
          <cell r="K50" t="str">
            <v>E653</v>
          </cell>
          <cell r="L50" t="str">
            <v>ATOM03</v>
          </cell>
          <cell r="P50">
            <v>250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No</v>
          </cell>
          <cell r="Z50" t="str">
            <v/>
          </cell>
          <cell r="AA50" t="str">
            <v>PAIR</v>
          </cell>
          <cell r="AB50">
            <v>0</v>
          </cell>
          <cell r="AC50" t="str">
            <v>30004752</v>
          </cell>
          <cell r="AD50" t="str">
            <v>PAIR</v>
          </cell>
        </row>
        <row r="51">
          <cell r="D51" t="str">
            <v>30004753</v>
          </cell>
          <cell r="E51" t="str">
            <v>7402550</v>
          </cell>
          <cell r="F51" t="str">
            <v>GLOVES 11-840 HYFLEX FOAM SIZE 11</v>
          </cell>
          <cell r="J51" t="str">
            <v>NNAV</v>
          </cell>
          <cell r="K51" t="str">
            <v>E653</v>
          </cell>
          <cell r="L51" t="str">
            <v>ATOM03</v>
          </cell>
          <cell r="P51">
            <v>100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No</v>
          </cell>
          <cell r="Z51" t="str">
            <v/>
          </cell>
          <cell r="AA51" t="str">
            <v>PAIR</v>
          </cell>
          <cell r="AB51">
            <v>0</v>
          </cell>
          <cell r="AC51" t="str">
            <v>30004753</v>
          </cell>
          <cell r="AD51" t="str">
            <v>PAIR</v>
          </cell>
        </row>
        <row r="52">
          <cell r="D52" t="str">
            <v>30004749</v>
          </cell>
          <cell r="E52" t="str">
            <v>7402555</v>
          </cell>
          <cell r="F52" t="str">
            <v>GLOVES 11-840 HYFLEX FOAM SIZE 7</v>
          </cell>
          <cell r="J52" t="str">
            <v>NNAV</v>
          </cell>
          <cell r="K52" t="str">
            <v>E653</v>
          </cell>
          <cell r="L52" t="str">
            <v>ATOM03</v>
          </cell>
          <cell r="P52">
            <v>50</v>
          </cell>
          <cell r="R52">
            <v>0</v>
          </cell>
          <cell r="S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No</v>
          </cell>
          <cell r="Z52" t="str">
            <v/>
          </cell>
          <cell r="AA52" t="str">
            <v>PAIR</v>
          </cell>
          <cell r="AB52">
            <v>0</v>
          </cell>
          <cell r="AC52" t="str">
            <v>30004749</v>
          </cell>
          <cell r="AD52" t="str">
            <v>PAIR</v>
          </cell>
        </row>
        <row r="53">
          <cell r="D53" t="str">
            <v>30004751</v>
          </cell>
          <cell r="E53" t="str">
            <v>7402570</v>
          </cell>
          <cell r="F53" t="str">
            <v>GLOVES 11-840 HYFLEX FOAM SIZE 9</v>
          </cell>
          <cell r="J53" t="str">
            <v>NNAV</v>
          </cell>
          <cell r="K53" t="str">
            <v>E653</v>
          </cell>
          <cell r="L53" t="str">
            <v>ATOM03</v>
          </cell>
          <cell r="P53">
            <v>250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No</v>
          </cell>
          <cell r="Z53" t="str">
            <v/>
          </cell>
          <cell r="AA53" t="str">
            <v>PAIR</v>
          </cell>
          <cell r="AB53">
            <v>0</v>
          </cell>
          <cell r="AC53" t="str">
            <v>30004751</v>
          </cell>
          <cell r="AD53" t="str">
            <v>PAIR</v>
          </cell>
        </row>
        <row r="54">
          <cell r="D54" t="str">
            <v>79900596</v>
          </cell>
          <cell r="E54" t="str">
            <v>7402595</v>
          </cell>
          <cell r="F54" t="str">
            <v>GLOVES HYLITE 47-400 SIZE 8</v>
          </cell>
          <cell r="J54" t="str">
            <v>NNAV</v>
          </cell>
          <cell r="K54" t="str">
            <v>E653</v>
          </cell>
          <cell r="L54" t="str">
            <v>ATOM03</v>
          </cell>
          <cell r="P54">
            <v>1200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No</v>
          </cell>
          <cell r="Z54" t="str">
            <v/>
          </cell>
          <cell r="AA54" t="str">
            <v>PAIR</v>
          </cell>
          <cell r="AB54">
            <v>0</v>
          </cell>
          <cell r="AC54" t="str">
            <v>79900596</v>
          </cell>
          <cell r="AD54" t="str">
            <v>PAIR</v>
          </cell>
        </row>
        <row r="55">
          <cell r="D55" t="str">
            <v>90118137</v>
          </cell>
          <cell r="E55" t="str">
            <v>7402655</v>
          </cell>
          <cell r="F55" t="str">
            <v>GLOVES NITRILE SIZE 8 ORANGE</v>
          </cell>
          <cell r="J55" t="str">
            <v>NNAV</v>
          </cell>
          <cell r="K55" t="str">
            <v>E653</v>
          </cell>
          <cell r="L55" t="str">
            <v>ATOM03</v>
          </cell>
          <cell r="P55">
            <v>100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No</v>
          </cell>
          <cell r="Z55" t="str">
            <v/>
          </cell>
          <cell r="AA55" t="str">
            <v>PAIR</v>
          </cell>
          <cell r="AB55">
            <v>0</v>
          </cell>
          <cell r="AC55" t="str">
            <v>90118137</v>
          </cell>
          <cell r="AD55" t="str">
            <v>PAIR</v>
          </cell>
        </row>
        <row r="56">
          <cell r="D56" t="str">
            <v>55040830</v>
          </cell>
          <cell r="E56" t="str">
            <v>7402725</v>
          </cell>
          <cell r="F56" t="str">
            <v>GLOVES PVC CHEM RESIST 450MM RED</v>
          </cell>
          <cell r="J56" t="str">
            <v>NNAV</v>
          </cell>
          <cell r="K56" t="str">
            <v>E653</v>
          </cell>
          <cell r="L56" t="str">
            <v>ATOM03</v>
          </cell>
          <cell r="P56">
            <v>50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No</v>
          </cell>
          <cell r="Z56" t="str">
            <v/>
          </cell>
          <cell r="AA56" t="str">
            <v>PAIR</v>
          </cell>
          <cell r="AB56">
            <v>0</v>
          </cell>
          <cell r="AC56" t="str">
            <v>55040830</v>
          </cell>
          <cell r="AD56" t="str">
            <v>PAIR</v>
          </cell>
        </row>
        <row r="57">
          <cell r="D57" t="str">
            <v>90110168</v>
          </cell>
          <cell r="E57" t="str">
            <v>7402730</v>
          </cell>
          <cell r="F57" t="str">
            <v>GLOVES PVC 47-400 HYLITE SIZE 10</v>
          </cell>
          <cell r="J57" t="str">
            <v>NNAV</v>
          </cell>
          <cell r="K57" t="str">
            <v>E653</v>
          </cell>
          <cell r="L57" t="str">
            <v>ATOM03</v>
          </cell>
          <cell r="P57">
            <v>250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No</v>
          </cell>
          <cell r="Z57" t="str">
            <v/>
          </cell>
          <cell r="AA57" t="str">
            <v>PAIR</v>
          </cell>
          <cell r="AB57">
            <v>0</v>
          </cell>
          <cell r="AC57" t="str">
            <v>90110168</v>
          </cell>
          <cell r="AD57" t="str">
            <v>PAIR</v>
          </cell>
        </row>
        <row r="58">
          <cell r="D58" t="str">
            <v>90110007</v>
          </cell>
          <cell r="E58" t="str">
            <v>7402735</v>
          </cell>
          <cell r="F58" t="str">
            <v>GLOVES PVC 47-400 HYLITE SIZE 9</v>
          </cell>
          <cell r="J58" t="str">
            <v>NNAV</v>
          </cell>
          <cell r="K58" t="str">
            <v>E653</v>
          </cell>
          <cell r="L58" t="str">
            <v>ATOM03</v>
          </cell>
          <cell r="P58">
            <v>1200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No</v>
          </cell>
          <cell r="Z58" t="str">
            <v/>
          </cell>
          <cell r="AA58" t="str">
            <v>PAIR</v>
          </cell>
          <cell r="AB58">
            <v>0</v>
          </cell>
          <cell r="AC58" t="str">
            <v>90110007</v>
          </cell>
          <cell r="AD58" t="str">
            <v>PAIR</v>
          </cell>
        </row>
        <row r="59">
          <cell r="D59" t="str">
            <v>55040330</v>
          </cell>
          <cell r="E59" t="str">
            <v>7402740</v>
          </cell>
          <cell r="F59" t="str">
            <v>GLOVES RIGGERS A GRADE  L</v>
          </cell>
          <cell r="J59" t="str">
            <v>NNAV</v>
          </cell>
          <cell r="K59" t="str">
            <v>E653</v>
          </cell>
          <cell r="L59" t="str">
            <v>ATOM03</v>
          </cell>
          <cell r="P59">
            <v>50</v>
          </cell>
          <cell r="R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No</v>
          </cell>
          <cell r="Z59" t="str">
            <v/>
          </cell>
          <cell r="AA59" t="str">
            <v>PAIR</v>
          </cell>
          <cell r="AB59">
            <v>0</v>
          </cell>
          <cell r="AC59" t="str">
            <v>55040330</v>
          </cell>
          <cell r="AD59" t="str">
            <v>PAIR</v>
          </cell>
        </row>
        <row r="60">
          <cell r="D60" t="str">
            <v>55040340</v>
          </cell>
          <cell r="E60" t="str">
            <v>7402755</v>
          </cell>
          <cell r="F60" t="str">
            <v>GLOVES RIGGERS A GRADE XL</v>
          </cell>
          <cell r="J60" t="str">
            <v>NNAV</v>
          </cell>
          <cell r="K60" t="str">
            <v>E653</v>
          </cell>
          <cell r="L60" t="str">
            <v>ATOM03</v>
          </cell>
          <cell r="P60">
            <v>50</v>
          </cell>
          <cell r="R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No</v>
          </cell>
          <cell r="Z60" t="str">
            <v/>
          </cell>
          <cell r="AA60" t="str">
            <v>PAIR</v>
          </cell>
          <cell r="AB60">
            <v>0</v>
          </cell>
          <cell r="AC60" t="str">
            <v>55040340</v>
          </cell>
          <cell r="AD60" t="str">
            <v>PAIR</v>
          </cell>
        </row>
        <row r="61">
          <cell r="D61" t="str">
            <v>192605</v>
          </cell>
          <cell r="E61" t="str">
            <v>7402785</v>
          </cell>
          <cell r="F61" t="str">
            <v>GOGGLE BLAST DOUBLE CLEAR LENS</v>
          </cell>
          <cell r="J61" t="str">
            <v>NNAV</v>
          </cell>
          <cell r="K61" t="str">
            <v>E653</v>
          </cell>
          <cell r="L61" t="str">
            <v>ATOM03</v>
          </cell>
          <cell r="P61">
            <v>10</v>
          </cell>
          <cell r="R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No</v>
          </cell>
          <cell r="Z61" t="str">
            <v/>
          </cell>
          <cell r="AA61" t="str">
            <v>EACH</v>
          </cell>
          <cell r="AB61">
            <v>0</v>
          </cell>
          <cell r="AC61" t="str">
            <v>192605</v>
          </cell>
          <cell r="AD61" t="str">
            <v>EACH</v>
          </cell>
        </row>
        <row r="62">
          <cell r="D62" t="str">
            <v>30000149</v>
          </cell>
          <cell r="E62" t="str">
            <v>7402930</v>
          </cell>
          <cell r="F62" t="str">
            <v>GUMBOOTS MET GUARD 024 SIZE 10</v>
          </cell>
          <cell r="J62" t="str">
            <v>NNAV</v>
          </cell>
          <cell r="K62" t="str">
            <v>E653</v>
          </cell>
          <cell r="L62" t="str">
            <v>ATOM03</v>
          </cell>
          <cell r="P62">
            <v>30</v>
          </cell>
          <cell r="R62">
            <v>15</v>
          </cell>
          <cell r="S62">
            <v>0.5</v>
          </cell>
          <cell r="U62">
            <v>0</v>
          </cell>
          <cell r="V62">
            <v>15</v>
          </cell>
          <cell r="W62">
            <v>0</v>
          </cell>
          <cell r="X62" t="str">
            <v>No</v>
          </cell>
          <cell r="Z62" t="str">
            <v/>
          </cell>
          <cell r="AA62" t="str">
            <v>PAIR</v>
          </cell>
          <cell r="AB62">
            <v>0</v>
          </cell>
          <cell r="AC62" t="str">
            <v>30000149</v>
          </cell>
          <cell r="AD62" t="str">
            <v>PAIR</v>
          </cell>
        </row>
        <row r="63">
          <cell r="D63" t="str">
            <v>30000150</v>
          </cell>
          <cell r="E63" t="str">
            <v>7402935</v>
          </cell>
          <cell r="F63" t="str">
            <v>GUMBOOTS MET GUARD 024 SIZE 11</v>
          </cell>
          <cell r="J63" t="str">
            <v>NNAV</v>
          </cell>
          <cell r="K63" t="str">
            <v>E653</v>
          </cell>
          <cell r="L63" t="str">
            <v>ATOM03</v>
          </cell>
          <cell r="P63">
            <v>20</v>
          </cell>
          <cell r="R63">
            <v>17</v>
          </cell>
          <cell r="S63">
            <v>0.85</v>
          </cell>
          <cell r="U63">
            <v>0</v>
          </cell>
          <cell r="V63">
            <v>17</v>
          </cell>
          <cell r="W63">
            <v>0</v>
          </cell>
          <cell r="X63" t="str">
            <v>No</v>
          </cell>
          <cell r="Z63" t="str">
            <v/>
          </cell>
          <cell r="AA63" t="str">
            <v>PAIR</v>
          </cell>
          <cell r="AB63">
            <v>0</v>
          </cell>
          <cell r="AC63" t="str">
            <v>30000150</v>
          </cell>
          <cell r="AD63" t="str">
            <v>PAIR</v>
          </cell>
        </row>
        <row r="64">
          <cell r="D64" t="str">
            <v>30000151</v>
          </cell>
          <cell r="E64" t="str">
            <v>7402940</v>
          </cell>
          <cell r="F64" t="str">
            <v>GUMBOOTS MET GUARD 024 SIZE 12</v>
          </cell>
          <cell r="J64" t="str">
            <v>NNAV</v>
          </cell>
          <cell r="K64" t="str">
            <v>E653</v>
          </cell>
          <cell r="L64" t="str">
            <v>ATOM03</v>
          </cell>
          <cell r="P64">
            <v>15</v>
          </cell>
          <cell r="R64">
            <v>15</v>
          </cell>
          <cell r="S64">
            <v>1</v>
          </cell>
          <cell r="U64">
            <v>0</v>
          </cell>
          <cell r="V64">
            <v>15</v>
          </cell>
          <cell r="W64">
            <v>0</v>
          </cell>
          <cell r="X64" t="str">
            <v>No</v>
          </cell>
          <cell r="Z64" t="str">
            <v/>
          </cell>
          <cell r="AA64" t="str">
            <v>PAIR</v>
          </cell>
          <cell r="AB64">
            <v>0</v>
          </cell>
          <cell r="AC64" t="str">
            <v>30000151</v>
          </cell>
          <cell r="AD64" t="str">
            <v>PAIR</v>
          </cell>
        </row>
        <row r="65">
          <cell r="D65" t="str">
            <v>30000152</v>
          </cell>
          <cell r="E65" t="str">
            <v>7402945</v>
          </cell>
          <cell r="F65" t="str">
            <v>GUMBOOTS MET GUARD 024 SIZE 13</v>
          </cell>
          <cell r="J65" t="str">
            <v>NNAV</v>
          </cell>
          <cell r="K65" t="str">
            <v>E653</v>
          </cell>
          <cell r="L65" t="str">
            <v>ATOM03</v>
          </cell>
          <cell r="P65">
            <v>5</v>
          </cell>
          <cell r="R65">
            <v>2</v>
          </cell>
          <cell r="S65">
            <v>0.4</v>
          </cell>
          <cell r="U65">
            <v>0</v>
          </cell>
          <cell r="V65">
            <v>2</v>
          </cell>
          <cell r="W65">
            <v>0</v>
          </cell>
          <cell r="X65" t="str">
            <v>No</v>
          </cell>
          <cell r="Z65" t="str">
            <v/>
          </cell>
          <cell r="AA65" t="str">
            <v>PAIR</v>
          </cell>
          <cell r="AB65">
            <v>0</v>
          </cell>
          <cell r="AC65" t="str">
            <v>30000152</v>
          </cell>
          <cell r="AD65" t="str">
            <v>PAIR</v>
          </cell>
        </row>
        <row r="66">
          <cell r="D66" t="str">
            <v>30000145</v>
          </cell>
          <cell r="E66" t="str">
            <v>7402950</v>
          </cell>
          <cell r="F66" t="str">
            <v>GUMBOOTS MET GUARD 024 SIZE 6</v>
          </cell>
          <cell r="J66" t="str">
            <v>NNAV</v>
          </cell>
          <cell r="K66" t="str">
            <v>E653</v>
          </cell>
          <cell r="L66" t="str">
            <v>ATOM03</v>
          </cell>
          <cell r="P66">
            <v>5</v>
          </cell>
          <cell r="R66">
            <v>1</v>
          </cell>
          <cell r="S66">
            <v>0.2</v>
          </cell>
          <cell r="U66">
            <v>0</v>
          </cell>
          <cell r="V66">
            <v>1</v>
          </cell>
          <cell r="W66">
            <v>0</v>
          </cell>
          <cell r="X66" t="str">
            <v>No</v>
          </cell>
          <cell r="Z66" t="str">
            <v/>
          </cell>
          <cell r="AA66" t="str">
            <v>PAIR</v>
          </cell>
          <cell r="AB66">
            <v>0</v>
          </cell>
          <cell r="AC66" t="str">
            <v>30000145</v>
          </cell>
          <cell r="AD66" t="str">
            <v>PAIR</v>
          </cell>
        </row>
        <row r="67">
          <cell r="D67" t="str">
            <v>30000146</v>
          </cell>
          <cell r="E67" t="str">
            <v>7402955</v>
          </cell>
          <cell r="F67" t="str">
            <v>GUMBOOTS MET GUARD 024 SIZE 7</v>
          </cell>
          <cell r="J67" t="str">
            <v>NNAV</v>
          </cell>
          <cell r="K67" t="str">
            <v>E653</v>
          </cell>
          <cell r="L67" t="str">
            <v>ATOM03</v>
          </cell>
          <cell r="P67">
            <v>20</v>
          </cell>
          <cell r="R67">
            <v>16</v>
          </cell>
          <cell r="S67">
            <v>0.8</v>
          </cell>
          <cell r="U67">
            <v>0</v>
          </cell>
          <cell r="V67">
            <v>16</v>
          </cell>
          <cell r="W67">
            <v>0</v>
          </cell>
          <cell r="X67" t="str">
            <v>No</v>
          </cell>
          <cell r="Z67" t="str">
            <v/>
          </cell>
          <cell r="AA67" t="str">
            <v>PAIR</v>
          </cell>
          <cell r="AB67">
            <v>0</v>
          </cell>
          <cell r="AC67" t="str">
            <v>30000146</v>
          </cell>
          <cell r="AD67" t="str">
            <v>PAIR</v>
          </cell>
        </row>
        <row r="68">
          <cell r="D68" t="str">
            <v>30000147</v>
          </cell>
          <cell r="E68" t="str">
            <v>7402960</v>
          </cell>
          <cell r="F68" t="str">
            <v>GUMBOOTS MET GUARD 024 SIZE 8</v>
          </cell>
          <cell r="J68" t="str">
            <v>NNAV</v>
          </cell>
          <cell r="K68" t="str">
            <v>E653</v>
          </cell>
          <cell r="L68" t="str">
            <v>ATOM03</v>
          </cell>
          <cell r="P68">
            <v>35</v>
          </cell>
          <cell r="R68">
            <v>18</v>
          </cell>
          <cell r="S68">
            <v>0.51428571428571423</v>
          </cell>
          <cell r="U68">
            <v>0</v>
          </cell>
          <cell r="V68">
            <v>18</v>
          </cell>
          <cell r="W68">
            <v>0</v>
          </cell>
          <cell r="X68" t="str">
            <v>No</v>
          </cell>
          <cell r="Z68" t="str">
            <v/>
          </cell>
          <cell r="AA68" t="str">
            <v>PAIR</v>
          </cell>
          <cell r="AB68">
            <v>0</v>
          </cell>
          <cell r="AC68" t="str">
            <v>30000147</v>
          </cell>
          <cell r="AD68" t="str">
            <v>PAIR</v>
          </cell>
        </row>
        <row r="69">
          <cell r="D69" t="str">
            <v>30000148</v>
          </cell>
          <cell r="E69" t="str">
            <v>7402965</v>
          </cell>
          <cell r="F69" t="str">
            <v>GUMBOOTS MET GUARD 024 SIZE 9</v>
          </cell>
          <cell r="J69" t="str">
            <v>NNAV</v>
          </cell>
          <cell r="K69" t="str">
            <v>E653</v>
          </cell>
          <cell r="L69" t="str">
            <v>ATOM03</v>
          </cell>
          <cell r="P69">
            <v>35</v>
          </cell>
          <cell r="R69">
            <v>17</v>
          </cell>
          <cell r="S69">
            <v>0.48571428571428571</v>
          </cell>
          <cell r="U69">
            <v>0</v>
          </cell>
          <cell r="V69">
            <v>17</v>
          </cell>
          <cell r="W69">
            <v>0</v>
          </cell>
          <cell r="X69" t="str">
            <v>No</v>
          </cell>
          <cell r="Z69" t="str">
            <v/>
          </cell>
          <cell r="AA69" t="str">
            <v>PAIR</v>
          </cell>
          <cell r="AB69">
            <v>0</v>
          </cell>
          <cell r="AC69" t="str">
            <v>30000148</v>
          </cell>
          <cell r="AD69" t="str">
            <v>PAIR</v>
          </cell>
        </row>
        <row r="70">
          <cell r="D70" t="str">
            <v>40045926</v>
          </cell>
          <cell r="E70" t="str">
            <v>7403220</v>
          </cell>
          <cell r="F70" t="str">
            <v>HARNESS DURAFLEX M1020283 M</v>
          </cell>
          <cell r="J70" t="str">
            <v>NNAV</v>
          </cell>
          <cell r="K70" t="str">
            <v>E653</v>
          </cell>
          <cell r="L70" t="str">
            <v>ATOM03</v>
          </cell>
          <cell r="P70">
            <v>5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No</v>
          </cell>
          <cell r="Z70" t="str">
            <v/>
          </cell>
          <cell r="AA70" t="str">
            <v>EACH</v>
          </cell>
          <cell r="AB70">
            <v>0</v>
          </cell>
          <cell r="AC70" t="str">
            <v>40045926</v>
          </cell>
          <cell r="AD70" t="str">
            <v>EACH</v>
          </cell>
        </row>
        <row r="71">
          <cell r="D71" t="str">
            <v>40045927</v>
          </cell>
          <cell r="E71" t="str">
            <v>7403225</v>
          </cell>
          <cell r="F71" t="str">
            <v>HARNESS DURAFLEX M1020284 L</v>
          </cell>
          <cell r="J71" t="str">
            <v>NNAV</v>
          </cell>
          <cell r="K71" t="str">
            <v>E653</v>
          </cell>
          <cell r="L71" t="str">
            <v>ATOM03</v>
          </cell>
          <cell r="P71">
            <v>5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No</v>
          </cell>
          <cell r="Z71" t="str">
            <v/>
          </cell>
          <cell r="AA71" t="str">
            <v>EACH</v>
          </cell>
          <cell r="AB71">
            <v>0</v>
          </cell>
          <cell r="AC71" t="str">
            <v>40045927</v>
          </cell>
          <cell r="AD71" t="str">
            <v>EACH</v>
          </cell>
        </row>
        <row r="72">
          <cell r="D72" t="str">
            <v>40045929</v>
          </cell>
          <cell r="E72" t="str">
            <v>7403230</v>
          </cell>
          <cell r="F72" t="str">
            <v>HARNESS DURAFLEX M1020285 XL</v>
          </cell>
          <cell r="J72" t="str">
            <v>NNAV</v>
          </cell>
          <cell r="K72" t="str">
            <v>E653</v>
          </cell>
          <cell r="L72" t="str">
            <v>ATOM03</v>
          </cell>
          <cell r="P72">
            <v>5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No</v>
          </cell>
          <cell r="Z72" t="str">
            <v/>
          </cell>
          <cell r="AA72" t="str">
            <v>EACH</v>
          </cell>
          <cell r="AB72">
            <v>0</v>
          </cell>
          <cell r="AC72" t="str">
            <v>40045929</v>
          </cell>
          <cell r="AD72" t="str">
            <v>EACH</v>
          </cell>
        </row>
        <row r="73">
          <cell r="D73" t="str">
            <v>40045930</v>
          </cell>
          <cell r="E73" t="str">
            <v>7403235</v>
          </cell>
          <cell r="F73" t="str">
            <v>HARNESS DURAFLEX M1020286 2XL</v>
          </cell>
          <cell r="J73" t="str">
            <v>NNAV</v>
          </cell>
          <cell r="K73" t="str">
            <v>E653</v>
          </cell>
          <cell r="L73" t="str">
            <v>ATOM03</v>
          </cell>
          <cell r="P73">
            <v>5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No</v>
          </cell>
          <cell r="Z73" t="str">
            <v/>
          </cell>
          <cell r="AA73" t="str">
            <v>EACH</v>
          </cell>
          <cell r="AB73">
            <v>0</v>
          </cell>
          <cell r="AC73" t="str">
            <v>40045930</v>
          </cell>
          <cell r="AD73" t="str">
            <v>EACH</v>
          </cell>
        </row>
        <row r="74">
          <cell r="D74" t="str">
            <v>40025724</v>
          </cell>
          <cell r="E74" t="str">
            <v>7403275</v>
          </cell>
          <cell r="F74" t="str">
            <v>HAT HARD WHT UNVENT FULL BRIM</v>
          </cell>
          <cell r="J74" t="str">
            <v>NNAV</v>
          </cell>
          <cell r="K74" t="str">
            <v>E653</v>
          </cell>
          <cell r="L74" t="str">
            <v>ATOM03</v>
          </cell>
          <cell r="P74">
            <v>120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No</v>
          </cell>
          <cell r="Z74" t="str">
            <v/>
          </cell>
          <cell r="AA74" t="str">
            <v>EACH</v>
          </cell>
          <cell r="AB74">
            <v>0</v>
          </cell>
          <cell r="AC74" t="str">
            <v>40025724</v>
          </cell>
          <cell r="AD74" t="str">
            <v>EACH</v>
          </cell>
        </row>
        <row r="75">
          <cell r="D75" t="str">
            <v>55010170</v>
          </cell>
          <cell r="E75" t="str">
            <v>1676800</v>
          </cell>
          <cell r="F75" t="str">
            <v>JACKET WET WEATHER PVC YEL LRG</v>
          </cell>
          <cell r="J75" t="str">
            <v>NNAV</v>
          </cell>
          <cell r="K75" t="str">
            <v>E653</v>
          </cell>
          <cell r="L75" t="str">
            <v>ATOM03</v>
          </cell>
          <cell r="P75">
            <v>40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No</v>
          </cell>
          <cell r="Z75" t="str">
            <v/>
          </cell>
          <cell r="AA75" t="str">
            <v>EACH</v>
          </cell>
          <cell r="AB75">
            <v>0</v>
          </cell>
          <cell r="AC75" t="str">
            <v>55010170</v>
          </cell>
          <cell r="AD75" t="str">
            <v>EACH</v>
          </cell>
        </row>
        <row r="76">
          <cell r="D76" t="str">
            <v>55010160</v>
          </cell>
          <cell r="E76" t="str">
            <v>1676795</v>
          </cell>
          <cell r="F76" t="str">
            <v>JACKET WET WEATHER PVC YEL MED</v>
          </cell>
          <cell r="J76" t="str">
            <v>NNAV</v>
          </cell>
          <cell r="K76" t="str">
            <v>E653</v>
          </cell>
          <cell r="L76" t="str">
            <v>ATOM03</v>
          </cell>
          <cell r="P76">
            <v>20</v>
          </cell>
          <cell r="R76">
            <v>0</v>
          </cell>
          <cell r="S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No</v>
          </cell>
          <cell r="Z76" t="str">
            <v/>
          </cell>
          <cell r="AA76" t="str">
            <v>EACH</v>
          </cell>
          <cell r="AB76">
            <v>0</v>
          </cell>
          <cell r="AC76" t="str">
            <v>55010160</v>
          </cell>
          <cell r="AD76" t="str">
            <v>EACH</v>
          </cell>
        </row>
        <row r="77">
          <cell r="D77" t="str">
            <v>40008029</v>
          </cell>
          <cell r="E77" t="str">
            <v>7403650</v>
          </cell>
          <cell r="F77" t="str">
            <v>LANYARD SINGLE ADJUSTABLE 2M</v>
          </cell>
          <cell r="J77" t="str">
            <v>NNAV</v>
          </cell>
          <cell r="K77" t="str">
            <v>E653</v>
          </cell>
          <cell r="L77" t="str">
            <v>ATOM03</v>
          </cell>
          <cell r="P77">
            <v>10</v>
          </cell>
          <cell r="R77">
            <v>0</v>
          </cell>
          <cell r="S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No</v>
          </cell>
          <cell r="Z77" t="str">
            <v/>
          </cell>
          <cell r="AA77" t="str">
            <v>EACH</v>
          </cell>
          <cell r="AB77">
            <v>0</v>
          </cell>
          <cell r="AC77" t="str">
            <v>40008029</v>
          </cell>
          <cell r="AD77" t="str">
            <v>EACH</v>
          </cell>
        </row>
        <row r="78">
          <cell r="D78" t="str">
            <v>4229006</v>
          </cell>
          <cell r="E78" t="str">
            <v>7403735</v>
          </cell>
          <cell r="F78" t="str">
            <v>LOCKOUT HASP 6 HOLE 25MM</v>
          </cell>
          <cell r="J78" t="str">
            <v>NNAV</v>
          </cell>
          <cell r="K78" t="str">
            <v>E653</v>
          </cell>
          <cell r="L78" t="str">
            <v>ATOM03</v>
          </cell>
          <cell r="P78">
            <v>50</v>
          </cell>
          <cell r="R78">
            <v>0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No</v>
          </cell>
          <cell r="Z78" t="str">
            <v/>
          </cell>
          <cell r="AA78" t="str">
            <v>EACH</v>
          </cell>
          <cell r="AB78">
            <v>0</v>
          </cell>
          <cell r="AC78" t="str">
            <v>4229006</v>
          </cell>
          <cell r="AD78" t="str">
            <v>EACH</v>
          </cell>
        </row>
        <row r="79">
          <cell r="D79" t="str">
            <v>91018143</v>
          </cell>
          <cell r="E79" t="str">
            <v>7404035</v>
          </cell>
          <cell r="F79" t="str">
            <v>PADLOCK LOCKOUT 38/44MM</v>
          </cell>
          <cell r="J79" t="str">
            <v>NNAV</v>
          </cell>
          <cell r="K79" t="str">
            <v>E653</v>
          </cell>
          <cell r="L79" t="str">
            <v>ATOM03</v>
          </cell>
          <cell r="P79">
            <v>50</v>
          </cell>
          <cell r="R79">
            <v>0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No</v>
          </cell>
          <cell r="Z79" t="str">
            <v/>
          </cell>
          <cell r="AA79" t="str">
            <v>EACH</v>
          </cell>
          <cell r="AB79">
            <v>0</v>
          </cell>
          <cell r="AC79" t="str">
            <v>91018143</v>
          </cell>
          <cell r="AD79" t="str">
            <v>EACH</v>
          </cell>
        </row>
        <row r="80">
          <cell r="D80" t="str">
            <v>79013181</v>
          </cell>
          <cell r="E80" t="str">
            <v>1676525</v>
          </cell>
          <cell r="F80" t="str">
            <v>PANTS CARGO NAVY COTTON 102R</v>
          </cell>
          <cell r="J80" t="str">
            <v>NNAV</v>
          </cell>
          <cell r="K80" t="str">
            <v>E653</v>
          </cell>
          <cell r="L80" t="str">
            <v>ATOM03</v>
          </cell>
          <cell r="P80">
            <v>10</v>
          </cell>
          <cell r="R80">
            <v>7</v>
          </cell>
          <cell r="S80">
            <v>0.7</v>
          </cell>
          <cell r="U80">
            <v>0</v>
          </cell>
          <cell r="V80">
            <v>7</v>
          </cell>
          <cell r="W80">
            <v>0</v>
          </cell>
          <cell r="X80" t="str">
            <v>No</v>
          </cell>
          <cell r="Z80" t="str">
            <v/>
          </cell>
          <cell r="AA80" t="str">
            <v>EACH</v>
          </cell>
          <cell r="AB80">
            <v>0</v>
          </cell>
          <cell r="AC80" t="str">
            <v>79013181</v>
          </cell>
          <cell r="AD80" t="str">
            <v>EACH</v>
          </cell>
        </row>
        <row r="81">
          <cell r="D81" t="str">
            <v>60010117</v>
          </cell>
          <cell r="E81" t="str">
            <v>1676530</v>
          </cell>
          <cell r="F81" t="str">
            <v>PANTS CARGO NAVY COTTON 107R</v>
          </cell>
          <cell r="J81" t="str">
            <v>NNAV</v>
          </cell>
          <cell r="K81" t="str">
            <v>E653</v>
          </cell>
          <cell r="L81" t="str">
            <v>ATOM03</v>
          </cell>
          <cell r="P81">
            <v>10</v>
          </cell>
          <cell r="R81">
            <v>8</v>
          </cell>
          <cell r="S81">
            <v>0.8</v>
          </cell>
          <cell r="U81">
            <v>0</v>
          </cell>
          <cell r="V81">
            <v>8</v>
          </cell>
          <cell r="W81">
            <v>0</v>
          </cell>
          <cell r="X81" t="str">
            <v>No</v>
          </cell>
          <cell r="Z81" t="str">
            <v/>
          </cell>
          <cell r="AA81" t="str">
            <v>EACH</v>
          </cell>
          <cell r="AB81">
            <v>0</v>
          </cell>
          <cell r="AC81" t="str">
            <v>60010117</v>
          </cell>
          <cell r="AD81" t="str">
            <v>EACH</v>
          </cell>
        </row>
        <row r="82">
          <cell r="D82" t="str">
            <v>60010118</v>
          </cell>
          <cell r="E82" t="str">
            <v>1676535</v>
          </cell>
          <cell r="F82" t="str">
            <v>PANTS CARGO NAVY COTTON 112R</v>
          </cell>
          <cell r="J82" t="str">
            <v>NNAV</v>
          </cell>
          <cell r="K82" t="str">
            <v>E653</v>
          </cell>
          <cell r="L82" t="str">
            <v>ATOM03</v>
          </cell>
          <cell r="P82">
            <v>10</v>
          </cell>
          <cell r="R82">
            <v>6</v>
          </cell>
          <cell r="S82">
            <v>0.6</v>
          </cell>
          <cell r="U82">
            <v>0</v>
          </cell>
          <cell r="V82">
            <v>6</v>
          </cell>
          <cell r="W82">
            <v>0</v>
          </cell>
          <cell r="X82" t="str">
            <v>No</v>
          </cell>
          <cell r="Z82" t="str">
            <v/>
          </cell>
          <cell r="AA82" t="str">
            <v>EACH</v>
          </cell>
          <cell r="AB82">
            <v>0</v>
          </cell>
          <cell r="AC82" t="str">
            <v>60010118</v>
          </cell>
          <cell r="AD82" t="str">
            <v>EACH</v>
          </cell>
        </row>
        <row r="83">
          <cell r="D83" t="str">
            <v>79013182</v>
          </cell>
          <cell r="E83" t="str">
            <v>1676540</v>
          </cell>
          <cell r="F83" t="str">
            <v>PANTS CARGO NAVY COTTON 77R</v>
          </cell>
          <cell r="J83" t="str">
            <v>NNAV</v>
          </cell>
          <cell r="K83" t="str">
            <v>E653</v>
          </cell>
          <cell r="L83" t="str">
            <v>ATOM03</v>
          </cell>
          <cell r="P83">
            <v>10</v>
          </cell>
          <cell r="R83">
            <v>6</v>
          </cell>
          <cell r="S83">
            <v>0.6</v>
          </cell>
          <cell r="U83">
            <v>0</v>
          </cell>
          <cell r="V83">
            <v>6</v>
          </cell>
          <cell r="W83">
            <v>0</v>
          </cell>
          <cell r="X83" t="str">
            <v>No</v>
          </cell>
          <cell r="Z83" t="str">
            <v/>
          </cell>
          <cell r="AA83" t="str">
            <v>EACH</v>
          </cell>
          <cell r="AB83">
            <v>0</v>
          </cell>
          <cell r="AC83" t="str">
            <v>79013182</v>
          </cell>
          <cell r="AD83" t="str">
            <v>EACH</v>
          </cell>
        </row>
        <row r="84">
          <cell r="D84" t="str">
            <v>79013185</v>
          </cell>
          <cell r="E84" t="str">
            <v>1676545</v>
          </cell>
          <cell r="F84" t="str">
            <v>PANTS CARGO NAVY COTTON 82R</v>
          </cell>
          <cell r="J84" t="str">
            <v>NNAV</v>
          </cell>
          <cell r="K84" t="str">
            <v>E653</v>
          </cell>
          <cell r="L84" t="str">
            <v>ATOM03</v>
          </cell>
          <cell r="P84">
            <v>20</v>
          </cell>
          <cell r="R84">
            <v>9</v>
          </cell>
          <cell r="S84">
            <v>0.45</v>
          </cell>
          <cell r="U84">
            <v>0</v>
          </cell>
          <cell r="V84">
            <v>9</v>
          </cell>
          <cell r="W84">
            <v>0</v>
          </cell>
          <cell r="X84" t="str">
            <v>No</v>
          </cell>
          <cell r="Z84" t="str">
            <v/>
          </cell>
          <cell r="AA84" t="str">
            <v>EACH</v>
          </cell>
          <cell r="AB84">
            <v>0</v>
          </cell>
          <cell r="AC84" t="str">
            <v>79013185</v>
          </cell>
          <cell r="AD84" t="str">
            <v>EACH</v>
          </cell>
        </row>
        <row r="85">
          <cell r="D85" t="str">
            <v>79013186</v>
          </cell>
          <cell r="E85" t="str">
            <v>1676550</v>
          </cell>
          <cell r="F85" t="str">
            <v>PANTS CARGO NAVY COTTON 87R</v>
          </cell>
          <cell r="J85" t="str">
            <v>NNAV</v>
          </cell>
          <cell r="K85" t="str">
            <v>E653</v>
          </cell>
          <cell r="L85" t="str">
            <v>ATOM03</v>
          </cell>
          <cell r="P85">
            <v>30</v>
          </cell>
          <cell r="R85">
            <v>13</v>
          </cell>
          <cell r="S85">
            <v>0.43333333333333335</v>
          </cell>
          <cell r="U85">
            <v>0</v>
          </cell>
          <cell r="V85">
            <v>13</v>
          </cell>
          <cell r="W85">
            <v>0</v>
          </cell>
          <cell r="X85" t="str">
            <v>No</v>
          </cell>
          <cell r="Z85" t="str">
            <v/>
          </cell>
          <cell r="AA85" t="str">
            <v>EACH</v>
          </cell>
          <cell r="AB85">
            <v>0</v>
          </cell>
          <cell r="AC85" t="str">
            <v>79013186</v>
          </cell>
          <cell r="AD85" t="str">
            <v>EACH</v>
          </cell>
        </row>
        <row r="86">
          <cell r="D86" t="str">
            <v>79013187</v>
          </cell>
          <cell r="E86" t="str">
            <v>1676555</v>
          </cell>
          <cell r="F86" t="str">
            <v>PANTS CARGO NAVY COTTON 92R</v>
          </cell>
          <cell r="J86" t="str">
            <v>NNAV</v>
          </cell>
          <cell r="K86" t="str">
            <v>E653</v>
          </cell>
          <cell r="L86" t="str">
            <v>ATOM03</v>
          </cell>
          <cell r="P86">
            <v>30</v>
          </cell>
          <cell r="R86">
            <v>1</v>
          </cell>
          <cell r="S86">
            <v>3.3333333333333333E-2</v>
          </cell>
          <cell r="U86">
            <v>0</v>
          </cell>
          <cell r="V86">
            <v>1</v>
          </cell>
          <cell r="W86">
            <v>0</v>
          </cell>
          <cell r="X86" t="str">
            <v>No</v>
          </cell>
          <cell r="Z86" t="str">
            <v/>
          </cell>
          <cell r="AA86" t="str">
            <v>EACH</v>
          </cell>
          <cell r="AB86">
            <v>0</v>
          </cell>
          <cell r="AC86" t="str">
            <v>79013187</v>
          </cell>
          <cell r="AD86" t="str">
            <v>EACH</v>
          </cell>
        </row>
        <row r="87">
          <cell r="D87" t="str">
            <v>90012148</v>
          </cell>
          <cell r="E87" t="str">
            <v>1676560</v>
          </cell>
          <cell r="F87" t="str">
            <v>PANTS CARGO NAVY COTTON 97R</v>
          </cell>
          <cell r="J87" t="str">
            <v>NNAV</v>
          </cell>
          <cell r="K87" t="str">
            <v>E653</v>
          </cell>
          <cell r="L87" t="str">
            <v>ATOM03</v>
          </cell>
          <cell r="P87">
            <v>20</v>
          </cell>
          <cell r="R87">
            <v>7</v>
          </cell>
          <cell r="S87">
            <v>0.35</v>
          </cell>
          <cell r="U87">
            <v>0</v>
          </cell>
          <cell r="V87">
            <v>7</v>
          </cell>
          <cell r="W87">
            <v>0</v>
          </cell>
          <cell r="X87" t="str">
            <v>No</v>
          </cell>
          <cell r="Z87" t="str">
            <v/>
          </cell>
          <cell r="AA87" t="str">
            <v>EACH</v>
          </cell>
          <cell r="AB87">
            <v>0</v>
          </cell>
          <cell r="AC87" t="str">
            <v>90012148</v>
          </cell>
          <cell r="AD87" t="str">
            <v>EACH</v>
          </cell>
        </row>
        <row r="88">
          <cell r="D88" t="str">
            <v>55010060</v>
          </cell>
          <cell r="E88" t="str">
            <v>1676840</v>
          </cell>
          <cell r="F88" t="str">
            <v>PANTS WET WEATHER PVC YEL LRG</v>
          </cell>
          <cell r="J88" t="str">
            <v>NNAV</v>
          </cell>
          <cell r="K88" t="str">
            <v>E653</v>
          </cell>
          <cell r="L88" t="str">
            <v>ATOM03</v>
          </cell>
          <cell r="P88">
            <v>40</v>
          </cell>
          <cell r="R88">
            <v>30</v>
          </cell>
          <cell r="S88">
            <v>0.75</v>
          </cell>
          <cell r="U88">
            <v>0</v>
          </cell>
          <cell r="V88">
            <v>30</v>
          </cell>
          <cell r="W88">
            <v>0</v>
          </cell>
          <cell r="X88" t="str">
            <v>No</v>
          </cell>
          <cell r="Z88" t="str">
            <v/>
          </cell>
          <cell r="AA88" t="str">
            <v>EACH</v>
          </cell>
          <cell r="AB88">
            <v>0</v>
          </cell>
          <cell r="AC88" t="str">
            <v>55010060</v>
          </cell>
          <cell r="AD88" t="str">
            <v>EACH</v>
          </cell>
        </row>
        <row r="89">
          <cell r="D89" t="str">
            <v>55010055</v>
          </cell>
          <cell r="E89" t="str">
            <v>1676835</v>
          </cell>
          <cell r="F89" t="str">
            <v>PANTS WET WEATHER PVC YEL MED</v>
          </cell>
          <cell r="J89" t="str">
            <v>NNAV</v>
          </cell>
          <cell r="K89" t="str">
            <v>E653</v>
          </cell>
          <cell r="L89" t="str">
            <v>ATOM03</v>
          </cell>
          <cell r="P89">
            <v>20</v>
          </cell>
          <cell r="R89">
            <v>18</v>
          </cell>
          <cell r="S89">
            <v>0.9</v>
          </cell>
          <cell r="U89">
            <v>0</v>
          </cell>
          <cell r="V89">
            <v>18</v>
          </cell>
          <cell r="W89">
            <v>0</v>
          </cell>
          <cell r="X89" t="str">
            <v>No</v>
          </cell>
          <cell r="Z89" t="str">
            <v/>
          </cell>
          <cell r="AA89" t="str">
            <v>EACH</v>
          </cell>
          <cell r="AB89">
            <v>0</v>
          </cell>
          <cell r="AC89" t="str">
            <v>55010055</v>
          </cell>
          <cell r="AD89" t="str">
            <v>EACH</v>
          </cell>
        </row>
        <row r="90">
          <cell r="D90" t="str">
            <v>160858</v>
          </cell>
          <cell r="E90" t="str">
            <v>7404360</v>
          </cell>
          <cell r="F90" t="str">
            <v>PRUNER ANVIL LIME GREEN</v>
          </cell>
          <cell r="J90" t="str">
            <v>NNAV</v>
          </cell>
          <cell r="K90" t="str">
            <v>E653</v>
          </cell>
          <cell r="L90" t="str">
            <v>ATOM03</v>
          </cell>
          <cell r="P90">
            <v>20</v>
          </cell>
          <cell r="R90">
            <v>0</v>
          </cell>
          <cell r="S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No</v>
          </cell>
          <cell r="Z90" t="str">
            <v/>
          </cell>
          <cell r="AA90" t="str">
            <v>EACH</v>
          </cell>
          <cell r="AB90">
            <v>0</v>
          </cell>
          <cell r="AC90" t="str">
            <v>160858</v>
          </cell>
          <cell r="AD90" t="str">
            <v>EACH</v>
          </cell>
        </row>
        <row r="91">
          <cell r="D91" t="str">
            <v>5301101</v>
          </cell>
          <cell r="E91" t="str">
            <v>7404510</v>
          </cell>
          <cell r="F91" t="str">
            <v>RAG COTTON LIGHT/HEAVY 15KG</v>
          </cell>
          <cell r="J91" t="str">
            <v>NNAV</v>
          </cell>
          <cell r="K91" t="str">
            <v>E653</v>
          </cell>
          <cell r="L91" t="str">
            <v>ATOM03</v>
          </cell>
          <cell r="P91">
            <v>50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No</v>
          </cell>
          <cell r="Z91" t="str">
            <v/>
          </cell>
          <cell r="AA91" t="str">
            <v>EACH</v>
          </cell>
          <cell r="AB91">
            <v>0</v>
          </cell>
          <cell r="AC91" t="str">
            <v>5301101</v>
          </cell>
          <cell r="AD91" t="str">
            <v>EACH</v>
          </cell>
        </row>
        <row r="92">
          <cell r="D92" t="str">
            <v>36003893</v>
          </cell>
          <cell r="E92" t="str">
            <v>7404595</v>
          </cell>
          <cell r="F92" t="str">
            <v>3M RESPIRATOR DISP MASK P2 PK 10</v>
          </cell>
          <cell r="J92" t="str">
            <v>NNAV</v>
          </cell>
          <cell r="K92" t="str">
            <v>E653</v>
          </cell>
          <cell r="L92" t="str">
            <v>ATOM03</v>
          </cell>
          <cell r="P92">
            <v>100</v>
          </cell>
          <cell r="R92">
            <v>0</v>
          </cell>
          <cell r="S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No</v>
          </cell>
          <cell r="Z92" t="str">
            <v/>
          </cell>
          <cell r="AA92" t="str">
            <v>BOX</v>
          </cell>
          <cell r="AB92">
            <v>0</v>
          </cell>
          <cell r="AC92" t="str">
            <v>36003893</v>
          </cell>
          <cell r="AD92" t="str">
            <v>BOX</v>
          </cell>
        </row>
        <row r="93">
          <cell r="D93" t="str">
            <v>90100233</v>
          </cell>
          <cell r="E93" t="str">
            <v>7404615</v>
          </cell>
          <cell r="F93" t="str">
            <v>3M RESPIRATOR FULL FACE 6980 L</v>
          </cell>
          <cell r="J93" t="str">
            <v>NNAV</v>
          </cell>
          <cell r="K93" t="str">
            <v>E653</v>
          </cell>
          <cell r="L93" t="str">
            <v>ATOM03</v>
          </cell>
          <cell r="P93">
            <v>8</v>
          </cell>
          <cell r="R93">
            <v>0</v>
          </cell>
          <cell r="S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No</v>
          </cell>
          <cell r="Z93" t="str">
            <v/>
          </cell>
          <cell r="AA93" t="str">
            <v>EACH</v>
          </cell>
          <cell r="AB93">
            <v>0</v>
          </cell>
          <cell r="AC93" t="str">
            <v>90100233</v>
          </cell>
          <cell r="AD93" t="str">
            <v>EACH</v>
          </cell>
        </row>
        <row r="94">
          <cell r="D94" t="str">
            <v>90100232</v>
          </cell>
          <cell r="E94" t="str">
            <v>7404620</v>
          </cell>
          <cell r="F94" t="str">
            <v>3M RESPIRATOR FULL FACE 6800 M</v>
          </cell>
          <cell r="J94" t="str">
            <v>NNAV</v>
          </cell>
          <cell r="K94" t="str">
            <v>E653</v>
          </cell>
          <cell r="L94" t="str">
            <v>ATOM03</v>
          </cell>
          <cell r="P94">
            <v>8</v>
          </cell>
          <cell r="R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No</v>
          </cell>
          <cell r="Z94" t="str">
            <v/>
          </cell>
          <cell r="AA94" t="str">
            <v>EACH</v>
          </cell>
          <cell r="AB94">
            <v>0</v>
          </cell>
          <cell r="AC94" t="str">
            <v>90100232</v>
          </cell>
          <cell r="AD94" t="str">
            <v>EACH</v>
          </cell>
        </row>
        <row r="95">
          <cell r="D95" t="str">
            <v>90100128</v>
          </cell>
          <cell r="E95" t="str">
            <v>7404630</v>
          </cell>
          <cell r="F95" t="str">
            <v>3M RESPIRATOR HALF FACE MASK DUAL</v>
          </cell>
          <cell r="J95" t="str">
            <v>NNAV</v>
          </cell>
          <cell r="K95" t="str">
            <v>E653</v>
          </cell>
          <cell r="L95" t="str">
            <v>ATOM03</v>
          </cell>
          <cell r="P95">
            <v>8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No</v>
          </cell>
          <cell r="Z95" t="str">
            <v/>
          </cell>
          <cell r="AA95" t="str">
            <v>EACH</v>
          </cell>
          <cell r="AB95">
            <v>0</v>
          </cell>
          <cell r="AC95" t="str">
            <v>90100128</v>
          </cell>
          <cell r="AD95" t="str">
            <v>EACH</v>
          </cell>
        </row>
        <row r="96">
          <cell r="D96" t="str">
            <v>90100185</v>
          </cell>
          <cell r="E96" t="str">
            <v>7404635</v>
          </cell>
          <cell r="F96" t="str">
            <v>3M RESPIRATOR HALF FACE MASK DUAL</v>
          </cell>
          <cell r="J96" t="str">
            <v>NNAV</v>
          </cell>
          <cell r="K96" t="str">
            <v>E653</v>
          </cell>
          <cell r="L96" t="str">
            <v>ATOM03</v>
          </cell>
          <cell r="P96">
            <v>8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No</v>
          </cell>
          <cell r="Z96" t="str">
            <v/>
          </cell>
          <cell r="AA96" t="str">
            <v>EACH</v>
          </cell>
          <cell r="AB96">
            <v>0</v>
          </cell>
          <cell r="AC96" t="str">
            <v>90100185</v>
          </cell>
          <cell r="AD96" t="str">
            <v>EACH</v>
          </cell>
        </row>
        <row r="97">
          <cell r="D97" t="str">
            <v>81003080</v>
          </cell>
          <cell r="E97" t="str">
            <v>7404640</v>
          </cell>
          <cell r="F97" t="str">
            <v>RESPIRATOR HALF FACE SINGLE</v>
          </cell>
          <cell r="J97" t="str">
            <v>NNAV</v>
          </cell>
          <cell r="K97" t="str">
            <v>E653</v>
          </cell>
          <cell r="L97" t="str">
            <v>ATOM03</v>
          </cell>
          <cell r="P97">
            <v>50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No</v>
          </cell>
          <cell r="Z97" t="str">
            <v/>
          </cell>
          <cell r="AA97" t="str">
            <v>EACH</v>
          </cell>
          <cell r="AB97">
            <v>0</v>
          </cell>
          <cell r="AC97" t="str">
            <v>81003080</v>
          </cell>
          <cell r="AD97" t="str">
            <v>EACH</v>
          </cell>
        </row>
        <row r="98">
          <cell r="D98" t="str">
            <v>40046857</v>
          </cell>
          <cell r="E98" t="str">
            <v>1673785</v>
          </cell>
          <cell r="F98" t="str">
            <v>SHIRT HI VIS L/S L/W YL/NA 2XL</v>
          </cell>
          <cell r="J98" t="str">
            <v>NNAV</v>
          </cell>
          <cell r="K98" t="str">
            <v>E653</v>
          </cell>
          <cell r="L98" t="str">
            <v>ATOM03</v>
          </cell>
          <cell r="P98">
            <v>10</v>
          </cell>
          <cell r="R98">
            <v>8</v>
          </cell>
          <cell r="S98">
            <v>0.8</v>
          </cell>
          <cell r="U98">
            <v>0</v>
          </cell>
          <cell r="V98">
            <v>8</v>
          </cell>
          <cell r="W98">
            <v>0</v>
          </cell>
          <cell r="X98" t="str">
            <v>No</v>
          </cell>
          <cell r="Z98" t="str">
            <v/>
          </cell>
          <cell r="AA98" t="str">
            <v>EACH</v>
          </cell>
          <cell r="AB98">
            <v>0</v>
          </cell>
          <cell r="AC98" t="str">
            <v>40046857</v>
          </cell>
          <cell r="AD98" t="str">
            <v>EACH</v>
          </cell>
        </row>
        <row r="99">
          <cell r="D99" t="str">
            <v>40046858</v>
          </cell>
          <cell r="E99" t="str">
            <v>1673760</v>
          </cell>
          <cell r="F99" t="str">
            <v>SHIRT HI VIS L/S L/W YL/NA 3XL</v>
          </cell>
          <cell r="J99" t="str">
            <v>NNAV</v>
          </cell>
          <cell r="K99" t="str">
            <v>E653</v>
          </cell>
          <cell r="L99" t="str">
            <v>ATOM03</v>
          </cell>
          <cell r="P99">
            <v>10</v>
          </cell>
          <cell r="R99">
            <v>5</v>
          </cell>
          <cell r="S99">
            <v>0.5</v>
          </cell>
          <cell r="U99">
            <v>0</v>
          </cell>
          <cell r="V99">
            <v>5</v>
          </cell>
          <cell r="W99">
            <v>0</v>
          </cell>
          <cell r="X99" t="str">
            <v>No</v>
          </cell>
          <cell r="Z99" t="str">
            <v/>
          </cell>
          <cell r="AA99" t="str">
            <v>EACH</v>
          </cell>
          <cell r="AB99">
            <v>0</v>
          </cell>
          <cell r="AC99" t="str">
            <v>40046858</v>
          </cell>
          <cell r="AD99" t="str">
            <v>EACH</v>
          </cell>
        </row>
        <row r="100">
          <cell r="D100" t="str">
            <v>40046855</v>
          </cell>
          <cell r="E100" t="str">
            <v>1673780</v>
          </cell>
          <cell r="F100" t="str">
            <v>SHIRT HI VIS L/S L/W YL/NA LRG</v>
          </cell>
          <cell r="J100" t="str">
            <v>NNAV</v>
          </cell>
          <cell r="K100" t="str">
            <v>E653</v>
          </cell>
          <cell r="L100" t="str">
            <v>ATOM03</v>
          </cell>
          <cell r="P100">
            <v>30</v>
          </cell>
          <cell r="R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No</v>
          </cell>
          <cell r="Z100" t="str">
            <v/>
          </cell>
          <cell r="AA100" t="str">
            <v>EACH</v>
          </cell>
          <cell r="AB100">
            <v>0</v>
          </cell>
          <cell r="AC100" t="str">
            <v>40046855</v>
          </cell>
          <cell r="AD100" t="str">
            <v>EACH</v>
          </cell>
        </row>
        <row r="101">
          <cell r="D101" t="str">
            <v>40046854</v>
          </cell>
          <cell r="E101" t="str">
            <v>1673790</v>
          </cell>
          <cell r="F101" t="str">
            <v>SHIRT HI VIS L/S L/W YL/NA MED</v>
          </cell>
          <cell r="J101" t="str">
            <v>NNAV</v>
          </cell>
          <cell r="K101" t="str">
            <v>E653</v>
          </cell>
          <cell r="L101" t="str">
            <v>ATOM03</v>
          </cell>
          <cell r="P101">
            <v>10</v>
          </cell>
          <cell r="R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No</v>
          </cell>
          <cell r="Z101" t="str">
            <v/>
          </cell>
          <cell r="AA101" t="str">
            <v>EACH</v>
          </cell>
          <cell r="AB101">
            <v>0</v>
          </cell>
          <cell r="AC101" t="str">
            <v>40046854</v>
          </cell>
          <cell r="AD101" t="str">
            <v>EACH</v>
          </cell>
        </row>
        <row r="102">
          <cell r="D102" t="str">
            <v>40046853</v>
          </cell>
          <cell r="E102" t="str">
            <v>1673795</v>
          </cell>
          <cell r="F102" t="str">
            <v>SHIRT HI VIS L/S L/W YL/NA SML</v>
          </cell>
          <cell r="J102" t="str">
            <v>NNAV</v>
          </cell>
          <cell r="K102" t="str">
            <v>E653</v>
          </cell>
          <cell r="L102" t="str">
            <v>ATOM03</v>
          </cell>
          <cell r="P102">
            <v>10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No</v>
          </cell>
          <cell r="Z102" t="str">
            <v/>
          </cell>
          <cell r="AA102" t="str">
            <v>EACH</v>
          </cell>
          <cell r="AB102">
            <v>0</v>
          </cell>
          <cell r="AC102" t="str">
            <v>40046853</v>
          </cell>
          <cell r="AD102" t="str">
            <v>EACH</v>
          </cell>
        </row>
        <row r="103">
          <cell r="D103" t="str">
            <v>40046856</v>
          </cell>
          <cell r="E103" t="str">
            <v>1673800</v>
          </cell>
          <cell r="F103" t="str">
            <v>SHIRT HI VIS L/S L/W YL/NA XL  BS6696T</v>
          </cell>
          <cell r="J103" t="str">
            <v>NNAV</v>
          </cell>
          <cell r="K103" t="str">
            <v>E653</v>
          </cell>
          <cell r="L103" t="str">
            <v>ATOM03</v>
          </cell>
          <cell r="P103">
            <v>30</v>
          </cell>
          <cell r="R103">
            <v>4</v>
          </cell>
          <cell r="S103">
            <v>0.13333333333333333</v>
          </cell>
          <cell r="U103">
            <v>0</v>
          </cell>
          <cell r="V103">
            <v>4</v>
          </cell>
          <cell r="W103">
            <v>0</v>
          </cell>
          <cell r="X103" t="str">
            <v>No</v>
          </cell>
          <cell r="Z103" t="str">
            <v/>
          </cell>
          <cell r="AA103" t="str">
            <v>EACH</v>
          </cell>
          <cell r="AB103">
            <v>0</v>
          </cell>
          <cell r="AC103" t="str">
            <v>40046856</v>
          </cell>
          <cell r="AD103" t="str">
            <v>EACH</v>
          </cell>
        </row>
        <row r="104">
          <cell r="D104" t="str">
            <v>40047106</v>
          </cell>
          <cell r="E104" t="str">
            <v>1674980</v>
          </cell>
          <cell r="F104" t="str">
            <v xml:space="preserve">SHIRT HI VIS TAPE YEL/NAV XL  BT6456 </v>
          </cell>
          <cell r="J104" t="str">
            <v>NNAV</v>
          </cell>
          <cell r="K104" t="str">
            <v>E653</v>
          </cell>
          <cell r="L104" t="str">
            <v>ATOM03</v>
          </cell>
          <cell r="P104">
            <v>1</v>
          </cell>
          <cell r="R104">
            <v>9</v>
          </cell>
          <cell r="S104">
            <v>9</v>
          </cell>
          <cell r="U104">
            <v>0</v>
          </cell>
          <cell r="V104">
            <v>9</v>
          </cell>
          <cell r="W104">
            <v>0</v>
          </cell>
          <cell r="X104" t="str">
            <v>No</v>
          </cell>
          <cell r="Z104" t="str">
            <v/>
          </cell>
          <cell r="AA104" t="str">
            <v>EACH</v>
          </cell>
          <cell r="AB104">
            <v>0</v>
          </cell>
          <cell r="AC104" t="str">
            <v>40047106</v>
          </cell>
          <cell r="AD104" t="str">
            <v>EACH</v>
          </cell>
        </row>
        <row r="105">
          <cell r="D105" t="str">
            <v>90030090</v>
          </cell>
          <cell r="E105" t="str">
            <v>Special Item</v>
          </cell>
          <cell r="F105" t="str">
            <v>SIGN EMERGENCY SHOWER AND EYE</v>
          </cell>
          <cell r="J105" t="str">
            <v>NNAV</v>
          </cell>
          <cell r="K105" t="str">
            <v>E653</v>
          </cell>
          <cell r="L105" t="str">
            <v>ATOM03</v>
          </cell>
          <cell r="P105">
            <v>6</v>
          </cell>
          <cell r="R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No</v>
          </cell>
          <cell r="Z105" t="str">
            <v/>
          </cell>
          <cell r="AA105" t="str">
            <v>EACH</v>
          </cell>
          <cell r="AB105">
            <v>0</v>
          </cell>
          <cell r="AC105" t="str">
            <v>90030090</v>
          </cell>
          <cell r="AD105" t="str">
            <v>EACH</v>
          </cell>
        </row>
        <row r="106">
          <cell r="D106" t="str">
            <v>31770001</v>
          </cell>
          <cell r="E106" t="str">
            <v>7405125</v>
          </cell>
          <cell r="F106" t="str">
            <v>SOCKET SET + FLEXIBLE HANDLE</v>
          </cell>
          <cell r="J106" t="str">
            <v>NNAV</v>
          </cell>
          <cell r="K106" t="str">
            <v>E499</v>
          </cell>
          <cell r="L106" t="str">
            <v>ATOM03</v>
          </cell>
          <cell r="P106">
            <v>2</v>
          </cell>
          <cell r="R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No</v>
          </cell>
          <cell r="Z106" t="str">
            <v/>
          </cell>
          <cell r="AA106" t="str">
            <v>EACH</v>
          </cell>
          <cell r="AB106">
            <v>0</v>
          </cell>
          <cell r="AC106" t="str">
            <v>31770001</v>
          </cell>
          <cell r="AD106" t="str">
            <v>EACH</v>
          </cell>
        </row>
        <row r="107">
          <cell r="D107" t="str">
            <v>88889573</v>
          </cell>
          <cell r="E107" t="str">
            <v>7405130</v>
          </cell>
          <cell r="F107" t="str">
            <v>SOCKET SET 3/4'' DR AF 19 PCE</v>
          </cell>
          <cell r="J107" t="str">
            <v>NNAV</v>
          </cell>
          <cell r="K107" t="str">
            <v>E499</v>
          </cell>
          <cell r="L107" t="str">
            <v>ATOM03</v>
          </cell>
          <cell r="P107">
            <v>2</v>
          </cell>
          <cell r="R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No</v>
          </cell>
          <cell r="Z107" t="str">
            <v/>
          </cell>
          <cell r="AA107" t="str">
            <v>EACH</v>
          </cell>
          <cell r="AB107">
            <v>0</v>
          </cell>
          <cell r="AC107" t="str">
            <v>88889573</v>
          </cell>
          <cell r="AD107" t="str">
            <v>EACH</v>
          </cell>
        </row>
        <row r="108">
          <cell r="D108" t="str">
            <v>88890141</v>
          </cell>
          <cell r="E108" t="str">
            <v>7405140</v>
          </cell>
          <cell r="F108" t="str">
            <v>SOLUTION EYE WASH WATER 250ML</v>
          </cell>
          <cell r="J108" t="str">
            <v>NNAV</v>
          </cell>
          <cell r="K108" t="str">
            <v>E653</v>
          </cell>
          <cell r="L108" t="str">
            <v>ATOM03</v>
          </cell>
          <cell r="P108">
            <v>20</v>
          </cell>
          <cell r="R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No</v>
          </cell>
          <cell r="Z108" t="str">
            <v/>
          </cell>
          <cell r="AA108" t="str">
            <v>EACH</v>
          </cell>
          <cell r="AB108">
            <v>0</v>
          </cell>
          <cell r="AC108" t="str">
            <v>88890141</v>
          </cell>
          <cell r="AD108" t="str">
            <v>EACH</v>
          </cell>
        </row>
        <row r="109">
          <cell r="D109" t="str">
            <v>62548108</v>
          </cell>
          <cell r="E109" t="str">
            <v>7405375</v>
          </cell>
          <cell r="F109" t="str">
            <v>STEP SAFETY ORANGE ANTI SLIP</v>
          </cell>
          <cell r="J109" t="str">
            <v>NNAV</v>
          </cell>
          <cell r="K109" t="str">
            <v>E653</v>
          </cell>
          <cell r="L109" t="str">
            <v>ATOM03</v>
          </cell>
          <cell r="P109">
            <v>2</v>
          </cell>
          <cell r="R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No</v>
          </cell>
          <cell r="Z109" t="str">
            <v/>
          </cell>
          <cell r="AA109" t="str">
            <v>EACH</v>
          </cell>
          <cell r="AB109">
            <v>0</v>
          </cell>
          <cell r="AC109" t="str">
            <v>62548108</v>
          </cell>
          <cell r="AD109" t="str">
            <v>EACH</v>
          </cell>
        </row>
        <row r="110">
          <cell r="D110" t="str">
            <v>1437003</v>
          </cell>
          <cell r="E110" t="str">
            <v>7405420</v>
          </cell>
          <cell r="F110" t="str">
            <v>HARDHAT SWEATBAND TERRY TOWELLING</v>
          </cell>
          <cell r="J110" t="str">
            <v>NNAV</v>
          </cell>
          <cell r="K110" t="str">
            <v>E653</v>
          </cell>
          <cell r="L110" t="str">
            <v>ATOM03</v>
          </cell>
          <cell r="P110">
            <v>100</v>
          </cell>
          <cell r="R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No</v>
          </cell>
          <cell r="Z110" t="str">
            <v/>
          </cell>
          <cell r="AA110" t="str">
            <v>EACH</v>
          </cell>
          <cell r="AB110">
            <v>0</v>
          </cell>
          <cell r="AC110" t="str">
            <v>1437003</v>
          </cell>
          <cell r="AD110" t="str">
            <v>EACH</v>
          </cell>
        </row>
        <row r="111">
          <cell r="D111" t="str">
            <v>1423038</v>
          </cell>
          <cell r="E111" t="str">
            <v>7405435</v>
          </cell>
          <cell r="F111" t="str">
            <v>TAG DANGER DO NOT OPERATE 75X130MM</v>
          </cell>
          <cell r="J111" t="str">
            <v>NNAV</v>
          </cell>
          <cell r="K111" t="str">
            <v>E653</v>
          </cell>
          <cell r="L111" t="str">
            <v>ATOM03</v>
          </cell>
          <cell r="P111">
            <v>40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No</v>
          </cell>
          <cell r="Z111" t="str">
            <v/>
          </cell>
          <cell r="AA111" t="str">
            <v>PACK</v>
          </cell>
          <cell r="AB111">
            <v>0</v>
          </cell>
          <cell r="AC111" t="str">
            <v>1423038</v>
          </cell>
          <cell r="AD111" t="str">
            <v>PACK</v>
          </cell>
        </row>
        <row r="112">
          <cell r="D112" t="str">
            <v>90030528</v>
          </cell>
          <cell r="E112" t="str">
            <v>7405440</v>
          </cell>
          <cell r="F112" t="str">
            <v>TAG INFO BLUE/WHITE 80X160MM</v>
          </cell>
          <cell r="J112" t="str">
            <v>NNAV</v>
          </cell>
          <cell r="K112" t="str">
            <v>E653</v>
          </cell>
          <cell r="L112" t="str">
            <v>ATOM03</v>
          </cell>
          <cell r="P112">
            <v>50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No</v>
          </cell>
          <cell r="Z112" t="str">
            <v/>
          </cell>
          <cell r="AA112" t="str">
            <v>PACK</v>
          </cell>
          <cell r="AB112">
            <v>0</v>
          </cell>
          <cell r="AC112" t="str">
            <v>90030528</v>
          </cell>
          <cell r="AD112" t="str">
            <v>PACK</v>
          </cell>
        </row>
        <row r="113">
          <cell r="D113" t="str">
            <v>1423037</v>
          </cell>
          <cell r="E113" t="str">
            <v>7405445</v>
          </cell>
          <cell r="F113" t="str">
            <v>TAG OUT SERVICE DO NOT OPERATE 75X130MM</v>
          </cell>
          <cell r="J113" t="str">
            <v>NNAV</v>
          </cell>
          <cell r="K113" t="str">
            <v>E653</v>
          </cell>
          <cell r="L113" t="str">
            <v>ATOM03</v>
          </cell>
          <cell r="P113">
            <v>50</v>
          </cell>
          <cell r="R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No</v>
          </cell>
          <cell r="Z113" t="str">
            <v/>
          </cell>
          <cell r="AA113" t="str">
            <v>PACK</v>
          </cell>
          <cell r="AB113">
            <v>0</v>
          </cell>
          <cell r="AC113" t="str">
            <v>1423037</v>
          </cell>
          <cell r="AD113" t="str">
            <v>PACK</v>
          </cell>
        </row>
        <row r="114">
          <cell r="D114" t="str">
            <v>4920004</v>
          </cell>
          <cell r="E114" t="str">
            <v>7405520</v>
          </cell>
          <cell r="F114" t="str">
            <v>TAPE BARRICADE DANGER</v>
          </cell>
          <cell r="J114" t="str">
            <v>NNAV</v>
          </cell>
          <cell r="K114" t="str">
            <v>E653</v>
          </cell>
          <cell r="L114" t="str">
            <v>ATOM03</v>
          </cell>
          <cell r="P114">
            <v>25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No</v>
          </cell>
          <cell r="Z114" t="str">
            <v/>
          </cell>
          <cell r="AA114" t="str">
            <v>ROLL</v>
          </cell>
          <cell r="AB114">
            <v>0</v>
          </cell>
          <cell r="AC114" t="str">
            <v>4920004</v>
          </cell>
          <cell r="AD114" t="str">
            <v>ROLL</v>
          </cell>
        </row>
        <row r="115">
          <cell r="D115" t="str">
            <v>93634002</v>
          </cell>
          <cell r="E115" t="str">
            <v>7406015</v>
          </cell>
          <cell r="F115" t="str">
            <v>VISOR BLACK EAGLE CLEAR LENS</v>
          </cell>
          <cell r="J115" t="str">
            <v>NNAV</v>
          </cell>
          <cell r="K115" t="str">
            <v>E653</v>
          </cell>
          <cell r="L115" t="str">
            <v>ATOM03</v>
          </cell>
          <cell r="P115">
            <v>30</v>
          </cell>
          <cell r="R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No</v>
          </cell>
          <cell r="Z115" t="str">
            <v/>
          </cell>
          <cell r="AA115" t="str">
            <v>EACH</v>
          </cell>
          <cell r="AB115">
            <v>0</v>
          </cell>
          <cell r="AC115" t="str">
            <v>93634002</v>
          </cell>
          <cell r="AD115" t="str">
            <v>EACH</v>
          </cell>
        </row>
        <row r="116">
          <cell r="D116" t="str">
            <v>79901774</v>
          </cell>
          <cell r="E116" t="str">
            <v>7406045</v>
          </cell>
          <cell r="F116" t="str">
            <v>VISUAL WARNING REFLECTIVE TAPE</v>
          </cell>
          <cell r="J116" t="str">
            <v>NNAV</v>
          </cell>
          <cell r="K116" t="str">
            <v>E653</v>
          </cell>
          <cell r="L116" t="str">
            <v>ATOM03</v>
          </cell>
          <cell r="P116">
            <v>25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No</v>
          </cell>
          <cell r="Z116" t="str">
            <v/>
          </cell>
          <cell r="AA116" t="str">
            <v>ROLL</v>
          </cell>
          <cell r="AB116">
            <v>0</v>
          </cell>
          <cell r="AC116" t="str">
            <v>79901774</v>
          </cell>
          <cell r="AD116" t="str">
            <v>ROLL</v>
          </cell>
        </row>
        <row r="117">
          <cell r="D117" t="str">
            <v>55015897</v>
          </cell>
          <cell r="E117" t="str">
            <v>7406220</v>
          </cell>
          <cell r="F117" t="str">
            <v>WIPES LENS CLEANING TOWELETTES</v>
          </cell>
          <cell r="J117" t="str">
            <v>NNAV</v>
          </cell>
          <cell r="K117" t="str">
            <v>E653</v>
          </cell>
          <cell r="L117" t="str">
            <v>ATOM03</v>
          </cell>
          <cell r="P117">
            <v>100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No</v>
          </cell>
          <cell r="Z117" t="str">
            <v/>
          </cell>
          <cell r="AA117" t="str">
            <v>PACK</v>
          </cell>
          <cell r="AB117">
            <v>0</v>
          </cell>
          <cell r="AC117" t="str">
            <v>55015897</v>
          </cell>
          <cell r="AD117" t="str">
            <v>PACK</v>
          </cell>
        </row>
        <row r="118">
          <cell r="D118" t="str">
            <v>LG1222-06</v>
          </cell>
          <cell r="E118" t="str">
            <v>Special Item</v>
          </cell>
          <cell r="F118" t="str">
            <v>0.6m / 2ft Tapered Drill Steel</v>
          </cell>
          <cell r="J118" t="str">
            <v>NNAV</v>
          </cell>
          <cell r="K118" t="str">
            <v>E149</v>
          </cell>
          <cell r="L118" t="str">
            <v>BYRN07</v>
          </cell>
          <cell r="P118">
            <v>6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No</v>
          </cell>
          <cell r="Z118" t="str">
            <v/>
          </cell>
          <cell r="AA118" t="str">
            <v>EACH</v>
          </cell>
          <cell r="AB118">
            <v>0</v>
          </cell>
          <cell r="AC118" t="str">
            <v>LG1222-06</v>
          </cell>
          <cell r="AD118" t="str">
            <v>EACH</v>
          </cell>
        </row>
        <row r="119">
          <cell r="D119" t="str">
            <v>LG6009573</v>
          </cell>
          <cell r="E119" t="str">
            <v>Special Item</v>
          </cell>
          <cell r="F119" t="str">
            <v>1YR VIVA TS16 D PART BASIC CCP</v>
          </cell>
          <cell r="J119" t="str">
            <v>NNAV</v>
          </cell>
          <cell r="K119" t="str">
            <v>E779</v>
          </cell>
          <cell r="L119" t="str">
            <v>BYRN07</v>
          </cell>
          <cell r="P119">
            <v>1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No</v>
          </cell>
          <cell r="Z119" t="str">
            <v/>
          </cell>
          <cell r="AA119" t="str">
            <v>EACH</v>
          </cell>
          <cell r="AB119">
            <v>0</v>
          </cell>
          <cell r="AC119" t="str">
            <v>LG6009573</v>
          </cell>
          <cell r="AD119" t="str">
            <v>EACH</v>
          </cell>
        </row>
        <row r="120">
          <cell r="D120" t="str">
            <v>BIT-32-7B-12-22-CO</v>
          </cell>
          <cell r="E120" t="str">
            <v>Special Item</v>
          </cell>
          <cell r="F120" t="str">
            <v>32MM BUTTON KNOCK ON BITS</v>
          </cell>
          <cell r="J120" t="str">
            <v>NNAV</v>
          </cell>
          <cell r="K120" t="str">
            <v>E149</v>
          </cell>
          <cell r="L120" t="str">
            <v>BYRN07</v>
          </cell>
          <cell r="P120">
            <v>80</v>
          </cell>
          <cell r="R120">
            <v>0</v>
          </cell>
          <cell r="S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No</v>
          </cell>
          <cell r="Z120" t="str">
            <v/>
          </cell>
          <cell r="AA120" t="str">
            <v>EACH</v>
          </cell>
          <cell r="AB120">
            <v>0</v>
          </cell>
          <cell r="AC120" t="str">
            <v>BIT-32-7B-12-22-CO</v>
          </cell>
          <cell r="AD120" t="str">
            <v>EACH</v>
          </cell>
        </row>
        <row r="121">
          <cell r="D121" t="str">
            <v>LG971702</v>
          </cell>
          <cell r="E121" t="str">
            <v>Special Item</v>
          </cell>
          <cell r="F121" t="str">
            <v>BATTERY LI-ION LEICA GEB223</v>
          </cell>
          <cell r="J121" t="str">
            <v>NNAV</v>
          </cell>
          <cell r="K121" t="str">
            <v>E779</v>
          </cell>
          <cell r="L121" t="str">
            <v>BYRN07</v>
          </cell>
          <cell r="P121">
            <v>2</v>
          </cell>
          <cell r="R121">
            <v>0</v>
          </cell>
          <cell r="S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No</v>
          </cell>
          <cell r="Z121" t="str">
            <v/>
          </cell>
          <cell r="AA121" t="str">
            <v>EACH</v>
          </cell>
          <cell r="AB121">
            <v>0</v>
          </cell>
          <cell r="AC121" t="str">
            <v>LG971702</v>
          </cell>
          <cell r="AD121" t="str">
            <v>EACH</v>
          </cell>
        </row>
        <row r="122">
          <cell r="D122" t="str">
            <v>RDO220-NOMD-20</v>
          </cell>
          <cell r="E122" t="str">
            <v>Special Item</v>
          </cell>
          <cell r="F122" t="str">
            <v>BIOAIR ROCKDRILL OIL</v>
          </cell>
          <cell r="J122" t="str">
            <v>NNAV</v>
          </cell>
          <cell r="K122" t="str">
            <v>E149</v>
          </cell>
          <cell r="L122" t="str">
            <v>BYRN07</v>
          </cell>
          <cell r="P122">
            <v>6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No</v>
          </cell>
          <cell r="Z122" t="str">
            <v/>
          </cell>
          <cell r="AA122" t="str">
            <v>EACH</v>
          </cell>
          <cell r="AB122">
            <v>0</v>
          </cell>
          <cell r="AC122" t="str">
            <v>RDO220-NOMD-20</v>
          </cell>
          <cell r="AD122" t="str">
            <v>EACH</v>
          </cell>
        </row>
        <row r="123">
          <cell r="D123" t="str">
            <v>930713-018SETA</v>
          </cell>
          <cell r="E123" t="str">
            <v>Special Item</v>
          </cell>
          <cell r="F123" t="str">
            <v>Boar Max Plus &amp; DT180 Set w/Se</v>
          </cell>
          <cell r="J123" t="str">
            <v>NNAV</v>
          </cell>
          <cell r="K123" t="str">
            <v>E149</v>
          </cell>
          <cell r="L123" t="str">
            <v>BYRN07</v>
          </cell>
          <cell r="P123">
            <v>1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No</v>
          </cell>
          <cell r="Z123" t="str">
            <v/>
          </cell>
          <cell r="AA123" t="str">
            <v>EACH</v>
          </cell>
          <cell r="AB123">
            <v>0</v>
          </cell>
          <cell r="AC123" t="str">
            <v>930713-018SETA</v>
          </cell>
          <cell r="AD123" t="str">
            <v>EACH</v>
          </cell>
        </row>
        <row r="124">
          <cell r="D124" t="str">
            <v>LG777508</v>
          </cell>
          <cell r="E124" t="str">
            <v>Special Item</v>
          </cell>
          <cell r="F124" t="str">
            <v>GDF321 TRIBRACH W/OUTPLUMMET</v>
          </cell>
          <cell r="J124" t="str">
            <v>NNAV</v>
          </cell>
          <cell r="K124" t="str">
            <v>E779</v>
          </cell>
          <cell r="L124" t="str">
            <v>BYRN07</v>
          </cell>
          <cell r="P124">
            <v>1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No</v>
          </cell>
          <cell r="Z124" t="str">
            <v/>
          </cell>
          <cell r="AA124" t="str">
            <v>EACH</v>
          </cell>
          <cell r="AB124">
            <v>0</v>
          </cell>
          <cell r="AC124" t="str">
            <v>LG777508</v>
          </cell>
          <cell r="AD124" t="str">
            <v>EACH</v>
          </cell>
        </row>
        <row r="125">
          <cell r="D125" t="str">
            <v>LG799185</v>
          </cell>
          <cell r="E125" t="str">
            <v>Special Item</v>
          </cell>
          <cell r="F125" t="str">
            <v>GKL311 SINGLE BATTERY CHARGER</v>
          </cell>
          <cell r="J125" t="str">
            <v>NNAV</v>
          </cell>
          <cell r="K125" t="str">
            <v>E779</v>
          </cell>
          <cell r="L125" t="str">
            <v>BYRN07</v>
          </cell>
          <cell r="P125">
            <v>1</v>
          </cell>
          <cell r="R125">
            <v>0</v>
          </cell>
          <cell r="S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No</v>
          </cell>
          <cell r="Z125" t="str">
            <v/>
          </cell>
          <cell r="AA125" t="str">
            <v>EACH</v>
          </cell>
          <cell r="AB125">
            <v>0</v>
          </cell>
          <cell r="AC125" t="str">
            <v>LG799185</v>
          </cell>
          <cell r="AD125" t="str">
            <v>EACH</v>
          </cell>
        </row>
        <row r="126">
          <cell r="D126" t="str">
            <v>LG879378</v>
          </cell>
          <cell r="E126" t="str">
            <v>Special Item</v>
          </cell>
          <cell r="F126" t="str">
            <v>GTS49 KEYBOARD SUIT TS16/TM60</v>
          </cell>
          <cell r="J126" t="str">
            <v>NNAV</v>
          </cell>
          <cell r="K126" t="str">
            <v>E779</v>
          </cell>
          <cell r="L126" t="str">
            <v>BYRN07</v>
          </cell>
          <cell r="P126">
            <v>1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No</v>
          </cell>
          <cell r="Z126" t="str">
            <v/>
          </cell>
          <cell r="AA126" t="str">
            <v>EACH</v>
          </cell>
          <cell r="AB126">
            <v>0</v>
          </cell>
          <cell r="AC126" t="str">
            <v>LG879378</v>
          </cell>
          <cell r="AD126" t="str">
            <v>EACH</v>
          </cell>
        </row>
        <row r="127">
          <cell r="D127" t="str">
            <v>LG834254</v>
          </cell>
          <cell r="E127" t="str">
            <v>Special Item</v>
          </cell>
          <cell r="F127" t="str">
            <v>LEICA CAPT FORWARD STN TS/MS</v>
          </cell>
          <cell r="J127" t="str">
            <v>NNAV</v>
          </cell>
          <cell r="K127" t="str">
            <v>E779</v>
          </cell>
          <cell r="L127" t="str">
            <v>BYRN07</v>
          </cell>
          <cell r="P127">
            <v>1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No</v>
          </cell>
          <cell r="Z127" t="str">
            <v/>
          </cell>
          <cell r="AA127" t="str">
            <v>EACH</v>
          </cell>
          <cell r="AB127">
            <v>0</v>
          </cell>
          <cell r="AC127" t="str">
            <v>LG834254</v>
          </cell>
          <cell r="AD127" t="str">
            <v>EACH</v>
          </cell>
        </row>
        <row r="128">
          <cell r="D128" t="str">
            <v>LG827664</v>
          </cell>
          <cell r="E128" t="str">
            <v>Special Item</v>
          </cell>
          <cell r="F128" t="str">
            <v>LEICA CAPT GEOCOM ROBOTICS TS</v>
          </cell>
          <cell r="J128" t="str">
            <v>NNAV</v>
          </cell>
          <cell r="K128" t="str">
            <v>E779</v>
          </cell>
          <cell r="L128" t="str">
            <v>BYRN07</v>
          </cell>
          <cell r="P128">
            <v>1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No</v>
          </cell>
          <cell r="Z128" t="str">
            <v/>
          </cell>
          <cell r="AA128" t="str">
            <v>EACH</v>
          </cell>
          <cell r="AB128">
            <v>0</v>
          </cell>
          <cell r="AC128" t="str">
            <v>LG827664</v>
          </cell>
          <cell r="AD128" t="str">
            <v>EACH</v>
          </cell>
        </row>
        <row r="129">
          <cell r="D129" t="str">
            <v>LG827648</v>
          </cell>
          <cell r="E129" t="str">
            <v>Special Item</v>
          </cell>
          <cell r="F129" t="str">
            <v>LEICA CAPT MEASURE STAKE LINE</v>
          </cell>
          <cell r="J129" t="str">
            <v>NNAV</v>
          </cell>
          <cell r="K129" t="str">
            <v>E779</v>
          </cell>
          <cell r="L129" t="str">
            <v>BYRN07</v>
          </cell>
          <cell r="P129">
            <v>1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No</v>
          </cell>
          <cell r="Z129" t="str">
            <v/>
          </cell>
          <cell r="AA129" t="str">
            <v>EACH</v>
          </cell>
          <cell r="AB129">
            <v>0</v>
          </cell>
          <cell r="AC129" t="str">
            <v>LG827648</v>
          </cell>
          <cell r="AD129" t="str">
            <v>EACH</v>
          </cell>
        </row>
        <row r="130">
          <cell r="D130" t="str">
            <v>LG827658</v>
          </cell>
          <cell r="E130" t="str">
            <v>Special Item</v>
          </cell>
          <cell r="F130" t="str">
            <v>LEICA CAPT SET OF ANGLES TS/MS</v>
          </cell>
          <cell r="J130" t="str">
            <v>NNAV</v>
          </cell>
          <cell r="K130" t="str">
            <v>E779</v>
          </cell>
          <cell r="L130" t="str">
            <v>BYRN07</v>
          </cell>
          <cell r="P130">
            <v>1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No</v>
          </cell>
          <cell r="Z130" t="str">
            <v/>
          </cell>
          <cell r="AA130" t="str">
            <v>EACH</v>
          </cell>
          <cell r="AB130">
            <v>0</v>
          </cell>
          <cell r="AC130" t="str">
            <v>LG827658</v>
          </cell>
          <cell r="AD130" t="str">
            <v>EACH</v>
          </cell>
        </row>
        <row r="131">
          <cell r="D131" t="str">
            <v>LG834229</v>
          </cell>
          <cell r="E131" t="str">
            <v>Special Item</v>
          </cell>
          <cell r="F131" t="str">
            <v>LEICA CAPT TS AUTO SETUP TS/MS</v>
          </cell>
          <cell r="J131" t="str">
            <v>NNAV</v>
          </cell>
          <cell r="K131" t="str">
            <v>E779</v>
          </cell>
          <cell r="L131" t="str">
            <v>BYRN07</v>
          </cell>
          <cell r="P131">
            <v>1</v>
          </cell>
          <cell r="R131">
            <v>0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No</v>
          </cell>
          <cell r="Z131" t="str">
            <v/>
          </cell>
          <cell r="AA131" t="str">
            <v>EACH</v>
          </cell>
          <cell r="AB131">
            <v>0</v>
          </cell>
          <cell r="AC131" t="str">
            <v>LG834229</v>
          </cell>
          <cell r="AD131" t="str">
            <v>EACH</v>
          </cell>
        </row>
        <row r="132">
          <cell r="D132" t="str">
            <v>LG827666</v>
          </cell>
          <cell r="E132" t="str">
            <v>Special Item</v>
          </cell>
          <cell r="F132" t="str">
            <v>LEICA CAPT VIRTUAL GEOCOM TS</v>
          </cell>
          <cell r="J132" t="str">
            <v>NNAV</v>
          </cell>
          <cell r="K132" t="str">
            <v>E779</v>
          </cell>
          <cell r="L132" t="str">
            <v>BYRN07</v>
          </cell>
          <cell r="P132">
            <v>1</v>
          </cell>
          <cell r="R132">
            <v>0</v>
          </cell>
          <cell r="S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No</v>
          </cell>
          <cell r="Z132" t="str">
            <v/>
          </cell>
          <cell r="AA132" t="str">
            <v>EACH</v>
          </cell>
          <cell r="AB132">
            <v>0</v>
          </cell>
          <cell r="AC132" t="str">
            <v>LG827666</v>
          </cell>
          <cell r="AD132" t="str">
            <v>EACH</v>
          </cell>
        </row>
        <row r="133">
          <cell r="D133" t="str">
            <v>LG767856</v>
          </cell>
          <cell r="E133" t="str">
            <v>Special Item</v>
          </cell>
          <cell r="F133" t="str">
            <v>LEICA MSD1000 MEMORY CARD 1GB</v>
          </cell>
          <cell r="J133" t="str">
            <v>NNAV</v>
          </cell>
          <cell r="K133" t="str">
            <v>E779</v>
          </cell>
          <cell r="L133" t="str">
            <v>BYRN07</v>
          </cell>
          <cell r="P133">
            <v>2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No</v>
          </cell>
          <cell r="Z133" t="str">
            <v/>
          </cell>
          <cell r="AA133" t="str">
            <v>EACH</v>
          </cell>
          <cell r="AB133">
            <v>0</v>
          </cell>
          <cell r="AC133" t="str">
            <v>LG767856</v>
          </cell>
          <cell r="AD133" t="str">
            <v>EACH</v>
          </cell>
        </row>
        <row r="134">
          <cell r="D134" t="str">
            <v>LG917442</v>
          </cell>
          <cell r="E134" t="str">
            <v>Special Item</v>
          </cell>
          <cell r="F134" t="str">
            <v>LEICA TS16P 1" R1000 TOTAL STN</v>
          </cell>
          <cell r="J134" t="str">
            <v>NNAV</v>
          </cell>
          <cell r="K134" t="str">
            <v>E779</v>
          </cell>
          <cell r="L134" t="str">
            <v>BYRN07</v>
          </cell>
          <cell r="P134">
            <v>1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No</v>
          </cell>
          <cell r="Z134" t="str">
            <v/>
          </cell>
          <cell r="AA134" t="str">
            <v>EACH</v>
          </cell>
          <cell r="AB134">
            <v>0</v>
          </cell>
          <cell r="AC134" t="str">
            <v>LG917442</v>
          </cell>
          <cell r="AD134" t="str">
            <v>EACH</v>
          </cell>
        </row>
        <row r="135">
          <cell r="D135" t="str">
            <v>LG667301</v>
          </cell>
          <cell r="E135" t="str">
            <v>Special Item</v>
          </cell>
          <cell r="F135" t="str">
            <v>LEICAS GST120-9 WOODEN TRIPOD</v>
          </cell>
          <cell r="J135" t="str">
            <v>NNAV</v>
          </cell>
          <cell r="K135" t="str">
            <v>E779</v>
          </cell>
          <cell r="L135" t="str">
            <v>BYRN07</v>
          </cell>
          <cell r="P135">
            <v>3</v>
          </cell>
          <cell r="R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No</v>
          </cell>
          <cell r="Z135" t="str">
            <v/>
          </cell>
          <cell r="AA135" t="str">
            <v>EACH</v>
          </cell>
          <cell r="AB135">
            <v>0</v>
          </cell>
          <cell r="AC135" t="str">
            <v>LG667301</v>
          </cell>
          <cell r="AD135" t="str">
            <v>EACH</v>
          </cell>
        </row>
        <row r="136">
          <cell r="D136" t="str">
            <v>18H082</v>
          </cell>
          <cell r="E136" t="str">
            <v>Special Item</v>
          </cell>
          <cell r="F136" t="str">
            <v>LPMD6 DIPHOTERINE 500ML PORTAB</v>
          </cell>
          <cell r="J136" t="str">
            <v>NNAV</v>
          </cell>
          <cell r="K136" t="str">
            <v>E653</v>
          </cell>
          <cell r="L136" t="str">
            <v>BYRN07</v>
          </cell>
          <cell r="P136">
            <v>5</v>
          </cell>
          <cell r="R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No</v>
          </cell>
          <cell r="Z136" t="str">
            <v/>
          </cell>
          <cell r="AA136" t="str">
            <v>EACH</v>
          </cell>
          <cell r="AB136">
            <v>0</v>
          </cell>
          <cell r="AC136" t="str">
            <v>18H082</v>
          </cell>
          <cell r="AD136" t="str">
            <v>EACH</v>
          </cell>
        </row>
        <row r="137">
          <cell r="D137" t="str">
            <v>50416039</v>
          </cell>
          <cell r="E137" t="str">
            <v>Special Item</v>
          </cell>
          <cell r="F137" t="str">
            <v>MASTERGLENIUM 8708 1000L POD</v>
          </cell>
          <cell r="J137" t="str">
            <v>NNAV</v>
          </cell>
          <cell r="K137" t="str">
            <v>E741</v>
          </cell>
          <cell r="L137" t="str">
            <v>BYRN07</v>
          </cell>
          <cell r="P137">
            <v>1</v>
          </cell>
          <cell r="R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No</v>
          </cell>
          <cell r="Z137" t="str">
            <v/>
          </cell>
          <cell r="AA137" t="str">
            <v>EACH</v>
          </cell>
          <cell r="AB137">
            <v>0</v>
          </cell>
          <cell r="AC137" t="str">
            <v>50416039</v>
          </cell>
          <cell r="AD137" t="str">
            <v>EACH</v>
          </cell>
        </row>
        <row r="138">
          <cell r="D138" t="str">
            <v>51715481</v>
          </cell>
          <cell r="E138" t="str">
            <v>Special Item</v>
          </cell>
          <cell r="F138" t="str">
            <v>MASTERROC HCA20 DELVO 1000L PO</v>
          </cell>
          <cell r="J138" t="str">
            <v>NNAV</v>
          </cell>
          <cell r="K138" t="str">
            <v>E741</v>
          </cell>
          <cell r="L138" t="str">
            <v>BYRN07</v>
          </cell>
          <cell r="P138">
            <v>1</v>
          </cell>
          <cell r="R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No</v>
          </cell>
          <cell r="Z138" t="str">
            <v/>
          </cell>
          <cell r="AA138" t="str">
            <v>EACH</v>
          </cell>
          <cell r="AB138">
            <v>0</v>
          </cell>
          <cell r="AC138" t="str">
            <v>51715481</v>
          </cell>
          <cell r="AD138" t="str">
            <v>EACH</v>
          </cell>
        </row>
        <row r="139">
          <cell r="D139" t="str">
            <v>50736306</v>
          </cell>
          <cell r="E139" t="str">
            <v>Special Item</v>
          </cell>
          <cell r="F139" t="str">
            <v>MASTERROC SA167 1000L POD</v>
          </cell>
          <cell r="J139" t="str">
            <v>NNAV</v>
          </cell>
          <cell r="K139" t="str">
            <v>E741</v>
          </cell>
          <cell r="L139" t="str">
            <v>BYRN07</v>
          </cell>
          <cell r="P139">
            <v>4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No</v>
          </cell>
          <cell r="Z139" t="str">
            <v/>
          </cell>
          <cell r="AA139" t="str">
            <v>EACH</v>
          </cell>
          <cell r="AB139">
            <v>0</v>
          </cell>
          <cell r="AC139" t="str">
            <v>50736306</v>
          </cell>
          <cell r="AD139" t="str">
            <v>EACH</v>
          </cell>
        </row>
        <row r="140">
          <cell r="D140" t="str">
            <v>18H050</v>
          </cell>
          <cell r="E140" t="str">
            <v>Special Item</v>
          </cell>
          <cell r="F140" t="str">
            <v>MICRO 100ML AEROSOL DIPHOTERIN</v>
          </cell>
          <cell r="J140" t="str">
            <v>NNAV</v>
          </cell>
          <cell r="K140" t="str">
            <v>E653</v>
          </cell>
          <cell r="L140" t="str">
            <v>BYRN07</v>
          </cell>
          <cell r="P140">
            <v>10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No</v>
          </cell>
          <cell r="Z140" t="str">
            <v/>
          </cell>
          <cell r="AA140" t="str">
            <v>EACH</v>
          </cell>
          <cell r="AB140">
            <v>0</v>
          </cell>
          <cell r="AC140" t="str">
            <v>18H050</v>
          </cell>
          <cell r="AD140" t="str">
            <v>EACH</v>
          </cell>
        </row>
        <row r="141">
          <cell r="D141" t="str">
            <v>REFSETCAPT</v>
          </cell>
          <cell r="E141" t="str">
            <v>Special Item</v>
          </cell>
          <cell r="F141" t="str">
            <v>REFSET CAPTIVATE</v>
          </cell>
          <cell r="J141" t="str">
            <v>NNAV</v>
          </cell>
          <cell r="K141" t="str">
            <v>E779</v>
          </cell>
          <cell r="L141" t="str">
            <v>BYRN07</v>
          </cell>
          <cell r="P141">
            <v>1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No</v>
          </cell>
          <cell r="Z141" t="str">
            <v/>
          </cell>
          <cell r="AA141" t="str">
            <v>EACH</v>
          </cell>
          <cell r="AB141">
            <v>0</v>
          </cell>
          <cell r="AC141" t="str">
            <v>REFSETCAPT</v>
          </cell>
          <cell r="AD141" t="str">
            <v>EACH</v>
          </cell>
        </row>
        <row r="142">
          <cell r="D142" t="str">
            <v>930733MM</v>
          </cell>
          <cell r="E142" t="str">
            <v>Special Item</v>
          </cell>
          <cell r="F142" t="str">
            <v>SPLIT SET DOLLY 33MM</v>
          </cell>
          <cell r="J142" t="str">
            <v>NNAV</v>
          </cell>
          <cell r="K142" t="str">
            <v>E149</v>
          </cell>
          <cell r="L142" t="str">
            <v>BYRN07</v>
          </cell>
          <cell r="P142">
            <v>10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No</v>
          </cell>
          <cell r="Z142" t="str">
            <v/>
          </cell>
          <cell r="AA142" t="str">
            <v>EACH</v>
          </cell>
          <cell r="AB142">
            <v>0</v>
          </cell>
          <cell r="AC142" t="str">
            <v>930733MM</v>
          </cell>
          <cell r="AD142" t="str">
            <v>EACH</v>
          </cell>
        </row>
        <row r="143">
          <cell r="D143" t="str">
            <v>1123701</v>
          </cell>
          <cell r="E143" t="str">
            <v>Special Item</v>
          </cell>
          <cell r="F143" t="str">
            <v>SSR30/100 MSA SELF RESCUER</v>
          </cell>
          <cell r="J143" t="str">
            <v>NNAV</v>
          </cell>
          <cell r="K143" t="str">
            <v>E653</v>
          </cell>
          <cell r="L143" t="str">
            <v>BYRN07</v>
          </cell>
          <cell r="P143">
            <v>67</v>
          </cell>
          <cell r="R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No</v>
          </cell>
          <cell r="Z143" t="str">
            <v/>
          </cell>
          <cell r="AA143" t="str">
            <v>EACH</v>
          </cell>
          <cell r="AB143">
            <v>0</v>
          </cell>
          <cell r="AC143" t="str">
            <v>1123701</v>
          </cell>
          <cell r="AD143" t="str">
            <v>EACH</v>
          </cell>
        </row>
        <row r="144">
          <cell r="D144" t="str">
            <v>SB100</v>
          </cell>
          <cell r="E144" t="str">
            <v>Special Item</v>
          </cell>
          <cell r="F144" t="str">
            <v>STINGER INITIATOR SB100</v>
          </cell>
          <cell r="J144" t="str">
            <v>NNAV</v>
          </cell>
          <cell r="K144" t="str">
            <v>E890</v>
          </cell>
          <cell r="L144" t="str">
            <v>BYRN07</v>
          </cell>
          <cell r="P144">
            <v>2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No</v>
          </cell>
          <cell r="Z144" t="str">
            <v/>
          </cell>
          <cell r="AA144" t="str">
            <v>EACH</v>
          </cell>
          <cell r="AB144">
            <v>0</v>
          </cell>
          <cell r="AC144" t="str">
            <v>SB100</v>
          </cell>
          <cell r="AD144" t="str">
            <v>EACH</v>
          </cell>
        </row>
        <row r="145">
          <cell r="D145" t="str">
            <v>TDS-1222-12</v>
          </cell>
          <cell r="E145" t="str">
            <v>Special Item</v>
          </cell>
          <cell r="F145" t="str">
            <v>Tapered Drill Steel 12deg. 120</v>
          </cell>
          <cell r="J145" t="str">
            <v>NNAV</v>
          </cell>
          <cell r="K145" t="str">
            <v>E149</v>
          </cell>
          <cell r="L145" t="str">
            <v>BYRN07</v>
          </cell>
          <cell r="P145">
            <v>10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No</v>
          </cell>
          <cell r="Z145" t="str">
            <v/>
          </cell>
          <cell r="AA145" t="str">
            <v>EACH</v>
          </cell>
          <cell r="AB145">
            <v>0</v>
          </cell>
          <cell r="AC145" t="str">
            <v>TDS-1222-12</v>
          </cell>
          <cell r="AD145" t="str">
            <v>EACH</v>
          </cell>
        </row>
        <row r="146">
          <cell r="D146" t="str">
            <v>TDS-1222-18</v>
          </cell>
          <cell r="E146" t="str">
            <v>Special Item</v>
          </cell>
          <cell r="F146" t="str">
            <v>Tapered Drill Steel 12deg. 180</v>
          </cell>
          <cell r="J146" t="str">
            <v>NNAV</v>
          </cell>
          <cell r="K146" t="str">
            <v>E149</v>
          </cell>
          <cell r="L146" t="str">
            <v>BYRN07</v>
          </cell>
          <cell r="P146">
            <v>5</v>
          </cell>
          <cell r="R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No</v>
          </cell>
          <cell r="Z146" t="str">
            <v/>
          </cell>
          <cell r="AA146" t="str">
            <v>EACH</v>
          </cell>
          <cell r="AB146">
            <v>0</v>
          </cell>
          <cell r="AC146" t="str">
            <v>TDS-1222-18</v>
          </cell>
          <cell r="AD146" t="str">
            <v>EACH</v>
          </cell>
        </row>
        <row r="147">
          <cell r="D147" t="str">
            <v>TDS-1222-06</v>
          </cell>
          <cell r="E147" t="str">
            <v>Special Item</v>
          </cell>
          <cell r="F147" t="str">
            <v>Tapered Drill Steel 12deg. 600</v>
          </cell>
          <cell r="J147" t="str">
            <v>NNAV</v>
          </cell>
          <cell r="K147" t="str">
            <v>E149</v>
          </cell>
          <cell r="L147" t="str">
            <v>BYRN07</v>
          </cell>
          <cell r="P147">
            <v>6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No</v>
          </cell>
          <cell r="Z147" t="str">
            <v/>
          </cell>
          <cell r="AA147" t="str">
            <v>EACH</v>
          </cell>
          <cell r="AB147">
            <v>0</v>
          </cell>
          <cell r="AC147" t="str">
            <v>TDS-1222-06</v>
          </cell>
          <cell r="AD147" t="str">
            <v>EACH</v>
          </cell>
        </row>
        <row r="148">
          <cell r="D148" t="str">
            <v>VSF1220-J</v>
          </cell>
          <cell r="E148" t="str">
            <v>2502885</v>
          </cell>
          <cell r="F148" t="str">
            <v>TYPHOON 300 SILVER 1220MM JUNC</v>
          </cell>
          <cell r="J148" t="str">
            <v>NNAV</v>
          </cell>
          <cell r="K148" t="str">
            <v>E890</v>
          </cell>
          <cell r="L148" t="str">
            <v>CLEM02</v>
          </cell>
          <cell r="P148">
            <v>10</v>
          </cell>
          <cell r="R148">
            <v>10</v>
          </cell>
          <cell r="S148">
            <v>1</v>
          </cell>
          <cell r="U148">
            <v>0</v>
          </cell>
          <cell r="V148">
            <v>10</v>
          </cell>
          <cell r="W148">
            <v>0</v>
          </cell>
          <cell r="X148" t="str">
            <v>No</v>
          </cell>
          <cell r="Z148" t="str">
            <v/>
          </cell>
          <cell r="AA148" t="str">
            <v>EACH</v>
          </cell>
          <cell r="AB148">
            <v>0</v>
          </cell>
          <cell r="AC148" t="str">
            <v>VSF1220-J</v>
          </cell>
          <cell r="AD148" t="str">
            <v>EACH</v>
          </cell>
        </row>
        <row r="149">
          <cell r="D149" t="str">
            <v>VSF1220-T</v>
          </cell>
          <cell r="E149" t="str">
            <v>2502555</v>
          </cell>
          <cell r="F149" t="str">
            <v>TYPHOON 300 SILVER 1220MM TEE</v>
          </cell>
          <cell r="J149" t="str">
            <v>NNAV</v>
          </cell>
          <cell r="K149" t="str">
            <v>E890</v>
          </cell>
          <cell r="L149" t="str">
            <v>CLEM02</v>
          </cell>
          <cell r="P149">
            <v>10</v>
          </cell>
          <cell r="R149">
            <v>10</v>
          </cell>
          <cell r="S149">
            <v>1</v>
          </cell>
          <cell r="U149">
            <v>0</v>
          </cell>
          <cell r="V149">
            <v>10</v>
          </cell>
          <cell r="W149">
            <v>0</v>
          </cell>
          <cell r="X149" t="str">
            <v>No</v>
          </cell>
          <cell r="Z149" t="str">
            <v/>
          </cell>
          <cell r="AA149" t="str">
            <v>EACH</v>
          </cell>
          <cell r="AB149">
            <v>0</v>
          </cell>
          <cell r="AC149" t="str">
            <v>VSF1220-T</v>
          </cell>
          <cell r="AD149" t="str">
            <v>EACH</v>
          </cell>
        </row>
        <row r="150">
          <cell r="D150" t="str">
            <v>VSD1220X05</v>
          </cell>
          <cell r="E150" t="str">
            <v>2502540</v>
          </cell>
          <cell r="F150" t="str">
            <v>TYPHOON 300 SILVER 1220MM X 05</v>
          </cell>
          <cell r="J150" t="str">
            <v>NNAV</v>
          </cell>
          <cell r="K150" t="str">
            <v>E890</v>
          </cell>
          <cell r="L150" t="str">
            <v>CLEM02</v>
          </cell>
          <cell r="P150">
            <v>20</v>
          </cell>
          <cell r="R150">
            <v>19</v>
          </cell>
          <cell r="S150">
            <v>0.95</v>
          </cell>
          <cell r="U150">
            <v>0</v>
          </cell>
          <cell r="V150">
            <v>19</v>
          </cell>
          <cell r="W150">
            <v>0</v>
          </cell>
          <cell r="X150" t="str">
            <v>No</v>
          </cell>
          <cell r="Z150" t="str">
            <v/>
          </cell>
          <cell r="AA150" t="str">
            <v>EACH</v>
          </cell>
          <cell r="AB150">
            <v>0</v>
          </cell>
          <cell r="AC150" t="str">
            <v>VSD1220X05</v>
          </cell>
          <cell r="AD150" t="str">
            <v>EACH</v>
          </cell>
        </row>
        <row r="151">
          <cell r="D151" t="str">
            <v>VSD1220X10</v>
          </cell>
          <cell r="E151" t="str">
            <v>2502545</v>
          </cell>
          <cell r="F151" t="str">
            <v>TYPHOON 300 SILVER 1220MM X 10</v>
          </cell>
          <cell r="J151" t="str">
            <v>NNAV</v>
          </cell>
          <cell r="K151" t="str">
            <v>E890</v>
          </cell>
          <cell r="L151" t="str">
            <v>CLEM02</v>
          </cell>
          <cell r="P151">
            <v>25</v>
          </cell>
          <cell r="R151">
            <v>19</v>
          </cell>
          <cell r="S151">
            <v>0.76</v>
          </cell>
          <cell r="U151">
            <v>0</v>
          </cell>
          <cell r="V151">
            <v>19</v>
          </cell>
          <cell r="W151">
            <v>0</v>
          </cell>
          <cell r="X151" t="str">
            <v>No</v>
          </cell>
          <cell r="Z151" t="str">
            <v/>
          </cell>
          <cell r="AA151" t="str">
            <v>EACH</v>
          </cell>
          <cell r="AB151">
            <v>0</v>
          </cell>
          <cell r="AC151" t="str">
            <v>VSD1220X10</v>
          </cell>
          <cell r="AD151" t="str">
            <v>EACH</v>
          </cell>
        </row>
        <row r="152">
          <cell r="D152" t="str">
            <v>VSD1220X20</v>
          </cell>
          <cell r="E152" t="str">
            <v>2502550</v>
          </cell>
          <cell r="F152" t="str">
            <v>TYPHOON 300 SILVER 1220MM X 20</v>
          </cell>
          <cell r="J152" t="str">
            <v>NNAV</v>
          </cell>
          <cell r="K152" t="str">
            <v>E890</v>
          </cell>
          <cell r="L152" t="str">
            <v>CLEM02</v>
          </cell>
          <cell r="P152">
            <v>50</v>
          </cell>
          <cell r="R152">
            <v>26</v>
          </cell>
          <cell r="S152">
            <v>0.52</v>
          </cell>
          <cell r="U152">
            <v>0</v>
          </cell>
          <cell r="V152">
            <v>26</v>
          </cell>
          <cell r="W152">
            <v>0</v>
          </cell>
          <cell r="X152" t="str">
            <v>No</v>
          </cell>
          <cell r="Z152" t="str">
            <v/>
          </cell>
          <cell r="AA152" t="str">
            <v>EACH</v>
          </cell>
          <cell r="AB152">
            <v>0</v>
          </cell>
          <cell r="AC152" t="str">
            <v>VSD1220X20</v>
          </cell>
          <cell r="AD152" t="str">
            <v>EACH</v>
          </cell>
        </row>
        <row r="153">
          <cell r="D153" t="str">
            <v>VSF1400-T</v>
          </cell>
          <cell r="E153" t="str">
            <v>2500133</v>
          </cell>
          <cell r="F153" t="str">
            <v>TYPHOON 300 SILVER 1400MM TEE</v>
          </cell>
          <cell r="J153" t="str">
            <v>NNAV</v>
          </cell>
          <cell r="K153" t="str">
            <v>E890</v>
          </cell>
          <cell r="L153" t="str">
            <v>CLEM02</v>
          </cell>
          <cell r="P153">
            <v>10</v>
          </cell>
          <cell r="R153">
            <v>7</v>
          </cell>
          <cell r="S153">
            <v>0.7</v>
          </cell>
          <cell r="U153">
            <v>0</v>
          </cell>
          <cell r="V153">
            <v>7</v>
          </cell>
          <cell r="W153">
            <v>0</v>
          </cell>
          <cell r="X153" t="str">
            <v>No</v>
          </cell>
          <cell r="Z153" t="str">
            <v/>
          </cell>
          <cell r="AA153" t="str">
            <v>EACH</v>
          </cell>
          <cell r="AB153">
            <v>0</v>
          </cell>
          <cell r="AC153" t="str">
            <v>VSF1400-T</v>
          </cell>
          <cell r="AD153" t="str">
            <v>EACH</v>
          </cell>
        </row>
        <row r="154">
          <cell r="D154" t="str">
            <v>VSC1400X10</v>
          </cell>
          <cell r="E154" t="str">
            <v>2502535</v>
          </cell>
          <cell r="F154" t="str">
            <v>TYPHOON 300 SILVER CONCERTINA</v>
          </cell>
          <cell r="J154" t="str">
            <v>NNAV</v>
          </cell>
          <cell r="K154" t="str">
            <v>E890</v>
          </cell>
          <cell r="L154" t="str">
            <v>CLEM02</v>
          </cell>
          <cell r="P154">
            <v>10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No</v>
          </cell>
          <cell r="Z154" t="str">
            <v/>
          </cell>
          <cell r="AA154" t="str">
            <v>EACH</v>
          </cell>
          <cell r="AB154">
            <v>0</v>
          </cell>
          <cell r="AC154" t="str">
            <v>VSC1400X10</v>
          </cell>
          <cell r="AD154" t="str">
            <v>EACH</v>
          </cell>
        </row>
        <row r="155">
          <cell r="D155" t="str">
            <v>VSF1400-1220</v>
          </cell>
          <cell r="E155" t="str">
            <v>2502525</v>
          </cell>
          <cell r="F155" t="str">
            <v>TYPHOON 300 SILVER REDUCER 140</v>
          </cell>
          <cell r="J155" t="str">
            <v>NNAV</v>
          </cell>
          <cell r="K155" t="str">
            <v>E890</v>
          </cell>
          <cell r="L155" t="str">
            <v>CLEM02</v>
          </cell>
          <cell r="P155">
            <v>10</v>
          </cell>
          <cell r="R155">
            <v>10</v>
          </cell>
          <cell r="S155">
            <v>1</v>
          </cell>
          <cell r="U155">
            <v>0</v>
          </cell>
          <cell r="V155">
            <v>10</v>
          </cell>
          <cell r="W155">
            <v>0</v>
          </cell>
          <cell r="X155" t="str">
            <v>No</v>
          </cell>
          <cell r="Z155" t="str">
            <v/>
          </cell>
          <cell r="AA155" t="str">
            <v>EACH</v>
          </cell>
          <cell r="AB155">
            <v>0</v>
          </cell>
          <cell r="AC155" t="str">
            <v>VSF1400-1220</v>
          </cell>
          <cell r="AD155" t="str">
            <v>EACH</v>
          </cell>
        </row>
        <row r="156">
          <cell r="D156" t="str">
            <v>VSF1400-J</v>
          </cell>
          <cell r="E156" t="str">
            <v>2502520</v>
          </cell>
          <cell r="F156" t="str">
            <v>TYPHOON 300 SLVR 1400MM JUNC</v>
          </cell>
          <cell r="J156" t="str">
            <v>NNAV</v>
          </cell>
          <cell r="K156" t="str">
            <v>E890</v>
          </cell>
          <cell r="L156" t="str">
            <v>CLEM02</v>
          </cell>
          <cell r="P156">
            <v>10</v>
          </cell>
          <cell r="R156">
            <v>10</v>
          </cell>
          <cell r="S156">
            <v>1</v>
          </cell>
          <cell r="U156">
            <v>0</v>
          </cell>
          <cell r="V156">
            <v>10</v>
          </cell>
          <cell r="W156">
            <v>0</v>
          </cell>
          <cell r="X156" t="str">
            <v>No</v>
          </cell>
          <cell r="Z156" t="str">
            <v/>
          </cell>
          <cell r="AA156" t="str">
            <v>EACH</v>
          </cell>
          <cell r="AB156">
            <v>0</v>
          </cell>
          <cell r="AC156" t="str">
            <v>VSF1400-J</v>
          </cell>
          <cell r="AD156" t="str">
            <v>EACH</v>
          </cell>
        </row>
        <row r="157">
          <cell r="D157" t="str">
            <v>VSD1400X05</v>
          </cell>
          <cell r="E157" t="str">
            <v>2502505</v>
          </cell>
          <cell r="F157" t="str">
            <v>TYPHOON 300 SLVR 1400MMX05</v>
          </cell>
          <cell r="J157" t="str">
            <v>NNAV</v>
          </cell>
          <cell r="K157" t="str">
            <v>E890</v>
          </cell>
          <cell r="L157" t="str">
            <v>CLEM02</v>
          </cell>
          <cell r="P157">
            <v>30</v>
          </cell>
          <cell r="R157">
            <v>20</v>
          </cell>
          <cell r="S157">
            <v>0.66666666666666663</v>
          </cell>
          <cell r="U157">
            <v>0</v>
          </cell>
          <cell r="V157">
            <v>20</v>
          </cell>
          <cell r="W157">
            <v>0</v>
          </cell>
          <cell r="X157" t="str">
            <v>No</v>
          </cell>
          <cell r="Z157" t="str">
            <v/>
          </cell>
          <cell r="AA157" t="str">
            <v>EACH</v>
          </cell>
          <cell r="AB157">
            <v>0</v>
          </cell>
          <cell r="AC157" t="str">
            <v>VSD1400X05</v>
          </cell>
          <cell r="AD157" t="str">
            <v>EACH</v>
          </cell>
        </row>
        <row r="158">
          <cell r="D158" t="str">
            <v>VSD1400X10</v>
          </cell>
          <cell r="E158" t="str">
            <v>2502510</v>
          </cell>
          <cell r="F158" t="str">
            <v>TYPHOON 300 SLVR 1400MMX10</v>
          </cell>
          <cell r="J158" t="str">
            <v>NNAV</v>
          </cell>
          <cell r="K158" t="str">
            <v>E890</v>
          </cell>
          <cell r="L158" t="str">
            <v>CLEM02</v>
          </cell>
          <cell r="P158">
            <v>60</v>
          </cell>
          <cell r="R158">
            <v>32</v>
          </cell>
          <cell r="S158">
            <v>0.53333333333333333</v>
          </cell>
          <cell r="U158">
            <v>0</v>
          </cell>
          <cell r="V158">
            <v>32</v>
          </cell>
          <cell r="W158">
            <v>0</v>
          </cell>
          <cell r="X158" t="str">
            <v>No</v>
          </cell>
          <cell r="Z158" t="str">
            <v/>
          </cell>
          <cell r="AA158" t="str">
            <v>EACH</v>
          </cell>
          <cell r="AB158">
            <v>0</v>
          </cell>
          <cell r="AC158" t="str">
            <v>VSD1400X10</v>
          </cell>
          <cell r="AD158" t="str">
            <v>EACH</v>
          </cell>
        </row>
        <row r="159">
          <cell r="D159" t="str">
            <v>VSD1400X20</v>
          </cell>
          <cell r="E159" t="str">
            <v>2502515</v>
          </cell>
          <cell r="F159" t="str">
            <v>TYPHOON 300 SLVR 1400MMX20</v>
          </cell>
          <cell r="J159" t="str">
            <v>NNAV</v>
          </cell>
          <cell r="K159" t="str">
            <v>E890</v>
          </cell>
          <cell r="L159" t="str">
            <v>CLEM02</v>
          </cell>
          <cell r="P159">
            <v>120</v>
          </cell>
          <cell r="R159">
            <v>68</v>
          </cell>
          <cell r="S159">
            <v>0.56666666666666665</v>
          </cell>
          <cell r="U159">
            <v>0</v>
          </cell>
          <cell r="V159">
            <v>68</v>
          </cell>
          <cell r="W159">
            <v>0</v>
          </cell>
          <cell r="X159" t="str">
            <v>No</v>
          </cell>
          <cell r="Z159" t="str">
            <v/>
          </cell>
          <cell r="AA159" t="str">
            <v>EACH</v>
          </cell>
          <cell r="AB159">
            <v>0</v>
          </cell>
          <cell r="AC159" t="str">
            <v>VSD1400X20</v>
          </cell>
          <cell r="AD159" t="str">
            <v>EACH</v>
          </cell>
        </row>
        <row r="160">
          <cell r="D160" t="str">
            <v>VA-NEEDLE</v>
          </cell>
          <cell r="E160" t="str">
            <v>2500007</v>
          </cell>
          <cell r="F160" t="str">
            <v>VENT NEEDLE</v>
          </cell>
          <cell r="J160" t="str">
            <v>NNAV</v>
          </cell>
          <cell r="K160" t="str">
            <v>E890</v>
          </cell>
          <cell r="L160" t="str">
            <v>CLEM02</v>
          </cell>
          <cell r="P160">
            <v>20</v>
          </cell>
          <cell r="R160">
            <v>20</v>
          </cell>
          <cell r="S160">
            <v>1</v>
          </cell>
          <cell r="U160">
            <v>0</v>
          </cell>
          <cell r="V160">
            <v>20</v>
          </cell>
          <cell r="W160">
            <v>0</v>
          </cell>
          <cell r="X160" t="str">
            <v>No</v>
          </cell>
          <cell r="Z160" t="str">
            <v/>
          </cell>
          <cell r="AA160" t="str">
            <v>EACH</v>
          </cell>
          <cell r="AB160">
            <v>0</v>
          </cell>
          <cell r="AC160" t="str">
            <v>VA-NEEDLE</v>
          </cell>
          <cell r="AD160" t="str">
            <v>EACH</v>
          </cell>
        </row>
        <row r="161">
          <cell r="D161" t="str">
            <v>VA-TWINE</v>
          </cell>
          <cell r="E161" t="str">
            <v>2500000</v>
          </cell>
          <cell r="F161" t="str">
            <v>VENT TWINE 20MTR</v>
          </cell>
          <cell r="J161" t="str">
            <v>NNAV</v>
          </cell>
          <cell r="K161" t="str">
            <v>E890</v>
          </cell>
          <cell r="L161" t="str">
            <v>CLEM02</v>
          </cell>
          <cell r="P161">
            <v>10</v>
          </cell>
          <cell r="R161">
            <v>10</v>
          </cell>
          <cell r="S161">
            <v>1</v>
          </cell>
          <cell r="U161">
            <v>0</v>
          </cell>
          <cell r="V161">
            <v>10</v>
          </cell>
          <cell r="W161">
            <v>0</v>
          </cell>
          <cell r="X161" t="str">
            <v>No</v>
          </cell>
          <cell r="Z161" t="str">
            <v/>
          </cell>
          <cell r="AA161" t="str">
            <v>EACH</v>
          </cell>
          <cell r="AB161">
            <v>0</v>
          </cell>
          <cell r="AC161" t="str">
            <v>VA-TWINE</v>
          </cell>
          <cell r="AD161" t="str">
            <v>EACH</v>
          </cell>
        </row>
        <row r="162">
          <cell r="D162" t="str">
            <v>9108901017</v>
          </cell>
          <cell r="E162" t="str">
            <v>Special Item</v>
          </cell>
          <cell r="F162" t="str">
            <v>8MT TAPE MEASURE PROCHROME</v>
          </cell>
          <cell r="J162" t="str">
            <v>NNAV</v>
          </cell>
          <cell r="K162" t="str">
            <v>E750</v>
          </cell>
          <cell r="L162" t="str">
            <v>CYMO01</v>
          </cell>
          <cell r="P162">
            <v>5</v>
          </cell>
          <cell r="R162">
            <v>0</v>
          </cell>
          <cell r="S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No</v>
          </cell>
          <cell r="Z162" t="str">
            <v/>
          </cell>
          <cell r="AA162" t="str">
            <v>EACH</v>
          </cell>
          <cell r="AB162">
            <v>0</v>
          </cell>
          <cell r="AC162" t="str">
            <v>9108901017</v>
          </cell>
          <cell r="AD162" t="str">
            <v>EACH</v>
          </cell>
        </row>
        <row r="163">
          <cell r="D163" t="str">
            <v>9108886665</v>
          </cell>
          <cell r="E163" t="str">
            <v>Special Item</v>
          </cell>
          <cell r="F163" t="str">
            <v>BLADE HACKSAW SHATTER PROOF</v>
          </cell>
          <cell r="J163" t="str">
            <v>NNAV</v>
          </cell>
          <cell r="K163" t="str">
            <v>E750</v>
          </cell>
          <cell r="L163" t="str">
            <v>CYMO01</v>
          </cell>
          <cell r="P163">
            <v>50</v>
          </cell>
          <cell r="R163">
            <v>0</v>
          </cell>
          <cell r="S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No</v>
          </cell>
          <cell r="Z163" t="str">
            <v/>
          </cell>
          <cell r="AA163" t="str">
            <v>EACH</v>
          </cell>
          <cell r="AB163">
            <v>0</v>
          </cell>
          <cell r="AC163" t="str">
            <v>9108886665</v>
          </cell>
          <cell r="AD163" t="str">
            <v>EACH</v>
          </cell>
        </row>
        <row r="164">
          <cell r="D164" t="str">
            <v>9108675153</v>
          </cell>
          <cell r="E164" t="str">
            <v>Special Item</v>
          </cell>
          <cell r="F164" t="str">
            <v>BOLT CUTTER 780MM 8178-780</v>
          </cell>
          <cell r="J164" t="str">
            <v>NNAV</v>
          </cell>
          <cell r="K164" t="str">
            <v>E750</v>
          </cell>
          <cell r="L164" t="str">
            <v>CYMO01</v>
          </cell>
          <cell r="P164">
            <v>2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No</v>
          </cell>
          <cell r="Z164" t="str">
            <v/>
          </cell>
          <cell r="AA164" t="str">
            <v>EACH</v>
          </cell>
          <cell r="AB164">
            <v>0</v>
          </cell>
          <cell r="AC164" t="str">
            <v>9108675153</v>
          </cell>
          <cell r="AD164" t="str">
            <v>EACH</v>
          </cell>
        </row>
        <row r="165">
          <cell r="D165" t="str">
            <v>9114000010</v>
          </cell>
          <cell r="E165" t="str">
            <v>Special Item</v>
          </cell>
          <cell r="F165" t="str">
            <v>EUROCLEAR SAFETY SPEC</v>
          </cell>
          <cell r="J165" t="str">
            <v>NNAV</v>
          </cell>
          <cell r="K165" t="str">
            <v>E653</v>
          </cell>
          <cell r="L165" t="str">
            <v>CYMO01</v>
          </cell>
          <cell r="P165">
            <v>50</v>
          </cell>
          <cell r="R165">
            <v>0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No</v>
          </cell>
          <cell r="Z165" t="str">
            <v/>
          </cell>
          <cell r="AA165" t="str">
            <v>EACH</v>
          </cell>
          <cell r="AB165">
            <v>0</v>
          </cell>
          <cell r="AC165" t="str">
            <v>9114000010</v>
          </cell>
          <cell r="AD165" t="str">
            <v>EACH</v>
          </cell>
        </row>
        <row r="166">
          <cell r="D166" t="str">
            <v>9114350069</v>
          </cell>
          <cell r="E166" t="str">
            <v>Special Item</v>
          </cell>
          <cell r="F166" t="str">
            <v>GLOVES FLEX AQUA BLUE SZ10</v>
          </cell>
          <cell r="J166" t="str">
            <v>NNAV</v>
          </cell>
          <cell r="K166" t="str">
            <v>E653</v>
          </cell>
          <cell r="L166" t="str">
            <v>CYMO01</v>
          </cell>
          <cell r="P166">
            <v>50</v>
          </cell>
          <cell r="R166">
            <v>0</v>
          </cell>
          <cell r="S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No</v>
          </cell>
          <cell r="Z166" t="str">
            <v/>
          </cell>
          <cell r="AA166" t="str">
            <v>EACH</v>
          </cell>
          <cell r="AB166">
            <v>0</v>
          </cell>
          <cell r="AC166" t="str">
            <v>9114350069</v>
          </cell>
          <cell r="AD166" t="str">
            <v>EACH</v>
          </cell>
        </row>
        <row r="167">
          <cell r="D167" t="str">
            <v>9108886505</v>
          </cell>
          <cell r="E167" t="str">
            <v>Special Item</v>
          </cell>
          <cell r="F167" t="str">
            <v>HACKSAW FRAME 20T ECLIPSE</v>
          </cell>
          <cell r="J167" t="str">
            <v>NNAV</v>
          </cell>
          <cell r="K167" t="str">
            <v>E750</v>
          </cell>
          <cell r="L167" t="str">
            <v>CYMO01</v>
          </cell>
          <cell r="P167">
            <v>2</v>
          </cell>
          <cell r="R167">
            <v>0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No</v>
          </cell>
          <cell r="Z167" t="str">
            <v/>
          </cell>
          <cell r="AA167" t="str">
            <v>EACH</v>
          </cell>
          <cell r="AB167">
            <v>0</v>
          </cell>
          <cell r="AC167" t="str">
            <v>9108886505</v>
          </cell>
          <cell r="AD167" t="str">
            <v>EACH</v>
          </cell>
        </row>
        <row r="168">
          <cell r="D168" t="str">
            <v>9114050200</v>
          </cell>
          <cell r="E168" t="str">
            <v>Special Item</v>
          </cell>
          <cell r="F168" t="str">
            <v>HARD HAT WHITE - VENTED</v>
          </cell>
          <cell r="J168" t="str">
            <v>NNAV</v>
          </cell>
          <cell r="K168" t="str">
            <v>E653</v>
          </cell>
          <cell r="L168" t="str">
            <v>CYMO01</v>
          </cell>
          <cell r="P168">
            <v>20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No</v>
          </cell>
          <cell r="Z168" t="str">
            <v/>
          </cell>
          <cell r="AA168" t="str">
            <v>EACH</v>
          </cell>
          <cell r="AB168">
            <v>0</v>
          </cell>
          <cell r="AC168" t="str">
            <v>9114050200</v>
          </cell>
          <cell r="AD168" t="str">
            <v>EACH</v>
          </cell>
        </row>
        <row r="169">
          <cell r="D169" t="str">
            <v>BUYNAB11MISC</v>
          </cell>
          <cell r="E169" t="str">
            <v>Special Item</v>
          </cell>
          <cell r="F169" t="str">
            <v>SHEETING BLK H/DUTY 250UMX10X6</v>
          </cell>
          <cell r="J169" t="str">
            <v>NNAV</v>
          </cell>
          <cell r="K169" t="str">
            <v>E499</v>
          </cell>
          <cell r="L169" t="str">
            <v>CYMO01</v>
          </cell>
          <cell r="P169">
            <v>106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No</v>
          </cell>
          <cell r="Z169" t="str">
            <v/>
          </cell>
          <cell r="AA169" t="str">
            <v>EACH</v>
          </cell>
          <cell r="AB169">
            <v>0</v>
          </cell>
          <cell r="AC169" t="str">
            <v>BUYNAB11MISC</v>
          </cell>
          <cell r="AD169" t="str">
            <v>EACH</v>
          </cell>
        </row>
        <row r="170">
          <cell r="D170" t="str">
            <v>8321373</v>
          </cell>
          <cell r="E170" t="str">
            <v>Special Item</v>
          </cell>
          <cell r="F170" t="str">
            <v>DRAGER XAM 5600 CUSTOMISED  (A</v>
          </cell>
          <cell r="J170" t="str">
            <v>NNAV</v>
          </cell>
          <cell r="K170" t="str">
            <v>E653</v>
          </cell>
          <cell r="L170" t="str">
            <v>DDPA01</v>
          </cell>
          <cell r="P170">
            <v>3</v>
          </cell>
          <cell r="R170">
            <v>0</v>
          </cell>
          <cell r="S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No</v>
          </cell>
          <cell r="Z170" t="str">
            <v/>
          </cell>
          <cell r="AA170" t="str">
            <v>EACH</v>
          </cell>
          <cell r="AB170">
            <v>0</v>
          </cell>
          <cell r="AC170" t="str">
            <v>8321373</v>
          </cell>
          <cell r="AD170" t="str">
            <v>EACH</v>
          </cell>
        </row>
        <row r="171">
          <cell r="D171" t="str">
            <v>KS7M</v>
          </cell>
          <cell r="E171" t="str">
            <v>3000434</v>
          </cell>
          <cell r="F171" t="str">
            <v>1 3/4" PRE FORMED CLAMP SS</v>
          </cell>
          <cell r="J171" t="str">
            <v>NNAV</v>
          </cell>
          <cell r="K171" t="str">
            <v>E499</v>
          </cell>
          <cell r="L171" t="str">
            <v>DIXO02</v>
          </cell>
          <cell r="P171">
            <v>16</v>
          </cell>
          <cell r="R171">
            <v>0</v>
          </cell>
          <cell r="S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No</v>
          </cell>
          <cell r="Z171" t="str">
            <v/>
          </cell>
          <cell r="AA171" t="str">
            <v>BOX</v>
          </cell>
          <cell r="AB171">
            <v>0</v>
          </cell>
          <cell r="AC171" t="str">
            <v>KS7M</v>
          </cell>
          <cell r="AD171" t="str">
            <v>BOX</v>
          </cell>
        </row>
        <row r="172">
          <cell r="D172" t="str">
            <v>BFVH100</v>
          </cell>
          <cell r="E172" t="str">
            <v>3008540</v>
          </cell>
          <cell r="F172" t="str">
            <v>100MM CI WAF B/FLY VALVE LOP E</v>
          </cell>
          <cell r="J172" t="str">
            <v>NNAV</v>
          </cell>
          <cell r="K172" t="str">
            <v>E500</v>
          </cell>
          <cell r="L172" t="str">
            <v>DIXO02</v>
          </cell>
          <cell r="P172">
            <v>10</v>
          </cell>
          <cell r="R172">
            <v>0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No</v>
          </cell>
          <cell r="Z172" t="str">
            <v/>
          </cell>
          <cell r="AA172" t="str">
            <v>EACH</v>
          </cell>
          <cell r="AB172">
            <v>0</v>
          </cell>
          <cell r="AC172" t="str">
            <v>BFVH100</v>
          </cell>
          <cell r="AD172" t="str">
            <v>EACH</v>
          </cell>
        </row>
        <row r="173">
          <cell r="D173" t="str">
            <v>SS500M</v>
          </cell>
          <cell r="E173" t="str">
            <v>2401302</v>
          </cell>
          <cell r="F173" t="str">
            <v>12MM SS BANDIT STRAP</v>
          </cell>
          <cell r="J173" t="str">
            <v>NNAV</v>
          </cell>
          <cell r="K173" t="str">
            <v>E499</v>
          </cell>
          <cell r="L173" t="str">
            <v>DIXO02</v>
          </cell>
          <cell r="P173">
            <v>8</v>
          </cell>
          <cell r="R173">
            <v>0</v>
          </cell>
          <cell r="S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No</v>
          </cell>
          <cell r="Z173" t="str">
            <v/>
          </cell>
          <cell r="AA173" t="str">
            <v>EACH</v>
          </cell>
          <cell r="AB173">
            <v>0</v>
          </cell>
          <cell r="AC173" t="str">
            <v>SS500M</v>
          </cell>
          <cell r="AD173" t="str">
            <v>EACH</v>
          </cell>
        </row>
        <row r="174">
          <cell r="D174" t="str">
            <v>ALDC075DC</v>
          </cell>
          <cell r="E174" t="str">
            <v>3003630</v>
          </cell>
          <cell r="F174" t="str">
            <v>20MM AL D/CAST CAM TYPE DC</v>
          </cell>
          <cell r="J174" t="str">
            <v>NNAV</v>
          </cell>
          <cell r="K174" t="str">
            <v>E500</v>
          </cell>
          <cell r="L174" t="str">
            <v>DIXO02</v>
          </cell>
          <cell r="P174">
            <v>5</v>
          </cell>
          <cell r="R174">
            <v>0</v>
          </cell>
          <cell r="S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No</v>
          </cell>
          <cell r="Z174" t="str">
            <v/>
          </cell>
          <cell r="AA174" t="str">
            <v>EACH</v>
          </cell>
          <cell r="AB174">
            <v>0</v>
          </cell>
          <cell r="AC174" t="str">
            <v>ALDC075DC</v>
          </cell>
          <cell r="AD174" t="str">
            <v>EACH</v>
          </cell>
        </row>
        <row r="175">
          <cell r="D175" t="str">
            <v>ALDC075DP</v>
          </cell>
          <cell r="E175" t="str">
            <v>3003635</v>
          </cell>
          <cell r="F175" t="str">
            <v>20MM AL D/CAST CAM TYPE DP</v>
          </cell>
          <cell r="J175" t="str">
            <v>NNAV</v>
          </cell>
          <cell r="K175" t="str">
            <v>E500</v>
          </cell>
          <cell r="L175" t="str">
            <v>DIXO02</v>
          </cell>
          <cell r="P175">
            <v>5</v>
          </cell>
          <cell r="R175">
            <v>0</v>
          </cell>
          <cell r="S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No</v>
          </cell>
          <cell r="Z175" t="str">
            <v/>
          </cell>
          <cell r="AA175" t="str">
            <v>EACH</v>
          </cell>
          <cell r="AB175">
            <v>0</v>
          </cell>
          <cell r="AC175" t="str">
            <v>ALDC075DP</v>
          </cell>
          <cell r="AD175" t="str">
            <v>EACH</v>
          </cell>
        </row>
        <row r="176">
          <cell r="D176" t="str">
            <v>ALDC075A</v>
          </cell>
          <cell r="E176" t="str">
            <v>3003610</v>
          </cell>
          <cell r="F176" t="str">
            <v>20MM AL DIE CAST CAM TYPE A  B</v>
          </cell>
          <cell r="J176" t="str">
            <v>NNAV</v>
          </cell>
          <cell r="K176" t="str">
            <v>E500</v>
          </cell>
          <cell r="L176" t="str">
            <v>DIXO02</v>
          </cell>
          <cell r="P176">
            <v>10</v>
          </cell>
          <cell r="R176">
            <v>0</v>
          </cell>
          <cell r="S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No</v>
          </cell>
          <cell r="Z176" t="str">
            <v/>
          </cell>
          <cell r="AA176" t="str">
            <v>EACH</v>
          </cell>
          <cell r="AB176">
            <v>0</v>
          </cell>
          <cell r="AC176" t="str">
            <v>ALDC075A</v>
          </cell>
          <cell r="AD176" t="str">
            <v>EACH</v>
          </cell>
        </row>
        <row r="177">
          <cell r="D177" t="str">
            <v>EAL075B</v>
          </cell>
          <cell r="E177" t="str">
            <v>3003615</v>
          </cell>
          <cell r="F177" t="str">
            <v>20MM AL DIE CAST CAM TYPE B  B</v>
          </cell>
          <cell r="J177" t="str">
            <v>NNAV</v>
          </cell>
          <cell r="K177" t="str">
            <v>E500</v>
          </cell>
          <cell r="L177" t="str">
            <v>DIXO02</v>
          </cell>
          <cell r="P177">
            <v>20</v>
          </cell>
          <cell r="R177">
            <v>0</v>
          </cell>
          <cell r="S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No</v>
          </cell>
          <cell r="Z177" t="str">
            <v/>
          </cell>
          <cell r="AA177" t="str">
            <v>EACH</v>
          </cell>
          <cell r="AB177">
            <v>0</v>
          </cell>
          <cell r="AC177" t="str">
            <v>EAL075B</v>
          </cell>
          <cell r="AD177" t="str">
            <v>EACH</v>
          </cell>
        </row>
        <row r="178">
          <cell r="D178" t="str">
            <v>ALDC075C</v>
          </cell>
          <cell r="E178" t="str">
            <v>3003620</v>
          </cell>
          <cell r="F178" t="str">
            <v>20MM AL DIE CAST CAM TYPE C</v>
          </cell>
          <cell r="J178" t="str">
            <v>NNAV</v>
          </cell>
          <cell r="K178" t="str">
            <v>E500</v>
          </cell>
          <cell r="L178" t="str">
            <v>DIXO02</v>
          </cell>
          <cell r="P178">
            <v>20</v>
          </cell>
          <cell r="R178">
            <v>0</v>
          </cell>
          <cell r="S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No</v>
          </cell>
          <cell r="Z178" t="str">
            <v/>
          </cell>
          <cell r="AA178" t="str">
            <v>EACH</v>
          </cell>
          <cell r="AB178">
            <v>0</v>
          </cell>
          <cell r="AC178" t="str">
            <v>ALDC075C</v>
          </cell>
          <cell r="AD178" t="str">
            <v>EACH</v>
          </cell>
        </row>
        <row r="179">
          <cell r="D179" t="str">
            <v>EAL075D</v>
          </cell>
          <cell r="E179" t="str">
            <v>3003625</v>
          </cell>
          <cell r="F179" t="str">
            <v>20MM AL DIE CAST CAM TYPE D  B</v>
          </cell>
          <cell r="J179" t="str">
            <v>NNAV</v>
          </cell>
          <cell r="K179" t="str">
            <v>E500</v>
          </cell>
          <cell r="L179" t="str">
            <v>DIXO02</v>
          </cell>
          <cell r="P179">
            <v>10</v>
          </cell>
          <cell r="R179">
            <v>0</v>
          </cell>
          <cell r="S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No</v>
          </cell>
          <cell r="Z179" t="str">
            <v/>
          </cell>
          <cell r="AA179" t="str">
            <v>EACH</v>
          </cell>
          <cell r="AB179">
            <v>0</v>
          </cell>
          <cell r="AC179" t="str">
            <v>EAL075D</v>
          </cell>
          <cell r="AD179" t="str">
            <v>EACH</v>
          </cell>
        </row>
        <row r="180">
          <cell r="D180" t="str">
            <v>EAL075E</v>
          </cell>
          <cell r="E180" t="str">
            <v>3003640</v>
          </cell>
          <cell r="F180" t="str">
            <v>20MM AL DIE CAST CAM TYPE E</v>
          </cell>
          <cell r="J180" t="str">
            <v>NNAV</v>
          </cell>
          <cell r="K180" t="str">
            <v>E500</v>
          </cell>
          <cell r="L180" t="str">
            <v>DIXO02</v>
          </cell>
          <cell r="P180">
            <v>20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No</v>
          </cell>
          <cell r="Z180" t="str">
            <v/>
          </cell>
          <cell r="AA180" t="str">
            <v>EACH</v>
          </cell>
          <cell r="AB180">
            <v>0</v>
          </cell>
          <cell r="AC180" t="str">
            <v>EAL075E</v>
          </cell>
          <cell r="AD180" t="str">
            <v>EACH</v>
          </cell>
        </row>
        <row r="181">
          <cell r="D181" t="str">
            <v>ALDC075F</v>
          </cell>
          <cell r="E181" t="str">
            <v>3003645</v>
          </cell>
          <cell r="F181" t="str">
            <v>20MM AL DIE CAST CAM TYPE F  B</v>
          </cell>
          <cell r="J181" t="str">
            <v>NNAV</v>
          </cell>
          <cell r="K181" t="str">
            <v>E500</v>
          </cell>
          <cell r="L181" t="str">
            <v>DIXO02</v>
          </cell>
          <cell r="P181">
            <v>20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No</v>
          </cell>
          <cell r="Z181" t="str">
            <v/>
          </cell>
          <cell r="AA181" t="str">
            <v>EACH</v>
          </cell>
          <cell r="AB181">
            <v>0</v>
          </cell>
          <cell r="AC181" t="str">
            <v>ALDC075F</v>
          </cell>
          <cell r="AD181" t="str">
            <v>EACH</v>
          </cell>
        </row>
        <row r="182">
          <cell r="D182" t="str">
            <v>BBVSTD025SS</v>
          </cell>
          <cell r="E182" t="str">
            <v>3002050</v>
          </cell>
          <cell r="F182" t="str">
            <v>25MM BRASS BALL VALVE F/F</v>
          </cell>
          <cell r="J182" t="str">
            <v>NNAV</v>
          </cell>
          <cell r="K182" t="str">
            <v>E500</v>
          </cell>
          <cell r="L182" t="str">
            <v>DIXO02</v>
          </cell>
          <cell r="P182">
            <v>20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No</v>
          </cell>
          <cell r="Z182" t="str">
            <v/>
          </cell>
          <cell r="AA182" t="str">
            <v>EACH</v>
          </cell>
          <cell r="AB182">
            <v>0</v>
          </cell>
          <cell r="AC182" t="str">
            <v>BBVSTD025SS</v>
          </cell>
          <cell r="AD182" t="str">
            <v>EACH</v>
          </cell>
        </row>
        <row r="183">
          <cell r="D183" t="str">
            <v>100-HP-SP</v>
          </cell>
          <cell r="E183" t="str">
            <v>3002880</v>
          </cell>
          <cell r="F183" t="str">
            <v>25MM SIN SS STD HANDLE &amp; PIN</v>
          </cell>
          <cell r="J183" t="str">
            <v>NNAV</v>
          </cell>
          <cell r="K183" t="str">
            <v>E500</v>
          </cell>
          <cell r="L183" t="str">
            <v>DIXO02</v>
          </cell>
          <cell r="P183">
            <v>20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No</v>
          </cell>
          <cell r="Z183" t="str">
            <v/>
          </cell>
          <cell r="AA183" t="str">
            <v>EACH</v>
          </cell>
          <cell r="AB183">
            <v>0</v>
          </cell>
          <cell r="AC183" t="str">
            <v>100-HP-SP</v>
          </cell>
          <cell r="AD183" t="str">
            <v>EACH</v>
          </cell>
        </row>
        <row r="184">
          <cell r="D184" t="str">
            <v>IT100SL</v>
          </cell>
          <cell r="E184" t="str">
            <v>3000973</v>
          </cell>
          <cell r="F184" t="str">
            <v>25MM SURELOCK SEAL</v>
          </cell>
          <cell r="J184" t="str">
            <v>NNAV</v>
          </cell>
          <cell r="K184" t="str">
            <v>E499</v>
          </cell>
          <cell r="L184" t="str">
            <v>DIXO02</v>
          </cell>
          <cell r="P184">
            <v>5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 t="str">
            <v>No</v>
          </cell>
          <cell r="Z184" t="str">
            <v/>
          </cell>
          <cell r="AA184" t="str">
            <v>EACH</v>
          </cell>
          <cell r="AB184">
            <v>0</v>
          </cell>
          <cell r="AC184" t="str">
            <v>IT100SL</v>
          </cell>
          <cell r="AD184" t="str">
            <v>EACH</v>
          </cell>
        </row>
        <row r="185">
          <cell r="D185" t="str">
            <v>FMG-UBS-25</v>
          </cell>
          <cell r="E185" t="str">
            <v>3005260</v>
          </cell>
          <cell r="F185" t="str">
            <v>25NB GAL MAL UNION B/S F/F</v>
          </cell>
          <cell r="J185" t="str">
            <v>NNAV</v>
          </cell>
          <cell r="K185" t="str">
            <v>E500</v>
          </cell>
          <cell r="L185" t="str">
            <v>DIXO02</v>
          </cell>
          <cell r="P185">
            <v>5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 t="str">
            <v>No</v>
          </cell>
          <cell r="Z185" t="str">
            <v/>
          </cell>
          <cell r="AA185" t="str">
            <v>EACH</v>
          </cell>
          <cell r="AB185">
            <v>0</v>
          </cell>
          <cell r="AC185" t="str">
            <v>FMG-UBS-25</v>
          </cell>
          <cell r="AD185" t="str">
            <v>EACH</v>
          </cell>
        </row>
        <row r="186">
          <cell r="D186" t="str">
            <v>20-C68-AL</v>
          </cell>
          <cell r="E186" t="str">
            <v>3002910</v>
          </cell>
          <cell r="F186" t="str">
            <v>50MM AL TYPE C BEND 68DEG</v>
          </cell>
          <cell r="J186" t="str">
            <v>NNAV</v>
          </cell>
          <cell r="K186" t="str">
            <v>E500</v>
          </cell>
          <cell r="L186" t="str">
            <v>DIXO02</v>
          </cell>
          <cell r="P186">
            <v>5</v>
          </cell>
          <cell r="R186">
            <v>0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 t="str">
            <v>No</v>
          </cell>
          <cell r="Z186" t="str">
            <v/>
          </cell>
          <cell r="AA186" t="str">
            <v>EACH</v>
          </cell>
          <cell r="AB186">
            <v>0</v>
          </cell>
          <cell r="AC186" t="str">
            <v>20-C68-AL</v>
          </cell>
          <cell r="AD186" t="str">
            <v>EACH</v>
          </cell>
        </row>
        <row r="187">
          <cell r="D187" t="str">
            <v>BYLF050</v>
          </cell>
          <cell r="E187" t="str">
            <v>3008630</v>
          </cell>
          <cell r="F187" t="str">
            <v>50MM BRASS Y STRAINER SCRD</v>
          </cell>
          <cell r="J187" t="str">
            <v>NNAV</v>
          </cell>
          <cell r="K187" t="str">
            <v>E500</v>
          </cell>
          <cell r="L187" t="str">
            <v>DIXO02</v>
          </cell>
          <cell r="P187">
            <v>6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 t="str">
            <v>No</v>
          </cell>
          <cell r="Z187" t="str">
            <v/>
          </cell>
          <cell r="AA187" t="str">
            <v>EACH</v>
          </cell>
          <cell r="AB187">
            <v>0</v>
          </cell>
          <cell r="AC187" t="str">
            <v>BYLF050</v>
          </cell>
          <cell r="AD187" t="str">
            <v>EACH</v>
          </cell>
        </row>
        <row r="188">
          <cell r="D188" t="str">
            <v>BBVSTD065SS</v>
          </cell>
          <cell r="E188" t="str">
            <v>3004000</v>
          </cell>
          <cell r="F188" t="str">
            <v>65MM BRASS BALL VALVE F/F F/B</v>
          </cell>
          <cell r="J188" t="str">
            <v>NNAV</v>
          </cell>
          <cell r="K188" t="str">
            <v>E500</v>
          </cell>
          <cell r="L188" t="str">
            <v>DIXO02</v>
          </cell>
          <cell r="P188">
            <v>10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 t="str">
            <v>No</v>
          </cell>
          <cell r="Z188" t="str">
            <v/>
          </cell>
          <cell r="AA188" t="str">
            <v>EACH</v>
          </cell>
          <cell r="AB188">
            <v>0</v>
          </cell>
          <cell r="AC188" t="str">
            <v>BBVSTD065SS</v>
          </cell>
          <cell r="AD188" t="str">
            <v>EACH</v>
          </cell>
        </row>
        <row r="189">
          <cell r="D189" t="str">
            <v>VBF-IBFW065</v>
          </cell>
          <cell r="E189" t="str">
            <v>3008530</v>
          </cell>
          <cell r="F189" t="str">
            <v>65MM CI WAF B/FLY VALVE LOP SS</v>
          </cell>
          <cell r="J189" t="str">
            <v>NNAV</v>
          </cell>
          <cell r="K189" t="str">
            <v>E500</v>
          </cell>
          <cell r="L189" t="str">
            <v>DIXO02</v>
          </cell>
          <cell r="P189">
            <v>6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 t="str">
            <v>No</v>
          </cell>
          <cell r="Z189" t="str">
            <v/>
          </cell>
          <cell r="AA189" t="str">
            <v>EACH</v>
          </cell>
          <cell r="AB189">
            <v>0</v>
          </cell>
          <cell r="AC189" t="str">
            <v>VBF-IBFW065</v>
          </cell>
          <cell r="AD189" t="str">
            <v>EACH</v>
          </cell>
        </row>
        <row r="190">
          <cell r="D190" t="str">
            <v>CH-GAL-6-25</v>
          </cell>
          <cell r="E190" t="str">
            <v>1670390</v>
          </cell>
          <cell r="F190" t="str">
            <v>6MM GAL CHAIN 25KG PACK</v>
          </cell>
          <cell r="J190" t="str">
            <v>NNAV</v>
          </cell>
          <cell r="K190" t="str">
            <v>E499</v>
          </cell>
          <cell r="L190" t="str">
            <v>DIXO02</v>
          </cell>
          <cell r="P190">
            <v>30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 t="str">
            <v>No</v>
          </cell>
          <cell r="Z190" t="str">
            <v/>
          </cell>
          <cell r="AA190" t="str">
            <v>EACH</v>
          </cell>
          <cell r="AB190">
            <v>0</v>
          </cell>
          <cell r="AC190" t="str">
            <v>CH-GAL-6-25</v>
          </cell>
          <cell r="AD190" t="str">
            <v>EACH</v>
          </cell>
        </row>
        <row r="191">
          <cell r="D191" t="str">
            <v>300-HRP-SP</v>
          </cell>
          <cell r="E191" t="str">
            <v>3002940</v>
          </cell>
          <cell r="F191" t="str">
            <v>75-125MM SIN SS HANDLE RING &amp;</v>
          </cell>
          <cell r="J191" t="str">
            <v>NNAV</v>
          </cell>
          <cell r="K191" t="str">
            <v>E500</v>
          </cell>
          <cell r="L191" t="str">
            <v>DIXO02</v>
          </cell>
          <cell r="P191">
            <v>20</v>
          </cell>
          <cell r="R191">
            <v>0</v>
          </cell>
          <cell r="S191">
            <v>0</v>
          </cell>
          <cell r="U191">
            <v>0</v>
          </cell>
          <cell r="V191">
            <v>0</v>
          </cell>
          <cell r="W191">
            <v>0</v>
          </cell>
          <cell r="X191" t="str">
            <v>No</v>
          </cell>
          <cell r="Z191" t="str">
            <v/>
          </cell>
          <cell r="AA191" t="str">
            <v>EACH</v>
          </cell>
          <cell r="AB191">
            <v>0</v>
          </cell>
          <cell r="AC191" t="str">
            <v>300-HRP-SP</v>
          </cell>
          <cell r="AD191" t="str">
            <v>EACH</v>
          </cell>
        </row>
        <row r="192">
          <cell r="D192" t="str">
            <v>300-G-BU</v>
          </cell>
          <cell r="E192" t="str">
            <v>3002930</v>
          </cell>
          <cell r="F192" t="str">
            <v>75MM BUNA GASKET</v>
          </cell>
          <cell r="J192" t="str">
            <v>NNAV</v>
          </cell>
          <cell r="K192" t="str">
            <v>E500</v>
          </cell>
          <cell r="L192" t="str">
            <v>DIXO02</v>
          </cell>
          <cell r="P192">
            <v>20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 t="str">
            <v>No</v>
          </cell>
          <cell r="Z192" t="str">
            <v/>
          </cell>
          <cell r="AA192" t="str">
            <v>EACH</v>
          </cell>
          <cell r="AB192">
            <v>0</v>
          </cell>
          <cell r="AC192" t="str">
            <v>300-G-BU</v>
          </cell>
          <cell r="AD192" t="str">
            <v>EACH</v>
          </cell>
        </row>
        <row r="193">
          <cell r="D193" t="str">
            <v>PCF-AF-110-100</v>
          </cell>
          <cell r="E193" t="str">
            <v>3000014</v>
          </cell>
          <cell r="F193" t="str">
            <v>ADAPTOR 110MM X 100MM FEMALE</v>
          </cell>
          <cell r="J193" t="str">
            <v>NNAV</v>
          </cell>
          <cell r="K193" t="str">
            <v>E500</v>
          </cell>
          <cell r="L193" t="str">
            <v>DIXO02</v>
          </cell>
          <cell r="P193">
            <v>10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 t="str">
            <v>No</v>
          </cell>
          <cell r="Z193" t="str">
            <v/>
          </cell>
          <cell r="AA193" t="str">
            <v>EACH</v>
          </cell>
          <cell r="AB193">
            <v>0</v>
          </cell>
          <cell r="AC193" t="str">
            <v>PCF-AF-110-100</v>
          </cell>
          <cell r="AD193" t="str">
            <v>EACH</v>
          </cell>
        </row>
        <row r="194">
          <cell r="D194" t="str">
            <v>PCF-AF-25-25</v>
          </cell>
          <cell r="E194" t="str">
            <v>3000049</v>
          </cell>
          <cell r="F194" t="str">
            <v>ADAPTOR 25MM X 25MM FEMALE</v>
          </cell>
          <cell r="J194" t="str">
            <v>NNAV</v>
          </cell>
          <cell r="K194" t="str">
            <v>E500</v>
          </cell>
          <cell r="L194" t="str">
            <v>DIXO02</v>
          </cell>
          <cell r="P194">
            <v>15</v>
          </cell>
          <cell r="R194">
            <v>0</v>
          </cell>
          <cell r="S194">
            <v>0</v>
          </cell>
          <cell r="U194">
            <v>0</v>
          </cell>
          <cell r="V194">
            <v>0</v>
          </cell>
          <cell r="W194">
            <v>0</v>
          </cell>
          <cell r="X194" t="str">
            <v>No</v>
          </cell>
          <cell r="Z194" t="str">
            <v/>
          </cell>
          <cell r="AA194" t="str">
            <v>EACH</v>
          </cell>
          <cell r="AB194">
            <v>0</v>
          </cell>
          <cell r="AC194" t="str">
            <v>PCF-AF-25-25</v>
          </cell>
          <cell r="AD194" t="str">
            <v>EACH</v>
          </cell>
        </row>
        <row r="195">
          <cell r="D195" t="str">
            <v>PCF-AM-25-25</v>
          </cell>
          <cell r="E195" t="str">
            <v>3000056</v>
          </cell>
          <cell r="F195" t="str">
            <v>ADAPTOR 25MM X 25MM MALE</v>
          </cell>
          <cell r="J195" t="str">
            <v>NNAV</v>
          </cell>
          <cell r="K195" t="str">
            <v>E500</v>
          </cell>
          <cell r="L195" t="str">
            <v>DIXO02</v>
          </cell>
          <cell r="P195">
            <v>15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No</v>
          </cell>
          <cell r="Z195" t="str">
            <v/>
          </cell>
          <cell r="AA195" t="str">
            <v>EACH</v>
          </cell>
          <cell r="AB195">
            <v>0</v>
          </cell>
          <cell r="AC195" t="str">
            <v>PCF-AM-25-25</v>
          </cell>
          <cell r="AD195" t="str">
            <v>EACH</v>
          </cell>
        </row>
        <row r="196">
          <cell r="D196" t="str">
            <v>PCF-AF-63-50</v>
          </cell>
          <cell r="E196" t="str">
            <v>3000077</v>
          </cell>
          <cell r="F196" t="str">
            <v>ADAPTOR 63MM  X 50MM FEMALE</v>
          </cell>
          <cell r="J196" t="str">
            <v>NNAV</v>
          </cell>
          <cell r="K196" t="str">
            <v>E500</v>
          </cell>
          <cell r="L196" t="str">
            <v>DIXO02</v>
          </cell>
          <cell r="P196">
            <v>10</v>
          </cell>
          <cell r="R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 t="str">
            <v>No</v>
          </cell>
          <cell r="Z196" t="str">
            <v/>
          </cell>
          <cell r="AA196" t="str">
            <v>EACH</v>
          </cell>
          <cell r="AB196">
            <v>0</v>
          </cell>
          <cell r="AC196" t="str">
            <v>PCF-AF-63-50</v>
          </cell>
          <cell r="AD196" t="str">
            <v>EACH</v>
          </cell>
        </row>
        <row r="197">
          <cell r="D197" t="str">
            <v>PCF-AM-63-50</v>
          </cell>
          <cell r="E197" t="str">
            <v>3000084</v>
          </cell>
          <cell r="F197" t="str">
            <v>ADAPTOR 63MM X 50MM MALE</v>
          </cell>
          <cell r="J197" t="str">
            <v>NNAV</v>
          </cell>
          <cell r="K197" t="str">
            <v>E500</v>
          </cell>
          <cell r="L197" t="str">
            <v>DIXO02</v>
          </cell>
          <cell r="P197">
            <v>5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 t="str">
            <v>No</v>
          </cell>
          <cell r="Z197" t="str">
            <v/>
          </cell>
          <cell r="AA197" t="str">
            <v>EACH</v>
          </cell>
          <cell r="AB197">
            <v>0</v>
          </cell>
          <cell r="AC197" t="str">
            <v>PCF-AM-63-50</v>
          </cell>
          <cell r="AD197" t="str">
            <v>EACH</v>
          </cell>
        </row>
        <row r="198">
          <cell r="D198" t="str">
            <v>PCF-AFL-110-100</v>
          </cell>
          <cell r="E198" t="str">
            <v>3000098</v>
          </cell>
          <cell r="F198" t="str">
            <v>ADAPTOR FLANGE  110MM X 100MM</v>
          </cell>
          <cell r="J198" t="str">
            <v>NNAV</v>
          </cell>
          <cell r="K198" t="str">
            <v>E500</v>
          </cell>
          <cell r="L198" t="str">
            <v>DIXO02</v>
          </cell>
          <cell r="P198">
            <v>14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 t="str">
            <v>No</v>
          </cell>
          <cell r="Z198" t="str">
            <v/>
          </cell>
          <cell r="AA198" t="str">
            <v>EACH</v>
          </cell>
          <cell r="AB198">
            <v>0</v>
          </cell>
          <cell r="AC198" t="str">
            <v>PCF-AFL-110-100</v>
          </cell>
          <cell r="AD198" t="str">
            <v>EACH</v>
          </cell>
        </row>
        <row r="199">
          <cell r="D199" t="str">
            <v>PCF-AFL-63-63</v>
          </cell>
          <cell r="E199" t="str">
            <v>3000105</v>
          </cell>
          <cell r="F199" t="str">
            <v>ADAPTOR FLANGE  63MM X 50MM TA</v>
          </cell>
          <cell r="J199" t="str">
            <v>NNAV</v>
          </cell>
          <cell r="K199" t="str">
            <v>E500</v>
          </cell>
          <cell r="L199" t="str">
            <v>DIXO02</v>
          </cell>
          <cell r="P199">
            <v>4</v>
          </cell>
          <cell r="R199">
            <v>0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 t="str">
            <v>No</v>
          </cell>
          <cell r="Z199" t="str">
            <v/>
          </cell>
          <cell r="AA199" t="str">
            <v>EACH</v>
          </cell>
          <cell r="AB199">
            <v>0</v>
          </cell>
          <cell r="AC199" t="str">
            <v>PCF-AFL-63-63</v>
          </cell>
          <cell r="AD199" t="str">
            <v>EACH</v>
          </cell>
        </row>
        <row r="200">
          <cell r="D200" t="str">
            <v>08/048/10/003</v>
          </cell>
          <cell r="E200" t="str">
            <v>3000112</v>
          </cell>
          <cell r="F200" t="str">
            <v>ADAPTOR SCREWED 100NB SHLD GAL</v>
          </cell>
          <cell r="J200" t="str">
            <v>NNAV</v>
          </cell>
          <cell r="K200" t="str">
            <v>E500</v>
          </cell>
          <cell r="L200" t="str">
            <v>DIXO02</v>
          </cell>
          <cell r="P200">
            <v>10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 t="str">
            <v>No</v>
          </cell>
          <cell r="Z200" t="str">
            <v/>
          </cell>
          <cell r="AA200" t="str">
            <v>EACH</v>
          </cell>
          <cell r="AB200">
            <v>0</v>
          </cell>
          <cell r="AC200" t="str">
            <v>08/048/10/003</v>
          </cell>
          <cell r="AD200" t="str">
            <v>EACH</v>
          </cell>
        </row>
        <row r="201">
          <cell r="D201" t="str">
            <v>08/048/10/000</v>
          </cell>
          <cell r="E201" t="str">
            <v>3000126</v>
          </cell>
          <cell r="F201" t="str">
            <v>ADAPTOR SCREWED 50NB</v>
          </cell>
          <cell r="J201" t="str">
            <v>NNAV</v>
          </cell>
          <cell r="K201" t="str">
            <v>E500</v>
          </cell>
          <cell r="L201" t="str">
            <v>DIXO02</v>
          </cell>
          <cell r="P201">
            <v>10</v>
          </cell>
          <cell r="R201">
            <v>0</v>
          </cell>
          <cell r="S201">
            <v>0</v>
          </cell>
          <cell r="U201">
            <v>0</v>
          </cell>
          <cell r="V201">
            <v>0</v>
          </cell>
          <cell r="W201">
            <v>0</v>
          </cell>
          <cell r="X201" t="str">
            <v>No</v>
          </cell>
          <cell r="Z201" t="str">
            <v/>
          </cell>
          <cell r="AA201" t="str">
            <v>EACH</v>
          </cell>
          <cell r="AB201">
            <v>0</v>
          </cell>
          <cell r="AC201" t="str">
            <v>08/048/10/000</v>
          </cell>
          <cell r="AD201" t="str">
            <v>EACH</v>
          </cell>
        </row>
        <row r="202">
          <cell r="D202" t="str">
            <v>08/048/10/002</v>
          </cell>
          <cell r="E202" t="str">
            <v>3002630</v>
          </cell>
          <cell r="F202" t="str">
            <v>ADAPTOR SCREWED 80MM SHLD GALV</v>
          </cell>
          <cell r="J202" t="str">
            <v>NNAV</v>
          </cell>
          <cell r="K202" t="str">
            <v>E500</v>
          </cell>
          <cell r="L202" t="str">
            <v>DIXO02</v>
          </cell>
          <cell r="P202">
            <v>5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 t="str">
            <v>No</v>
          </cell>
          <cell r="Z202" t="str">
            <v/>
          </cell>
          <cell r="AA202" t="str">
            <v>EACH</v>
          </cell>
          <cell r="AB202">
            <v>0</v>
          </cell>
          <cell r="AC202" t="str">
            <v>08/048/10/002</v>
          </cell>
          <cell r="AD202" t="str">
            <v>EACH</v>
          </cell>
        </row>
        <row r="203">
          <cell r="D203" t="str">
            <v>PCF-ASH-110-100</v>
          </cell>
          <cell r="E203" t="str">
            <v>3000133</v>
          </cell>
          <cell r="F203" t="str">
            <v>ADAPTOR SHOULDER 110MM X 100MM</v>
          </cell>
          <cell r="J203" t="str">
            <v>NNAV</v>
          </cell>
          <cell r="K203" t="str">
            <v>E500</v>
          </cell>
          <cell r="L203" t="str">
            <v>DIXO02</v>
          </cell>
          <cell r="P203">
            <v>19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 t="str">
            <v>No</v>
          </cell>
          <cell r="Z203" t="str">
            <v/>
          </cell>
          <cell r="AA203" t="str">
            <v>EACH</v>
          </cell>
          <cell r="AB203">
            <v>0</v>
          </cell>
          <cell r="AC203" t="str">
            <v>PCF-ASH-110-100</v>
          </cell>
          <cell r="AD203" t="str">
            <v>EACH</v>
          </cell>
        </row>
        <row r="204">
          <cell r="D204" t="str">
            <v>PCF-ASH-63-50</v>
          </cell>
          <cell r="E204" t="str">
            <v>3000147</v>
          </cell>
          <cell r="F204" t="str">
            <v>ADAPTOR SHOULDERED 63MM X 50MM</v>
          </cell>
          <cell r="J204" t="str">
            <v>NNAV</v>
          </cell>
          <cell r="K204" t="str">
            <v>E500</v>
          </cell>
          <cell r="L204" t="str">
            <v>DIXO02</v>
          </cell>
          <cell r="P204">
            <v>19</v>
          </cell>
          <cell r="R204">
            <v>0</v>
          </cell>
          <cell r="S204">
            <v>0</v>
          </cell>
          <cell r="U204">
            <v>0</v>
          </cell>
          <cell r="V204">
            <v>0</v>
          </cell>
          <cell r="W204">
            <v>0</v>
          </cell>
          <cell r="X204" t="str">
            <v>No</v>
          </cell>
          <cell r="Z204" t="str">
            <v/>
          </cell>
          <cell r="AA204" t="str">
            <v>EACH</v>
          </cell>
          <cell r="AB204">
            <v>0</v>
          </cell>
          <cell r="AC204" t="str">
            <v>PCF-ASH-63-50</v>
          </cell>
          <cell r="AD204" t="str">
            <v>EACH</v>
          </cell>
        </row>
        <row r="205">
          <cell r="D205" t="str">
            <v>PCF-ASH-90-100</v>
          </cell>
          <cell r="E205" t="str">
            <v>3000154</v>
          </cell>
          <cell r="F205" t="str">
            <v>ADAPTOR SHOULDERED 90MM X 100M</v>
          </cell>
          <cell r="J205" t="str">
            <v>NNAV</v>
          </cell>
          <cell r="K205" t="str">
            <v>E500</v>
          </cell>
          <cell r="L205" t="str">
            <v>DIXO02</v>
          </cell>
          <cell r="P205">
            <v>4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 t="str">
            <v>No</v>
          </cell>
          <cell r="Z205" t="str">
            <v/>
          </cell>
          <cell r="AA205" t="str">
            <v>EACH</v>
          </cell>
          <cell r="AB205">
            <v>0</v>
          </cell>
          <cell r="AC205" t="str">
            <v>PCF-ASH-90-100</v>
          </cell>
          <cell r="AD205" t="str">
            <v>EACH</v>
          </cell>
        </row>
        <row r="206">
          <cell r="D206" t="str">
            <v>05/100/01/455</v>
          </cell>
          <cell r="E206" t="str">
            <v>3000903</v>
          </cell>
          <cell r="F206" t="str">
            <v>ANFO HOSE 25MM X 60MTR RIGID</v>
          </cell>
          <cell r="J206" t="str">
            <v>NNAV</v>
          </cell>
          <cell r="K206" t="str">
            <v>E499</v>
          </cell>
          <cell r="L206" t="str">
            <v>DIXO02</v>
          </cell>
          <cell r="P206">
            <v>10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 t="str">
            <v>No</v>
          </cell>
          <cell r="Z206" t="str">
            <v/>
          </cell>
          <cell r="AA206" t="str">
            <v>ROLL</v>
          </cell>
          <cell r="AB206">
            <v>0</v>
          </cell>
          <cell r="AC206" t="str">
            <v>05/100/01/455</v>
          </cell>
          <cell r="AD206" t="str">
            <v>ROLL</v>
          </cell>
        </row>
        <row r="207">
          <cell r="D207" t="str">
            <v>05/100/01/124</v>
          </cell>
          <cell r="E207" t="str">
            <v>2000235</v>
          </cell>
          <cell r="F207" t="str">
            <v>ANFO LO STAT 20MM SEMI RIGID H</v>
          </cell>
          <cell r="J207" t="str">
            <v>NNAV</v>
          </cell>
          <cell r="K207" t="str">
            <v>E499</v>
          </cell>
          <cell r="L207" t="str">
            <v>DIXO02</v>
          </cell>
          <cell r="P207">
            <v>50</v>
          </cell>
          <cell r="R207">
            <v>0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 t="str">
            <v>No</v>
          </cell>
          <cell r="Z207" t="str">
            <v/>
          </cell>
          <cell r="AA207" t="str">
            <v>ROLL</v>
          </cell>
          <cell r="AB207">
            <v>0</v>
          </cell>
          <cell r="AC207" t="str">
            <v>05/100/01/124</v>
          </cell>
          <cell r="AD207" t="str">
            <v>ROLL</v>
          </cell>
        </row>
        <row r="208">
          <cell r="D208" t="str">
            <v>BBVSTD100SS</v>
          </cell>
          <cell r="E208" t="str">
            <v>3001708</v>
          </cell>
          <cell r="F208" t="str">
            <v>BALL VALVE 100MM</v>
          </cell>
          <cell r="J208" t="str">
            <v>NNAV</v>
          </cell>
          <cell r="K208" t="str">
            <v>E500</v>
          </cell>
          <cell r="L208" t="str">
            <v>DIXO02</v>
          </cell>
          <cell r="P208">
            <v>10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 t="str">
            <v>No</v>
          </cell>
          <cell r="Z208" t="str">
            <v/>
          </cell>
          <cell r="AA208" t="str">
            <v>EACH</v>
          </cell>
          <cell r="AB208">
            <v>0</v>
          </cell>
          <cell r="AC208" t="str">
            <v>BBVSTD100SS</v>
          </cell>
          <cell r="AD208" t="str">
            <v>EACH</v>
          </cell>
        </row>
        <row r="209">
          <cell r="D209" t="str">
            <v>SS1P-25MM</v>
          </cell>
          <cell r="E209" t="str">
            <v>3002065</v>
          </cell>
          <cell r="F209" t="str">
            <v>BALL VALVE 25MM</v>
          </cell>
          <cell r="J209" t="str">
            <v>NNAV</v>
          </cell>
          <cell r="K209" t="str">
            <v>E500</v>
          </cell>
          <cell r="L209" t="str">
            <v>DIXO02</v>
          </cell>
          <cell r="P209">
            <v>20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 t="str">
            <v>No</v>
          </cell>
          <cell r="Z209" t="str">
            <v/>
          </cell>
          <cell r="AA209" t="str">
            <v>EACH</v>
          </cell>
          <cell r="AB209">
            <v>0</v>
          </cell>
          <cell r="AC209" t="str">
            <v>SS1P-25MM</v>
          </cell>
          <cell r="AD209" t="str">
            <v>EACH</v>
          </cell>
        </row>
        <row r="210">
          <cell r="D210" t="str">
            <v>51960</v>
          </cell>
          <cell r="E210" t="str">
            <v>4004770</v>
          </cell>
          <cell r="F210" t="str">
            <v>BANDIT TOOL</v>
          </cell>
          <cell r="J210" t="str">
            <v>NNAV</v>
          </cell>
          <cell r="K210" t="str">
            <v>E750</v>
          </cell>
          <cell r="L210" t="str">
            <v>DIXO02</v>
          </cell>
          <cell r="P210">
            <v>4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 t="str">
            <v>No</v>
          </cell>
          <cell r="Z210" t="str">
            <v/>
          </cell>
          <cell r="AA210" t="str">
            <v>EACH</v>
          </cell>
          <cell r="AB210">
            <v>0</v>
          </cell>
          <cell r="AC210" t="str">
            <v>51960</v>
          </cell>
          <cell r="AD210" t="str">
            <v>EACH</v>
          </cell>
        </row>
        <row r="211">
          <cell r="D211" t="str">
            <v>SBAR22MMX1800F</v>
          </cell>
          <cell r="E211" t="str">
            <v>1950147</v>
          </cell>
          <cell r="F211" t="str">
            <v>BAR SCALING STEEL HEX 6FT</v>
          </cell>
          <cell r="J211" t="str">
            <v>NNAV</v>
          </cell>
          <cell r="K211" t="str">
            <v>E499</v>
          </cell>
          <cell r="L211" t="str">
            <v>DIXO02</v>
          </cell>
          <cell r="P211">
            <v>30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>No</v>
          </cell>
          <cell r="Z211" t="str">
            <v/>
          </cell>
          <cell r="AA211" t="str">
            <v>EACH</v>
          </cell>
          <cell r="AB211">
            <v>0</v>
          </cell>
          <cell r="AC211" t="str">
            <v>SBAR22MMX1800F</v>
          </cell>
          <cell r="AD211" t="str">
            <v>EACH</v>
          </cell>
        </row>
        <row r="212">
          <cell r="D212" t="str">
            <v>CS500M</v>
          </cell>
          <cell r="E212" t="str">
            <v>2402190</v>
          </cell>
          <cell r="F212" t="str">
            <v>BUCKLE BANDIT 12 MM SS</v>
          </cell>
          <cell r="J212" t="str">
            <v>NNAV</v>
          </cell>
          <cell r="K212" t="str">
            <v>E499</v>
          </cell>
          <cell r="L212" t="str">
            <v>DIXO02</v>
          </cell>
          <cell r="P212">
            <v>12</v>
          </cell>
          <cell r="R212">
            <v>0</v>
          </cell>
          <cell r="S212">
            <v>0</v>
          </cell>
          <cell r="U212">
            <v>0</v>
          </cell>
          <cell r="V212">
            <v>0</v>
          </cell>
          <cell r="W212">
            <v>0</v>
          </cell>
          <cell r="X212" t="str">
            <v>No</v>
          </cell>
          <cell r="Z212" t="str">
            <v/>
          </cell>
          <cell r="AA212" t="str">
            <v>EACH</v>
          </cell>
          <cell r="AB212">
            <v>0</v>
          </cell>
          <cell r="AC212" t="str">
            <v>CS500M</v>
          </cell>
          <cell r="AD212" t="str">
            <v>EACH</v>
          </cell>
        </row>
        <row r="213">
          <cell r="D213" t="str">
            <v>PTF-BUSH-25-20</v>
          </cell>
          <cell r="E213" t="str">
            <v>3000224</v>
          </cell>
          <cell r="F213" t="str">
            <v>BUSH REDUCER 25MM X 20 MM</v>
          </cell>
          <cell r="J213" t="str">
            <v>NNAV</v>
          </cell>
          <cell r="K213" t="str">
            <v>E500</v>
          </cell>
          <cell r="L213" t="str">
            <v>DIXO02</v>
          </cell>
          <cell r="P213">
            <v>30</v>
          </cell>
          <cell r="R213">
            <v>0</v>
          </cell>
          <cell r="S213">
            <v>0</v>
          </cell>
          <cell r="U213">
            <v>0</v>
          </cell>
          <cell r="V213">
            <v>0</v>
          </cell>
          <cell r="W213">
            <v>0</v>
          </cell>
          <cell r="X213" t="str">
            <v>No</v>
          </cell>
          <cell r="Z213" t="str">
            <v/>
          </cell>
          <cell r="AA213" t="str">
            <v>EACH</v>
          </cell>
          <cell r="AB213">
            <v>0</v>
          </cell>
          <cell r="AC213" t="str">
            <v>PTF-BUSH-25-20</v>
          </cell>
          <cell r="AD213" t="str">
            <v>EACH</v>
          </cell>
        </row>
        <row r="214">
          <cell r="D214" t="str">
            <v>EAL300A</v>
          </cell>
          <cell r="E214" t="str">
            <v>3000287</v>
          </cell>
          <cell r="F214" t="str">
            <v>CAMLOCK 633A80 ALUM MALE-FEMAL</v>
          </cell>
          <cell r="J214" t="str">
            <v>NNAV</v>
          </cell>
          <cell r="K214" t="str">
            <v>E500</v>
          </cell>
          <cell r="L214" t="str">
            <v>DIXO02</v>
          </cell>
          <cell r="P214">
            <v>20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 t="str">
            <v>No</v>
          </cell>
          <cell r="Z214" t="str">
            <v/>
          </cell>
          <cell r="AA214" t="str">
            <v>EACH</v>
          </cell>
          <cell r="AB214">
            <v>0</v>
          </cell>
          <cell r="AC214" t="str">
            <v>EAL300A</v>
          </cell>
          <cell r="AD214" t="str">
            <v>EACH</v>
          </cell>
        </row>
        <row r="215">
          <cell r="D215" t="str">
            <v>EAL300B</v>
          </cell>
          <cell r="E215" t="str">
            <v>3000301</v>
          </cell>
          <cell r="F215" t="str">
            <v>CAMLOCK 633B80 ALUM</v>
          </cell>
          <cell r="J215" t="str">
            <v>NNAV</v>
          </cell>
          <cell r="K215" t="str">
            <v>E500</v>
          </cell>
          <cell r="L215" t="str">
            <v>DIXO02</v>
          </cell>
          <cell r="P215">
            <v>20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 t="str">
            <v>No</v>
          </cell>
          <cell r="Z215" t="str">
            <v/>
          </cell>
          <cell r="AA215" t="str">
            <v>EACH</v>
          </cell>
          <cell r="AB215">
            <v>0</v>
          </cell>
          <cell r="AC215" t="str">
            <v>EAL300B</v>
          </cell>
          <cell r="AD215" t="str">
            <v>EACH</v>
          </cell>
        </row>
        <row r="216">
          <cell r="D216" t="str">
            <v>EAL300C</v>
          </cell>
          <cell r="E216" t="str">
            <v>3000322</v>
          </cell>
          <cell r="F216" t="str">
            <v>CAMLOCK 633C80 ALUM</v>
          </cell>
          <cell r="J216" t="str">
            <v>NNAV</v>
          </cell>
          <cell r="K216" t="str">
            <v>E500</v>
          </cell>
          <cell r="L216" t="str">
            <v>DIXO02</v>
          </cell>
          <cell r="P216">
            <v>20</v>
          </cell>
          <cell r="R216">
            <v>0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 t="str">
            <v>No</v>
          </cell>
          <cell r="Z216" t="str">
            <v/>
          </cell>
          <cell r="AA216" t="str">
            <v>EACH</v>
          </cell>
          <cell r="AB216">
            <v>0</v>
          </cell>
          <cell r="AC216" t="str">
            <v>EAL300C</v>
          </cell>
          <cell r="AD216" t="str">
            <v>EACH</v>
          </cell>
        </row>
        <row r="217">
          <cell r="D217" t="str">
            <v>EAL300D</v>
          </cell>
          <cell r="E217" t="str">
            <v>3000350</v>
          </cell>
          <cell r="F217" t="str">
            <v>CAMLOCK 633D80 ALUM</v>
          </cell>
          <cell r="J217" t="str">
            <v>NNAV</v>
          </cell>
          <cell r="K217" t="str">
            <v>E500</v>
          </cell>
          <cell r="L217" t="str">
            <v>DIXO02</v>
          </cell>
          <cell r="P217">
            <v>20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 t="str">
            <v>No</v>
          </cell>
          <cell r="Z217" t="str">
            <v/>
          </cell>
          <cell r="AA217" t="str">
            <v>EACH</v>
          </cell>
          <cell r="AB217">
            <v>0</v>
          </cell>
          <cell r="AC217" t="str">
            <v>EAL300D</v>
          </cell>
          <cell r="AD217" t="str">
            <v>EACH</v>
          </cell>
        </row>
        <row r="218">
          <cell r="D218" t="str">
            <v>EAL300E</v>
          </cell>
          <cell r="E218" t="str">
            <v>3000364</v>
          </cell>
          <cell r="F218" t="str">
            <v>CAMLOCK 633E80 ALUM</v>
          </cell>
          <cell r="J218" t="str">
            <v>NNAV</v>
          </cell>
          <cell r="K218" t="str">
            <v>E500</v>
          </cell>
          <cell r="L218" t="str">
            <v>DIXO02</v>
          </cell>
          <cell r="P218">
            <v>20</v>
          </cell>
          <cell r="R218">
            <v>0</v>
          </cell>
          <cell r="S218">
            <v>0</v>
          </cell>
          <cell r="U218">
            <v>0</v>
          </cell>
          <cell r="V218">
            <v>0</v>
          </cell>
          <cell r="W218">
            <v>0</v>
          </cell>
          <cell r="X218" t="str">
            <v>No</v>
          </cell>
          <cell r="Z218" t="str">
            <v/>
          </cell>
          <cell r="AA218" t="str">
            <v>EACH</v>
          </cell>
          <cell r="AB218">
            <v>0</v>
          </cell>
          <cell r="AC218" t="str">
            <v>EAL300E</v>
          </cell>
          <cell r="AD218" t="str">
            <v>EACH</v>
          </cell>
        </row>
        <row r="219">
          <cell r="D219" t="str">
            <v>EAL300F</v>
          </cell>
          <cell r="E219" t="str">
            <v>3000392</v>
          </cell>
          <cell r="F219" t="str">
            <v>CAMLOCK 633F80 ALUM</v>
          </cell>
          <cell r="J219" t="str">
            <v>NNAV</v>
          </cell>
          <cell r="K219" t="str">
            <v>E500</v>
          </cell>
          <cell r="L219" t="str">
            <v>DIXO02</v>
          </cell>
          <cell r="P219">
            <v>20</v>
          </cell>
          <cell r="R219">
            <v>0</v>
          </cell>
          <cell r="S219">
            <v>0</v>
          </cell>
          <cell r="U219">
            <v>0</v>
          </cell>
          <cell r="V219">
            <v>0</v>
          </cell>
          <cell r="W219">
            <v>0</v>
          </cell>
          <cell r="X219" t="str">
            <v>No</v>
          </cell>
          <cell r="Z219" t="str">
            <v/>
          </cell>
          <cell r="AA219" t="str">
            <v>EACH</v>
          </cell>
          <cell r="AB219">
            <v>0</v>
          </cell>
          <cell r="AC219" t="str">
            <v>EAL300F</v>
          </cell>
          <cell r="AD219" t="str">
            <v>EACH</v>
          </cell>
        </row>
        <row r="220">
          <cell r="D220" t="str">
            <v>KS14M</v>
          </cell>
          <cell r="E220" t="str">
            <v>3000462</v>
          </cell>
          <cell r="F220" t="str">
            <v>CLAMP PREFORMED 3.1/2 X 5/8 X</v>
          </cell>
          <cell r="J220" t="str">
            <v>NNAV</v>
          </cell>
          <cell r="K220" t="str">
            <v>E500</v>
          </cell>
          <cell r="L220" t="str">
            <v>DIXO02</v>
          </cell>
          <cell r="P220">
            <v>1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 t="str">
            <v>No</v>
          </cell>
          <cell r="Z220" t="str">
            <v/>
          </cell>
          <cell r="AA220" t="str">
            <v>EACH</v>
          </cell>
          <cell r="AB220">
            <v>0</v>
          </cell>
          <cell r="AC220" t="str">
            <v>KS14M</v>
          </cell>
          <cell r="AD220" t="str">
            <v>EACH</v>
          </cell>
        </row>
        <row r="221">
          <cell r="D221" t="str">
            <v>KS18M</v>
          </cell>
          <cell r="E221" t="str">
            <v>3000476</v>
          </cell>
          <cell r="F221" t="str">
            <v>CLAMP PRE-FORMED 41/2 IN S/S</v>
          </cell>
          <cell r="J221" t="str">
            <v>NNAV</v>
          </cell>
          <cell r="K221" t="str">
            <v>E499</v>
          </cell>
          <cell r="L221" t="str">
            <v>DIXO02</v>
          </cell>
          <cell r="P221">
            <v>17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 t="str">
            <v>No</v>
          </cell>
          <cell r="Z221" t="str">
            <v/>
          </cell>
          <cell r="AA221" t="str">
            <v>BOX</v>
          </cell>
          <cell r="AB221">
            <v>0</v>
          </cell>
          <cell r="AC221" t="str">
            <v>KS18M</v>
          </cell>
          <cell r="AD221" t="str">
            <v>BOX</v>
          </cell>
        </row>
        <row r="222">
          <cell r="D222" t="str">
            <v>FSHG-COUP-100</v>
          </cell>
          <cell r="E222" t="str">
            <v>3000707</v>
          </cell>
          <cell r="F222" t="str">
            <v>COUPLING 100MM SHLD GALVANISED</v>
          </cell>
          <cell r="J222" t="str">
            <v>NNAV</v>
          </cell>
          <cell r="K222" t="str">
            <v>E500</v>
          </cell>
          <cell r="L222" t="str">
            <v>DIXO02</v>
          </cell>
          <cell r="P222">
            <v>30</v>
          </cell>
          <cell r="R222">
            <v>0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 t="str">
            <v>No</v>
          </cell>
          <cell r="Z222" t="str">
            <v/>
          </cell>
          <cell r="AA222" t="str">
            <v>EACH</v>
          </cell>
          <cell r="AB222">
            <v>0</v>
          </cell>
          <cell r="AC222" t="str">
            <v>FSHG-COUP-100</v>
          </cell>
          <cell r="AD222" t="str">
            <v>EACH</v>
          </cell>
        </row>
        <row r="223">
          <cell r="D223" t="str">
            <v>PCF-COUP-110</v>
          </cell>
          <cell r="E223" t="str">
            <v>3000504</v>
          </cell>
          <cell r="F223" t="str">
            <v>COUPLING 110MM</v>
          </cell>
          <cell r="J223" t="str">
            <v>NNAV</v>
          </cell>
          <cell r="K223" t="str">
            <v>E500</v>
          </cell>
          <cell r="L223" t="str">
            <v>DIXO02</v>
          </cell>
          <cell r="P223">
            <v>50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 t="str">
            <v>No</v>
          </cell>
          <cell r="Z223" t="str">
            <v/>
          </cell>
          <cell r="AA223" t="str">
            <v>EACH</v>
          </cell>
          <cell r="AB223">
            <v>0</v>
          </cell>
          <cell r="AC223" t="str">
            <v>PCF-COUP-110</v>
          </cell>
          <cell r="AD223" t="str">
            <v>EACH</v>
          </cell>
        </row>
        <row r="224">
          <cell r="D224" t="str">
            <v>08/013/27/000</v>
          </cell>
          <cell r="E224" t="str">
            <v>3000525</v>
          </cell>
          <cell r="F224" t="str">
            <v>COUPLING 3 WAY SURELOCK</v>
          </cell>
          <cell r="J224" t="str">
            <v>NNAV</v>
          </cell>
          <cell r="K224" t="str">
            <v>E500</v>
          </cell>
          <cell r="L224" t="str">
            <v>DIXO02</v>
          </cell>
          <cell r="P224">
            <v>20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 t="str">
            <v>No</v>
          </cell>
          <cell r="Z224" t="str">
            <v/>
          </cell>
          <cell r="AA224" t="str">
            <v>EACH</v>
          </cell>
          <cell r="AB224">
            <v>0</v>
          </cell>
          <cell r="AC224" t="str">
            <v>08/013/27/000</v>
          </cell>
          <cell r="AD224" t="str">
            <v>EACH</v>
          </cell>
        </row>
        <row r="225">
          <cell r="D225" t="str">
            <v>FSHG-COUP-50</v>
          </cell>
          <cell r="E225" t="str">
            <v>3001876</v>
          </cell>
          <cell r="F225" t="str">
            <v>COUPLING 50 MM SHLD GALVANISED</v>
          </cell>
          <cell r="J225" t="str">
            <v>NNAV</v>
          </cell>
          <cell r="K225" t="str">
            <v>E500</v>
          </cell>
          <cell r="L225" t="str">
            <v>DIXO02</v>
          </cell>
          <cell r="P225">
            <v>30</v>
          </cell>
          <cell r="R225">
            <v>0</v>
          </cell>
          <cell r="S225">
            <v>0</v>
          </cell>
          <cell r="U225">
            <v>0</v>
          </cell>
          <cell r="V225">
            <v>0</v>
          </cell>
          <cell r="W225">
            <v>0</v>
          </cell>
          <cell r="X225" t="str">
            <v>No</v>
          </cell>
          <cell r="Z225" t="str">
            <v/>
          </cell>
          <cell r="AA225" t="str">
            <v>EACH</v>
          </cell>
          <cell r="AB225">
            <v>0</v>
          </cell>
          <cell r="AC225" t="str">
            <v>FSHG-COUP-50</v>
          </cell>
          <cell r="AD225" t="str">
            <v>EACH</v>
          </cell>
        </row>
        <row r="226">
          <cell r="D226" t="str">
            <v>PCF-COUP-63</v>
          </cell>
          <cell r="E226" t="str">
            <v>3000553</v>
          </cell>
          <cell r="F226" t="str">
            <v>COUPLING 63MM</v>
          </cell>
          <cell r="J226" t="str">
            <v>NNAV</v>
          </cell>
          <cell r="K226" t="str">
            <v>E500</v>
          </cell>
          <cell r="L226" t="str">
            <v>DIXO02</v>
          </cell>
          <cell r="P226">
            <v>20</v>
          </cell>
          <cell r="R226">
            <v>0</v>
          </cell>
          <cell r="S226">
            <v>0</v>
          </cell>
          <cell r="U226">
            <v>0</v>
          </cell>
          <cell r="V226">
            <v>0</v>
          </cell>
          <cell r="W226">
            <v>0</v>
          </cell>
          <cell r="X226" t="str">
            <v>No</v>
          </cell>
          <cell r="Z226" t="str">
            <v/>
          </cell>
          <cell r="AA226" t="str">
            <v>EACH</v>
          </cell>
          <cell r="AB226">
            <v>0</v>
          </cell>
          <cell r="AC226" t="str">
            <v>PCF-COUP-63</v>
          </cell>
          <cell r="AD226" t="str">
            <v>EACH</v>
          </cell>
        </row>
        <row r="227">
          <cell r="D227" t="str">
            <v>08/048/20/002</v>
          </cell>
          <cell r="E227" t="str">
            <v>3000714</v>
          </cell>
          <cell r="F227" t="str">
            <v>COUPLING 80NB  SHLD GALV</v>
          </cell>
          <cell r="J227" t="str">
            <v>NNAV</v>
          </cell>
          <cell r="K227" t="str">
            <v>E500</v>
          </cell>
          <cell r="L227" t="str">
            <v>DIXO02</v>
          </cell>
          <cell r="P227">
            <v>10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 t="str">
            <v>No</v>
          </cell>
          <cell r="Z227" t="str">
            <v/>
          </cell>
          <cell r="AA227" t="str">
            <v>EACH</v>
          </cell>
          <cell r="AB227">
            <v>0</v>
          </cell>
          <cell r="AC227" t="str">
            <v>08/048/20/002</v>
          </cell>
          <cell r="AD227" t="str">
            <v>EACH</v>
          </cell>
        </row>
        <row r="228">
          <cell r="D228" t="str">
            <v>PCF-COUP-25</v>
          </cell>
          <cell r="E228" t="str">
            <v>3000518</v>
          </cell>
          <cell r="F228" t="str">
            <v>COUPLING PLASSON 7010 25MM 690</v>
          </cell>
          <cell r="J228" t="str">
            <v>NNAV</v>
          </cell>
          <cell r="K228" t="str">
            <v>E500</v>
          </cell>
          <cell r="L228" t="str">
            <v>DIXO02</v>
          </cell>
          <cell r="P228">
            <v>50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 t="str">
            <v>No</v>
          </cell>
          <cell r="Z228" t="str">
            <v/>
          </cell>
          <cell r="AA228" t="str">
            <v>EACH</v>
          </cell>
          <cell r="AB228">
            <v>0</v>
          </cell>
          <cell r="AC228" t="str">
            <v>PCF-COUP-25</v>
          </cell>
          <cell r="AD228" t="str">
            <v>EACH</v>
          </cell>
        </row>
        <row r="229">
          <cell r="D229" t="str">
            <v>08/013/15/000</v>
          </cell>
          <cell r="E229" t="str">
            <v>3000616</v>
          </cell>
          <cell r="F229" t="str">
            <v>COUPLING SURELOCK F 25MM</v>
          </cell>
          <cell r="J229" t="str">
            <v>NNAV</v>
          </cell>
          <cell r="K229" t="str">
            <v>E500</v>
          </cell>
          <cell r="L229" t="str">
            <v>DIXO02</v>
          </cell>
          <cell r="P229">
            <v>40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 t="str">
            <v>No</v>
          </cell>
          <cell r="Z229" t="str">
            <v/>
          </cell>
          <cell r="AA229" t="str">
            <v>EACH</v>
          </cell>
          <cell r="AB229">
            <v>0</v>
          </cell>
          <cell r="AC229" t="str">
            <v>08/013/15/000</v>
          </cell>
          <cell r="AD229" t="str">
            <v>EACH</v>
          </cell>
        </row>
        <row r="230">
          <cell r="D230" t="str">
            <v>08/013/02/000</v>
          </cell>
          <cell r="E230" t="str">
            <v>3000630</v>
          </cell>
          <cell r="F230" t="str">
            <v>COUPLING SURELOCK F 75MM</v>
          </cell>
          <cell r="J230" t="str">
            <v>NNAV</v>
          </cell>
          <cell r="K230" t="str">
            <v>E500</v>
          </cell>
          <cell r="L230" t="str">
            <v>DIXO02</v>
          </cell>
          <cell r="P230">
            <v>10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 t="str">
            <v>No</v>
          </cell>
          <cell r="Z230" t="str">
            <v/>
          </cell>
          <cell r="AA230" t="str">
            <v>EACH</v>
          </cell>
          <cell r="AB230">
            <v>0</v>
          </cell>
          <cell r="AC230" t="str">
            <v>08/013/02/000</v>
          </cell>
          <cell r="AD230" t="str">
            <v>EACH</v>
          </cell>
        </row>
        <row r="231">
          <cell r="D231" t="str">
            <v>08/013/22/000</v>
          </cell>
          <cell r="E231" t="str">
            <v>3000637</v>
          </cell>
          <cell r="F231" t="str">
            <v>COUPLING SURELOCK H END 12MM</v>
          </cell>
          <cell r="J231" t="str">
            <v>NNAV</v>
          </cell>
          <cell r="K231" t="str">
            <v>E500</v>
          </cell>
          <cell r="L231" t="str">
            <v>DIXO02</v>
          </cell>
          <cell r="P231">
            <v>60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 t="str">
            <v>No</v>
          </cell>
          <cell r="Z231" t="str">
            <v/>
          </cell>
          <cell r="AA231" t="str">
            <v>EACH</v>
          </cell>
          <cell r="AB231">
            <v>0</v>
          </cell>
          <cell r="AC231" t="str">
            <v>08/013/22/000</v>
          </cell>
          <cell r="AD231" t="str">
            <v>EACH</v>
          </cell>
        </row>
        <row r="232">
          <cell r="D232" t="str">
            <v>08/013/16/000</v>
          </cell>
          <cell r="E232" t="str">
            <v>3000651</v>
          </cell>
          <cell r="F232" t="str">
            <v>COUPLING SURELOCK HOSE END 25M</v>
          </cell>
          <cell r="J232" t="str">
            <v>NNAV</v>
          </cell>
          <cell r="K232" t="str">
            <v>E500</v>
          </cell>
          <cell r="L232" t="str">
            <v>DIXO02</v>
          </cell>
          <cell r="P232">
            <v>120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 t="str">
            <v>No</v>
          </cell>
          <cell r="Z232" t="str">
            <v/>
          </cell>
          <cell r="AA232" t="str">
            <v>EACH</v>
          </cell>
          <cell r="AB232">
            <v>0</v>
          </cell>
          <cell r="AC232" t="str">
            <v>08/013/16/000</v>
          </cell>
          <cell r="AD232" t="str">
            <v>EACH</v>
          </cell>
        </row>
        <row r="233">
          <cell r="D233" t="str">
            <v>08/013/35/000</v>
          </cell>
          <cell r="E233" t="str">
            <v>3000665</v>
          </cell>
          <cell r="F233" t="str">
            <v>COUPLING SURELOCK HOSE END 75M</v>
          </cell>
          <cell r="J233" t="str">
            <v>NNAV</v>
          </cell>
          <cell r="K233" t="str">
            <v>E500</v>
          </cell>
          <cell r="L233" t="str">
            <v>DIXO02</v>
          </cell>
          <cell r="P233">
            <v>20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 t="str">
            <v>No</v>
          </cell>
          <cell r="Z233" t="str">
            <v/>
          </cell>
          <cell r="AA233" t="str">
            <v>EACH</v>
          </cell>
          <cell r="AB233">
            <v>0</v>
          </cell>
          <cell r="AC233" t="str">
            <v>08/013/35/000</v>
          </cell>
          <cell r="AD233" t="str">
            <v>EACH</v>
          </cell>
        </row>
        <row r="234">
          <cell r="D234" t="str">
            <v>08/013/14/000</v>
          </cell>
          <cell r="E234" t="str">
            <v>3000686</v>
          </cell>
          <cell r="F234" t="str">
            <v>COUPLING SURELOCK M 25MM</v>
          </cell>
          <cell r="J234" t="str">
            <v>NNAV</v>
          </cell>
          <cell r="K234" t="str">
            <v>E500</v>
          </cell>
          <cell r="L234" t="str">
            <v>DIXO02</v>
          </cell>
          <cell r="P234">
            <v>40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 t="str">
            <v>No</v>
          </cell>
          <cell r="Z234" t="str">
            <v/>
          </cell>
          <cell r="AA234" t="str">
            <v>EACH</v>
          </cell>
          <cell r="AB234">
            <v>0</v>
          </cell>
          <cell r="AC234" t="str">
            <v>08/013/14/000</v>
          </cell>
          <cell r="AD234" t="str">
            <v>EACH</v>
          </cell>
        </row>
        <row r="235">
          <cell r="D235" t="str">
            <v>08/013/01/000</v>
          </cell>
          <cell r="E235" t="str">
            <v>3000700</v>
          </cell>
          <cell r="F235" t="str">
            <v>COUPLING SURELOCK M 75MM</v>
          </cell>
          <cell r="J235" t="str">
            <v>NNAV</v>
          </cell>
          <cell r="K235" t="str">
            <v>E500</v>
          </cell>
          <cell r="L235" t="str">
            <v>DIXO02</v>
          </cell>
          <cell r="P235">
            <v>10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 t="str">
            <v>No</v>
          </cell>
          <cell r="Z235" t="str">
            <v/>
          </cell>
          <cell r="AA235" t="str">
            <v>EACH</v>
          </cell>
          <cell r="AB235">
            <v>0</v>
          </cell>
          <cell r="AC235" t="str">
            <v>08/013/01/000</v>
          </cell>
          <cell r="AD235" t="str">
            <v>EACH</v>
          </cell>
        </row>
        <row r="236">
          <cell r="D236" t="str">
            <v>NOZ-PL-YEL-20</v>
          </cell>
          <cell r="E236" t="str">
            <v>Special Item</v>
          </cell>
          <cell r="F236" t="str">
            <v>DOVE TAIL WATER SPRAY BSP</v>
          </cell>
          <cell r="J236" t="str">
            <v>NNAV</v>
          </cell>
          <cell r="K236" t="str">
            <v>E500</v>
          </cell>
          <cell r="L236" t="str">
            <v>DIXO02</v>
          </cell>
          <cell r="P236">
            <v>70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No</v>
          </cell>
          <cell r="Z236" t="str">
            <v/>
          </cell>
          <cell r="AA236" t="str">
            <v>EACH</v>
          </cell>
          <cell r="AB236">
            <v>0</v>
          </cell>
          <cell r="AC236" t="str">
            <v>NOZ-PL-YEL-20</v>
          </cell>
          <cell r="AD236" t="str">
            <v>EACH</v>
          </cell>
        </row>
        <row r="237">
          <cell r="D237" t="str">
            <v>08/062/868/00LO</v>
          </cell>
          <cell r="E237" t="str">
            <v>3002850</v>
          </cell>
          <cell r="F237" t="str">
            <v>ECONO 2" BSP FEM X  MED S/L</v>
          </cell>
          <cell r="J237" t="str">
            <v>NNAV</v>
          </cell>
          <cell r="K237" t="str">
            <v>E500</v>
          </cell>
          <cell r="L237" t="str">
            <v>DIXO02</v>
          </cell>
          <cell r="P237">
            <v>10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 t="str">
            <v>No</v>
          </cell>
          <cell r="Z237" t="str">
            <v/>
          </cell>
          <cell r="AA237" t="str">
            <v>EACH</v>
          </cell>
          <cell r="AB237">
            <v>0</v>
          </cell>
          <cell r="AC237" t="str">
            <v>08/062/868/00LO</v>
          </cell>
          <cell r="AD237" t="str">
            <v>EACH</v>
          </cell>
        </row>
        <row r="238">
          <cell r="D238" t="str">
            <v>08/062/110/00</v>
          </cell>
          <cell r="E238" t="str">
            <v>3002795</v>
          </cell>
          <cell r="F238" t="str">
            <v>ECONOVALVE "A" X "A" 1"</v>
          </cell>
          <cell r="J238" t="str">
            <v>NNAV</v>
          </cell>
          <cell r="K238" t="str">
            <v>E500</v>
          </cell>
          <cell r="L238" t="str">
            <v>DIXO02</v>
          </cell>
          <cell r="P238">
            <v>10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 t="str">
            <v>No</v>
          </cell>
          <cell r="Z238" t="str">
            <v/>
          </cell>
          <cell r="AA238" t="str">
            <v>EACH</v>
          </cell>
          <cell r="AB238">
            <v>0</v>
          </cell>
          <cell r="AC238" t="str">
            <v>08/062/110/00</v>
          </cell>
          <cell r="AD238" t="str">
            <v>EACH</v>
          </cell>
        </row>
        <row r="239">
          <cell r="D239" t="str">
            <v>08/062/113/00</v>
          </cell>
          <cell r="E239" t="str">
            <v>3002805</v>
          </cell>
          <cell r="F239" t="str">
            <v>ECONOVALVE 1" BSPF 500PSI WP</v>
          </cell>
          <cell r="J239" t="str">
            <v>NNAV</v>
          </cell>
          <cell r="K239" t="str">
            <v>E500</v>
          </cell>
          <cell r="L239" t="str">
            <v>DIXO02</v>
          </cell>
          <cell r="P239">
            <v>10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 t="str">
            <v>No</v>
          </cell>
          <cell r="Z239" t="str">
            <v/>
          </cell>
          <cell r="AA239" t="str">
            <v>EACH</v>
          </cell>
          <cell r="AB239">
            <v>0</v>
          </cell>
          <cell r="AC239" t="str">
            <v>08/062/113/00</v>
          </cell>
          <cell r="AD239" t="str">
            <v>EACH</v>
          </cell>
        </row>
        <row r="240">
          <cell r="D240" t="str">
            <v>08/062/848/00</v>
          </cell>
          <cell r="E240" t="str">
            <v>3002840</v>
          </cell>
          <cell r="F240" t="str">
            <v>ECONOVALVE 2" BSPF 300PSI WP</v>
          </cell>
          <cell r="J240" t="str">
            <v>NNAV</v>
          </cell>
          <cell r="K240" t="str">
            <v>E500</v>
          </cell>
          <cell r="L240" t="str">
            <v>DIXO02</v>
          </cell>
          <cell r="P240">
            <v>10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 t="str">
            <v>No</v>
          </cell>
          <cell r="Z240" t="str">
            <v/>
          </cell>
          <cell r="AA240" t="str">
            <v>EACH</v>
          </cell>
          <cell r="AB240">
            <v>0</v>
          </cell>
          <cell r="AC240" t="str">
            <v>08/062/848/00</v>
          </cell>
          <cell r="AD240" t="str">
            <v>EACH</v>
          </cell>
        </row>
        <row r="241">
          <cell r="D241" t="str">
            <v>08/062/118/00</v>
          </cell>
          <cell r="E241" t="str">
            <v>3002815</v>
          </cell>
          <cell r="F241" t="str">
            <v>ECONOVALVE 2" SHLD X 1" BSP F</v>
          </cell>
          <cell r="J241" t="str">
            <v>NNAV</v>
          </cell>
          <cell r="K241" t="str">
            <v>E500</v>
          </cell>
          <cell r="L241" t="str">
            <v>DIXO02</v>
          </cell>
          <cell r="P241">
            <v>20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 t="str">
            <v>No</v>
          </cell>
          <cell r="Z241" t="str">
            <v/>
          </cell>
          <cell r="AA241" t="str">
            <v>EACH</v>
          </cell>
          <cell r="AB241">
            <v>0</v>
          </cell>
          <cell r="AC241" t="str">
            <v>08/062/118/00</v>
          </cell>
          <cell r="AD241" t="str">
            <v>EACH</v>
          </cell>
        </row>
        <row r="242">
          <cell r="D242" t="str">
            <v>PCF-ELB90-110</v>
          </cell>
          <cell r="E242" t="str">
            <v>3000742</v>
          </cell>
          <cell r="F242" t="str">
            <v>ELBOW 90DEG 110MM</v>
          </cell>
          <cell r="J242" t="str">
            <v>NNAV</v>
          </cell>
          <cell r="K242" t="str">
            <v>E500</v>
          </cell>
          <cell r="L242" t="str">
            <v>DIXO02</v>
          </cell>
          <cell r="P242">
            <v>7</v>
          </cell>
          <cell r="R242">
            <v>0</v>
          </cell>
          <cell r="S242">
            <v>0</v>
          </cell>
          <cell r="U242">
            <v>0</v>
          </cell>
          <cell r="V242">
            <v>0</v>
          </cell>
          <cell r="W242">
            <v>0</v>
          </cell>
          <cell r="X242" t="str">
            <v>No</v>
          </cell>
          <cell r="Z242" t="str">
            <v/>
          </cell>
          <cell r="AA242" t="str">
            <v>EACH</v>
          </cell>
          <cell r="AB242">
            <v>0</v>
          </cell>
          <cell r="AC242" t="str">
            <v>PCF-ELB90-110</v>
          </cell>
          <cell r="AD242" t="str">
            <v>EACH</v>
          </cell>
        </row>
        <row r="243">
          <cell r="D243" t="str">
            <v>PCF-ELB90-25</v>
          </cell>
          <cell r="E243" t="str">
            <v>3000749</v>
          </cell>
          <cell r="F243" t="str">
            <v>ELBOW 90DEG 25MM</v>
          </cell>
          <cell r="J243" t="str">
            <v>NNAV</v>
          </cell>
          <cell r="K243" t="str">
            <v>E500</v>
          </cell>
          <cell r="L243" t="str">
            <v>DIXO02</v>
          </cell>
          <cell r="P243">
            <v>5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 t="str">
            <v>No</v>
          </cell>
          <cell r="Z243" t="str">
            <v/>
          </cell>
          <cell r="AA243" t="str">
            <v>EACH</v>
          </cell>
          <cell r="AB243">
            <v>0</v>
          </cell>
          <cell r="AC243" t="str">
            <v>PCF-ELB90-25</v>
          </cell>
          <cell r="AD243" t="str">
            <v>EACH</v>
          </cell>
        </row>
        <row r="244">
          <cell r="D244" t="str">
            <v>PCF-ELB90-63</v>
          </cell>
          <cell r="E244" t="str">
            <v>3000770</v>
          </cell>
          <cell r="F244" t="str">
            <v>ELBOW 90DEG 63MM</v>
          </cell>
          <cell r="J244" t="str">
            <v>NNAV</v>
          </cell>
          <cell r="K244" t="str">
            <v>E500</v>
          </cell>
          <cell r="L244" t="str">
            <v>DIXO02</v>
          </cell>
          <cell r="P244">
            <v>7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 t="str">
            <v>No</v>
          </cell>
          <cell r="Z244" t="str">
            <v/>
          </cell>
          <cell r="AA244" t="str">
            <v>EACH</v>
          </cell>
          <cell r="AB244">
            <v>0</v>
          </cell>
          <cell r="AC244" t="str">
            <v>PCF-ELB90-63</v>
          </cell>
          <cell r="AD244" t="str">
            <v>EACH</v>
          </cell>
        </row>
        <row r="245">
          <cell r="D245" t="str">
            <v>FMG-FD-100</v>
          </cell>
          <cell r="E245" t="str">
            <v>3002170</v>
          </cell>
          <cell r="F245" t="str">
            <v>FLANGE 100MM SCREWED TABLE D</v>
          </cell>
          <cell r="J245" t="str">
            <v>NNAV</v>
          </cell>
          <cell r="K245" t="str">
            <v>E500</v>
          </cell>
          <cell r="L245" t="str">
            <v>DIXO02</v>
          </cell>
          <cell r="P245">
            <v>5</v>
          </cell>
          <cell r="R245">
            <v>0</v>
          </cell>
          <cell r="S245">
            <v>0</v>
          </cell>
          <cell r="U245">
            <v>0</v>
          </cell>
          <cell r="V245">
            <v>0</v>
          </cell>
          <cell r="W245">
            <v>0</v>
          </cell>
          <cell r="X245" t="str">
            <v>No</v>
          </cell>
          <cell r="Z245" t="str">
            <v/>
          </cell>
          <cell r="AA245" t="str">
            <v>EACH</v>
          </cell>
          <cell r="AB245">
            <v>0</v>
          </cell>
          <cell r="AC245" t="str">
            <v>FMG-FD-100</v>
          </cell>
          <cell r="AD245" t="str">
            <v>EACH</v>
          </cell>
        </row>
        <row r="246">
          <cell r="D246" t="str">
            <v>FMG-FD-25</v>
          </cell>
          <cell r="E246" t="str">
            <v>3002160</v>
          </cell>
          <cell r="F246" t="str">
            <v>FLANGE 25MM SCREWED TABLE D</v>
          </cell>
          <cell r="J246" t="str">
            <v>NNAV</v>
          </cell>
          <cell r="K246" t="str">
            <v>E500</v>
          </cell>
          <cell r="L246" t="str">
            <v>DIXO02</v>
          </cell>
          <cell r="P246">
            <v>5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 t="str">
            <v>No</v>
          </cell>
          <cell r="Z246" t="str">
            <v/>
          </cell>
          <cell r="AA246" t="str">
            <v>EACH</v>
          </cell>
          <cell r="AB246">
            <v>0</v>
          </cell>
          <cell r="AC246" t="str">
            <v>FMG-FD-25</v>
          </cell>
          <cell r="AD246" t="str">
            <v>EACH</v>
          </cell>
        </row>
        <row r="247">
          <cell r="D247" t="str">
            <v>FMG-FD-50</v>
          </cell>
          <cell r="E247" t="str">
            <v>3000798</v>
          </cell>
          <cell r="F247" t="str">
            <v>FLANGE 50MM SCREWED TABLE D</v>
          </cell>
          <cell r="J247" t="str">
            <v>NNAV</v>
          </cell>
          <cell r="K247" t="str">
            <v>E500</v>
          </cell>
          <cell r="L247" t="str">
            <v>DIXO02</v>
          </cell>
          <cell r="P247">
            <v>5</v>
          </cell>
          <cell r="R247">
            <v>0</v>
          </cell>
          <cell r="S247">
            <v>0</v>
          </cell>
          <cell r="U247">
            <v>0</v>
          </cell>
          <cell r="V247">
            <v>0</v>
          </cell>
          <cell r="W247">
            <v>0</v>
          </cell>
          <cell r="X247" t="str">
            <v>No</v>
          </cell>
          <cell r="Z247" t="str">
            <v/>
          </cell>
          <cell r="AA247" t="str">
            <v>EACH</v>
          </cell>
          <cell r="AB247">
            <v>0</v>
          </cell>
          <cell r="AC247" t="str">
            <v>FMG-FD-50</v>
          </cell>
          <cell r="AD247" t="str">
            <v>EACH</v>
          </cell>
        </row>
        <row r="248">
          <cell r="D248" t="str">
            <v>FMG-FD-80</v>
          </cell>
          <cell r="E248" t="str">
            <v>3002165</v>
          </cell>
          <cell r="F248" t="str">
            <v>FLANGE 80MM SCREWED TABLE D</v>
          </cell>
          <cell r="J248" t="str">
            <v>NNAV</v>
          </cell>
          <cell r="K248" t="str">
            <v>E500</v>
          </cell>
          <cell r="L248" t="str">
            <v>DIXO02</v>
          </cell>
          <cell r="P248">
            <v>5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 t="str">
            <v>No</v>
          </cell>
          <cell r="Z248" t="str">
            <v/>
          </cell>
          <cell r="AA248" t="str">
            <v>EACH</v>
          </cell>
          <cell r="AB248">
            <v>0</v>
          </cell>
          <cell r="AC248" t="str">
            <v>FMG-FD-80</v>
          </cell>
          <cell r="AD248" t="str">
            <v>EACH</v>
          </cell>
        </row>
        <row r="249">
          <cell r="D249" t="str">
            <v>FMG-BUS-80-25</v>
          </cell>
          <cell r="E249" t="str">
            <v>3004655</v>
          </cell>
          <cell r="F249" t="str">
            <v>GAL MAL BUSH 80 X 25MM</v>
          </cell>
          <cell r="J249" t="str">
            <v>NNAV</v>
          </cell>
          <cell r="K249" t="str">
            <v>E500</v>
          </cell>
          <cell r="L249" t="str">
            <v>DIXO02</v>
          </cell>
          <cell r="P249">
            <v>5</v>
          </cell>
          <cell r="R249">
            <v>0</v>
          </cell>
          <cell r="S249">
            <v>0</v>
          </cell>
          <cell r="U249">
            <v>0</v>
          </cell>
          <cell r="V249">
            <v>0</v>
          </cell>
          <cell r="W249">
            <v>0</v>
          </cell>
          <cell r="X249" t="str">
            <v>No</v>
          </cell>
          <cell r="Z249" t="str">
            <v/>
          </cell>
          <cell r="AA249" t="str">
            <v>EACH</v>
          </cell>
          <cell r="AB249">
            <v>0</v>
          </cell>
          <cell r="AC249" t="str">
            <v>FMG-BUS-80-25</v>
          </cell>
          <cell r="AD249" t="str">
            <v>EACH</v>
          </cell>
        </row>
        <row r="250">
          <cell r="D250" t="str">
            <v>FMG-TEE-80</v>
          </cell>
          <cell r="E250" t="str">
            <v>3005240</v>
          </cell>
          <cell r="F250" t="str">
            <v>GAL MAL EQUAL TEE 80MM</v>
          </cell>
          <cell r="J250" t="str">
            <v>NNAV</v>
          </cell>
          <cell r="K250" t="str">
            <v>E500</v>
          </cell>
          <cell r="L250" t="str">
            <v>DIXO02</v>
          </cell>
          <cell r="P250">
            <v>5</v>
          </cell>
          <cell r="R250">
            <v>0</v>
          </cell>
          <cell r="S250">
            <v>0</v>
          </cell>
          <cell r="U250">
            <v>0</v>
          </cell>
          <cell r="V250">
            <v>0</v>
          </cell>
          <cell r="W250">
            <v>0</v>
          </cell>
          <cell r="X250" t="str">
            <v>No</v>
          </cell>
          <cell r="Z250" t="str">
            <v/>
          </cell>
          <cell r="AA250" t="str">
            <v>EACH</v>
          </cell>
          <cell r="AB250">
            <v>0</v>
          </cell>
          <cell r="AC250" t="str">
            <v>FMG-TEE-80</v>
          </cell>
          <cell r="AD250" t="str">
            <v>EACH</v>
          </cell>
        </row>
        <row r="251">
          <cell r="D251" t="str">
            <v>FMG-HN-80</v>
          </cell>
          <cell r="E251" t="str">
            <v>3004990</v>
          </cell>
          <cell r="F251" t="str">
            <v>GAL MAL HEX NIPPLE 80MM</v>
          </cell>
          <cell r="J251" t="str">
            <v>NNAV</v>
          </cell>
          <cell r="K251" t="str">
            <v>E500</v>
          </cell>
          <cell r="L251" t="str">
            <v>DIXO02</v>
          </cell>
          <cell r="P251">
            <v>20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 t="str">
            <v>No</v>
          </cell>
          <cell r="Z251" t="str">
            <v/>
          </cell>
          <cell r="AA251" t="str">
            <v>EACH</v>
          </cell>
          <cell r="AB251">
            <v>0</v>
          </cell>
          <cell r="AC251" t="str">
            <v>FMG-HN-80</v>
          </cell>
          <cell r="AD251" t="str">
            <v>EACH</v>
          </cell>
        </row>
        <row r="252">
          <cell r="D252" t="str">
            <v>FMG-HP-100</v>
          </cell>
          <cell r="E252" t="str">
            <v>3005010</v>
          </cell>
          <cell r="F252" t="str">
            <v>GAL MAL HOLLOW PLUG 100MM</v>
          </cell>
          <cell r="J252" t="str">
            <v>NNAV</v>
          </cell>
          <cell r="K252" t="str">
            <v>E500</v>
          </cell>
          <cell r="L252" t="str">
            <v>DIXO02</v>
          </cell>
          <cell r="P252">
            <v>5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 t="str">
            <v>No</v>
          </cell>
          <cell r="Z252" t="str">
            <v/>
          </cell>
          <cell r="AA252" t="str">
            <v>EACH</v>
          </cell>
          <cell r="AB252">
            <v>0</v>
          </cell>
          <cell r="AC252" t="str">
            <v>FMG-HP-100</v>
          </cell>
          <cell r="AD252" t="str">
            <v>EACH</v>
          </cell>
        </row>
        <row r="253">
          <cell r="D253" t="str">
            <v>FMG-HP-25</v>
          </cell>
          <cell r="E253" t="str">
            <v>3005025</v>
          </cell>
          <cell r="F253" t="str">
            <v>GAL MAL HOLLOW PLUG 25MM</v>
          </cell>
          <cell r="J253" t="str">
            <v>NNAV</v>
          </cell>
          <cell r="K253" t="str">
            <v>E500</v>
          </cell>
          <cell r="L253" t="str">
            <v>DIXO02</v>
          </cell>
          <cell r="P253">
            <v>5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 t="str">
            <v>No</v>
          </cell>
          <cell r="Z253" t="str">
            <v/>
          </cell>
          <cell r="AA253" t="str">
            <v>EACH</v>
          </cell>
          <cell r="AB253">
            <v>0</v>
          </cell>
          <cell r="AC253" t="str">
            <v>FMG-HP-25</v>
          </cell>
          <cell r="AD253" t="str">
            <v>EACH</v>
          </cell>
        </row>
        <row r="254">
          <cell r="D254" t="str">
            <v>FMG-HN-25-15</v>
          </cell>
          <cell r="E254" t="str">
            <v>3004915</v>
          </cell>
          <cell r="F254" t="str">
            <v>GAL MAL NIPPLE RED. 25 X 15MM</v>
          </cell>
          <cell r="J254" t="str">
            <v>NNAV</v>
          </cell>
          <cell r="K254" t="str">
            <v>E500</v>
          </cell>
          <cell r="L254" t="str">
            <v>DIXO02</v>
          </cell>
          <cell r="P254">
            <v>10</v>
          </cell>
          <cell r="R254">
            <v>0</v>
          </cell>
          <cell r="S254">
            <v>0</v>
          </cell>
          <cell r="U254">
            <v>0</v>
          </cell>
          <cell r="V254">
            <v>0</v>
          </cell>
          <cell r="W254">
            <v>0</v>
          </cell>
          <cell r="X254" t="str">
            <v>No</v>
          </cell>
          <cell r="Z254" t="str">
            <v/>
          </cell>
          <cell r="AA254" t="str">
            <v>EACH</v>
          </cell>
          <cell r="AB254">
            <v>0</v>
          </cell>
          <cell r="AC254" t="str">
            <v>FMG-HN-25-15</v>
          </cell>
          <cell r="AD254" t="str">
            <v>EACH</v>
          </cell>
        </row>
        <row r="255">
          <cell r="D255" t="str">
            <v>FMG-SOC-80</v>
          </cell>
          <cell r="E255" t="str">
            <v>3005185</v>
          </cell>
          <cell r="F255" t="str">
            <v>GAL MAL SOCKET BANDED 80MM</v>
          </cell>
          <cell r="J255" t="str">
            <v>NNAV</v>
          </cell>
          <cell r="K255" t="str">
            <v>E500</v>
          </cell>
          <cell r="L255" t="str">
            <v>DIXO02</v>
          </cell>
          <cell r="P255">
            <v>5</v>
          </cell>
          <cell r="R255">
            <v>0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 t="str">
            <v>No</v>
          </cell>
          <cell r="Z255" t="str">
            <v/>
          </cell>
          <cell r="AA255" t="str">
            <v>EACH</v>
          </cell>
          <cell r="AB255">
            <v>0</v>
          </cell>
          <cell r="AC255" t="str">
            <v>FMG-SOC-80</v>
          </cell>
          <cell r="AD255" t="str">
            <v>EACH</v>
          </cell>
        </row>
        <row r="256">
          <cell r="D256" t="str">
            <v>FMG-UBS-100</v>
          </cell>
          <cell r="E256" t="str">
            <v>3005245</v>
          </cell>
          <cell r="F256" t="str">
            <v>GAL MAL UNION BRS SEAT F/F 100</v>
          </cell>
          <cell r="J256" t="str">
            <v>NNAV</v>
          </cell>
          <cell r="K256" t="str">
            <v>E500</v>
          </cell>
          <cell r="L256" t="str">
            <v>DIXO02</v>
          </cell>
          <cell r="P256">
            <v>5</v>
          </cell>
          <cell r="R256">
            <v>0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 t="str">
            <v>No</v>
          </cell>
          <cell r="Z256" t="str">
            <v/>
          </cell>
          <cell r="AA256" t="str">
            <v>EACH</v>
          </cell>
          <cell r="AB256">
            <v>0</v>
          </cell>
          <cell r="AC256" t="str">
            <v>FMG-UBS-100</v>
          </cell>
          <cell r="AD256" t="str">
            <v>EACH</v>
          </cell>
        </row>
        <row r="257">
          <cell r="D257" t="str">
            <v>FMG-UBS-50</v>
          </cell>
          <cell r="E257" t="str">
            <v>3005275</v>
          </cell>
          <cell r="F257" t="str">
            <v>GAL MAL UNION BRS SEAT F/F 50</v>
          </cell>
          <cell r="J257" t="str">
            <v>NNAV</v>
          </cell>
          <cell r="K257" t="str">
            <v>E500</v>
          </cell>
          <cell r="L257" t="str">
            <v>DIXO02</v>
          </cell>
          <cell r="P257">
            <v>5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 t="str">
            <v>No</v>
          </cell>
          <cell r="Z257" t="str">
            <v/>
          </cell>
          <cell r="AA257" t="str">
            <v>EACH</v>
          </cell>
          <cell r="AB257">
            <v>0</v>
          </cell>
          <cell r="AC257" t="str">
            <v>FMG-UBS-50</v>
          </cell>
          <cell r="AD257" t="str">
            <v>EACH</v>
          </cell>
        </row>
        <row r="258">
          <cell r="D258" t="str">
            <v>FMG-UBS-80</v>
          </cell>
          <cell r="E258" t="str">
            <v>3005280</v>
          </cell>
          <cell r="F258" t="str">
            <v>GAL MAL UNION BRS SEAT F/F 80</v>
          </cell>
          <cell r="J258" t="str">
            <v>NNAV</v>
          </cell>
          <cell r="K258" t="str">
            <v>E500</v>
          </cell>
          <cell r="L258" t="str">
            <v>DIXO02</v>
          </cell>
          <cell r="P258">
            <v>5</v>
          </cell>
          <cell r="R258">
            <v>0</v>
          </cell>
          <cell r="S258">
            <v>0</v>
          </cell>
          <cell r="U258">
            <v>0</v>
          </cell>
          <cell r="V258">
            <v>0</v>
          </cell>
          <cell r="W258">
            <v>0</v>
          </cell>
          <cell r="X258" t="str">
            <v>No</v>
          </cell>
          <cell r="Z258" t="str">
            <v/>
          </cell>
          <cell r="AA258" t="str">
            <v>EACH</v>
          </cell>
          <cell r="AB258">
            <v>0</v>
          </cell>
          <cell r="AC258" t="str">
            <v>FMG-UBS-80</v>
          </cell>
          <cell r="AD258" t="str">
            <v>EACH</v>
          </cell>
        </row>
        <row r="259">
          <cell r="D259" t="str">
            <v>ROPE-GAL-6-1000</v>
          </cell>
          <cell r="E259" t="str">
            <v>2400238</v>
          </cell>
          <cell r="F259" t="str">
            <v>GALV WIRE ROPE 7 X 7</v>
          </cell>
          <cell r="J259" t="str">
            <v>NNAV</v>
          </cell>
          <cell r="K259" t="str">
            <v>E499</v>
          </cell>
          <cell r="L259" t="str">
            <v>DIXO02</v>
          </cell>
          <cell r="P259">
            <v>12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 t="str">
            <v>No</v>
          </cell>
          <cell r="Z259" t="str">
            <v/>
          </cell>
          <cell r="AA259" t="str">
            <v>ROLL</v>
          </cell>
          <cell r="AB259">
            <v>0</v>
          </cell>
          <cell r="AC259" t="str">
            <v>ROPE-GAL-6-1000</v>
          </cell>
          <cell r="AD259" t="str">
            <v>ROLL</v>
          </cell>
        </row>
        <row r="260">
          <cell r="D260" t="str">
            <v>S191025020</v>
          </cell>
          <cell r="E260" t="str">
            <v>3000882</v>
          </cell>
          <cell r="F260" t="str">
            <v>HOSE 25MM SUPER AIR</v>
          </cell>
          <cell r="J260" t="str">
            <v>NNAV</v>
          </cell>
          <cell r="K260" t="str">
            <v>E500</v>
          </cell>
          <cell r="L260" t="str">
            <v>DIXO02</v>
          </cell>
          <cell r="P260">
            <v>90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No</v>
          </cell>
          <cell r="Z260" t="str">
            <v/>
          </cell>
          <cell r="AA260" t="str">
            <v>ROLL</v>
          </cell>
          <cell r="AB260">
            <v>0</v>
          </cell>
          <cell r="AC260" t="str">
            <v>S191025020</v>
          </cell>
          <cell r="AD260" t="str">
            <v>ROLL</v>
          </cell>
        </row>
        <row r="261">
          <cell r="D261" t="str">
            <v>S191080020</v>
          </cell>
          <cell r="E261" t="str">
            <v>3000896</v>
          </cell>
          <cell r="F261" t="str">
            <v>HOSE 75MM SUPER AIR</v>
          </cell>
          <cell r="J261" t="str">
            <v>NNAV</v>
          </cell>
          <cell r="K261" t="str">
            <v>E500</v>
          </cell>
          <cell r="L261" t="str">
            <v>DIXO02</v>
          </cell>
          <cell r="P261">
            <v>30</v>
          </cell>
          <cell r="R261">
            <v>0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No</v>
          </cell>
          <cell r="Z261" t="str">
            <v/>
          </cell>
          <cell r="AA261" t="str">
            <v>ROLL</v>
          </cell>
          <cell r="AB261">
            <v>0</v>
          </cell>
          <cell r="AC261" t="str">
            <v>S191080020</v>
          </cell>
          <cell r="AD261" t="str">
            <v>ROLL</v>
          </cell>
        </row>
        <row r="262">
          <cell r="D262" t="str">
            <v>PCF-INSERT-110</v>
          </cell>
          <cell r="E262" t="str">
            <v>3009100</v>
          </cell>
          <cell r="F262" t="str">
            <v>INSERT PP7005 110MM 62834</v>
          </cell>
          <cell r="J262" t="str">
            <v>NNAV</v>
          </cell>
          <cell r="K262" t="str">
            <v>E500</v>
          </cell>
          <cell r="L262" t="str">
            <v>DIXO02</v>
          </cell>
          <cell r="P262">
            <v>10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 t="str">
            <v>No</v>
          </cell>
          <cell r="Z262" t="str">
            <v/>
          </cell>
          <cell r="AA262" t="str">
            <v>EACH</v>
          </cell>
          <cell r="AB262">
            <v>0</v>
          </cell>
          <cell r="AC262" t="str">
            <v>PCF-INSERT-110</v>
          </cell>
          <cell r="AD262" t="str">
            <v>EACH</v>
          </cell>
        </row>
        <row r="263">
          <cell r="D263" t="str">
            <v>08/030/03/000</v>
          </cell>
          <cell r="E263" t="str">
            <v>3000917</v>
          </cell>
          <cell r="F263" t="str">
            <v>JOINER STEEL TUBE 25MM 30/03</v>
          </cell>
          <cell r="J263" t="str">
            <v>NNAV</v>
          </cell>
          <cell r="K263" t="str">
            <v>E500</v>
          </cell>
          <cell r="L263" t="str">
            <v>DIXO02</v>
          </cell>
          <cell r="P263">
            <v>20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 t="str">
            <v>No</v>
          </cell>
          <cell r="Z263" t="str">
            <v/>
          </cell>
          <cell r="AA263" t="str">
            <v>EACH</v>
          </cell>
          <cell r="AB263">
            <v>0</v>
          </cell>
          <cell r="AC263" t="str">
            <v>08/030/03/000</v>
          </cell>
          <cell r="AD263" t="str">
            <v>EACH</v>
          </cell>
        </row>
        <row r="264">
          <cell r="D264" t="str">
            <v>STC10A</v>
          </cell>
          <cell r="E264" t="str">
            <v>3008295</v>
          </cell>
          <cell r="F264" t="str">
            <v>KC NIPPLE BSP 25MM (1") ZINC</v>
          </cell>
          <cell r="J264" t="str">
            <v>NNAV</v>
          </cell>
          <cell r="K264" t="str">
            <v>E500</v>
          </cell>
          <cell r="L264" t="str">
            <v>DIXO02</v>
          </cell>
          <cell r="P264">
            <v>10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 t="str">
            <v>No</v>
          </cell>
          <cell r="Z264" t="str">
            <v/>
          </cell>
          <cell r="AA264" t="str">
            <v>EACH</v>
          </cell>
          <cell r="AB264">
            <v>0</v>
          </cell>
          <cell r="AC264" t="str">
            <v>STC10A</v>
          </cell>
          <cell r="AD264" t="str">
            <v>EACH</v>
          </cell>
        </row>
        <row r="265">
          <cell r="D265" t="str">
            <v>STC35A</v>
          </cell>
          <cell r="E265" t="str">
            <v>3008320</v>
          </cell>
          <cell r="F265" t="str">
            <v>KC NIPPLE BSP 75MM (3") ZINC P</v>
          </cell>
          <cell r="J265" t="str">
            <v>NNAV</v>
          </cell>
          <cell r="K265" t="str">
            <v>E500</v>
          </cell>
          <cell r="L265" t="str">
            <v>DIXO02</v>
          </cell>
          <cell r="P265">
            <v>10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 t="str">
            <v>No</v>
          </cell>
          <cell r="Z265" t="str">
            <v/>
          </cell>
          <cell r="AA265" t="str">
            <v>EACH</v>
          </cell>
          <cell r="AB265">
            <v>0</v>
          </cell>
          <cell r="AC265" t="str">
            <v>STC35A</v>
          </cell>
          <cell r="AD265" t="str">
            <v>EACH</v>
          </cell>
        </row>
        <row r="266">
          <cell r="D266" t="str">
            <v>STVS35CS</v>
          </cell>
          <cell r="E266" t="str">
            <v>3008350</v>
          </cell>
          <cell r="F266" t="str">
            <v>KC NIPPLE SHLD ZP STL 75MM</v>
          </cell>
          <cell r="J266" t="str">
            <v>NNAV</v>
          </cell>
          <cell r="K266" t="str">
            <v>E500</v>
          </cell>
          <cell r="L266" t="str">
            <v>DIXO02</v>
          </cell>
          <cell r="P266">
            <v>10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 t="str">
            <v>No</v>
          </cell>
          <cell r="Z266" t="str">
            <v/>
          </cell>
          <cell r="AA266" t="str">
            <v>EACH</v>
          </cell>
          <cell r="AB266">
            <v>0</v>
          </cell>
          <cell r="AC266" t="str">
            <v>STVS35CS</v>
          </cell>
          <cell r="AD266" t="str">
            <v>EACH</v>
          </cell>
        </row>
        <row r="267">
          <cell r="D267" t="str">
            <v>08/066/02/000</v>
          </cell>
          <cell r="E267" t="str">
            <v>3000959</v>
          </cell>
          <cell r="F267" t="str">
            <v>LUBRICATOR OIL BOTTLE</v>
          </cell>
          <cell r="J267" t="str">
            <v>NNAV</v>
          </cell>
          <cell r="K267" t="str">
            <v>E499</v>
          </cell>
          <cell r="L267" t="str">
            <v>DIXO02</v>
          </cell>
          <cell r="P267">
            <v>2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No</v>
          </cell>
          <cell r="Z267" t="str">
            <v/>
          </cell>
          <cell r="AA267" t="str">
            <v>EACH</v>
          </cell>
          <cell r="AB267">
            <v>0</v>
          </cell>
          <cell r="AC267" t="str">
            <v>08/066/02/000</v>
          </cell>
          <cell r="AD267" t="str">
            <v>EACH</v>
          </cell>
        </row>
        <row r="268">
          <cell r="D268" t="str">
            <v>FMG-HN-100</v>
          </cell>
          <cell r="E268" t="str">
            <v>3000987</v>
          </cell>
          <cell r="F268" t="str">
            <v>NIPPLE 100MM HEX</v>
          </cell>
          <cell r="J268" t="str">
            <v>NNAV</v>
          </cell>
          <cell r="K268" t="str">
            <v>E500</v>
          </cell>
          <cell r="L268" t="str">
            <v>DIXO02</v>
          </cell>
          <cell r="P268">
            <v>20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No</v>
          </cell>
          <cell r="Z268" t="str">
            <v/>
          </cell>
          <cell r="AA268" t="str">
            <v>EACH</v>
          </cell>
          <cell r="AB268">
            <v>0</v>
          </cell>
          <cell r="AC268" t="str">
            <v>FMG-HN-100</v>
          </cell>
          <cell r="AD268" t="str">
            <v>EACH</v>
          </cell>
        </row>
        <row r="269">
          <cell r="D269" t="str">
            <v>FMG-HN-25</v>
          </cell>
          <cell r="E269" t="str">
            <v>3001008</v>
          </cell>
          <cell r="F269" t="str">
            <v>NIPPLE 25MM HEX</v>
          </cell>
          <cell r="J269" t="str">
            <v>NNAV</v>
          </cell>
          <cell r="K269" t="str">
            <v>E500</v>
          </cell>
          <cell r="L269" t="str">
            <v>DIXO02</v>
          </cell>
          <cell r="P269">
            <v>20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 t="str">
            <v>No</v>
          </cell>
          <cell r="Z269" t="str">
            <v/>
          </cell>
          <cell r="AA269" t="str">
            <v>EACH</v>
          </cell>
          <cell r="AB269">
            <v>0</v>
          </cell>
          <cell r="AC269" t="str">
            <v>FMG-HN-25</v>
          </cell>
          <cell r="AD269" t="str">
            <v>EACH</v>
          </cell>
        </row>
        <row r="270">
          <cell r="D270" t="str">
            <v>FMG-HN-50</v>
          </cell>
          <cell r="E270" t="str">
            <v>3002110</v>
          </cell>
          <cell r="F270" t="str">
            <v>NIPPLE 50MM HEX</v>
          </cell>
          <cell r="J270" t="str">
            <v>NNAV</v>
          </cell>
          <cell r="K270" t="str">
            <v>E500</v>
          </cell>
          <cell r="L270" t="str">
            <v>DIXO02</v>
          </cell>
          <cell r="P270">
            <v>20</v>
          </cell>
          <cell r="R270">
            <v>0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  <cell r="X270" t="str">
            <v>No</v>
          </cell>
          <cell r="Z270" t="str">
            <v/>
          </cell>
          <cell r="AA270" t="str">
            <v>EACH</v>
          </cell>
          <cell r="AB270">
            <v>0</v>
          </cell>
          <cell r="AC270" t="str">
            <v>FMG-HN-50</v>
          </cell>
          <cell r="AD270" t="str">
            <v>EACH</v>
          </cell>
        </row>
        <row r="271">
          <cell r="D271" t="str">
            <v>PCF-NUT-110</v>
          </cell>
          <cell r="E271" t="str">
            <v>3001078</v>
          </cell>
          <cell r="F271" t="str">
            <v>NUT PLASSON PP7004 110MM 71599</v>
          </cell>
          <cell r="J271" t="str">
            <v>NNAV</v>
          </cell>
          <cell r="K271" t="str">
            <v>E500</v>
          </cell>
          <cell r="L271" t="str">
            <v>DIXO02</v>
          </cell>
          <cell r="P271">
            <v>4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No</v>
          </cell>
          <cell r="Z271" t="str">
            <v/>
          </cell>
          <cell r="AA271" t="str">
            <v>EACH</v>
          </cell>
          <cell r="AB271">
            <v>0</v>
          </cell>
          <cell r="AC271" t="str">
            <v>PCF-NUT-110</v>
          </cell>
          <cell r="AD271" t="str">
            <v>EACH</v>
          </cell>
        </row>
        <row r="272">
          <cell r="D272" t="str">
            <v>PCF-ORING-110</v>
          </cell>
          <cell r="E272" t="str">
            <v>3001085</v>
          </cell>
          <cell r="F272" t="str">
            <v>ORING NITRILE 7002 110MM 83826</v>
          </cell>
          <cell r="J272" t="str">
            <v>NNAV</v>
          </cell>
          <cell r="K272" t="str">
            <v>E500</v>
          </cell>
          <cell r="L272" t="str">
            <v>DIXO02</v>
          </cell>
          <cell r="P272">
            <v>30</v>
          </cell>
          <cell r="R272">
            <v>0</v>
          </cell>
          <cell r="S272">
            <v>0</v>
          </cell>
          <cell r="U272">
            <v>0</v>
          </cell>
          <cell r="V272">
            <v>0</v>
          </cell>
          <cell r="W272">
            <v>0</v>
          </cell>
          <cell r="X272" t="str">
            <v>No</v>
          </cell>
          <cell r="Z272" t="str">
            <v/>
          </cell>
          <cell r="AA272" t="str">
            <v>EACH</v>
          </cell>
          <cell r="AB272">
            <v>0</v>
          </cell>
          <cell r="AC272" t="str">
            <v>PCF-ORING-110</v>
          </cell>
          <cell r="AD272" t="str">
            <v>EACH</v>
          </cell>
        </row>
        <row r="273">
          <cell r="D273" t="str">
            <v>PAINT-MMV-BLA</v>
          </cell>
          <cell r="E273" t="str">
            <v>2300105</v>
          </cell>
          <cell r="F273" t="str">
            <v>PAINT MINE MARK TRIGGER BLK</v>
          </cell>
          <cell r="J273" t="str">
            <v>NNAV</v>
          </cell>
          <cell r="K273" t="str">
            <v>E499</v>
          </cell>
          <cell r="L273" t="str">
            <v>DIXO02</v>
          </cell>
          <cell r="P273">
            <v>96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 t="str">
            <v>No</v>
          </cell>
          <cell r="Z273" t="str">
            <v/>
          </cell>
          <cell r="AA273" t="str">
            <v>EACH</v>
          </cell>
          <cell r="AB273">
            <v>0</v>
          </cell>
          <cell r="AC273" t="str">
            <v>PAINT-MMV-BLA</v>
          </cell>
          <cell r="AD273" t="str">
            <v>EACH</v>
          </cell>
        </row>
        <row r="274">
          <cell r="D274" t="str">
            <v>PAINT-MMV-RED</v>
          </cell>
          <cell r="E274" t="str">
            <v>2300035</v>
          </cell>
          <cell r="F274" t="str">
            <v>PAINT MINE MARK TRIGGER RED</v>
          </cell>
          <cell r="J274" t="str">
            <v>NNAV</v>
          </cell>
          <cell r="K274" t="str">
            <v>E499</v>
          </cell>
          <cell r="L274" t="str">
            <v>DIXO02</v>
          </cell>
          <cell r="P274">
            <v>1128</v>
          </cell>
          <cell r="R274">
            <v>0</v>
          </cell>
          <cell r="S274">
            <v>0</v>
          </cell>
          <cell r="U274">
            <v>0</v>
          </cell>
          <cell r="V274">
            <v>0</v>
          </cell>
          <cell r="W274">
            <v>0</v>
          </cell>
          <cell r="X274" t="str">
            <v>No</v>
          </cell>
          <cell r="Z274" t="str">
            <v/>
          </cell>
          <cell r="AA274" t="str">
            <v>EACH</v>
          </cell>
          <cell r="AB274">
            <v>0</v>
          </cell>
          <cell r="AC274" t="str">
            <v>PAINT-MMV-RED</v>
          </cell>
          <cell r="AD274" t="str">
            <v>EACH</v>
          </cell>
        </row>
        <row r="275">
          <cell r="D275" t="str">
            <v>PAINT-MMV-WHI</v>
          </cell>
          <cell r="E275" t="str">
            <v>2300112</v>
          </cell>
          <cell r="F275" t="str">
            <v>PAINT MINE MARK TRIGGER WHI</v>
          </cell>
          <cell r="J275" t="str">
            <v>NNAV</v>
          </cell>
          <cell r="K275" t="str">
            <v>E499</v>
          </cell>
          <cell r="L275" t="str">
            <v>DIXO02</v>
          </cell>
          <cell r="P275">
            <v>1128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 t="str">
            <v>No</v>
          </cell>
          <cell r="Z275" t="str">
            <v/>
          </cell>
          <cell r="AA275" t="str">
            <v>EACH</v>
          </cell>
          <cell r="AB275">
            <v>0</v>
          </cell>
          <cell r="AC275" t="str">
            <v>PAINT-MMV-WHI</v>
          </cell>
          <cell r="AD275" t="str">
            <v>EACH</v>
          </cell>
        </row>
        <row r="276">
          <cell r="D276" t="str">
            <v>PAINT-MMV-YEL</v>
          </cell>
          <cell r="E276" t="str">
            <v>2300084</v>
          </cell>
          <cell r="F276" t="str">
            <v>PAINT MINE MARK TRIGGER YEL</v>
          </cell>
          <cell r="J276" t="str">
            <v>NNAV</v>
          </cell>
          <cell r="K276" t="str">
            <v>E499</v>
          </cell>
          <cell r="L276" t="str">
            <v>DIXO02</v>
          </cell>
          <cell r="P276">
            <v>2160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0</v>
          </cell>
          <cell r="X276" t="str">
            <v>No</v>
          </cell>
          <cell r="Z276" t="str">
            <v/>
          </cell>
          <cell r="AA276" t="str">
            <v>EACH</v>
          </cell>
          <cell r="AB276">
            <v>0</v>
          </cell>
          <cell r="AC276" t="str">
            <v>PAINT-MMV-YEL</v>
          </cell>
          <cell r="AD276" t="str">
            <v>EACH</v>
          </cell>
        </row>
        <row r="277">
          <cell r="D277" t="str">
            <v>PAINT-STICK</v>
          </cell>
          <cell r="E277" t="str">
            <v>2300119</v>
          </cell>
          <cell r="F277" t="str">
            <v>PAINTSTICK 3M TO 5M</v>
          </cell>
          <cell r="J277" t="str">
            <v>NNAV</v>
          </cell>
          <cell r="K277" t="str">
            <v>E499</v>
          </cell>
          <cell r="L277" t="str">
            <v>DIXO02</v>
          </cell>
          <cell r="P277">
            <v>7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 t="str">
            <v>No</v>
          </cell>
          <cell r="Z277" t="str">
            <v/>
          </cell>
          <cell r="AA277" t="str">
            <v>EACH</v>
          </cell>
          <cell r="AB277">
            <v>0</v>
          </cell>
          <cell r="AC277" t="str">
            <v>PAINT-STICK</v>
          </cell>
          <cell r="AD277" t="str">
            <v>EACH</v>
          </cell>
        </row>
        <row r="278">
          <cell r="D278" t="str">
            <v>08/080/01/000</v>
          </cell>
          <cell r="E278" t="str">
            <v>2300126</v>
          </cell>
          <cell r="F278" t="str">
            <v>PICK PELICAN COMPLETE</v>
          </cell>
          <cell r="J278" t="str">
            <v>NNAV</v>
          </cell>
          <cell r="K278" t="str">
            <v>E499</v>
          </cell>
          <cell r="L278" t="str">
            <v>DIXO02</v>
          </cell>
          <cell r="P278">
            <v>15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 t="str">
            <v>No</v>
          </cell>
          <cell r="Z278" t="str">
            <v/>
          </cell>
          <cell r="AA278" t="str">
            <v>EACH</v>
          </cell>
          <cell r="AB278">
            <v>0</v>
          </cell>
          <cell r="AC278" t="str">
            <v>08/080/01/000</v>
          </cell>
          <cell r="AD278" t="str">
            <v>EACH</v>
          </cell>
        </row>
        <row r="279">
          <cell r="D279" t="str">
            <v>05/010/02/000B</v>
          </cell>
          <cell r="E279" t="str">
            <v>3001393</v>
          </cell>
          <cell r="F279" t="str">
            <v>PIN LOCKING 10/02</v>
          </cell>
          <cell r="J279" t="str">
            <v>NNAV</v>
          </cell>
          <cell r="K279" t="str">
            <v>E499</v>
          </cell>
          <cell r="L279" t="str">
            <v>DIXO02</v>
          </cell>
          <cell r="P279">
            <v>35</v>
          </cell>
          <cell r="R279">
            <v>0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  <cell r="X279" t="str">
            <v>No</v>
          </cell>
          <cell r="Z279" t="str">
            <v/>
          </cell>
          <cell r="AA279" t="str">
            <v>BOX</v>
          </cell>
          <cell r="AB279">
            <v>0</v>
          </cell>
          <cell r="AC279" t="str">
            <v>05/010/02/000B</v>
          </cell>
          <cell r="AD279" t="str">
            <v>BOX</v>
          </cell>
        </row>
        <row r="280">
          <cell r="D280" t="str">
            <v>PCF-SPAN-63-125</v>
          </cell>
          <cell r="E280" t="str">
            <v>3001477</v>
          </cell>
          <cell r="F280" t="str">
            <v>PLASSON WRENCH 63-125 7990</v>
          </cell>
          <cell r="J280" t="str">
            <v>NNAV</v>
          </cell>
          <cell r="K280" t="str">
            <v>E499</v>
          </cell>
          <cell r="L280" t="str">
            <v>DIXO02</v>
          </cell>
          <cell r="P280">
            <v>16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 t="str">
            <v>No</v>
          </cell>
          <cell r="Z280" t="str">
            <v/>
          </cell>
          <cell r="AA280" t="str">
            <v>EACH</v>
          </cell>
          <cell r="AB280">
            <v>0</v>
          </cell>
          <cell r="AC280" t="str">
            <v>PCF-SPAN-63-125</v>
          </cell>
          <cell r="AD280" t="str">
            <v>EACH</v>
          </cell>
        </row>
        <row r="281">
          <cell r="D281" t="str">
            <v>PCF-COUP-25-20</v>
          </cell>
          <cell r="E281" t="str">
            <v>3006025</v>
          </cell>
          <cell r="F281" t="str">
            <v>POLY COUPLER METRIC 25 X 20 MM</v>
          </cell>
          <cell r="J281" t="str">
            <v>NNAV</v>
          </cell>
          <cell r="K281" t="str">
            <v>E500</v>
          </cell>
          <cell r="L281" t="str">
            <v>DIXO02</v>
          </cell>
          <cell r="P281">
            <v>10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 t="str">
            <v>No</v>
          </cell>
          <cell r="Z281" t="str">
            <v/>
          </cell>
          <cell r="AA281" t="str">
            <v>EACH</v>
          </cell>
          <cell r="AB281">
            <v>0</v>
          </cell>
          <cell r="AC281" t="str">
            <v>PCF-COUP-25-20</v>
          </cell>
          <cell r="AD281" t="str">
            <v>EACH</v>
          </cell>
        </row>
        <row r="282">
          <cell r="D282" t="str">
            <v>PCF-COUP-63-25</v>
          </cell>
          <cell r="E282" t="str">
            <v>3006070</v>
          </cell>
          <cell r="F282" t="str">
            <v>POLY COUPLER METRIC 63 X 25 MM</v>
          </cell>
          <cell r="J282" t="str">
            <v>NNAV</v>
          </cell>
          <cell r="K282" t="str">
            <v>E500</v>
          </cell>
          <cell r="L282" t="str">
            <v>DIXO02</v>
          </cell>
          <cell r="P282">
            <v>10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 t="str">
            <v>No</v>
          </cell>
          <cell r="Z282" t="str">
            <v/>
          </cell>
          <cell r="AA282" t="str">
            <v>EACH</v>
          </cell>
          <cell r="AB282">
            <v>0</v>
          </cell>
          <cell r="AC282" t="str">
            <v>PCF-COUP-63-25</v>
          </cell>
          <cell r="AD282" t="str">
            <v>EACH</v>
          </cell>
        </row>
        <row r="283">
          <cell r="D283" t="str">
            <v>PCF-INSERT-63</v>
          </cell>
          <cell r="E283" t="str">
            <v>3006230</v>
          </cell>
          <cell r="F283" t="str">
            <v>POLY INSERT METRIC 63 MM TO</v>
          </cell>
          <cell r="J283" t="str">
            <v>NNAV</v>
          </cell>
          <cell r="K283" t="str">
            <v>E500</v>
          </cell>
          <cell r="L283" t="str">
            <v>DIXO02</v>
          </cell>
          <cell r="P283">
            <v>20</v>
          </cell>
          <cell r="R283">
            <v>0</v>
          </cell>
          <cell r="S283">
            <v>0</v>
          </cell>
          <cell r="U283">
            <v>0</v>
          </cell>
          <cell r="V283">
            <v>0</v>
          </cell>
          <cell r="W283">
            <v>0</v>
          </cell>
          <cell r="X283" t="str">
            <v>No</v>
          </cell>
          <cell r="Z283" t="str">
            <v/>
          </cell>
          <cell r="AA283" t="str">
            <v>EACH</v>
          </cell>
          <cell r="AB283">
            <v>0</v>
          </cell>
          <cell r="AC283" t="str">
            <v>PCF-INSERT-63</v>
          </cell>
          <cell r="AD283" t="str">
            <v>EACH</v>
          </cell>
        </row>
        <row r="284">
          <cell r="D284" t="str">
            <v>PCF-AM-25-20</v>
          </cell>
          <cell r="E284" t="str">
            <v>3005940</v>
          </cell>
          <cell r="F284" t="str">
            <v>POLY MALE ADAPTOR METRIC 25 X</v>
          </cell>
          <cell r="J284" t="str">
            <v>NNAV</v>
          </cell>
          <cell r="K284" t="str">
            <v>E500</v>
          </cell>
          <cell r="L284" t="str">
            <v>DIXO02</v>
          </cell>
          <cell r="P284">
            <v>5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 t="str">
            <v>No</v>
          </cell>
          <cell r="Z284" t="str">
            <v/>
          </cell>
          <cell r="AA284" t="str">
            <v>EACH</v>
          </cell>
          <cell r="AB284">
            <v>0</v>
          </cell>
          <cell r="AC284" t="str">
            <v>PCF-AM-25-20</v>
          </cell>
          <cell r="AD284" t="str">
            <v>EACH</v>
          </cell>
        </row>
        <row r="285">
          <cell r="D285" t="str">
            <v>PTF-HN-20</v>
          </cell>
          <cell r="E285" t="str">
            <v>3006860</v>
          </cell>
          <cell r="F285" t="str">
            <v>POLY NIPPLE 20 X 20 MM</v>
          </cell>
          <cell r="J285" t="str">
            <v>NNAV</v>
          </cell>
          <cell r="K285" t="str">
            <v>E500</v>
          </cell>
          <cell r="L285" t="str">
            <v>DIXO02</v>
          </cell>
          <cell r="P285">
            <v>20</v>
          </cell>
          <cell r="R285">
            <v>0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 t="str">
            <v>No</v>
          </cell>
          <cell r="Z285" t="str">
            <v/>
          </cell>
          <cell r="AA285" t="str">
            <v>EACH</v>
          </cell>
          <cell r="AB285">
            <v>0</v>
          </cell>
          <cell r="AC285" t="str">
            <v>PTF-HN-20</v>
          </cell>
          <cell r="AD285" t="str">
            <v>EACH</v>
          </cell>
        </row>
        <row r="286">
          <cell r="D286" t="str">
            <v>PTF-HN-25</v>
          </cell>
          <cell r="E286" t="str">
            <v>3006870</v>
          </cell>
          <cell r="F286" t="str">
            <v>POLY NIPPLE 25 X 25 MM</v>
          </cell>
          <cell r="J286" t="str">
            <v>NNAV</v>
          </cell>
          <cell r="K286" t="str">
            <v>E500</v>
          </cell>
          <cell r="L286" t="str">
            <v>DIXO02</v>
          </cell>
          <cell r="P286">
            <v>10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 t="str">
            <v>No</v>
          </cell>
          <cell r="Z286" t="str">
            <v/>
          </cell>
          <cell r="AA286" t="str">
            <v>EACH</v>
          </cell>
          <cell r="AB286">
            <v>0</v>
          </cell>
          <cell r="AC286" t="str">
            <v>PTF-HN-25</v>
          </cell>
          <cell r="AD286" t="str">
            <v>EACH</v>
          </cell>
        </row>
        <row r="287">
          <cell r="D287" t="str">
            <v>PCF-NUT-63</v>
          </cell>
          <cell r="E287" t="str">
            <v>3006240</v>
          </cell>
          <cell r="F287" t="str">
            <v>POLY NUT METRIC BLACK 63 MM</v>
          </cell>
          <cell r="J287" t="str">
            <v>NNAV</v>
          </cell>
          <cell r="K287" t="str">
            <v>E500</v>
          </cell>
          <cell r="L287" t="str">
            <v>DIXO02</v>
          </cell>
          <cell r="P287">
            <v>4</v>
          </cell>
          <cell r="R287">
            <v>0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 t="str">
            <v>No</v>
          </cell>
          <cell r="Z287" t="str">
            <v/>
          </cell>
          <cell r="AA287" t="str">
            <v>EACH</v>
          </cell>
          <cell r="AB287">
            <v>0</v>
          </cell>
          <cell r="AC287" t="str">
            <v>PCF-NUT-63</v>
          </cell>
          <cell r="AD287" t="str">
            <v>EACH</v>
          </cell>
        </row>
        <row r="288">
          <cell r="D288" t="str">
            <v>PCF-ORING-63</v>
          </cell>
          <cell r="E288" t="str">
            <v>3006250</v>
          </cell>
          <cell r="F288" t="str">
            <v>POLY O-RING METRIC NITRILE 63</v>
          </cell>
          <cell r="J288" t="str">
            <v>NNAV</v>
          </cell>
          <cell r="K288" t="str">
            <v>E500</v>
          </cell>
          <cell r="L288" t="str">
            <v>DIXO02</v>
          </cell>
          <cell r="P288">
            <v>30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 t="str">
            <v>No</v>
          </cell>
          <cell r="Z288" t="str">
            <v/>
          </cell>
          <cell r="AA288" t="str">
            <v>EACH</v>
          </cell>
          <cell r="AB288">
            <v>0</v>
          </cell>
          <cell r="AC288" t="str">
            <v>PCF-ORING-63</v>
          </cell>
          <cell r="AD288" t="str">
            <v>EACH</v>
          </cell>
        </row>
        <row r="289">
          <cell r="D289" t="str">
            <v>PCF-REDK-110-63</v>
          </cell>
          <cell r="E289" t="str">
            <v>3001351</v>
          </cell>
          <cell r="F289" t="str">
            <v>POLY REDUCING SET 110-63MM</v>
          </cell>
          <cell r="J289" t="str">
            <v>NNAV</v>
          </cell>
          <cell r="K289" t="str">
            <v>E500</v>
          </cell>
          <cell r="L289" t="str">
            <v>DIXO02</v>
          </cell>
          <cell r="P289">
            <v>10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 t="str">
            <v>No</v>
          </cell>
          <cell r="Z289" t="str">
            <v/>
          </cell>
          <cell r="AA289" t="str">
            <v>EACH</v>
          </cell>
          <cell r="AB289">
            <v>0</v>
          </cell>
          <cell r="AC289" t="str">
            <v>PCF-REDK-110-63</v>
          </cell>
          <cell r="AD289" t="str">
            <v>EACH</v>
          </cell>
        </row>
        <row r="290">
          <cell r="D290" t="str">
            <v>ROPE-POLY-6-125</v>
          </cell>
          <cell r="E290" t="str">
            <v>2401288</v>
          </cell>
          <cell r="F290" t="str">
            <v>POLY ROPE 125M</v>
          </cell>
          <cell r="J290" t="str">
            <v>NNAV</v>
          </cell>
          <cell r="K290" t="str">
            <v>E499</v>
          </cell>
          <cell r="L290" t="str">
            <v>DIXO02</v>
          </cell>
          <cell r="P290">
            <v>45</v>
          </cell>
          <cell r="R290">
            <v>0</v>
          </cell>
          <cell r="S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>No</v>
          </cell>
          <cell r="Z290" t="str">
            <v/>
          </cell>
          <cell r="AA290" t="str">
            <v>ROLL</v>
          </cell>
          <cell r="AB290">
            <v>0</v>
          </cell>
          <cell r="AC290" t="str">
            <v>ROPE-POLY-6-125</v>
          </cell>
          <cell r="AD290" t="str">
            <v>ROLL</v>
          </cell>
        </row>
        <row r="291">
          <cell r="D291" t="str">
            <v>PCF-SPLIT-110</v>
          </cell>
          <cell r="E291" t="str">
            <v>3001316</v>
          </cell>
          <cell r="F291" t="str">
            <v>POLY SPLIT RING ACETAL 110 MM</v>
          </cell>
          <cell r="J291" t="str">
            <v>NNAV</v>
          </cell>
          <cell r="K291" t="str">
            <v>E500</v>
          </cell>
          <cell r="L291" t="str">
            <v>DIXO02</v>
          </cell>
          <cell r="P291">
            <v>70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 t="str">
            <v>No</v>
          </cell>
          <cell r="Z291" t="str">
            <v/>
          </cell>
          <cell r="AA291" t="str">
            <v>EACH</v>
          </cell>
          <cell r="AB291">
            <v>0</v>
          </cell>
          <cell r="AC291" t="str">
            <v>PCF-SPLIT-110</v>
          </cell>
          <cell r="AD291" t="str">
            <v>EACH</v>
          </cell>
        </row>
        <row r="292">
          <cell r="D292" t="str">
            <v>PCF-TEE-25-20F</v>
          </cell>
          <cell r="E292" t="str">
            <v>3006330</v>
          </cell>
          <cell r="F292" t="str">
            <v>POLY TEE FEMALE BSP OFFTAKE 25</v>
          </cell>
          <cell r="J292" t="str">
            <v>NNAV</v>
          </cell>
          <cell r="K292" t="str">
            <v>E500</v>
          </cell>
          <cell r="L292" t="str">
            <v>DIXO02</v>
          </cell>
          <cell r="P292">
            <v>20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No</v>
          </cell>
          <cell r="Z292" t="str">
            <v/>
          </cell>
          <cell r="AA292" t="str">
            <v>EACH</v>
          </cell>
          <cell r="AB292">
            <v>0</v>
          </cell>
          <cell r="AC292" t="str">
            <v>PCF-TEE-25-20F</v>
          </cell>
          <cell r="AD292" t="str">
            <v>EACH</v>
          </cell>
        </row>
        <row r="293">
          <cell r="D293" t="str">
            <v>PCF-TEE-25-20M</v>
          </cell>
          <cell r="E293" t="str">
            <v>3006335</v>
          </cell>
          <cell r="F293" t="str">
            <v>POLY TEE MALE BSP OFFTAKE 25MM</v>
          </cell>
          <cell r="J293" t="str">
            <v>NNAV</v>
          </cell>
          <cell r="K293" t="str">
            <v>E500</v>
          </cell>
          <cell r="L293" t="str">
            <v>DIXO02</v>
          </cell>
          <cell r="P293">
            <v>20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No</v>
          </cell>
          <cell r="Z293" t="str">
            <v/>
          </cell>
          <cell r="AA293" t="str">
            <v>EACH</v>
          </cell>
          <cell r="AB293">
            <v>0</v>
          </cell>
          <cell r="AC293" t="str">
            <v>PCF-TEE-25-20M</v>
          </cell>
          <cell r="AD293" t="str">
            <v>EACH</v>
          </cell>
        </row>
        <row r="294">
          <cell r="D294" t="str">
            <v>F1</v>
          </cell>
          <cell r="E294" t="str">
            <v>4004810</v>
          </cell>
          <cell r="F294" t="str">
            <v>PUNCHLOCK TOOL</v>
          </cell>
          <cell r="J294" t="str">
            <v>NNAV</v>
          </cell>
          <cell r="K294" t="str">
            <v>E750</v>
          </cell>
          <cell r="L294" t="str">
            <v>DIXO02</v>
          </cell>
          <cell r="P294">
            <v>7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 t="str">
            <v>No</v>
          </cell>
          <cell r="Z294" t="str">
            <v/>
          </cell>
          <cell r="AA294" t="str">
            <v>EACH</v>
          </cell>
          <cell r="AB294">
            <v>0</v>
          </cell>
          <cell r="AC294" t="str">
            <v>F1</v>
          </cell>
          <cell r="AD294" t="str">
            <v>EACH</v>
          </cell>
        </row>
        <row r="295">
          <cell r="D295" t="str">
            <v>NIR03</v>
          </cell>
          <cell r="E295" t="str">
            <v>3008795</v>
          </cell>
          <cell r="F295" t="str">
            <v>RBR NAT INSERT 1PLY 3.0MM</v>
          </cell>
          <cell r="J295" t="str">
            <v>NNAV</v>
          </cell>
          <cell r="K295" t="str">
            <v>E499</v>
          </cell>
          <cell r="L295" t="str">
            <v>DIXO02</v>
          </cell>
          <cell r="P295">
            <v>1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 t="str">
            <v>No</v>
          </cell>
          <cell r="Z295" t="str">
            <v/>
          </cell>
          <cell r="AA295" t="str">
            <v>EACH</v>
          </cell>
          <cell r="AB295">
            <v>0</v>
          </cell>
          <cell r="AC295" t="str">
            <v>NIR03</v>
          </cell>
          <cell r="AD295" t="str">
            <v>EACH</v>
          </cell>
        </row>
        <row r="296">
          <cell r="D296" t="str">
            <v>NIR06</v>
          </cell>
          <cell r="E296" t="str">
            <v>3008805</v>
          </cell>
          <cell r="F296" t="str">
            <v>RBR NAT INSERT 2PLY 6.0MM</v>
          </cell>
          <cell r="J296" t="str">
            <v>NNAV</v>
          </cell>
          <cell r="K296" t="str">
            <v>E500</v>
          </cell>
          <cell r="L296" t="str">
            <v>DIXO02</v>
          </cell>
          <cell r="P296">
            <v>10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 t="str">
            <v>No</v>
          </cell>
          <cell r="Z296" t="str">
            <v/>
          </cell>
          <cell r="AA296" t="str">
            <v>EACH</v>
          </cell>
          <cell r="AB296">
            <v>0</v>
          </cell>
          <cell r="AC296" t="str">
            <v>NIR06</v>
          </cell>
          <cell r="AD296" t="str">
            <v>EACH</v>
          </cell>
        </row>
        <row r="297">
          <cell r="D297" t="str">
            <v>08/048/14/002T</v>
          </cell>
          <cell r="E297" t="str">
            <v>3001337</v>
          </cell>
          <cell r="F297" t="str">
            <v>REDUCER 100 X 50</v>
          </cell>
          <cell r="J297" t="str">
            <v>NNAV</v>
          </cell>
          <cell r="K297" t="str">
            <v>E500</v>
          </cell>
          <cell r="L297" t="str">
            <v>DIXO02</v>
          </cell>
          <cell r="P297">
            <v>30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 t="str">
            <v>No</v>
          </cell>
          <cell r="Z297" t="str">
            <v/>
          </cell>
          <cell r="AA297" t="str">
            <v>EACH</v>
          </cell>
          <cell r="AB297">
            <v>0</v>
          </cell>
          <cell r="AC297" t="str">
            <v>08/048/14/002T</v>
          </cell>
          <cell r="AD297" t="str">
            <v>EACH</v>
          </cell>
        </row>
        <row r="298">
          <cell r="D298" t="str">
            <v>08/048/14/011T</v>
          </cell>
          <cell r="E298" t="str">
            <v>3002640</v>
          </cell>
          <cell r="F298" t="str">
            <v>REDUCER CON SHLD 100MM X  80MM</v>
          </cell>
          <cell r="J298" t="str">
            <v>NNAV</v>
          </cell>
          <cell r="K298" t="str">
            <v>E500</v>
          </cell>
          <cell r="L298" t="str">
            <v>DIXO02</v>
          </cell>
          <cell r="P298">
            <v>10</v>
          </cell>
          <cell r="R298">
            <v>0</v>
          </cell>
          <cell r="S298">
            <v>0</v>
          </cell>
          <cell r="U298">
            <v>0</v>
          </cell>
          <cell r="V298">
            <v>0</v>
          </cell>
          <cell r="W298">
            <v>0</v>
          </cell>
          <cell r="X298" t="str">
            <v>No</v>
          </cell>
          <cell r="Z298" t="str">
            <v/>
          </cell>
          <cell r="AA298" t="str">
            <v>EACH</v>
          </cell>
          <cell r="AB298">
            <v>0</v>
          </cell>
          <cell r="AC298" t="str">
            <v>08/048/14/011T</v>
          </cell>
          <cell r="AD298" t="str">
            <v>EACH</v>
          </cell>
        </row>
        <row r="299">
          <cell r="D299" t="str">
            <v>08/048/14/001T</v>
          </cell>
          <cell r="E299" t="str">
            <v>3001344</v>
          </cell>
          <cell r="F299" t="str">
            <v>REDUCER GALV VICT 75 - 50</v>
          </cell>
          <cell r="J299" t="str">
            <v>NNAV</v>
          </cell>
          <cell r="K299" t="str">
            <v>E500</v>
          </cell>
          <cell r="L299" t="str">
            <v>DIXO02</v>
          </cell>
          <cell r="P299">
            <v>10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No</v>
          </cell>
          <cell r="Z299" t="str">
            <v/>
          </cell>
          <cell r="AA299" t="str">
            <v>EACH</v>
          </cell>
          <cell r="AB299">
            <v>0</v>
          </cell>
          <cell r="AC299" t="str">
            <v>08/048/14/001T</v>
          </cell>
          <cell r="AD299" t="str">
            <v>EACH</v>
          </cell>
        </row>
        <row r="300">
          <cell r="D300" t="str">
            <v>FMG-BUS-100-50</v>
          </cell>
          <cell r="E300" t="str">
            <v>3002135</v>
          </cell>
          <cell r="F300" t="str">
            <v>REDUCING BUSH 100 X 50MM</v>
          </cell>
          <cell r="J300" t="str">
            <v>NNAV</v>
          </cell>
          <cell r="K300" t="str">
            <v>E500</v>
          </cell>
          <cell r="L300" t="str">
            <v>DIXO02</v>
          </cell>
          <cell r="P300">
            <v>5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No</v>
          </cell>
          <cell r="Z300" t="str">
            <v/>
          </cell>
          <cell r="AA300" t="str">
            <v>EACH</v>
          </cell>
          <cell r="AB300">
            <v>0</v>
          </cell>
          <cell r="AC300" t="str">
            <v>FMG-BUS-100-50</v>
          </cell>
          <cell r="AD300" t="str">
            <v>EACH</v>
          </cell>
        </row>
        <row r="301">
          <cell r="D301" t="str">
            <v>FMG-BUS-100-80</v>
          </cell>
          <cell r="E301" t="str">
            <v>3002140</v>
          </cell>
          <cell r="F301" t="str">
            <v>REDUCING BUSH 100 X 80MM</v>
          </cell>
          <cell r="J301" t="str">
            <v>NNAV</v>
          </cell>
          <cell r="K301" t="str">
            <v>E500</v>
          </cell>
          <cell r="L301" t="str">
            <v>DIXO02</v>
          </cell>
          <cell r="P301">
            <v>5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 t="str">
            <v>No</v>
          </cell>
          <cell r="Z301" t="str">
            <v/>
          </cell>
          <cell r="AA301" t="str">
            <v>EACH</v>
          </cell>
          <cell r="AB301">
            <v>0</v>
          </cell>
          <cell r="AC301" t="str">
            <v>FMG-BUS-100-80</v>
          </cell>
          <cell r="AD301" t="str">
            <v>EACH</v>
          </cell>
        </row>
        <row r="302">
          <cell r="D302" t="str">
            <v>FMG-BUS-25-15</v>
          </cell>
          <cell r="E302" t="str">
            <v>3000238</v>
          </cell>
          <cell r="F302" t="str">
            <v>REDUCING BUSH 25 X 15MM</v>
          </cell>
          <cell r="J302" t="str">
            <v>NNAV</v>
          </cell>
          <cell r="K302" t="str">
            <v>E500</v>
          </cell>
          <cell r="L302" t="str">
            <v>DIXO02</v>
          </cell>
          <cell r="P302">
            <v>15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 t="str">
            <v>No</v>
          </cell>
          <cell r="Z302" t="str">
            <v/>
          </cell>
          <cell r="AA302" t="str">
            <v>EACH</v>
          </cell>
          <cell r="AB302">
            <v>0</v>
          </cell>
          <cell r="AC302" t="str">
            <v>FMG-BUS-25-15</v>
          </cell>
          <cell r="AD302" t="str">
            <v>EACH</v>
          </cell>
        </row>
        <row r="303">
          <cell r="D303" t="str">
            <v>FMG-BUS-50-25</v>
          </cell>
          <cell r="E303" t="str">
            <v>3000245</v>
          </cell>
          <cell r="F303" t="str">
            <v>REDUCING BUSH 50 X 25MM</v>
          </cell>
          <cell r="J303" t="str">
            <v>NNAV</v>
          </cell>
          <cell r="K303" t="str">
            <v>E500</v>
          </cell>
          <cell r="L303" t="str">
            <v>DIXO02</v>
          </cell>
          <cell r="P303">
            <v>25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 t="str">
            <v>No</v>
          </cell>
          <cell r="Z303" t="str">
            <v/>
          </cell>
          <cell r="AA303" t="str">
            <v>EACH</v>
          </cell>
          <cell r="AB303">
            <v>0</v>
          </cell>
          <cell r="AC303" t="str">
            <v>FMG-BUS-50-25</v>
          </cell>
          <cell r="AD303" t="str">
            <v>EACH</v>
          </cell>
        </row>
        <row r="304">
          <cell r="D304" t="str">
            <v>FMG-BUS-80-50</v>
          </cell>
          <cell r="E304" t="str">
            <v>3000252</v>
          </cell>
          <cell r="F304" t="str">
            <v>REDUCING BUSH 80 X 50MM</v>
          </cell>
          <cell r="J304" t="str">
            <v>NNAV</v>
          </cell>
          <cell r="K304" t="str">
            <v>E500</v>
          </cell>
          <cell r="L304" t="str">
            <v>DIXO02</v>
          </cell>
          <cell r="P304">
            <v>15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 t="str">
            <v>No</v>
          </cell>
          <cell r="Z304" t="str">
            <v/>
          </cell>
          <cell r="AA304" t="str">
            <v>EACH</v>
          </cell>
          <cell r="AB304">
            <v>0</v>
          </cell>
          <cell r="AC304" t="str">
            <v>FMG-BUS-80-50</v>
          </cell>
          <cell r="AD304" t="str">
            <v>EACH</v>
          </cell>
        </row>
        <row r="305">
          <cell r="D305" t="str">
            <v>FMG-HN-100-80</v>
          </cell>
          <cell r="E305" t="str">
            <v>3001043</v>
          </cell>
          <cell r="F305" t="str">
            <v>REDUCING NIPPLE 100 X 80MM</v>
          </cell>
          <cell r="J305" t="str">
            <v>NNAV</v>
          </cell>
          <cell r="K305" t="str">
            <v>E500</v>
          </cell>
          <cell r="L305" t="str">
            <v>DIXO02</v>
          </cell>
          <cell r="P305">
            <v>30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 t="str">
            <v>No</v>
          </cell>
          <cell r="Z305" t="str">
            <v/>
          </cell>
          <cell r="AA305" t="str">
            <v>EACH</v>
          </cell>
          <cell r="AB305">
            <v>0</v>
          </cell>
          <cell r="AC305" t="str">
            <v>FMG-HN-100-80</v>
          </cell>
          <cell r="AD305" t="str">
            <v>EACH</v>
          </cell>
        </row>
        <row r="306">
          <cell r="D306" t="str">
            <v>FMG-HN-50-25</v>
          </cell>
          <cell r="E306" t="str">
            <v>3001050</v>
          </cell>
          <cell r="F306" t="str">
            <v>REDUCING NIPPLE 50 X 25MM</v>
          </cell>
          <cell r="J306" t="str">
            <v>NNAV</v>
          </cell>
          <cell r="K306" t="str">
            <v>E500</v>
          </cell>
          <cell r="L306" t="str">
            <v>DIXO02</v>
          </cell>
          <cell r="P306">
            <v>30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 t="str">
            <v>No</v>
          </cell>
          <cell r="Z306" t="str">
            <v/>
          </cell>
          <cell r="AA306" t="str">
            <v>EACH</v>
          </cell>
          <cell r="AB306">
            <v>0</v>
          </cell>
          <cell r="AC306" t="str">
            <v>FMG-HN-50-25</v>
          </cell>
          <cell r="AD306" t="str">
            <v>EACH</v>
          </cell>
        </row>
        <row r="307">
          <cell r="D307" t="str">
            <v>FMG-HN-80-50</v>
          </cell>
          <cell r="E307" t="str">
            <v>3001064</v>
          </cell>
          <cell r="F307" t="str">
            <v>REDUCING NIPPLE 80 X 50MM</v>
          </cell>
          <cell r="J307" t="str">
            <v>NNAV</v>
          </cell>
          <cell r="K307" t="str">
            <v>E500</v>
          </cell>
          <cell r="L307" t="str">
            <v>DIXO02</v>
          </cell>
          <cell r="P307">
            <v>30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 t="str">
            <v>No</v>
          </cell>
          <cell r="Z307" t="str">
            <v/>
          </cell>
          <cell r="AA307" t="str">
            <v>EACH</v>
          </cell>
          <cell r="AB307">
            <v>0</v>
          </cell>
          <cell r="AC307" t="str">
            <v>FMG-HN-80-50</v>
          </cell>
          <cell r="AD307" t="str">
            <v>EACH</v>
          </cell>
        </row>
        <row r="308">
          <cell r="D308" t="str">
            <v>08/100/01/861</v>
          </cell>
          <cell r="E308" t="str">
            <v>3002875</v>
          </cell>
          <cell r="F308" t="str">
            <v>SCALING BAR 8' (2400MM) ALUMIN</v>
          </cell>
          <cell r="J308" t="str">
            <v>NNAV</v>
          </cell>
          <cell r="K308" t="str">
            <v>E499</v>
          </cell>
          <cell r="L308" t="str">
            <v>DIXO02</v>
          </cell>
          <cell r="P308">
            <v>15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 t="str">
            <v>No</v>
          </cell>
          <cell r="Z308" t="str">
            <v/>
          </cell>
          <cell r="AA308" t="str">
            <v>EACH</v>
          </cell>
          <cell r="AB308">
            <v>0</v>
          </cell>
          <cell r="AC308" t="str">
            <v>08/100/01/861</v>
          </cell>
          <cell r="AD308" t="str">
            <v>EACH</v>
          </cell>
        </row>
        <row r="309">
          <cell r="D309" t="str">
            <v>05/007/07/000</v>
          </cell>
          <cell r="E309" t="str">
            <v>3001400</v>
          </cell>
          <cell r="F309" t="str">
            <v>SEAL 3/8 - 1 1/4 INSERT 07/07</v>
          </cell>
          <cell r="J309" t="str">
            <v>NNAV</v>
          </cell>
          <cell r="K309" t="str">
            <v>E500</v>
          </cell>
          <cell r="L309" t="str">
            <v>DIXO02</v>
          </cell>
          <cell r="P309">
            <v>110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 t="str">
            <v>No</v>
          </cell>
          <cell r="Z309" t="str">
            <v/>
          </cell>
          <cell r="AA309" t="str">
            <v>EACH</v>
          </cell>
          <cell r="AB309">
            <v>0</v>
          </cell>
          <cell r="AC309" t="str">
            <v>05/007/07/000</v>
          </cell>
          <cell r="AD309" t="str">
            <v>EACH</v>
          </cell>
        </row>
        <row r="310">
          <cell r="D310" t="str">
            <v>08/007/09/002</v>
          </cell>
          <cell r="E310" t="str">
            <v>3001414</v>
          </cell>
          <cell r="F310" t="str">
            <v>SEAL 3HP INSERT 07/09</v>
          </cell>
          <cell r="J310" t="str">
            <v>NNAV</v>
          </cell>
          <cell r="K310" t="str">
            <v>E500</v>
          </cell>
          <cell r="L310" t="str">
            <v>DIXO02</v>
          </cell>
          <cell r="P310">
            <v>10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 t="str">
            <v>No</v>
          </cell>
          <cell r="Z310" t="str">
            <v/>
          </cell>
          <cell r="AA310" t="str">
            <v>EACH</v>
          </cell>
          <cell r="AB310">
            <v>0</v>
          </cell>
          <cell r="AC310" t="str">
            <v>08/007/09/002</v>
          </cell>
          <cell r="AD310" t="str">
            <v>EACH</v>
          </cell>
        </row>
        <row r="311">
          <cell r="D311" t="str">
            <v>05/048/22/003</v>
          </cell>
          <cell r="E311" t="str">
            <v>3002365</v>
          </cell>
          <cell r="F311" t="str">
            <v>SEAL NITRILE 100MM SHLD</v>
          </cell>
          <cell r="J311" t="str">
            <v>NNAV</v>
          </cell>
          <cell r="K311" t="str">
            <v>E500</v>
          </cell>
          <cell r="L311" t="str">
            <v>DIXO02</v>
          </cell>
          <cell r="P311">
            <v>15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 t="str">
            <v>No</v>
          </cell>
          <cell r="Z311" t="str">
            <v/>
          </cell>
          <cell r="AA311" t="str">
            <v>EACH</v>
          </cell>
          <cell r="AB311">
            <v>0</v>
          </cell>
          <cell r="AC311" t="str">
            <v>05/048/22/003</v>
          </cell>
          <cell r="AD311" t="str">
            <v>EACH</v>
          </cell>
        </row>
        <row r="312">
          <cell r="D312" t="str">
            <v>05/048/22/000</v>
          </cell>
          <cell r="E312" t="str">
            <v>3002355</v>
          </cell>
          <cell r="F312" t="str">
            <v>SEAL NITRILE 50MM SHLD</v>
          </cell>
          <cell r="J312" t="str">
            <v>NNAV</v>
          </cell>
          <cell r="K312" t="str">
            <v>E500</v>
          </cell>
          <cell r="L312" t="str">
            <v>DIXO02</v>
          </cell>
          <cell r="P312">
            <v>15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 t="str">
            <v>No</v>
          </cell>
          <cell r="Z312" t="str">
            <v/>
          </cell>
          <cell r="AA312" t="str">
            <v>EACH</v>
          </cell>
          <cell r="AB312">
            <v>0</v>
          </cell>
          <cell r="AC312" t="str">
            <v>05/048/22/000</v>
          </cell>
          <cell r="AD312" t="str">
            <v>EACH</v>
          </cell>
        </row>
        <row r="313">
          <cell r="D313" t="str">
            <v>05/048/22/002</v>
          </cell>
          <cell r="E313" t="str">
            <v>3002360</v>
          </cell>
          <cell r="F313" t="str">
            <v>SEAL NITRILE 80MM SHLD</v>
          </cell>
          <cell r="J313" t="str">
            <v>NNAV</v>
          </cell>
          <cell r="K313" t="str">
            <v>E500</v>
          </cell>
          <cell r="L313" t="str">
            <v>DIXO02</v>
          </cell>
          <cell r="P313">
            <v>15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 t="str">
            <v>No</v>
          </cell>
          <cell r="Z313" t="str">
            <v/>
          </cell>
          <cell r="AA313" t="str">
            <v>EACH</v>
          </cell>
          <cell r="AB313">
            <v>0</v>
          </cell>
          <cell r="AC313" t="str">
            <v>05/048/22/002</v>
          </cell>
          <cell r="AD313" t="str">
            <v>EACH</v>
          </cell>
        </row>
        <row r="314">
          <cell r="D314" t="str">
            <v>SH-D-20</v>
          </cell>
          <cell r="E314" t="str">
            <v>1653400</v>
          </cell>
          <cell r="F314" t="str">
            <v>SHACKLE 20MM DEE GAL UNTESTED</v>
          </cell>
          <cell r="J314" t="str">
            <v>NNAV</v>
          </cell>
          <cell r="K314" t="str">
            <v>E499</v>
          </cell>
          <cell r="L314" t="str">
            <v>DIXO02</v>
          </cell>
          <cell r="P314">
            <v>40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>No</v>
          </cell>
          <cell r="Z314" t="str">
            <v/>
          </cell>
          <cell r="AA314" t="str">
            <v>EACH</v>
          </cell>
          <cell r="AB314">
            <v>0</v>
          </cell>
          <cell r="AC314" t="str">
            <v>SH-D-20</v>
          </cell>
          <cell r="AD314" t="str">
            <v>EACH</v>
          </cell>
        </row>
        <row r="315">
          <cell r="D315" t="str">
            <v>SH-BOW-22-4.7</v>
          </cell>
          <cell r="E315" t="str">
            <v>1653180</v>
          </cell>
          <cell r="F315" t="str">
            <v>SHACKLE 4.7T 19MM SCREW BOW S</v>
          </cell>
          <cell r="J315" t="str">
            <v>NNAV</v>
          </cell>
          <cell r="K315" t="str">
            <v>E499</v>
          </cell>
          <cell r="L315" t="str">
            <v>DIXO02</v>
          </cell>
          <cell r="P315">
            <v>30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 t="str">
            <v>No</v>
          </cell>
          <cell r="Z315" t="str">
            <v/>
          </cell>
          <cell r="AA315" t="str">
            <v>EACH</v>
          </cell>
          <cell r="AB315">
            <v>0</v>
          </cell>
          <cell r="AC315" t="str">
            <v>SH-BOW-22-4.7</v>
          </cell>
          <cell r="AD315" t="str">
            <v>EACH</v>
          </cell>
        </row>
        <row r="316">
          <cell r="D316" t="str">
            <v>SH-D-6</v>
          </cell>
          <cell r="E316" t="str">
            <v>1653350</v>
          </cell>
          <cell r="F316" t="str">
            <v>SHACKLE 6MM DEE GAL UNTESTED</v>
          </cell>
          <cell r="J316" t="str">
            <v>NNAV</v>
          </cell>
          <cell r="K316" t="str">
            <v>E499</v>
          </cell>
          <cell r="L316" t="str">
            <v>DIXO02</v>
          </cell>
          <cell r="P316">
            <v>7500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 t="str">
            <v>No</v>
          </cell>
          <cell r="Z316" t="str">
            <v/>
          </cell>
          <cell r="AA316" t="str">
            <v>EACH</v>
          </cell>
          <cell r="AB316">
            <v>0</v>
          </cell>
          <cell r="AC316" t="str">
            <v>SH-D-6</v>
          </cell>
          <cell r="AD316" t="str">
            <v>EACH</v>
          </cell>
        </row>
        <row r="317">
          <cell r="D317" t="str">
            <v>FMG-SOC-100</v>
          </cell>
          <cell r="E317" t="str">
            <v>3002330</v>
          </cell>
          <cell r="F317" t="str">
            <v>SOCKET 100MM GALV</v>
          </cell>
          <cell r="J317" t="str">
            <v>NNAV</v>
          </cell>
          <cell r="K317" t="str">
            <v>E500</v>
          </cell>
          <cell r="L317" t="str">
            <v>DIXO02</v>
          </cell>
          <cell r="P317">
            <v>5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No</v>
          </cell>
          <cell r="Z317" t="str">
            <v/>
          </cell>
          <cell r="AA317" t="str">
            <v>EACH</v>
          </cell>
          <cell r="AB317">
            <v>0</v>
          </cell>
          <cell r="AC317" t="str">
            <v>FMG-SOC-100</v>
          </cell>
          <cell r="AD317" t="str">
            <v>EACH</v>
          </cell>
        </row>
        <row r="318">
          <cell r="D318" t="str">
            <v>FMG-SOC-25</v>
          </cell>
          <cell r="E318" t="str">
            <v>3001435</v>
          </cell>
          <cell r="F318" t="str">
            <v>SOCKET 25MM</v>
          </cell>
          <cell r="J318" t="str">
            <v>NNAV</v>
          </cell>
          <cell r="K318" t="str">
            <v>E500</v>
          </cell>
          <cell r="L318" t="str">
            <v>DIXO02</v>
          </cell>
          <cell r="P318">
            <v>20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No</v>
          </cell>
          <cell r="Z318" t="str">
            <v/>
          </cell>
          <cell r="AA318" t="str">
            <v>EACH</v>
          </cell>
          <cell r="AB318">
            <v>0</v>
          </cell>
          <cell r="AC318" t="str">
            <v>FMG-SOC-25</v>
          </cell>
          <cell r="AD318" t="str">
            <v>EACH</v>
          </cell>
        </row>
        <row r="319">
          <cell r="D319" t="str">
            <v>FMG-SOC-50</v>
          </cell>
          <cell r="E319" t="str">
            <v>3001442</v>
          </cell>
          <cell r="F319" t="str">
            <v>SOCKET 50MM</v>
          </cell>
          <cell r="J319" t="str">
            <v>NNAV</v>
          </cell>
          <cell r="K319" t="str">
            <v>E500</v>
          </cell>
          <cell r="L319" t="str">
            <v>DIXO02</v>
          </cell>
          <cell r="P319">
            <v>20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 t="str">
            <v>No</v>
          </cell>
          <cell r="Z319" t="str">
            <v/>
          </cell>
          <cell r="AA319" t="str">
            <v>EACH</v>
          </cell>
          <cell r="AB319">
            <v>0</v>
          </cell>
          <cell r="AC319" t="str">
            <v>FMG-SOC-50</v>
          </cell>
          <cell r="AD319" t="str">
            <v>EACH</v>
          </cell>
        </row>
        <row r="320">
          <cell r="D320" t="str">
            <v>PTF-SOC-25</v>
          </cell>
          <cell r="E320" t="str">
            <v>3007015</v>
          </cell>
          <cell r="F320" t="str">
            <v>SOCKET PLASSON SCREWED 25MM</v>
          </cell>
          <cell r="J320" t="str">
            <v>NNAV</v>
          </cell>
          <cell r="K320" t="str">
            <v>E500</v>
          </cell>
          <cell r="L320" t="str">
            <v>DIXO02</v>
          </cell>
          <cell r="P320">
            <v>10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 t="str">
            <v>No</v>
          </cell>
          <cell r="Z320" t="str">
            <v/>
          </cell>
          <cell r="AA320" t="str">
            <v>EACH</v>
          </cell>
          <cell r="AB320">
            <v>0</v>
          </cell>
          <cell r="AC320" t="str">
            <v>PTF-SOC-25</v>
          </cell>
          <cell r="AD320" t="str">
            <v>EACH</v>
          </cell>
        </row>
        <row r="321">
          <cell r="D321" t="str">
            <v>FMG-SOC-100-80</v>
          </cell>
          <cell r="E321" t="str">
            <v>3001449</v>
          </cell>
          <cell r="F321" t="str">
            <v>SOCKET REDUCING 100 X 80MM</v>
          </cell>
          <cell r="J321" t="str">
            <v>NNAV</v>
          </cell>
          <cell r="K321" t="str">
            <v>E500</v>
          </cell>
          <cell r="L321" t="str">
            <v>DIXO02</v>
          </cell>
          <cell r="P321">
            <v>15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 t="str">
            <v>No</v>
          </cell>
          <cell r="Z321" t="str">
            <v/>
          </cell>
          <cell r="AA321" t="str">
            <v>EACH</v>
          </cell>
          <cell r="AB321">
            <v>0</v>
          </cell>
          <cell r="AC321" t="str">
            <v>FMG-SOC-100-80</v>
          </cell>
          <cell r="AD321" t="str">
            <v>EACH</v>
          </cell>
        </row>
        <row r="322">
          <cell r="D322" t="str">
            <v>FMG-SOC-50-25</v>
          </cell>
          <cell r="E322" t="str">
            <v>3002150</v>
          </cell>
          <cell r="F322" t="str">
            <v>SOCKET REDUCING 50 X 25MM</v>
          </cell>
          <cell r="J322" t="str">
            <v>NNAV</v>
          </cell>
          <cell r="K322" t="str">
            <v>E500</v>
          </cell>
          <cell r="L322" t="str">
            <v>DIXO02</v>
          </cell>
          <cell r="P322">
            <v>5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 t="str">
            <v>No</v>
          </cell>
          <cell r="Z322" t="str">
            <v/>
          </cell>
          <cell r="AA322" t="str">
            <v>EACH</v>
          </cell>
          <cell r="AB322">
            <v>0</v>
          </cell>
          <cell r="AC322" t="str">
            <v>FMG-SOC-50-25</v>
          </cell>
          <cell r="AD322" t="str">
            <v>EACH</v>
          </cell>
        </row>
        <row r="323">
          <cell r="D323" t="str">
            <v>FMG-SOC-80-50</v>
          </cell>
          <cell r="E323" t="str">
            <v>3001950</v>
          </cell>
          <cell r="F323" t="str">
            <v>SOCKET REDUCING 80X50 GALV MAL</v>
          </cell>
          <cell r="J323" t="str">
            <v>NNAV</v>
          </cell>
          <cell r="K323" t="str">
            <v>E500</v>
          </cell>
          <cell r="L323" t="str">
            <v>DIXO02</v>
          </cell>
          <cell r="P323">
            <v>15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 t="str">
            <v>No</v>
          </cell>
          <cell r="Z323" t="str">
            <v/>
          </cell>
          <cell r="AA323" t="str">
            <v>EACH</v>
          </cell>
          <cell r="AB323">
            <v>0</v>
          </cell>
          <cell r="AC323" t="str">
            <v>FMG-SOC-80-50</v>
          </cell>
          <cell r="AD323" t="str">
            <v>EACH</v>
          </cell>
        </row>
        <row r="324">
          <cell r="D324" t="str">
            <v>PCF-SPAN-16-40</v>
          </cell>
          <cell r="E324" t="str">
            <v>3001463</v>
          </cell>
          <cell r="F324" t="str">
            <v>SPANNER PLASSON FITTINGS</v>
          </cell>
          <cell r="J324" t="str">
            <v>NNAV</v>
          </cell>
          <cell r="K324" t="str">
            <v>E499</v>
          </cell>
          <cell r="L324" t="str">
            <v>DIXO02</v>
          </cell>
          <cell r="P324">
            <v>16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 t="str">
            <v>No</v>
          </cell>
          <cell r="Z324" t="str">
            <v/>
          </cell>
          <cell r="AA324" t="str">
            <v>EACH</v>
          </cell>
          <cell r="AB324">
            <v>0</v>
          </cell>
          <cell r="AC324" t="str">
            <v>PCF-SPAN-16-40</v>
          </cell>
          <cell r="AD324" t="str">
            <v>EACH</v>
          </cell>
        </row>
        <row r="325">
          <cell r="D325" t="str">
            <v>PCF-SPAN-40-75</v>
          </cell>
          <cell r="E325" t="str">
            <v>3001470</v>
          </cell>
          <cell r="F325" t="str">
            <v>SPANNER PLASSON FITTINGS</v>
          </cell>
          <cell r="J325" t="str">
            <v>NNAV</v>
          </cell>
          <cell r="K325" t="str">
            <v>E499</v>
          </cell>
          <cell r="L325" t="str">
            <v>DIXO02</v>
          </cell>
          <cell r="P325">
            <v>26</v>
          </cell>
          <cell r="R325">
            <v>0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 t="str">
            <v>No</v>
          </cell>
          <cell r="Z325" t="str">
            <v/>
          </cell>
          <cell r="AA325" t="str">
            <v>EACH</v>
          </cell>
          <cell r="AB325">
            <v>0</v>
          </cell>
          <cell r="AC325" t="str">
            <v>PCF-SPAN-40-75</v>
          </cell>
          <cell r="AD325" t="str">
            <v>EACH</v>
          </cell>
        </row>
        <row r="326">
          <cell r="D326" t="str">
            <v>M36</v>
          </cell>
          <cell r="E326" t="str">
            <v>3001491</v>
          </cell>
          <cell r="F326" t="str">
            <v>SPLICER HOSE 75MM HD 32/06</v>
          </cell>
          <cell r="J326" t="str">
            <v>NNAV</v>
          </cell>
          <cell r="K326" t="str">
            <v>E500</v>
          </cell>
          <cell r="L326" t="str">
            <v>DIXO02</v>
          </cell>
          <cell r="P326">
            <v>20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 t="str">
            <v>No</v>
          </cell>
          <cell r="Z326" t="str">
            <v/>
          </cell>
          <cell r="AA326" t="str">
            <v>EACH</v>
          </cell>
          <cell r="AB326">
            <v>0</v>
          </cell>
          <cell r="AC326" t="str">
            <v>M36</v>
          </cell>
          <cell r="AD326" t="str">
            <v>EACH</v>
          </cell>
        </row>
        <row r="327">
          <cell r="D327" t="str">
            <v>PCF-SPLIT-63</v>
          </cell>
          <cell r="E327" t="str">
            <v>3001323</v>
          </cell>
          <cell r="F327" t="str">
            <v>SPLIT RING ACETAL 7003 63MM 69</v>
          </cell>
          <cell r="J327" t="str">
            <v>NNAV</v>
          </cell>
          <cell r="K327" t="str">
            <v>E500</v>
          </cell>
          <cell r="L327" t="str">
            <v>DIXO02</v>
          </cell>
          <cell r="P327">
            <v>60</v>
          </cell>
          <cell r="R327">
            <v>0</v>
          </cell>
          <cell r="S327">
            <v>0</v>
          </cell>
          <cell r="U327">
            <v>0</v>
          </cell>
          <cell r="V327">
            <v>0</v>
          </cell>
          <cell r="W327">
            <v>0</v>
          </cell>
          <cell r="X327" t="str">
            <v>No</v>
          </cell>
          <cell r="Z327" t="str">
            <v/>
          </cell>
          <cell r="AA327" t="str">
            <v>EACH</v>
          </cell>
          <cell r="AB327">
            <v>0</v>
          </cell>
          <cell r="AC327" t="str">
            <v>PCF-SPLIT-63</v>
          </cell>
          <cell r="AD327" t="str">
            <v>EACH</v>
          </cell>
        </row>
        <row r="328">
          <cell r="D328" t="str">
            <v>DM11</v>
          </cell>
          <cell r="E328" t="str">
            <v>3000728</v>
          </cell>
          <cell r="F328" t="str">
            <v>STEEL HOSE MENDER 25 MM</v>
          </cell>
          <cell r="J328" t="str">
            <v>NNAV</v>
          </cell>
          <cell r="K328" t="str">
            <v>E500</v>
          </cell>
          <cell r="L328" t="str">
            <v>DIXO02</v>
          </cell>
          <cell r="P328">
            <v>40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 t="str">
            <v>No</v>
          </cell>
          <cell r="Z328" t="str">
            <v/>
          </cell>
          <cell r="AA328" t="str">
            <v>EACH</v>
          </cell>
          <cell r="AB328">
            <v>0</v>
          </cell>
          <cell r="AC328" t="str">
            <v>DM11</v>
          </cell>
          <cell r="AD328" t="str">
            <v>EACH</v>
          </cell>
        </row>
        <row r="329">
          <cell r="D329" t="str">
            <v>DM36</v>
          </cell>
          <cell r="E329" t="str">
            <v>3000938</v>
          </cell>
          <cell r="F329" t="str">
            <v>STEEL HOSE MENDER 75 MM</v>
          </cell>
          <cell r="J329" t="str">
            <v>NNAV</v>
          </cell>
          <cell r="K329" t="str">
            <v>E500</v>
          </cell>
          <cell r="L329" t="str">
            <v>DIXO02</v>
          </cell>
          <cell r="P329">
            <v>10</v>
          </cell>
          <cell r="R329">
            <v>0</v>
          </cell>
          <cell r="S329">
            <v>0</v>
          </cell>
          <cell r="U329">
            <v>0</v>
          </cell>
          <cell r="V329">
            <v>0</v>
          </cell>
          <cell r="W329">
            <v>0</v>
          </cell>
          <cell r="X329" t="str">
            <v>No</v>
          </cell>
          <cell r="Z329" t="str">
            <v/>
          </cell>
          <cell r="AA329" t="str">
            <v>EACH</v>
          </cell>
          <cell r="AB329">
            <v>0</v>
          </cell>
          <cell r="AC329" t="str">
            <v>DM36</v>
          </cell>
          <cell r="AD329" t="str">
            <v>EACH</v>
          </cell>
        </row>
        <row r="330">
          <cell r="D330" t="str">
            <v>YH1002</v>
          </cell>
          <cell r="E330" t="str">
            <v>3001680</v>
          </cell>
          <cell r="F330" t="str">
            <v>TAB E RATIO VALVE 2:1</v>
          </cell>
          <cell r="J330" t="str">
            <v>NNAV</v>
          </cell>
          <cell r="K330" t="str">
            <v>E500</v>
          </cell>
          <cell r="L330" t="str">
            <v>DIXO02</v>
          </cell>
          <cell r="P330">
            <v>4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 t="str">
            <v>No</v>
          </cell>
          <cell r="Z330" t="str">
            <v/>
          </cell>
          <cell r="AA330" t="str">
            <v>EACH</v>
          </cell>
          <cell r="AB330">
            <v>0</v>
          </cell>
          <cell r="AC330" t="str">
            <v>YH1002</v>
          </cell>
          <cell r="AD330" t="str">
            <v>EACH</v>
          </cell>
        </row>
        <row r="331">
          <cell r="D331" t="str">
            <v>MS11A</v>
          </cell>
          <cell r="E331" t="str">
            <v>3002200</v>
          </cell>
          <cell r="F331" t="str">
            <v>TAIL HOSE TO BSP 25MM 34/01- M</v>
          </cell>
          <cell r="J331" t="str">
            <v>NNAV</v>
          </cell>
          <cell r="K331" t="str">
            <v>E500</v>
          </cell>
          <cell r="L331" t="str">
            <v>DIXO02</v>
          </cell>
          <cell r="P331">
            <v>10</v>
          </cell>
          <cell r="R331">
            <v>0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 t="str">
            <v>No</v>
          </cell>
          <cell r="Z331" t="str">
            <v/>
          </cell>
          <cell r="AA331" t="str">
            <v>EACH</v>
          </cell>
          <cell r="AB331">
            <v>0</v>
          </cell>
          <cell r="AC331" t="str">
            <v>MS11A</v>
          </cell>
          <cell r="AD331" t="str">
            <v>EACH</v>
          </cell>
        </row>
        <row r="332">
          <cell r="D332" t="str">
            <v>TTB50</v>
          </cell>
          <cell r="E332" t="str">
            <v>2401071</v>
          </cell>
          <cell r="F332" t="str">
            <v>TAPE THREAD</v>
          </cell>
          <cell r="J332" t="str">
            <v>NNAV</v>
          </cell>
          <cell r="K332" t="str">
            <v>E499</v>
          </cell>
          <cell r="L332" t="str">
            <v>DIXO02</v>
          </cell>
          <cell r="P332">
            <v>170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 t="str">
            <v>No</v>
          </cell>
          <cell r="Z332" t="str">
            <v/>
          </cell>
          <cell r="AA332" t="str">
            <v>EACH</v>
          </cell>
          <cell r="AB332">
            <v>0</v>
          </cell>
          <cell r="AC332" t="str">
            <v>TTB50</v>
          </cell>
          <cell r="AD332" t="str">
            <v>EACH</v>
          </cell>
        </row>
        <row r="333">
          <cell r="D333" t="str">
            <v>FMG-TEE-100</v>
          </cell>
          <cell r="E333" t="str">
            <v>3002130</v>
          </cell>
          <cell r="F333" t="str">
            <v>TEE 100MM BSP FEMALE</v>
          </cell>
          <cell r="J333" t="str">
            <v>NNAV</v>
          </cell>
          <cell r="K333" t="str">
            <v>E500</v>
          </cell>
          <cell r="L333" t="str">
            <v>DIXO02</v>
          </cell>
          <cell r="P333">
            <v>5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 t="str">
            <v>No</v>
          </cell>
          <cell r="Z333" t="str">
            <v/>
          </cell>
          <cell r="AA333" t="str">
            <v>EACH</v>
          </cell>
          <cell r="AB333">
            <v>0</v>
          </cell>
          <cell r="AC333" t="str">
            <v>FMG-TEE-100</v>
          </cell>
          <cell r="AD333" t="str">
            <v>EACH</v>
          </cell>
        </row>
        <row r="334">
          <cell r="D334" t="str">
            <v>08/048/05/003T</v>
          </cell>
          <cell r="E334" t="str">
            <v>3001547</v>
          </cell>
          <cell r="F334" t="str">
            <v>TEE 100NB GALV SHOULDERED</v>
          </cell>
          <cell r="J334" t="str">
            <v>NNAV</v>
          </cell>
          <cell r="K334" t="str">
            <v>E500</v>
          </cell>
          <cell r="L334" t="str">
            <v>DIXO02</v>
          </cell>
          <cell r="P334">
            <v>10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 t="str">
            <v>No</v>
          </cell>
          <cell r="Z334" t="str">
            <v/>
          </cell>
          <cell r="AA334" t="str">
            <v>EACH</v>
          </cell>
          <cell r="AB334">
            <v>0</v>
          </cell>
          <cell r="AC334" t="str">
            <v>08/048/05/003T</v>
          </cell>
          <cell r="AD334" t="str">
            <v>EACH</v>
          </cell>
        </row>
        <row r="335">
          <cell r="D335" t="str">
            <v>PCF-TEE-110</v>
          </cell>
          <cell r="E335" t="str">
            <v>3001554</v>
          </cell>
          <cell r="F335" t="str">
            <v>TEE 110MM</v>
          </cell>
          <cell r="J335" t="str">
            <v>NNAV</v>
          </cell>
          <cell r="K335" t="str">
            <v>E500</v>
          </cell>
          <cell r="L335" t="str">
            <v>DIXO02</v>
          </cell>
          <cell r="P335">
            <v>14</v>
          </cell>
          <cell r="R335">
            <v>0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No</v>
          </cell>
          <cell r="Z335" t="str">
            <v/>
          </cell>
          <cell r="AA335" t="str">
            <v>EACH</v>
          </cell>
          <cell r="AB335">
            <v>0</v>
          </cell>
          <cell r="AC335" t="str">
            <v>PCF-TEE-110</v>
          </cell>
          <cell r="AD335" t="str">
            <v>EACH</v>
          </cell>
        </row>
        <row r="336">
          <cell r="D336" t="str">
            <v>PCF-TEE-25</v>
          </cell>
          <cell r="E336" t="str">
            <v>3001561</v>
          </cell>
          <cell r="F336" t="str">
            <v>TEE 25MM</v>
          </cell>
          <cell r="J336" t="str">
            <v>NNAV</v>
          </cell>
          <cell r="K336" t="str">
            <v>E500</v>
          </cell>
          <cell r="L336" t="str">
            <v>DIXO02</v>
          </cell>
          <cell r="P336">
            <v>30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 t="str">
            <v>No</v>
          </cell>
          <cell r="Z336" t="str">
            <v/>
          </cell>
          <cell r="AA336" t="str">
            <v>EACH</v>
          </cell>
          <cell r="AB336">
            <v>0</v>
          </cell>
          <cell r="AC336" t="str">
            <v>PCF-TEE-25</v>
          </cell>
          <cell r="AD336" t="str">
            <v>EACH</v>
          </cell>
        </row>
        <row r="337">
          <cell r="D337" t="str">
            <v>FMG-TEE-25</v>
          </cell>
          <cell r="E337" t="str">
            <v>3001568</v>
          </cell>
          <cell r="F337" t="str">
            <v>TEE 25MM BSP FEMALE</v>
          </cell>
          <cell r="J337" t="str">
            <v>NNAV</v>
          </cell>
          <cell r="K337" t="str">
            <v>E500</v>
          </cell>
          <cell r="L337" t="str">
            <v>DIXO02</v>
          </cell>
          <cell r="P337">
            <v>5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 t="str">
            <v>No</v>
          </cell>
          <cell r="Z337" t="str">
            <v/>
          </cell>
          <cell r="AA337" t="str">
            <v>EACH</v>
          </cell>
          <cell r="AB337">
            <v>0</v>
          </cell>
          <cell r="AC337" t="str">
            <v>FMG-TEE-25</v>
          </cell>
          <cell r="AD337" t="str">
            <v>EACH</v>
          </cell>
        </row>
        <row r="338">
          <cell r="D338" t="str">
            <v>FMG-TEE-50</v>
          </cell>
          <cell r="E338" t="str">
            <v>3002125</v>
          </cell>
          <cell r="F338" t="str">
            <v>TEE 50MM BSP FEMALE</v>
          </cell>
          <cell r="J338" t="str">
            <v>NNAV</v>
          </cell>
          <cell r="K338" t="str">
            <v>E500</v>
          </cell>
          <cell r="L338" t="str">
            <v>DIXO02</v>
          </cell>
          <cell r="P338">
            <v>5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 t="str">
            <v>No</v>
          </cell>
          <cell r="Z338" t="str">
            <v/>
          </cell>
          <cell r="AA338" t="str">
            <v>EACH</v>
          </cell>
          <cell r="AB338">
            <v>0</v>
          </cell>
          <cell r="AC338" t="str">
            <v>FMG-TEE-50</v>
          </cell>
          <cell r="AD338" t="str">
            <v>EACH</v>
          </cell>
        </row>
        <row r="339">
          <cell r="D339" t="str">
            <v>08/048/05/000T</v>
          </cell>
          <cell r="E339" t="str">
            <v>3001589</v>
          </cell>
          <cell r="F339" t="str">
            <v>TEE 50NB GALV SHOULDERED</v>
          </cell>
          <cell r="J339" t="str">
            <v>NNAV</v>
          </cell>
          <cell r="K339" t="str">
            <v>E500</v>
          </cell>
          <cell r="L339" t="str">
            <v>DIXO02</v>
          </cell>
          <cell r="P339">
            <v>10</v>
          </cell>
          <cell r="R339">
            <v>0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 t="str">
            <v>No</v>
          </cell>
          <cell r="Z339" t="str">
            <v/>
          </cell>
          <cell r="AA339" t="str">
            <v>EACH</v>
          </cell>
          <cell r="AB339">
            <v>0</v>
          </cell>
          <cell r="AC339" t="str">
            <v>08/048/05/000T</v>
          </cell>
          <cell r="AD339" t="str">
            <v>EACH</v>
          </cell>
        </row>
        <row r="340">
          <cell r="D340" t="str">
            <v>PCF-TEE-63</v>
          </cell>
          <cell r="E340" t="str">
            <v>3001596</v>
          </cell>
          <cell r="F340" t="str">
            <v>TEE 63MM</v>
          </cell>
          <cell r="J340" t="str">
            <v>NNAV</v>
          </cell>
          <cell r="K340" t="str">
            <v>E500</v>
          </cell>
          <cell r="L340" t="str">
            <v>DIXO02</v>
          </cell>
          <cell r="P340">
            <v>14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 t="str">
            <v>No</v>
          </cell>
          <cell r="Z340" t="str">
            <v/>
          </cell>
          <cell r="AA340" t="str">
            <v>EACH</v>
          </cell>
          <cell r="AB340">
            <v>0</v>
          </cell>
          <cell r="AC340" t="str">
            <v>PCF-TEE-63</v>
          </cell>
          <cell r="AD340" t="str">
            <v>EACH</v>
          </cell>
        </row>
        <row r="341">
          <cell r="D341" t="str">
            <v>PCF-TEE-110-63</v>
          </cell>
          <cell r="E341" t="str">
            <v>3001652</v>
          </cell>
          <cell r="F341" t="str">
            <v>TEE REDUCING POLY 110 63MM</v>
          </cell>
          <cell r="J341" t="str">
            <v>NNAV</v>
          </cell>
          <cell r="K341" t="str">
            <v>E500</v>
          </cell>
          <cell r="L341" t="str">
            <v>DIXO02</v>
          </cell>
          <cell r="P341">
            <v>15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 t="str">
            <v>No</v>
          </cell>
          <cell r="Z341" t="str">
            <v/>
          </cell>
          <cell r="AA341" t="str">
            <v>EACH</v>
          </cell>
          <cell r="AB341">
            <v>0</v>
          </cell>
          <cell r="AC341" t="str">
            <v>PCF-TEE-110-63</v>
          </cell>
          <cell r="AD341" t="str">
            <v>EACH</v>
          </cell>
        </row>
        <row r="342">
          <cell r="D342" t="str">
            <v>BSCV100</v>
          </cell>
          <cell r="E342" t="str">
            <v>3001736</v>
          </cell>
          <cell r="F342" t="str">
            <v>VALVE CHECK 100NB TURNFLO BCH</v>
          </cell>
          <cell r="J342" t="str">
            <v>NNAV</v>
          </cell>
          <cell r="K342" t="str">
            <v>E500</v>
          </cell>
          <cell r="L342" t="str">
            <v>DIXO02</v>
          </cell>
          <cell r="P342">
            <v>2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 t="str">
            <v>No</v>
          </cell>
          <cell r="Z342" t="str">
            <v/>
          </cell>
          <cell r="AA342" t="str">
            <v>EACH</v>
          </cell>
          <cell r="AB342">
            <v>0</v>
          </cell>
          <cell r="AC342" t="str">
            <v>BSCV100</v>
          </cell>
          <cell r="AD342" t="str">
            <v>EACH</v>
          </cell>
        </row>
        <row r="343">
          <cell r="D343" t="str">
            <v>BSCV075</v>
          </cell>
          <cell r="E343" t="str">
            <v>3002090</v>
          </cell>
          <cell r="F343" t="str">
            <v>VALVE CHECK 80NB TURNFLO BCH B</v>
          </cell>
          <cell r="J343" t="str">
            <v>NNAV</v>
          </cell>
          <cell r="K343" t="str">
            <v>E500</v>
          </cell>
          <cell r="L343" t="str">
            <v>DIXO02</v>
          </cell>
          <cell r="P343">
            <v>4</v>
          </cell>
          <cell r="R343">
            <v>0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 t="str">
            <v>No</v>
          </cell>
          <cell r="Z343" t="str">
            <v/>
          </cell>
          <cell r="AA343" t="str">
            <v>EACH</v>
          </cell>
          <cell r="AB343">
            <v>0</v>
          </cell>
          <cell r="AC343" t="str">
            <v>BSCV075</v>
          </cell>
          <cell r="AD343" t="str">
            <v>EACH</v>
          </cell>
        </row>
        <row r="344">
          <cell r="D344" t="str">
            <v>08/062/172/00LO</v>
          </cell>
          <cell r="E344" t="str">
            <v>3001764</v>
          </cell>
          <cell r="F344" t="str">
            <v>VALVE ECONO 25 MM FEM</v>
          </cell>
          <cell r="J344" t="str">
            <v>NNAV</v>
          </cell>
          <cell r="K344" t="str">
            <v>E500</v>
          </cell>
          <cell r="L344" t="str">
            <v>DIXO02</v>
          </cell>
          <cell r="P344">
            <v>10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 t="str">
            <v>No</v>
          </cell>
          <cell r="Z344" t="str">
            <v/>
          </cell>
          <cell r="AA344" t="str">
            <v>EACH</v>
          </cell>
          <cell r="AB344">
            <v>0</v>
          </cell>
          <cell r="AC344" t="str">
            <v>08/062/172/00LO</v>
          </cell>
          <cell r="AD344" t="str">
            <v>EACH</v>
          </cell>
        </row>
        <row r="345">
          <cell r="D345" t="str">
            <v>08/062/56/000LO</v>
          </cell>
          <cell r="E345" t="str">
            <v>3001785</v>
          </cell>
          <cell r="F345" t="str">
            <v>VALVE ECONO 50 BSPX50SLD</v>
          </cell>
          <cell r="J345" t="str">
            <v>NNAV</v>
          </cell>
          <cell r="K345" t="str">
            <v>E500</v>
          </cell>
          <cell r="L345" t="str">
            <v>DIXO02</v>
          </cell>
          <cell r="P345">
            <v>10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  <cell r="X345" t="str">
            <v>No</v>
          </cell>
          <cell r="Z345" t="str">
            <v/>
          </cell>
          <cell r="AA345" t="str">
            <v>EACH</v>
          </cell>
          <cell r="AB345">
            <v>0</v>
          </cell>
          <cell r="AC345" t="str">
            <v>08/062/56/000LO</v>
          </cell>
          <cell r="AD345" t="str">
            <v>EACH</v>
          </cell>
        </row>
        <row r="346">
          <cell r="D346" t="str">
            <v>08/062/111/00LO</v>
          </cell>
          <cell r="E346" t="str">
            <v>3001771</v>
          </cell>
          <cell r="F346" t="str">
            <v>VALVE ECONOVALVE</v>
          </cell>
          <cell r="J346" t="str">
            <v>NNAV</v>
          </cell>
          <cell r="K346" t="str">
            <v>E500</v>
          </cell>
          <cell r="L346" t="str">
            <v>DIXO02</v>
          </cell>
          <cell r="P346">
            <v>50</v>
          </cell>
          <cell r="R346">
            <v>0</v>
          </cell>
          <cell r="S346">
            <v>0</v>
          </cell>
          <cell r="U346">
            <v>0</v>
          </cell>
          <cell r="V346">
            <v>0</v>
          </cell>
          <cell r="W346">
            <v>0</v>
          </cell>
          <cell r="X346" t="str">
            <v>No</v>
          </cell>
          <cell r="Z346" t="str">
            <v/>
          </cell>
          <cell r="AA346" t="str">
            <v>EACH</v>
          </cell>
          <cell r="AB346">
            <v>0</v>
          </cell>
          <cell r="AC346" t="str">
            <v>08/062/111/00LO</v>
          </cell>
          <cell r="AD346" t="str">
            <v>EACH</v>
          </cell>
        </row>
        <row r="347">
          <cell r="D347" t="str">
            <v>08/062/849/00LO</v>
          </cell>
          <cell r="E347" t="str">
            <v>3001722</v>
          </cell>
          <cell r="F347" t="str">
            <v>VALVE ECONOVALVE</v>
          </cell>
          <cell r="J347" t="str">
            <v>NNAV</v>
          </cell>
          <cell r="K347" t="str">
            <v>E500</v>
          </cell>
          <cell r="L347" t="str">
            <v>DIXO02</v>
          </cell>
          <cell r="P347">
            <v>20</v>
          </cell>
          <cell r="R347">
            <v>0</v>
          </cell>
          <cell r="S347">
            <v>0</v>
          </cell>
          <cell r="U347">
            <v>0</v>
          </cell>
          <cell r="V347">
            <v>0</v>
          </cell>
          <cell r="W347">
            <v>0</v>
          </cell>
          <cell r="X347" t="str">
            <v>No</v>
          </cell>
          <cell r="Z347" t="str">
            <v/>
          </cell>
          <cell r="AA347" t="str">
            <v>EACH</v>
          </cell>
          <cell r="AB347">
            <v>0</v>
          </cell>
          <cell r="AC347" t="str">
            <v>08/062/849/00LO</v>
          </cell>
          <cell r="AD347" t="str">
            <v>EACH</v>
          </cell>
        </row>
        <row r="348">
          <cell r="D348" t="str">
            <v>BVD-S-1201-100</v>
          </cell>
          <cell r="E348" t="str">
            <v>3001729</v>
          </cell>
          <cell r="F348" t="str">
            <v>VALVE SHLD BUTTERFLY 100MM</v>
          </cell>
          <cell r="J348" t="str">
            <v>NNAV</v>
          </cell>
          <cell r="K348" t="str">
            <v>E500</v>
          </cell>
          <cell r="L348" t="str">
            <v>DIXO02</v>
          </cell>
          <cell r="P348">
            <v>4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  <cell r="X348" t="str">
            <v>No</v>
          </cell>
          <cell r="Z348" t="str">
            <v/>
          </cell>
          <cell r="AA348" t="str">
            <v>EACH</v>
          </cell>
          <cell r="AB348">
            <v>0</v>
          </cell>
          <cell r="AC348" t="str">
            <v>BVD-S-1201-100</v>
          </cell>
          <cell r="AD348" t="str">
            <v>EACH</v>
          </cell>
        </row>
        <row r="349">
          <cell r="D349" t="str">
            <v>08/023/90/000</v>
          </cell>
          <cell r="E349" t="str">
            <v>3001883</v>
          </cell>
          <cell r="F349" t="str">
            <v>WHIP CHECK 23/90 SMALL</v>
          </cell>
          <cell r="J349" t="str">
            <v>NNAV</v>
          </cell>
          <cell r="K349" t="str">
            <v>E500</v>
          </cell>
          <cell r="L349" t="str">
            <v>DIXO02</v>
          </cell>
          <cell r="P349">
            <v>20</v>
          </cell>
          <cell r="R349">
            <v>0</v>
          </cell>
          <cell r="S349">
            <v>0</v>
          </cell>
          <cell r="U349">
            <v>0</v>
          </cell>
          <cell r="V349">
            <v>0</v>
          </cell>
          <cell r="W349">
            <v>0</v>
          </cell>
          <cell r="X349" t="str">
            <v>No</v>
          </cell>
          <cell r="Z349" t="str">
            <v/>
          </cell>
          <cell r="AA349" t="str">
            <v>EACH</v>
          </cell>
          <cell r="AB349">
            <v>0</v>
          </cell>
          <cell r="AC349" t="str">
            <v>08/023/90/000</v>
          </cell>
          <cell r="AD349" t="str">
            <v>EACH</v>
          </cell>
        </row>
        <row r="350">
          <cell r="D350" t="str">
            <v>08/023/91/000</v>
          </cell>
          <cell r="E350" t="str">
            <v>3001890</v>
          </cell>
          <cell r="F350" t="str">
            <v>WHIP CHECK 23/91 MEDIUM</v>
          </cell>
          <cell r="J350" t="str">
            <v>NNAV</v>
          </cell>
          <cell r="K350" t="str">
            <v>E500</v>
          </cell>
          <cell r="L350" t="str">
            <v>DIXO02</v>
          </cell>
          <cell r="P350">
            <v>40</v>
          </cell>
          <cell r="R350">
            <v>0</v>
          </cell>
          <cell r="S350">
            <v>0</v>
          </cell>
          <cell r="U350">
            <v>0</v>
          </cell>
          <cell r="V350">
            <v>0</v>
          </cell>
          <cell r="W350">
            <v>0</v>
          </cell>
          <cell r="X350" t="str">
            <v>No</v>
          </cell>
          <cell r="Z350" t="str">
            <v/>
          </cell>
          <cell r="AA350" t="str">
            <v>EACH</v>
          </cell>
          <cell r="AB350">
            <v>0</v>
          </cell>
          <cell r="AC350" t="str">
            <v>08/023/91/000</v>
          </cell>
          <cell r="AD350" t="str">
            <v>EACH</v>
          </cell>
        </row>
        <row r="351">
          <cell r="D351" t="str">
            <v>08/023/92/000</v>
          </cell>
          <cell r="E351" t="str">
            <v>3001897</v>
          </cell>
          <cell r="F351" t="str">
            <v>WHIP CHECK 23/92 LARGE</v>
          </cell>
          <cell r="J351" t="str">
            <v>NNAV</v>
          </cell>
          <cell r="K351" t="str">
            <v>E500</v>
          </cell>
          <cell r="L351" t="str">
            <v>DIXO02</v>
          </cell>
          <cell r="P351">
            <v>20</v>
          </cell>
          <cell r="R351">
            <v>0</v>
          </cell>
          <cell r="S351">
            <v>0</v>
          </cell>
          <cell r="U351">
            <v>0</v>
          </cell>
          <cell r="V351">
            <v>0</v>
          </cell>
          <cell r="W351">
            <v>0</v>
          </cell>
          <cell r="X351" t="str">
            <v>No</v>
          </cell>
          <cell r="Z351" t="str">
            <v/>
          </cell>
          <cell r="AA351" t="str">
            <v>EACH</v>
          </cell>
          <cell r="AB351">
            <v>0</v>
          </cell>
          <cell r="AC351" t="str">
            <v>08/023/92/000</v>
          </cell>
          <cell r="AD351" t="str">
            <v>EACH</v>
          </cell>
        </row>
        <row r="352">
          <cell r="D352" t="str">
            <v>DCLI-CL-KL12M-C</v>
          </cell>
          <cell r="E352" t="str">
            <v>Special Item</v>
          </cell>
          <cell r="F352" t="str">
            <v>CAP LAMP; KL12M 28;000 LUX</v>
          </cell>
          <cell r="J352" t="str">
            <v>NNAV</v>
          </cell>
          <cell r="K352" t="str">
            <v>E653</v>
          </cell>
          <cell r="L352" t="str">
            <v>DRIL03</v>
          </cell>
          <cell r="P352">
            <v>102</v>
          </cell>
          <cell r="R352">
            <v>0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 t="str">
            <v>No</v>
          </cell>
          <cell r="Z352" t="str">
            <v/>
          </cell>
          <cell r="AA352" t="str">
            <v>EACH</v>
          </cell>
          <cell r="AB352">
            <v>0</v>
          </cell>
          <cell r="AC352" t="str">
            <v>DCLI-CL-KL12M-C</v>
          </cell>
          <cell r="AD352" t="str">
            <v>EACH</v>
          </cell>
        </row>
        <row r="353">
          <cell r="D353" t="str">
            <v>DCT-CTFL-SP</v>
          </cell>
          <cell r="E353" t="str">
            <v>Special Item</v>
          </cell>
          <cell r="F353" t="str">
            <v>CIRCUIT TESTER FIRING LINE</v>
          </cell>
          <cell r="J353" t="str">
            <v>NNAV</v>
          </cell>
          <cell r="K353" t="str">
            <v>E499</v>
          </cell>
          <cell r="L353" t="str">
            <v>DRIL03</v>
          </cell>
          <cell r="P353">
            <v>2</v>
          </cell>
          <cell r="R353">
            <v>0</v>
          </cell>
          <cell r="S353">
            <v>0</v>
          </cell>
          <cell r="U353">
            <v>0</v>
          </cell>
          <cell r="V353">
            <v>0</v>
          </cell>
          <cell r="W353">
            <v>0</v>
          </cell>
          <cell r="X353" t="str">
            <v>No</v>
          </cell>
          <cell r="Z353" t="str">
            <v/>
          </cell>
          <cell r="AA353" t="str">
            <v>EACH</v>
          </cell>
          <cell r="AB353">
            <v>0</v>
          </cell>
          <cell r="AC353" t="str">
            <v>DCT-CTFL-SP</v>
          </cell>
          <cell r="AD353" t="str">
            <v>EACH</v>
          </cell>
        </row>
        <row r="354">
          <cell r="D354" t="str">
            <v>PULLRINGM24LHWA</v>
          </cell>
          <cell r="E354" t="str">
            <v>Special Item</v>
          </cell>
          <cell r="F354" t="str">
            <v>ADAPT M24 L/H SUIT F/BOLT PULL</v>
          </cell>
          <cell r="J354" t="str">
            <v>NNAV</v>
          </cell>
          <cell r="K354" t="str">
            <v>E499</v>
          </cell>
          <cell r="L354" t="str">
            <v>DSIA01</v>
          </cell>
          <cell r="P354">
            <v>5</v>
          </cell>
          <cell r="R354">
            <v>0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 t="str">
            <v>No</v>
          </cell>
          <cell r="Z354" t="str">
            <v/>
          </cell>
          <cell r="AA354" t="str">
            <v>EACH</v>
          </cell>
          <cell r="AB354">
            <v>0</v>
          </cell>
          <cell r="AC354" t="str">
            <v>PULLRINGM24LHWA</v>
          </cell>
          <cell r="AD354" t="str">
            <v>EACH</v>
          </cell>
        </row>
        <row r="355">
          <cell r="D355" t="str">
            <v>BLW15003RWA</v>
          </cell>
          <cell r="E355" t="str">
            <v>1900014</v>
          </cell>
          <cell r="F355" t="str">
            <v>BARREL &amp; 3 PIECE WEDGE ANCHOR</v>
          </cell>
          <cell r="J355" t="str">
            <v>NNAV</v>
          </cell>
          <cell r="K355" t="str">
            <v>E702</v>
          </cell>
          <cell r="L355" t="str">
            <v>DSIA01</v>
          </cell>
          <cell r="P355">
            <v>2300</v>
          </cell>
          <cell r="R355">
            <v>900</v>
          </cell>
          <cell r="S355">
            <v>0.39130434782608697</v>
          </cell>
          <cell r="U355">
            <v>0</v>
          </cell>
          <cell r="V355">
            <v>900</v>
          </cell>
          <cell r="W355">
            <v>0</v>
          </cell>
          <cell r="X355" t="str">
            <v>No</v>
          </cell>
          <cell r="Z355" t="str">
            <v/>
          </cell>
          <cell r="AA355" t="str">
            <v>EACH</v>
          </cell>
          <cell r="AB355">
            <v>0</v>
          </cell>
          <cell r="AC355" t="str">
            <v>BLW15003RWA</v>
          </cell>
          <cell r="AD355" t="str">
            <v>EACH</v>
          </cell>
        </row>
        <row r="356">
          <cell r="D356" t="str">
            <v>BCG</v>
          </cell>
          <cell r="E356" t="str">
            <v>4808765</v>
          </cell>
          <cell r="F356" t="str">
            <v>BOLT COLLAR GALV</v>
          </cell>
          <cell r="J356" t="str">
            <v>NNAV</v>
          </cell>
          <cell r="K356" t="str">
            <v>E711</v>
          </cell>
          <cell r="L356" t="str">
            <v>DSIA01</v>
          </cell>
          <cell r="P356">
            <v>1000</v>
          </cell>
          <cell r="R356">
            <v>750</v>
          </cell>
          <cell r="S356">
            <v>0.75</v>
          </cell>
          <cell r="U356">
            <v>0</v>
          </cell>
          <cell r="V356">
            <v>750</v>
          </cell>
          <cell r="W356">
            <v>0</v>
          </cell>
          <cell r="X356" t="str">
            <v>No</v>
          </cell>
          <cell r="Z356" t="str">
            <v/>
          </cell>
          <cell r="AA356" t="str">
            <v>EACH</v>
          </cell>
          <cell r="AB356">
            <v>0</v>
          </cell>
          <cell r="AC356" t="str">
            <v>BCG</v>
          </cell>
          <cell r="AD356" t="str">
            <v>EACH</v>
          </cell>
        </row>
        <row r="357">
          <cell r="D357" t="str">
            <v>EB4090K5</v>
          </cell>
          <cell r="E357" t="str">
            <v>1951275</v>
          </cell>
          <cell r="F357" t="str">
            <v>BOLT EB 24X900 EYEBOLT</v>
          </cell>
          <cell r="J357" t="str">
            <v>NNAV</v>
          </cell>
          <cell r="K357" t="str">
            <v>E500</v>
          </cell>
          <cell r="L357" t="str">
            <v>DSIA01</v>
          </cell>
          <cell r="P357">
            <v>600</v>
          </cell>
          <cell r="R357">
            <v>0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 t="str">
            <v>No</v>
          </cell>
          <cell r="Z357" t="str">
            <v/>
          </cell>
          <cell r="AA357" t="str">
            <v>EACH</v>
          </cell>
          <cell r="AB357">
            <v>0</v>
          </cell>
          <cell r="AC357" t="str">
            <v>EB4090K5</v>
          </cell>
          <cell r="AD357" t="str">
            <v>EACH</v>
          </cell>
        </row>
        <row r="358">
          <cell r="D358" t="str">
            <v>CBD1B065DC05WA</v>
          </cell>
          <cell r="E358" t="str">
            <v>1901240</v>
          </cell>
          <cell r="F358" t="str">
            <v>C/BLT TWIN STRAND BULBED 6.5M</v>
          </cell>
          <cell r="J358" t="str">
            <v>NNAV</v>
          </cell>
          <cell r="K358" t="str">
            <v>E702</v>
          </cell>
          <cell r="L358" t="str">
            <v>DSIA01</v>
          </cell>
          <cell r="P358">
            <v>2000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 t="str">
            <v>No</v>
          </cell>
          <cell r="Z358" t="str">
            <v/>
          </cell>
          <cell r="AA358" t="str">
            <v>EACH</v>
          </cell>
          <cell r="AB358">
            <v>0</v>
          </cell>
          <cell r="AC358" t="str">
            <v>CBD1B065DC05WA</v>
          </cell>
          <cell r="AD358" t="str">
            <v>EACH</v>
          </cell>
        </row>
        <row r="359">
          <cell r="D359" t="str">
            <v>CBD1B045DC05WA</v>
          </cell>
          <cell r="E359" t="str">
            <v>Special Item</v>
          </cell>
          <cell r="F359" t="str">
            <v>C/BOLT (TS BULB) 15.2MM-4.5MT</v>
          </cell>
          <cell r="J359" t="str">
            <v>NNAV</v>
          </cell>
          <cell r="K359" t="str">
            <v>E702</v>
          </cell>
          <cell r="L359" t="str">
            <v>DSIA01</v>
          </cell>
          <cell r="P359">
            <v>400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  <cell r="X359" t="str">
            <v>No</v>
          </cell>
          <cell r="Z359" t="str">
            <v/>
          </cell>
          <cell r="AA359" t="str">
            <v>EACH</v>
          </cell>
          <cell r="AB359">
            <v>0</v>
          </cell>
          <cell r="AC359" t="str">
            <v>CBD1B045DC05WA</v>
          </cell>
          <cell r="AD359" t="str">
            <v>EACH</v>
          </cell>
        </row>
        <row r="360">
          <cell r="D360" t="str">
            <v>BPG3002806</v>
          </cell>
          <cell r="E360" t="str">
            <v>4807420</v>
          </cell>
          <cell r="F360" t="str">
            <v>COMBI PLATE 300X280X6MM GALVAN</v>
          </cell>
          <cell r="J360" t="str">
            <v>NNAV</v>
          </cell>
          <cell r="K360" t="str">
            <v>E711</v>
          </cell>
          <cell r="L360" t="str">
            <v>DSIA01</v>
          </cell>
          <cell r="P360">
            <v>18720</v>
          </cell>
          <cell r="R360">
            <v>13447</v>
          </cell>
          <cell r="S360">
            <v>0.71832264957264957</v>
          </cell>
          <cell r="U360">
            <v>0</v>
          </cell>
          <cell r="V360">
            <v>13447</v>
          </cell>
          <cell r="W360">
            <v>0</v>
          </cell>
          <cell r="X360" t="str">
            <v>No</v>
          </cell>
          <cell r="Z360" t="str">
            <v/>
          </cell>
          <cell r="AA360" t="str">
            <v>EACH</v>
          </cell>
          <cell r="AB360">
            <v>0</v>
          </cell>
          <cell r="AC360" t="str">
            <v>BPG3002806</v>
          </cell>
          <cell r="AD360" t="str">
            <v>EACH</v>
          </cell>
        </row>
        <row r="361">
          <cell r="D361" t="str">
            <v>DF3STDD15449GWA</v>
          </cell>
          <cell r="E361" t="str">
            <v>1900455</v>
          </cell>
          <cell r="F361" t="str">
            <v>D/FLY 300X280 GALV C/W</v>
          </cell>
          <cell r="J361" t="str">
            <v>NNAV</v>
          </cell>
          <cell r="K361" t="str">
            <v>E700</v>
          </cell>
          <cell r="L361" t="str">
            <v>DSIA01</v>
          </cell>
          <cell r="P361">
            <v>4800</v>
          </cell>
          <cell r="R361">
            <v>775</v>
          </cell>
          <cell r="S361">
            <v>0.16145833333333334</v>
          </cell>
          <cell r="U361">
            <v>0</v>
          </cell>
          <cell r="V361">
            <v>775</v>
          </cell>
          <cell r="W361">
            <v>0</v>
          </cell>
          <cell r="X361" t="str">
            <v>No</v>
          </cell>
          <cell r="Z361" t="str">
            <v/>
          </cell>
          <cell r="AA361" t="str">
            <v>EACH</v>
          </cell>
          <cell r="AB361">
            <v>0</v>
          </cell>
          <cell r="AC361" t="str">
            <v>DF3STDD15449GWA</v>
          </cell>
          <cell r="AD361" t="str">
            <v>EACH</v>
          </cell>
        </row>
        <row r="362">
          <cell r="D362" t="str">
            <v>ASES324/43S</v>
          </cell>
          <cell r="E362" t="str">
            <v>1900483</v>
          </cell>
          <cell r="F362" t="str">
            <v>EXPANSION SHELL 24 MM R/HAND</v>
          </cell>
          <cell r="J362" t="str">
            <v>NNAV</v>
          </cell>
          <cell r="K362" t="str">
            <v>E500</v>
          </cell>
          <cell r="L362" t="str">
            <v>DSIA01</v>
          </cell>
          <cell r="P362">
            <v>400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 t="str">
            <v>No</v>
          </cell>
          <cell r="Z362" t="str">
            <v/>
          </cell>
          <cell r="AA362" t="str">
            <v>EACH</v>
          </cell>
          <cell r="AB362">
            <v>0</v>
          </cell>
          <cell r="AC362" t="str">
            <v>ASES324/43S</v>
          </cell>
          <cell r="AD362" t="str">
            <v>EACH</v>
          </cell>
        </row>
        <row r="363">
          <cell r="D363" t="str">
            <v>FB39090GWA</v>
          </cell>
          <cell r="E363" t="str">
            <v>1900602</v>
          </cell>
          <cell r="F363" t="str">
            <v>FRICTION BOLT 39 X 900 GAL WA</v>
          </cell>
          <cell r="J363" t="str">
            <v>NNAV</v>
          </cell>
          <cell r="K363" t="str">
            <v>E700</v>
          </cell>
          <cell r="L363" t="str">
            <v>DSIA01</v>
          </cell>
          <cell r="P363">
            <v>3600</v>
          </cell>
          <cell r="R363">
            <v>1092</v>
          </cell>
          <cell r="S363">
            <v>0.30333333333333334</v>
          </cell>
          <cell r="U363">
            <v>0</v>
          </cell>
          <cell r="V363">
            <v>1092</v>
          </cell>
          <cell r="W363">
            <v>0</v>
          </cell>
          <cell r="X363" t="str">
            <v>No</v>
          </cell>
          <cell r="Z363" t="str">
            <v/>
          </cell>
          <cell r="AA363" t="str">
            <v>EACH</v>
          </cell>
          <cell r="AB363">
            <v>0</v>
          </cell>
          <cell r="AC363" t="str">
            <v>FB39090GWA</v>
          </cell>
          <cell r="AD363" t="str">
            <v>EACH</v>
          </cell>
        </row>
        <row r="364">
          <cell r="D364" t="str">
            <v>FB47240GWA</v>
          </cell>
          <cell r="E364" t="str">
            <v>1900609</v>
          </cell>
          <cell r="F364" t="str">
            <v>FRICTION BOLT 47 X 2400 GALV</v>
          </cell>
          <cell r="J364" t="str">
            <v>NNAV</v>
          </cell>
          <cell r="K364" t="str">
            <v>E700</v>
          </cell>
          <cell r="L364" t="str">
            <v>DSIA01</v>
          </cell>
          <cell r="P364">
            <v>600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 t="str">
            <v>No</v>
          </cell>
          <cell r="Z364" t="str">
            <v/>
          </cell>
          <cell r="AA364" t="str">
            <v>EACH</v>
          </cell>
          <cell r="AB364">
            <v>0</v>
          </cell>
          <cell r="AC364" t="str">
            <v>FB47240GWA</v>
          </cell>
          <cell r="AD364" t="str">
            <v>EACH</v>
          </cell>
        </row>
        <row r="365">
          <cell r="D365" t="str">
            <v>FB47090GWA</v>
          </cell>
          <cell r="E365" t="str">
            <v>1900672</v>
          </cell>
          <cell r="F365" t="str">
            <v>FRICTION BOLT 47 X 900 GALV WA</v>
          </cell>
          <cell r="J365" t="str">
            <v>NNAV</v>
          </cell>
          <cell r="K365" t="str">
            <v>E700</v>
          </cell>
          <cell r="L365" t="str">
            <v>DSIA01</v>
          </cell>
          <cell r="P365">
            <v>4200</v>
          </cell>
          <cell r="R365">
            <v>1512</v>
          </cell>
          <cell r="S365">
            <v>0.36</v>
          </cell>
          <cell r="U365">
            <v>0</v>
          </cell>
          <cell r="V365">
            <v>1512</v>
          </cell>
          <cell r="W365">
            <v>0</v>
          </cell>
          <cell r="X365" t="str">
            <v>No</v>
          </cell>
          <cell r="Z365" t="str">
            <v/>
          </cell>
          <cell r="AA365" t="str">
            <v>EACH</v>
          </cell>
          <cell r="AB365">
            <v>0</v>
          </cell>
          <cell r="AC365" t="str">
            <v>FB47090GWA</v>
          </cell>
          <cell r="AD365" t="str">
            <v>EACH</v>
          </cell>
        </row>
        <row r="366">
          <cell r="D366" t="str">
            <v>LP60015024WA</v>
          </cell>
          <cell r="E366" t="str">
            <v>1900910</v>
          </cell>
          <cell r="F366" t="str">
            <v>L PIN 600X150X24DIA AH GRADE</v>
          </cell>
          <cell r="J366" t="str">
            <v>NNAV</v>
          </cell>
          <cell r="K366" t="str">
            <v>E500</v>
          </cell>
          <cell r="L366" t="str">
            <v>DSIA01</v>
          </cell>
          <cell r="P366">
            <v>1950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 t="str">
            <v>No</v>
          </cell>
          <cell r="Z366" t="str">
            <v/>
          </cell>
          <cell r="AA366" t="str">
            <v>EACH</v>
          </cell>
          <cell r="AB366">
            <v>0</v>
          </cell>
          <cell r="AC366" t="str">
            <v>LP60015024WA</v>
          </cell>
          <cell r="AD366" t="str">
            <v>EACH</v>
          </cell>
        </row>
        <row r="367">
          <cell r="D367" t="str">
            <v>BMG2024S</v>
          </cell>
          <cell r="E367" t="str">
            <v>4807415</v>
          </cell>
          <cell r="F367" t="str">
            <v>MD BOLT 2.4M LONG GALVANIZED C</v>
          </cell>
          <cell r="J367" t="str">
            <v>NNAV</v>
          </cell>
          <cell r="K367" t="str">
            <v>E711</v>
          </cell>
          <cell r="L367" t="str">
            <v>DSIA01</v>
          </cell>
          <cell r="P367">
            <v>18720</v>
          </cell>
          <cell r="R367">
            <v>13498</v>
          </cell>
          <cell r="S367">
            <v>0.72104700854700854</v>
          </cell>
          <cell r="U367">
            <v>0</v>
          </cell>
          <cell r="V367">
            <v>13498</v>
          </cell>
          <cell r="W367">
            <v>0</v>
          </cell>
          <cell r="X367" t="str">
            <v>No</v>
          </cell>
          <cell r="Z367" t="str">
            <v/>
          </cell>
          <cell r="AA367" t="str">
            <v>EACH</v>
          </cell>
          <cell r="AB367">
            <v>0</v>
          </cell>
          <cell r="AC367" t="str">
            <v>BMG2024S</v>
          </cell>
          <cell r="AD367" t="str">
            <v>EACH</v>
          </cell>
        </row>
        <row r="368">
          <cell r="D368" t="str">
            <v>BDT38-900</v>
          </cell>
          <cell r="E368" t="str">
            <v>4807405</v>
          </cell>
          <cell r="F368" t="str">
            <v>MD BOLT DRIVER 900MM "T" THREA</v>
          </cell>
          <cell r="J368" t="str">
            <v>NNAV</v>
          </cell>
          <cell r="K368" t="str">
            <v>E155</v>
          </cell>
          <cell r="L368" t="str">
            <v>DSIA01</v>
          </cell>
          <cell r="P368">
            <v>45</v>
          </cell>
          <cell r="R368">
            <v>32</v>
          </cell>
          <cell r="S368">
            <v>0.71111111111111114</v>
          </cell>
          <cell r="U368">
            <v>0</v>
          </cell>
          <cell r="V368">
            <v>32</v>
          </cell>
          <cell r="W368">
            <v>0</v>
          </cell>
          <cell r="X368" t="str">
            <v>No</v>
          </cell>
          <cell r="Z368" t="str">
            <v/>
          </cell>
          <cell r="AA368" t="str">
            <v>EACH</v>
          </cell>
          <cell r="AB368">
            <v>0</v>
          </cell>
          <cell r="AC368" t="str">
            <v>BDT38-900</v>
          </cell>
          <cell r="AD368" t="str">
            <v>EACH</v>
          </cell>
        </row>
        <row r="369">
          <cell r="D369" t="str">
            <v>D1515441GWA</v>
          </cell>
          <cell r="E369" t="str">
            <v>1900406</v>
          </cell>
          <cell r="F369" t="str">
            <v>PLATE DOME 150X150X4 41H GALV</v>
          </cell>
          <cell r="J369" t="str">
            <v>NNAV</v>
          </cell>
          <cell r="K369" t="str">
            <v>E700</v>
          </cell>
          <cell r="L369" t="str">
            <v>DSIA01</v>
          </cell>
          <cell r="P369">
            <v>3600</v>
          </cell>
          <cell r="R369">
            <v>1037</v>
          </cell>
          <cell r="S369">
            <v>0.28805555555555556</v>
          </cell>
          <cell r="U369">
            <v>0</v>
          </cell>
          <cell r="V369">
            <v>1037</v>
          </cell>
          <cell r="W369">
            <v>0</v>
          </cell>
          <cell r="X369" t="str">
            <v>No</v>
          </cell>
          <cell r="Z369" t="str">
            <v/>
          </cell>
          <cell r="AA369" t="str">
            <v>EACH</v>
          </cell>
          <cell r="AB369">
            <v>0</v>
          </cell>
          <cell r="AC369" t="str">
            <v>D1515441GWA</v>
          </cell>
          <cell r="AD369" t="str">
            <v>EACH</v>
          </cell>
        </row>
        <row r="370">
          <cell r="D370" t="str">
            <v>FCB20203H222WA</v>
          </cell>
          <cell r="E370" t="str">
            <v>1900329</v>
          </cell>
          <cell r="F370" t="str">
            <v>PLATE FLAT 200X200X12MM 2X 22D</v>
          </cell>
          <cell r="J370" t="str">
            <v>NNAV</v>
          </cell>
          <cell r="K370" t="str">
            <v>E702</v>
          </cell>
          <cell r="L370" t="str">
            <v>DSIA01</v>
          </cell>
          <cell r="P370">
            <v>2400</v>
          </cell>
          <cell r="R370">
            <v>1104</v>
          </cell>
          <cell r="S370">
            <v>0.46</v>
          </cell>
          <cell r="U370">
            <v>0</v>
          </cell>
          <cell r="V370">
            <v>1104</v>
          </cell>
          <cell r="W370">
            <v>0</v>
          </cell>
          <cell r="X370" t="str">
            <v>No</v>
          </cell>
          <cell r="Z370" t="str">
            <v/>
          </cell>
          <cell r="AA370" t="str">
            <v>EACH</v>
          </cell>
          <cell r="AB370">
            <v>0</v>
          </cell>
          <cell r="AC370" t="str">
            <v>FCB20203H222WA</v>
          </cell>
          <cell r="AD370" t="str">
            <v>EACH</v>
          </cell>
        </row>
        <row r="371">
          <cell r="D371" t="str">
            <v>PTE04RHWA</v>
          </cell>
          <cell r="E371" t="str">
            <v>Special Item</v>
          </cell>
          <cell r="F371" t="str">
            <v>PT EQUIP 47,39,33MM F/BOLT RH</v>
          </cell>
          <cell r="J371" t="str">
            <v>NNAV</v>
          </cell>
          <cell r="K371" t="str">
            <v>E499</v>
          </cell>
          <cell r="L371" t="str">
            <v>DSIA01</v>
          </cell>
          <cell r="P371">
            <v>1</v>
          </cell>
          <cell r="R371">
            <v>0</v>
          </cell>
          <cell r="S371">
            <v>0</v>
          </cell>
          <cell r="U371">
            <v>0</v>
          </cell>
          <cell r="V371">
            <v>0</v>
          </cell>
          <cell r="W371">
            <v>0</v>
          </cell>
          <cell r="X371" t="str">
            <v>No</v>
          </cell>
          <cell r="Z371" t="str">
            <v/>
          </cell>
          <cell r="AA371" t="str">
            <v>EACH</v>
          </cell>
          <cell r="AB371">
            <v>0</v>
          </cell>
          <cell r="AC371" t="str">
            <v>PTE04RHWA</v>
          </cell>
          <cell r="AD371" t="str">
            <v>EACH</v>
          </cell>
        </row>
        <row r="372">
          <cell r="D372" t="str">
            <v>PTE02RHWA</v>
          </cell>
          <cell r="E372" t="str">
            <v>Special Item</v>
          </cell>
          <cell r="F372" t="str">
            <v>PULL TEST EQUIP 20MM THREAD WA</v>
          </cell>
          <cell r="J372" t="str">
            <v>NNAV</v>
          </cell>
          <cell r="K372" t="str">
            <v>E499</v>
          </cell>
          <cell r="L372" t="str">
            <v>DSIA01</v>
          </cell>
          <cell r="P372">
            <v>1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 t="str">
            <v>No</v>
          </cell>
          <cell r="Z372" t="str">
            <v/>
          </cell>
          <cell r="AA372" t="str">
            <v>EACH</v>
          </cell>
          <cell r="AB372">
            <v>0</v>
          </cell>
          <cell r="AC372" t="str">
            <v>PTE02RHWA</v>
          </cell>
          <cell r="AD372" t="str">
            <v>EACH</v>
          </cell>
        </row>
        <row r="373">
          <cell r="D373" t="str">
            <v>PTE20THYDLT-CP700ECW</v>
          </cell>
          <cell r="E373" t="str">
            <v>Special Item</v>
          </cell>
          <cell r="F373" t="str">
            <v>PULL TEST EQUIP 20T HYDRAULICS</v>
          </cell>
          <cell r="J373" t="str">
            <v>NNAV</v>
          </cell>
          <cell r="K373" t="str">
            <v>E499</v>
          </cell>
          <cell r="L373" t="str">
            <v>DSIA01</v>
          </cell>
          <cell r="P373">
            <v>1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 t="str">
            <v>No</v>
          </cell>
          <cell r="Z373" t="str">
            <v/>
          </cell>
          <cell r="AA373" t="str">
            <v>EACH</v>
          </cell>
          <cell r="AB373">
            <v>0</v>
          </cell>
          <cell r="AC373" t="str">
            <v>PTE20THYDLT-CP700ECW</v>
          </cell>
          <cell r="AD373" t="str">
            <v>EACH</v>
          </cell>
        </row>
        <row r="374">
          <cell r="D374" t="str">
            <v>PULLCLAWUNIRHWA</v>
          </cell>
          <cell r="E374" t="str">
            <v>Special Item</v>
          </cell>
          <cell r="F374" t="str">
            <v>PULLCLAW R/H THREAD UNI MDBOLT</v>
          </cell>
          <cell r="J374" t="str">
            <v>NNAV</v>
          </cell>
          <cell r="K374" t="str">
            <v>E499</v>
          </cell>
          <cell r="L374" t="str">
            <v>DSIA01</v>
          </cell>
          <cell r="P374">
            <v>3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 t="str">
            <v>No</v>
          </cell>
          <cell r="Z374" t="str">
            <v/>
          </cell>
          <cell r="AA374" t="str">
            <v>EACH</v>
          </cell>
          <cell r="AB374">
            <v>0</v>
          </cell>
          <cell r="AC374" t="str">
            <v>PULLCLAWUNIRHWA</v>
          </cell>
          <cell r="AD374" t="str">
            <v>EACH</v>
          </cell>
        </row>
        <row r="375">
          <cell r="D375" t="str">
            <v>HETB10</v>
          </cell>
          <cell r="E375" t="str">
            <v>Special Item</v>
          </cell>
          <cell r="F375" t="str">
            <v>10MM HOOK/EYE TURNBUCKLE TO SU</v>
          </cell>
          <cell r="J375" t="str">
            <v>NNAV</v>
          </cell>
          <cell r="K375" t="str">
            <v>E498</v>
          </cell>
          <cell r="L375" t="str">
            <v>EXPE01</v>
          </cell>
          <cell r="P375">
            <v>10</v>
          </cell>
          <cell r="R375">
            <v>0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 t="str">
            <v>No</v>
          </cell>
          <cell r="Z375" t="str">
            <v/>
          </cell>
          <cell r="AA375" t="str">
            <v>EACH</v>
          </cell>
          <cell r="AB375">
            <v>0</v>
          </cell>
          <cell r="AC375" t="str">
            <v>HETB10</v>
          </cell>
          <cell r="AD375" t="str">
            <v>EACH</v>
          </cell>
        </row>
        <row r="376">
          <cell r="D376" t="str">
            <v>WLS001</v>
          </cell>
          <cell r="E376" t="str">
            <v>Special Item</v>
          </cell>
          <cell r="F376" t="str">
            <v>10X1MM SEAMLESS PIPE GRADE 316</v>
          </cell>
          <cell r="J376" t="str">
            <v>NNAV</v>
          </cell>
          <cell r="K376" t="str">
            <v>E779</v>
          </cell>
          <cell r="L376" t="str">
            <v>EXPE01</v>
          </cell>
          <cell r="P376">
            <v>200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 t="str">
            <v>No</v>
          </cell>
          <cell r="Z376" t="str">
            <v/>
          </cell>
          <cell r="AA376" t="str">
            <v>EACH</v>
          </cell>
          <cell r="AB376">
            <v>0</v>
          </cell>
          <cell r="AC376" t="str">
            <v>WLS001</v>
          </cell>
          <cell r="AD376" t="str">
            <v>EACH</v>
          </cell>
        </row>
        <row r="377">
          <cell r="D377" t="str">
            <v>FSBS16</v>
          </cell>
          <cell r="E377" t="str">
            <v>Special Item</v>
          </cell>
          <cell r="F377" t="str">
            <v>16MM FED SPEC BOW SHACKLE 3.25</v>
          </cell>
          <cell r="J377" t="str">
            <v>NNAV</v>
          </cell>
          <cell r="K377" t="str">
            <v>E498</v>
          </cell>
          <cell r="L377" t="str">
            <v>EXPE01</v>
          </cell>
          <cell r="P377">
            <v>10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 t="str">
            <v>No</v>
          </cell>
          <cell r="Z377" t="str">
            <v/>
          </cell>
          <cell r="AA377" t="str">
            <v>EACH</v>
          </cell>
          <cell r="AB377">
            <v>0</v>
          </cell>
          <cell r="AC377" t="str">
            <v>FSBS16</v>
          </cell>
          <cell r="AD377" t="str">
            <v>EACH</v>
          </cell>
        </row>
        <row r="378">
          <cell r="D378" t="str">
            <v>100682</v>
          </cell>
          <cell r="E378" t="str">
            <v>Special Item</v>
          </cell>
          <cell r="F378" t="str">
            <v>1LTR BOXES OF MILK (6 IN BOX)</v>
          </cell>
          <cell r="J378" t="str">
            <v>NNAV</v>
          </cell>
          <cell r="K378" t="str">
            <v>E499</v>
          </cell>
          <cell r="L378" t="str">
            <v>EXPE01</v>
          </cell>
          <cell r="P378">
            <v>0</v>
          </cell>
          <cell r="R378">
            <v>0</v>
          </cell>
          <cell r="S378" t="e">
            <v>#DIV/0!</v>
          </cell>
          <cell r="U378">
            <v>0</v>
          </cell>
          <cell r="V378">
            <v>0</v>
          </cell>
          <cell r="W378">
            <v>0</v>
          </cell>
          <cell r="X378" t="str">
            <v>No</v>
          </cell>
          <cell r="Z378" t="str">
            <v/>
          </cell>
          <cell r="AA378" t="str">
            <v>EACH</v>
          </cell>
          <cell r="AB378">
            <v>0</v>
          </cell>
          <cell r="AC378" t="str">
            <v>100682</v>
          </cell>
          <cell r="AD378" t="str">
            <v>EACH</v>
          </cell>
        </row>
        <row r="379">
          <cell r="D379" t="str">
            <v>GC06MMLL</v>
          </cell>
          <cell r="E379" t="str">
            <v>Special Item</v>
          </cell>
          <cell r="F379" t="str">
            <v>6MM GALV HARDWARE CHAIN G30</v>
          </cell>
          <cell r="J379" t="str">
            <v>NNAV</v>
          </cell>
          <cell r="K379" t="str">
            <v>E498</v>
          </cell>
          <cell r="L379" t="str">
            <v>EXPE01</v>
          </cell>
          <cell r="P379">
            <v>20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 t="str">
            <v>No</v>
          </cell>
          <cell r="Z379" t="str">
            <v/>
          </cell>
          <cell r="AA379" t="str">
            <v>MTR</v>
          </cell>
          <cell r="AB379">
            <v>0</v>
          </cell>
          <cell r="AC379" t="str">
            <v>GC06MMLL</v>
          </cell>
          <cell r="AD379" t="str">
            <v>MTR</v>
          </cell>
        </row>
        <row r="380">
          <cell r="D380" t="str">
            <v>C0000093</v>
          </cell>
          <cell r="E380" t="str">
            <v>Special Item</v>
          </cell>
          <cell r="F380" t="str">
            <v>80 BAGS 42KN CEMENT 50KG BAGS</v>
          </cell>
          <cell r="J380" t="str">
            <v>NNAV</v>
          </cell>
          <cell r="K380" t="str">
            <v>E499</v>
          </cell>
          <cell r="L380" t="str">
            <v>EXPE01</v>
          </cell>
          <cell r="P380">
            <v>0</v>
          </cell>
          <cell r="R380">
            <v>0</v>
          </cell>
          <cell r="S380" t="e">
            <v>#DIV/0!</v>
          </cell>
          <cell r="U380">
            <v>0</v>
          </cell>
          <cell r="V380">
            <v>0</v>
          </cell>
          <cell r="W380">
            <v>0</v>
          </cell>
          <cell r="X380" t="str">
            <v>No</v>
          </cell>
          <cell r="Z380" t="str">
            <v/>
          </cell>
          <cell r="AA380" t="str">
            <v>EACH</v>
          </cell>
          <cell r="AB380">
            <v>0</v>
          </cell>
          <cell r="AC380" t="str">
            <v>C0000093</v>
          </cell>
          <cell r="AD380" t="str">
            <v>EACH</v>
          </cell>
        </row>
        <row r="381">
          <cell r="D381" t="str">
            <v>801201</v>
          </cell>
          <cell r="E381" t="str">
            <v>Special Item</v>
          </cell>
          <cell r="F381" t="str">
            <v>A4 WHITE COPY PAPER STANDARD(5</v>
          </cell>
          <cell r="J381" t="str">
            <v>NNAV</v>
          </cell>
          <cell r="K381" t="str">
            <v>E645</v>
          </cell>
          <cell r="L381" t="str">
            <v>EXPE01</v>
          </cell>
          <cell r="P381">
            <v>0</v>
          </cell>
          <cell r="R381">
            <v>0</v>
          </cell>
          <cell r="S381" t="e">
            <v>#DIV/0!</v>
          </cell>
          <cell r="U381">
            <v>0</v>
          </cell>
          <cell r="V381">
            <v>0</v>
          </cell>
          <cell r="W381">
            <v>0</v>
          </cell>
          <cell r="X381" t="str">
            <v>No</v>
          </cell>
          <cell r="Z381" t="str">
            <v/>
          </cell>
          <cell r="AA381" t="str">
            <v>EACH</v>
          </cell>
          <cell r="AB381">
            <v>0</v>
          </cell>
          <cell r="AC381" t="str">
            <v>801201</v>
          </cell>
          <cell r="AD381" t="str">
            <v>EACH</v>
          </cell>
        </row>
        <row r="382">
          <cell r="D382" t="str">
            <v>WWS100</v>
          </cell>
          <cell r="E382" t="str">
            <v>Special Item</v>
          </cell>
          <cell r="F382" t="str">
            <v>AQUASTAR UV LAMP 55 WAT</v>
          </cell>
          <cell r="J382" t="str">
            <v>NNAV</v>
          </cell>
          <cell r="K382" t="str">
            <v>E575</v>
          </cell>
          <cell r="L382" t="str">
            <v>EXPE01</v>
          </cell>
          <cell r="P382">
            <v>0</v>
          </cell>
          <cell r="R382">
            <v>0</v>
          </cell>
          <cell r="S382" t="e">
            <v>#DIV/0!</v>
          </cell>
          <cell r="U382">
            <v>0</v>
          </cell>
          <cell r="V382">
            <v>0</v>
          </cell>
          <cell r="W382">
            <v>0</v>
          </cell>
          <cell r="X382" t="str">
            <v>No</v>
          </cell>
          <cell r="Z382" t="str">
            <v/>
          </cell>
          <cell r="AA382" t="str">
            <v>EACH</v>
          </cell>
          <cell r="AB382">
            <v>0</v>
          </cell>
          <cell r="AC382" t="str">
            <v>WWS100</v>
          </cell>
          <cell r="AD382" t="str">
            <v>EACH</v>
          </cell>
        </row>
        <row r="383">
          <cell r="D383" t="str">
            <v>391734</v>
          </cell>
          <cell r="E383" t="str">
            <v>Special Item</v>
          </cell>
          <cell r="F383" t="str">
            <v>BANTEX DESK ORGANISER BLACK</v>
          </cell>
          <cell r="J383" t="str">
            <v>NNAV</v>
          </cell>
          <cell r="K383" t="str">
            <v>E645</v>
          </cell>
          <cell r="L383" t="str">
            <v>EXPE01</v>
          </cell>
          <cell r="P383">
            <v>10</v>
          </cell>
          <cell r="R383">
            <v>0</v>
          </cell>
          <cell r="S383">
            <v>0</v>
          </cell>
          <cell r="U383">
            <v>0</v>
          </cell>
          <cell r="V383">
            <v>0</v>
          </cell>
          <cell r="W383">
            <v>0</v>
          </cell>
          <cell r="X383" t="str">
            <v>No</v>
          </cell>
          <cell r="Z383" t="str">
            <v/>
          </cell>
          <cell r="AA383" t="str">
            <v>EACH</v>
          </cell>
          <cell r="AB383">
            <v>0</v>
          </cell>
          <cell r="AC383" t="str">
            <v>391734</v>
          </cell>
          <cell r="AD383" t="str">
            <v>EACH</v>
          </cell>
        </row>
        <row r="384">
          <cell r="D384" t="str">
            <v>578189</v>
          </cell>
          <cell r="E384" t="str">
            <v>Special Item</v>
          </cell>
          <cell r="F384" t="str">
            <v>BANTEX LEVER ARCH FILE A4 PVC</v>
          </cell>
          <cell r="J384" t="str">
            <v>NNAV</v>
          </cell>
          <cell r="K384" t="str">
            <v>E645</v>
          </cell>
          <cell r="L384" t="str">
            <v>EXPE01</v>
          </cell>
          <cell r="P384">
            <v>25</v>
          </cell>
          <cell r="R384">
            <v>0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 t="str">
            <v>No</v>
          </cell>
          <cell r="Z384" t="str">
            <v/>
          </cell>
          <cell r="AA384" t="str">
            <v>EACH</v>
          </cell>
          <cell r="AB384">
            <v>0</v>
          </cell>
          <cell r="AC384" t="str">
            <v>578189</v>
          </cell>
          <cell r="AD384" t="str">
            <v>EACH</v>
          </cell>
        </row>
        <row r="385">
          <cell r="D385" t="str">
            <v>444968-04</v>
          </cell>
          <cell r="E385" t="str">
            <v>Special Item</v>
          </cell>
          <cell r="F385" t="str">
            <v>BANTEX SUSPENSION FILES TABS &amp;</v>
          </cell>
          <cell r="J385" t="str">
            <v>NNAV</v>
          </cell>
          <cell r="K385" t="str">
            <v>E645</v>
          </cell>
          <cell r="L385" t="str">
            <v>EXPE01</v>
          </cell>
          <cell r="P385">
            <v>2</v>
          </cell>
          <cell r="R385">
            <v>0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 t="str">
            <v>No</v>
          </cell>
          <cell r="Z385" t="str">
            <v/>
          </cell>
          <cell r="AA385" t="str">
            <v>EACH</v>
          </cell>
          <cell r="AB385">
            <v>0</v>
          </cell>
          <cell r="AC385" t="str">
            <v>444968-04</v>
          </cell>
          <cell r="AD385" t="str">
            <v>EACH</v>
          </cell>
        </row>
        <row r="386">
          <cell r="D386" t="str">
            <v>444968-05</v>
          </cell>
          <cell r="E386" t="str">
            <v>Special Item</v>
          </cell>
          <cell r="F386" t="str">
            <v>BANTEX SUSPENSION FILES TABS &amp;</v>
          </cell>
          <cell r="J386" t="str">
            <v>NNAV</v>
          </cell>
          <cell r="K386" t="str">
            <v>E645</v>
          </cell>
          <cell r="L386" t="str">
            <v>EXPE01</v>
          </cell>
          <cell r="P386">
            <v>2</v>
          </cell>
          <cell r="R386">
            <v>0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 t="str">
            <v>No</v>
          </cell>
          <cell r="Z386" t="str">
            <v/>
          </cell>
          <cell r="AA386" t="str">
            <v>EACH</v>
          </cell>
          <cell r="AB386">
            <v>0</v>
          </cell>
          <cell r="AC386" t="str">
            <v>444968-05</v>
          </cell>
          <cell r="AD386" t="str">
            <v>EACH</v>
          </cell>
        </row>
        <row r="387">
          <cell r="D387" t="str">
            <v>444968-06</v>
          </cell>
          <cell r="E387" t="str">
            <v>Special Item</v>
          </cell>
          <cell r="F387" t="str">
            <v>BANTEX SUSPENSION FILES TABS &amp;</v>
          </cell>
          <cell r="J387" t="str">
            <v>NNAV</v>
          </cell>
          <cell r="K387" t="str">
            <v>E645</v>
          </cell>
          <cell r="L387" t="str">
            <v>EXPE01</v>
          </cell>
          <cell r="P387">
            <v>2</v>
          </cell>
          <cell r="R387">
            <v>0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 t="str">
            <v>No</v>
          </cell>
          <cell r="Z387" t="str">
            <v/>
          </cell>
          <cell r="AA387" t="str">
            <v>EACH</v>
          </cell>
          <cell r="AB387">
            <v>0</v>
          </cell>
          <cell r="AC387" t="str">
            <v>444968-06</v>
          </cell>
          <cell r="AD387" t="str">
            <v>EACH</v>
          </cell>
        </row>
        <row r="388">
          <cell r="D388" t="str">
            <v>444968-08</v>
          </cell>
          <cell r="E388" t="str">
            <v>Special Item</v>
          </cell>
          <cell r="F388" t="str">
            <v>BANTEX SUSPENSION FILES TABS &amp;</v>
          </cell>
          <cell r="J388" t="str">
            <v>NNAV</v>
          </cell>
          <cell r="K388" t="str">
            <v>E645</v>
          </cell>
          <cell r="L388" t="str">
            <v>EXPE01</v>
          </cell>
          <cell r="P388">
            <v>2</v>
          </cell>
          <cell r="R388">
            <v>0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 t="str">
            <v>No</v>
          </cell>
          <cell r="Z388" t="str">
            <v/>
          </cell>
          <cell r="AA388" t="str">
            <v>EACH</v>
          </cell>
          <cell r="AB388">
            <v>0</v>
          </cell>
          <cell r="AC388" t="str">
            <v>444968-08</v>
          </cell>
          <cell r="AD388" t="str">
            <v>EACH</v>
          </cell>
        </row>
        <row r="389">
          <cell r="D389" t="str">
            <v>444968-13</v>
          </cell>
          <cell r="E389" t="str">
            <v>Special Item</v>
          </cell>
          <cell r="F389" t="str">
            <v>BANTEX SUSPENSION FILES TABS &amp;</v>
          </cell>
          <cell r="J389" t="str">
            <v>NNAV</v>
          </cell>
          <cell r="K389" t="str">
            <v>E645</v>
          </cell>
          <cell r="L389" t="str">
            <v>EXPE01</v>
          </cell>
          <cell r="P389">
            <v>2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 t="str">
            <v>No</v>
          </cell>
          <cell r="Z389" t="str">
            <v/>
          </cell>
          <cell r="AA389" t="str">
            <v>EACH</v>
          </cell>
          <cell r="AB389">
            <v>0</v>
          </cell>
          <cell r="AC389" t="str">
            <v>444968-13</v>
          </cell>
          <cell r="AD389" t="str">
            <v>EACH</v>
          </cell>
        </row>
        <row r="390">
          <cell r="D390" t="str">
            <v>211108</v>
          </cell>
          <cell r="E390" t="str">
            <v>Special Item</v>
          </cell>
          <cell r="F390" t="str">
            <v>BIC PEN CRYSTAL MEDIUM BALLPOI</v>
          </cell>
          <cell r="J390" t="str">
            <v>NNAV</v>
          </cell>
          <cell r="K390" t="str">
            <v>E645</v>
          </cell>
          <cell r="L390" t="str">
            <v>EXPE01</v>
          </cell>
          <cell r="P390">
            <v>360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 t="str">
            <v>No</v>
          </cell>
          <cell r="Z390" t="str">
            <v/>
          </cell>
          <cell r="AA390" t="str">
            <v>EACH</v>
          </cell>
          <cell r="AB390">
            <v>0</v>
          </cell>
          <cell r="AC390" t="str">
            <v>211108</v>
          </cell>
          <cell r="AD390" t="str">
            <v>EACH</v>
          </cell>
        </row>
        <row r="391">
          <cell r="D391" t="str">
            <v>9114634745</v>
          </cell>
          <cell r="E391" t="str">
            <v>Special Item</v>
          </cell>
          <cell r="F391" t="str">
            <v>BOOT REBEL MINERS BROWN SIZE 6</v>
          </cell>
          <cell r="J391" t="str">
            <v>NNAV</v>
          </cell>
          <cell r="K391" t="str">
            <v>E653</v>
          </cell>
          <cell r="L391" t="str">
            <v>EXPE01</v>
          </cell>
          <cell r="P391">
            <v>0</v>
          </cell>
          <cell r="R391">
            <v>0</v>
          </cell>
          <cell r="S391" t="e">
            <v>#DIV/0!</v>
          </cell>
          <cell r="U391">
            <v>0</v>
          </cell>
          <cell r="V391">
            <v>0</v>
          </cell>
          <cell r="W391">
            <v>0</v>
          </cell>
          <cell r="X391" t="str">
            <v>No</v>
          </cell>
          <cell r="Z391" t="str">
            <v/>
          </cell>
          <cell r="AA391" t="str">
            <v>EACH</v>
          </cell>
          <cell r="AB391">
            <v>0</v>
          </cell>
          <cell r="AC391" t="str">
            <v>9114634745</v>
          </cell>
          <cell r="AD391" t="str">
            <v>EACH</v>
          </cell>
        </row>
        <row r="392">
          <cell r="D392" t="str">
            <v>9114634744</v>
          </cell>
          <cell r="E392" t="str">
            <v>Special Item</v>
          </cell>
          <cell r="F392" t="str">
            <v>BOOT REBEL MINERS BROWN SIZE4</v>
          </cell>
          <cell r="J392" t="str">
            <v>NNAV</v>
          </cell>
          <cell r="K392" t="str">
            <v>E653</v>
          </cell>
          <cell r="L392" t="str">
            <v>EXPE01</v>
          </cell>
          <cell r="P392">
            <v>0</v>
          </cell>
          <cell r="R392">
            <v>0</v>
          </cell>
          <cell r="S392" t="e">
            <v>#DIV/0!</v>
          </cell>
          <cell r="U392">
            <v>0</v>
          </cell>
          <cell r="V392">
            <v>0</v>
          </cell>
          <cell r="W392">
            <v>0</v>
          </cell>
          <cell r="X392" t="str">
            <v>No</v>
          </cell>
          <cell r="Z392" t="str">
            <v/>
          </cell>
          <cell r="AA392" t="str">
            <v>EACH</v>
          </cell>
          <cell r="AB392">
            <v>0</v>
          </cell>
          <cell r="AC392" t="str">
            <v>9114634744</v>
          </cell>
          <cell r="AD392" t="str">
            <v>EACH</v>
          </cell>
        </row>
        <row r="393">
          <cell r="D393" t="str">
            <v>9114634746</v>
          </cell>
          <cell r="E393" t="str">
            <v>Special Item</v>
          </cell>
          <cell r="F393" t="str">
            <v>BOOT REBEL MINERS BROWN SIZE5</v>
          </cell>
          <cell r="J393" t="str">
            <v>NNAV</v>
          </cell>
          <cell r="K393" t="str">
            <v>E653</v>
          </cell>
          <cell r="L393" t="str">
            <v>EXPE01</v>
          </cell>
          <cell r="P393">
            <v>0</v>
          </cell>
          <cell r="R393">
            <v>0</v>
          </cell>
          <cell r="S393" t="e">
            <v>#DIV/0!</v>
          </cell>
          <cell r="U393">
            <v>0</v>
          </cell>
          <cell r="V393">
            <v>0</v>
          </cell>
          <cell r="W393">
            <v>0</v>
          </cell>
          <cell r="X393" t="str">
            <v>No</v>
          </cell>
          <cell r="Z393" t="str">
            <v/>
          </cell>
          <cell r="AA393" t="str">
            <v>EACH</v>
          </cell>
          <cell r="AB393">
            <v>0</v>
          </cell>
          <cell r="AC393" t="str">
            <v>9114634746</v>
          </cell>
          <cell r="AD393" t="str">
            <v>EACH</v>
          </cell>
        </row>
        <row r="394">
          <cell r="D394" t="str">
            <v>711255</v>
          </cell>
          <cell r="E394" t="str">
            <v>Special Item</v>
          </cell>
          <cell r="F394" t="str">
            <v>BOSTIK PRESTIC 100G</v>
          </cell>
          <cell r="J394" t="str">
            <v>NNAV</v>
          </cell>
          <cell r="K394" t="str">
            <v>E645</v>
          </cell>
          <cell r="L394" t="str">
            <v>EXPE01</v>
          </cell>
          <cell r="P394">
            <v>14</v>
          </cell>
          <cell r="R394">
            <v>0</v>
          </cell>
          <cell r="S394">
            <v>0</v>
          </cell>
          <cell r="U394">
            <v>0</v>
          </cell>
          <cell r="V394">
            <v>0</v>
          </cell>
          <cell r="W394">
            <v>0</v>
          </cell>
          <cell r="X394" t="str">
            <v>No</v>
          </cell>
          <cell r="Z394" t="str">
            <v/>
          </cell>
          <cell r="AA394" t="str">
            <v>EACH</v>
          </cell>
          <cell r="AB394">
            <v>0</v>
          </cell>
          <cell r="AC394" t="str">
            <v>711255</v>
          </cell>
          <cell r="AD394" t="str">
            <v>EACH</v>
          </cell>
        </row>
        <row r="395">
          <cell r="D395" t="str">
            <v>444381</v>
          </cell>
          <cell r="E395" t="str">
            <v>Special Item</v>
          </cell>
          <cell r="F395" t="str">
            <v>BOSTIK TAPE SUPER CLEAR 12MMX3</v>
          </cell>
          <cell r="J395" t="str">
            <v>NNAV</v>
          </cell>
          <cell r="K395" t="str">
            <v>E645</v>
          </cell>
          <cell r="L395" t="str">
            <v>EXPE01</v>
          </cell>
          <cell r="P395">
            <v>6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No</v>
          </cell>
          <cell r="Z395" t="str">
            <v/>
          </cell>
          <cell r="AA395" t="str">
            <v>EACH</v>
          </cell>
          <cell r="AB395">
            <v>0</v>
          </cell>
          <cell r="AC395" t="str">
            <v>444381</v>
          </cell>
          <cell r="AD395" t="str">
            <v>EACH</v>
          </cell>
        </row>
        <row r="396">
          <cell r="D396" t="str">
            <v>E0000410</v>
          </cell>
          <cell r="E396" t="str">
            <v>Special Item</v>
          </cell>
          <cell r="F396" t="str">
            <v>COUPLING CONDUIT PVC SOLID 25M</v>
          </cell>
          <cell r="J396" t="str">
            <v>NNAV</v>
          </cell>
          <cell r="K396" t="str">
            <v>E499</v>
          </cell>
          <cell r="L396" t="str">
            <v>EXPE01</v>
          </cell>
          <cell r="P396">
            <v>0</v>
          </cell>
          <cell r="R396">
            <v>0</v>
          </cell>
          <cell r="S396" t="e">
            <v>#DIV/0!</v>
          </cell>
          <cell r="U396">
            <v>0</v>
          </cell>
          <cell r="V396">
            <v>0</v>
          </cell>
          <cell r="W396">
            <v>0</v>
          </cell>
          <cell r="X396" t="str">
            <v>No</v>
          </cell>
          <cell r="Z396" t="str">
            <v/>
          </cell>
          <cell r="AA396" t="str">
            <v>EACH</v>
          </cell>
          <cell r="AB396">
            <v>0</v>
          </cell>
          <cell r="AC396" t="str">
            <v>E0000410</v>
          </cell>
          <cell r="AD396" t="str">
            <v>EACH</v>
          </cell>
        </row>
        <row r="397">
          <cell r="D397" t="str">
            <v>100111</v>
          </cell>
          <cell r="E397" t="str">
            <v>Special Item</v>
          </cell>
          <cell r="F397" t="str">
            <v>CROXLEY HIGHLIGHTER SINGLE BLU</v>
          </cell>
          <cell r="J397" t="str">
            <v>NNAV</v>
          </cell>
          <cell r="K397" t="str">
            <v>E645</v>
          </cell>
          <cell r="L397" t="str">
            <v>EXPE01</v>
          </cell>
          <cell r="P397">
            <v>22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No</v>
          </cell>
          <cell r="Z397" t="str">
            <v/>
          </cell>
          <cell r="AA397" t="str">
            <v>EACH</v>
          </cell>
          <cell r="AB397">
            <v>0</v>
          </cell>
          <cell r="AC397" t="str">
            <v>100111</v>
          </cell>
          <cell r="AD397" t="str">
            <v>EACH</v>
          </cell>
        </row>
        <row r="398">
          <cell r="D398" t="str">
            <v>100115</v>
          </cell>
          <cell r="E398" t="str">
            <v>Special Item</v>
          </cell>
          <cell r="F398" t="str">
            <v>CROXLEY HIGHLIGHTER SINGLE ORA</v>
          </cell>
          <cell r="J398" t="str">
            <v>NNAV</v>
          </cell>
          <cell r="K398" t="str">
            <v>E645</v>
          </cell>
          <cell r="L398" t="str">
            <v>EXPE01</v>
          </cell>
          <cell r="P398">
            <v>22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No</v>
          </cell>
          <cell r="Z398" t="str">
            <v/>
          </cell>
          <cell r="AA398" t="str">
            <v>EACH</v>
          </cell>
          <cell r="AB398">
            <v>0</v>
          </cell>
          <cell r="AC398" t="str">
            <v>100115</v>
          </cell>
          <cell r="AD398" t="str">
            <v>EACH</v>
          </cell>
        </row>
        <row r="399">
          <cell r="D399" t="str">
            <v>100113</v>
          </cell>
          <cell r="E399" t="str">
            <v>Special Item</v>
          </cell>
          <cell r="F399" t="str">
            <v>CROXLEY HIGHLIGHTER SINGLE PIN</v>
          </cell>
          <cell r="J399" t="str">
            <v>NNAV</v>
          </cell>
          <cell r="K399" t="str">
            <v>E645</v>
          </cell>
          <cell r="L399" t="str">
            <v>EXPE01</v>
          </cell>
          <cell r="P399">
            <v>22</v>
          </cell>
          <cell r="R399">
            <v>0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No</v>
          </cell>
          <cell r="Z399" t="str">
            <v/>
          </cell>
          <cell r="AA399" t="str">
            <v>EACH</v>
          </cell>
          <cell r="AB399">
            <v>0</v>
          </cell>
          <cell r="AC399" t="str">
            <v>100113</v>
          </cell>
          <cell r="AD399" t="str">
            <v>EACH</v>
          </cell>
        </row>
        <row r="400">
          <cell r="D400" t="str">
            <v>100114</v>
          </cell>
          <cell r="E400" t="str">
            <v>Special Item</v>
          </cell>
          <cell r="F400" t="str">
            <v>CROXLEY HIGHLIGHTER SINGLE YEL</v>
          </cell>
          <cell r="J400" t="str">
            <v>NNAV</v>
          </cell>
          <cell r="K400" t="str">
            <v>E645</v>
          </cell>
          <cell r="L400" t="str">
            <v>EXPE01</v>
          </cell>
          <cell r="P400">
            <v>36</v>
          </cell>
          <cell r="R400">
            <v>0</v>
          </cell>
          <cell r="S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No</v>
          </cell>
          <cell r="Z400" t="str">
            <v/>
          </cell>
          <cell r="AA400" t="str">
            <v>EACH</v>
          </cell>
          <cell r="AB400">
            <v>0</v>
          </cell>
          <cell r="AC400" t="str">
            <v>100114</v>
          </cell>
          <cell r="AD400" t="str">
            <v>EACH</v>
          </cell>
        </row>
        <row r="401">
          <cell r="D401" t="str">
            <v>691194</v>
          </cell>
          <cell r="E401" t="str">
            <v>Special Item</v>
          </cell>
          <cell r="F401" t="str">
            <v>CROXLEY INDEX A4 MANILLA 10-TO</v>
          </cell>
          <cell r="J401" t="str">
            <v>NNAV</v>
          </cell>
          <cell r="K401" t="str">
            <v>E645</v>
          </cell>
          <cell r="L401" t="str">
            <v>EXPE01</v>
          </cell>
          <cell r="P401">
            <v>10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No</v>
          </cell>
          <cell r="Z401" t="str">
            <v/>
          </cell>
          <cell r="AA401" t="str">
            <v>EACH</v>
          </cell>
          <cell r="AB401">
            <v>0</v>
          </cell>
          <cell r="AC401" t="str">
            <v>691194</v>
          </cell>
          <cell r="AD401" t="str">
            <v>EACH</v>
          </cell>
        </row>
        <row r="402">
          <cell r="D402" t="str">
            <v>111601</v>
          </cell>
          <cell r="E402" t="str">
            <v>Special Item</v>
          </cell>
          <cell r="F402" t="str">
            <v>CROXLEY NOTEBOOK A5 SHORTHAND</v>
          </cell>
          <cell r="J402" t="str">
            <v>NNAV</v>
          </cell>
          <cell r="K402" t="str">
            <v>E645</v>
          </cell>
          <cell r="L402" t="str">
            <v>EXPE01</v>
          </cell>
          <cell r="P402">
            <v>20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No</v>
          </cell>
          <cell r="Z402" t="str">
            <v/>
          </cell>
          <cell r="AA402" t="str">
            <v>EACH</v>
          </cell>
          <cell r="AB402">
            <v>0</v>
          </cell>
          <cell r="AC402" t="str">
            <v>111601</v>
          </cell>
          <cell r="AD402" t="str">
            <v>EACH</v>
          </cell>
        </row>
        <row r="403">
          <cell r="D403" t="str">
            <v>DELLCOMBO</v>
          </cell>
          <cell r="E403" t="str">
            <v>Special Item</v>
          </cell>
          <cell r="F403" t="str">
            <v>DELL WIRELESS MOUSE AND KEYBOA</v>
          </cell>
          <cell r="J403" t="str">
            <v>NNAV</v>
          </cell>
          <cell r="K403" t="str">
            <v>E111</v>
          </cell>
          <cell r="L403" t="str">
            <v>EXPE01</v>
          </cell>
          <cell r="P403">
            <v>15</v>
          </cell>
          <cell r="R403">
            <v>0</v>
          </cell>
          <cell r="S403">
            <v>0</v>
          </cell>
          <cell r="U403">
            <v>0</v>
          </cell>
          <cell r="V403">
            <v>0</v>
          </cell>
          <cell r="W403">
            <v>0</v>
          </cell>
          <cell r="X403" t="str">
            <v>No</v>
          </cell>
          <cell r="Z403" t="str">
            <v/>
          </cell>
          <cell r="AA403" t="str">
            <v>EACH</v>
          </cell>
          <cell r="AB403">
            <v>0</v>
          </cell>
          <cell r="AC403" t="str">
            <v>DELLCOMBO</v>
          </cell>
          <cell r="AD403" t="str">
            <v>EACH</v>
          </cell>
        </row>
        <row r="404">
          <cell r="D404" t="str">
            <v>9XP1500I</v>
          </cell>
          <cell r="E404" t="str">
            <v>Special Item</v>
          </cell>
          <cell r="F404" t="str">
            <v>Eaton 9PX 1500i RT2U ( UPS Its</v>
          </cell>
          <cell r="J404" t="str">
            <v>NNAV</v>
          </cell>
          <cell r="K404" t="str">
            <v>E111</v>
          </cell>
          <cell r="L404" t="str">
            <v>EXPE01</v>
          </cell>
          <cell r="P404">
            <v>1</v>
          </cell>
          <cell r="R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 t="str">
            <v>No</v>
          </cell>
          <cell r="Z404" t="str">
            <v/>
          </cell>
          <cell r="AA404" t="str">
            <v>EACH</v>
          </cell>
          <cell r="AB404">
            <v>0</v>
          </cell>
          <cell r="AC404" t="str">
            <v>9XP1500I</v>
          </cell>
          <cell r="AD404" t="str">
            <v>EACH</v>
          </cell>
        </row>
        <row r="405">
          <cell r="D405" t="str">
            <v>WFC280</v>
          </cell>
          <cell r="E405" t="str">
            <v>Special Item</v>
          </cell>
          <cell r="F405" t="str">
            <v>ECOSOFT CARBON BLOCK BB20</v>
          </cell>
          <cell r="J405" t="str">
            <v>NNAV</v>
          </cell>
          <cell r="K405" t="str">
            <v>E575</v>
          </cell>
          <cell r="L405" t="str">
            <v>EXPE01</v>
          </cell>
          <cell r="P405">
            <v>0</v>
          </cell>
          <cell r="R405">
            <v>0</v>
          </cell>
          <cell r="S405" t="e">
            <v>#DIV/0!</v>
          </cell>
          <cell r="U405">
            <v>0</v>
          </cell>
          <cell r="V405">
            <v>0</v>
          </cell>
          <cell r="W405">
            <v>0</v>
          </cell>
          <cell r="X405" t="str">
            <v>No</v>
          </cell>
          <cell r="Z405" t="str">
            <v/>
          </cell>
          <cell r="AA405" t="str">
            <v>EACH</v>
          </cell>
          <cell r="AB405">
            <v>0</v>
          </cell>
          <cell r="AC405" t="str">
            <v>WFC280</v>
          </cell>
          <cell r="AD405" t="str">
            <v>EACH</v>
          </cell>
        </row>
        <row r="406">
          <cell r="D406" t="str">
            <v>WFC282</v>
          </cell>
          <cell r="E406" t="str">
            <v>Special Item</v>
          </cell>
          <cell r="F406" t="str">
            <v>ECOSOFT PP MELTDOWN SED BB20 5</v>
          </cell>
          <cell r="J406" t="str">
            <v>NNAV</v>
          </cell>
          <cell r="K406" t="str">
            <v>E575</v>
          </cell>
          <cell r="L406" t="str">
            <v>EXPE01</v>
          </cell>
          <cell r="P406">
            <v>0</v>
          </cell>
          <cell r="R406">
            <v>0</v>
          </cell>
          <cell r="S406" t="e">
            <v>#DIV/0!</v>
          </cell>
          <cell r="U406">
            <v>0</v>
          </cell>
          <cell r="V406">
            <v>0</v>
          </cell>
          <cell r="W406">
            <v>0</v>
          </cell>
          <cell r="X406" t="str">
            <v>No</v>
          </cell>
          <cell r="Z406" t="str">
            <v/>
          </cell>
          <cell r="AA406" t="str">
            <v>EACH</v>
          </cell>
          <cell r="AB406">
            <v>0</v>
          </cell>
          <cell r="AC406" t="str">
            <v>WFC282</v>
          </cell>
          <cell r="AD406" t="str">
            <v>EACH</v>
          </cell>
        </row>
        <row r="407">
          <cell r="D407" t="str">
            <v>444571</v>
          </cell>
          <cell r="E407" t="str">
            <v>Special Item</v>
          </cell>
          <cell r="F407" t="str">
            <v>FELLOWES LAMINATOR A3 SPECTRA</v>
          </cell>
          <cell r="J407" t="str">
            <v>NNAV</v>
          </cell>
          <cell r="K407" t="str">
            <v>E645</v>
          </cell>
          <cell r="L407" t="str">
            <v>EXPE01</v>
          </cell>
          <cell r="P407">
            <v>1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 t="str">
            <v>No</v>
          </cell>
          <cell r="Z407" t="str">
            <v/>
          </cell>
          <cell r="AA407" t="str">
            <v>EACH</v>
          </cell>
          <cell r="AB407">
            <v>0</v>
          </cell>
          <cell r="AC407" t="str">
            <v>444571</v>
          </cell>
          <cell r="AD407" t="str">
            <v>EACH</v>
          </cell>
        </row>
        <row r="408">
          <cell r="D408" t="str">
            <v>9114349960</v>
          </cell>
          <cell r="E408" t="str">
            <v>Special Item</v>
          </cell>
          <cell r="F408" t="str">
            <v>GLOVE UNILITE UVEX SAFETY GLOV</v>
          </cell>
          <cell r="J408" t="str">
            <v>NNAV</v>
          </cell>
          <cell r="K408" t="str">
            <v>E653</v>
          </cell>
          <cell r="L408" t="str">
            <v>EXPE01</v>
          </cell>
          <cell r="P408">
            <v>0</v>
          </cell>
          <cell r="R408">
            <v>0</v>
          </cell>
          <cell r="S408" t="e">
            <v>#DIV/0!</v>
          </cell>
          <cell r="U408">
            <v>0</v>
          </cell>
          <cell r="V408">
            <v>0</v>
          </cell>
          <cell r="W408">
            <v>0</v>
          </cell>
          <cell r="X408" t="str">
            <v>No</v>
          </cell>
          <cell r="Z408" t="str">
            <v/>
          </cell>
          <cell r="AA408" t="str">
            <v>EACH</v>
          </cell>
          <cell r="AB408">
            <v>0</v>
          </cell>
          <cell r="AC408" t="str">
            <v>9114349960</v>
          </cell>
          <cell r="AD408" t="str">
            <v>EACH</v>
          </cell>
        </row>
        <row r="409">
          <cell r="D409" t="str">
            <v>J0001599</v>
          </cell>
          <cell r="E409" t="str">
            <v>Special Item</v>
          </cell>
          <cell r="F409" t="str">
            <v>GLUE 150 PVCBONDING FLUID 200M</v>
          </cell>
          <cell r="J409" t="str">
            <v>NNAV</v>
          </cell>
          <cell r="K409" t="str">
            <v>E499</v>
          </cell>
          <cell r="L409" t="str">
            <v>EXPE01</v>
          </cell>
          <cell r="P409">
            <v>0</v>
          </cell>
          <cell r="R409">
            <v>0</v>
          </cell>
          <cell r="S409" t="e">
            <v>#DIV/0!</v>
          </cell>
          <cell r="U409">
            <v>0</v>
          </cell>
          <cell r="V409">
            <v>0</v>
          </cell>
          <cell r="W409">
            <v>0</v>
          </cell>
          <cell r="X409" t="str">
            <v>No</v>
          </cell>
          <cell r="Z409" t="str">
            <v/>
          </cell>
          <cell r="AA409" t="str">
            <v>EACH</v>
          </cell>
          <cell r="AB409">
            <v>0</v>
          </cell>
          <cell r="AC409" t="str">
            <v>J0001599</v>
          </cell>
          <cell r="AD409" t="str">
            <v>EACH</v>
          </cell>
        </row>
        <row r="410">
          <cell r="D410" t="str">
            <v>B8816075B</v>
          </cell>
          <cell r="E410" t="str">
            <v>Special Item</v>
          </cell>
          <cell r="F410" t="str">
            <v>HEX BOLT M16X75 GRADE 8.8 BLAC</v>
          </cell>
          <cell r="J410" t="str">
            <v>NNAV</v>
          </cell>
          <cell r="K410" t="str">
            <v>E499</v>
          </cell>
          <cell r="L410" t="str">
            <v>EXPE01</v>
          </cell>
          <cell r="P410">
            <v>100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 t="str">
            <v>No</v>
          </cell>
          <cell r="Z410" t="str">
            <v/>
          </cell>
          <cell r="AA410" t="str">
            <v>EACH</v>
          </cell>
          <cell r="AB410">
            <v>0</v>
          </cell>
          <cell r="AC410" t="str">
            <v>B8816075B</v>
          </cell>
          <cell r="AD410" t="str">
            <v>EACH</v>
          </cell>
        </row>
        <row r="411">
          <cell r="D411" t="str">
            <v>HP117BLACK</v>
          </cell>
          <cell r="E411" t="str">
            <v>Special Item</v>
          </cell>
          <cell r="F411" t="str">
            <v>HP 117 BLACK TONER</v>
          </cell>
          <cell r="J411" t="str">
            <v>NNAV</v>
          </cell>
          <cell r="K411" t="str">
            <v>E645</v>
          </cell>
          <cell r="L411" t="str">
            <v>EXPE01</v>
          </cell>
          <cell r="P411">
            <v>13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 t="str">
            <v>No</v>
          </cell>
          <cell r="Z411" t="str">
            <v/>
          </cell>
          <cell r="AA411" t="str">
            <v>EACH</v>
          </cell>
          <cell r="AB411">
            <v>0</v>
          </cell>
          <cell r="AC411" t="str">
            <v>HP117BLACK</v>
          </cell>
          <cell r="AD411" t="str">
            <v>EACH</v>
          </cell>
        </row>
        <row r="412">
          <cell r="D412" t="str">
            <v>HP117CYAN</v>
          </cell>
          <cell r="E412" t="str">
            <v>Special Item</v>
          </cell>
          <cell r="F412" t="str">
            <v>HP 117 CYAN TONER</v>
          </cell>
          <cell r="J412" t="str">
            <v>NNAV</v>
          </cell>
          <cell r="K412" t="str">
            <v>E645</v>
          </cell>
          <cell r="L412" t="str">
            <v>EXPE01</v>
          </cell>
          <cell r="P412">
            <v>3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 t="str">
            <v>No</v>
          </cell>
          <cell r="Z412" t="str">
            <v/>
          </cell>
          <cell r="AA412" t="str">
            <v>EACH</v>
          </cell>
          <cell r="AB412">
            <v>0</v>
          </cell>
          <cell r="AC412" t="str">
            <v>HP117CYAN</v>
          </cell>
          <cell r="AD412" t="str">
            <v>EACH</v>
          </cell>
        </row>
        <row r="413">
          <cell r="D413" t="str">
            <v>HP117MAGENTA</v>
          </cell>
          <cell r="E413" t="str">
            <v>Special Item</v>
          </cell>
          <cell r="F413" t="str">
            <v>HP 117 MAGENTA TONER</v>
          </cell>
          <cell r="J413" t="str">
            <v>NNAV</v>
          </cell>
          <cell r="K413" t="str">
            <v>E645</v>
          </cell>
          <cell r="L413" t="str">
            <v>EXPE01</v>
          </cell>
          <cell r="P413">
            <v>3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 t="str">
            <v>No</v>
          </cell>
          <cell r="Z413" t="str">
            <v/>
          </cell>
          <cell r="AA413" t="str">
            <v>EACH</v>
          </cell>
          <cell r="AB413">
            <v>0</v>
          </cell>
          <cell r="AC413" t="str">
            <v>HP117MAGENTA</v>
          </cell>
          <cell r="AD413" t="str">
            <v>EACH</v>
          </cell>
        </row>
        <row r="414">
          <cell r="D414" t="str">
            <v>HP117YELLOW</v>
          </cell>
          <cell r="E414" t="str">
            <v>Special Item</v>
          </cell>
          <cell r="F414" t="str">
            <v>HP 117 YELLOW TONER</v>
          </cell>
          <cell r="J414" t="str">
            <v>NNAV</v>
          </cell>
          <cell r="K414" t="str">
            <v>E645</v>
          </cell>
          <cell r="L414" t="str">
            <v>EXPE01</v>
          </cell>
          <cell r="P414">
            <v>3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 t="str">
            <v>No</v>
          </cell>
          <cell r="Z414" t="str">
            <v/>
          </cell>
          <cell r="AA414" t="str">
            <v>EACH</v>
          </cell>
          <cell r="AB414">
            <v>0</v>
          </cell>
          <cell r="AC414" t="str">
            <v>HP117YELLOW</v>
          </cell>
          <cell r="AD414" t="str">
            <v>EACH</v>
          </cell>
        </row>
        <row r="415">
          <cell r="D415" t="str">
            <v>444984</v>
          </cell>
          <cell r="E415" t="str">
            <v>Special Item</v>
          </cell>
          <cell r="F415" t="str">
            <v>KANGARO STAPLER FULL STRIP MET</v>
          </cell>
          <cell r="J415" t="str">
            <v>NNAV</v>
          </cell>
          <cell r="K415" t="str">
            <v>E645</v>
          </cell>
          <cell r="L415" t="str">
            <v>EXPE01</v>
          </cell>
          <cell r="P415">
            <v>6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 t="str">
            <v>No</v>
          </cell>
          <cell r="Z415" t="str">
            <v/>
          </cell>
          <cell r="AA415" t="str">
            <v>EACH</v>
          </cell>
          <cell r="AB415">
            <v>0</v>
          </cell>
          <cell r="AC415" t="str">
            <v>444984</v>
          </cell>
          <cell r="AD415" t="str">
            <v>EACH</v>
          </cell>
        </row>
        <row r="416">
          <cell r="D416" t="str">
            <v>391264</v>
          </cell>
          <cell r="E416" t="str">
            <v>Special Item</v>
          </cell>
          <cell r="F416" t="str">
            <v>KENZEL WASTEBIN LARGE ROUND WI</v>
          </cell>
          <cell r="J416" t="str">
            <v>NNAV</v>
          </cell>
          <cell r="K416" t="str">
            <v>E499</v>
          </cell>
          <cell r="L416" t="str">
            <v>EXPE01</v>
          </cell>
          <cell r="P416">
            <v>14</v>
          </cell>
          <cell r="R416">
            <v>0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 t="str">
            <v>No</v>
          </cell>
          <cell r="Z416" t="str">
            <v/>
          </cell>
          <cell r="AA416" t="str">
            <v>EACH</v>
          </cell>
          <cell r="AB416">
            <v>0</v>
          </cell>
          <cell r="AC416" t="str">
            <v>391264</v>
          </cell>
          <cell r="AD416" t="str">
            <v>EACH</v>
          </cell>
        </row>
        <row r="417">
          <cell r="D417" t="str">
            <v>542093</v>
          </cell>
          <cell r="E417" t="str">
            <v>Special Item</v>
          </cell>
          <cell r="F417" t="str">
            <v>KEY STORAGE BOXES</v>
          </cell>
          <cell r="J417" t="str">
            <v>NNAV</v>
          </cell>
          <cell r="K417" t="str">
            <v>E645</v>
          </cell>
          <cell r="L417" t="str">
            <v>EXPE01</v>
          </cell>
          <cell r="P417">
            <v>0</v>
          </cell>
          <cell r="R417">
            <v>0</v>
          </cell>
          <cell r="S417" t="e">
            <v>#DIV/0!</v>
          </cell>
          <cell r="U417">
            <v>0</v>
          </cell>
          <cell r="V417">
            <v>0</v>
          </cell>
          <cell r="W417">
            <v>0</v>
          </cell>
          <cell r="X417" t="str">
            <v>No</v>
          </cell>
          <cell r="Z417" t="str">
            <v/>
          </cell>
          <cell r="AA417" t="str">
            <v>EACH</v>
          </cell>
          <cell r="AB417">
            <v>0</v>
          </cell>
          <cell r="AC417" t="str">
            <v>542093</v>
          </cell>
          <cell r="AD417" t="str">
            <v>EACH</v>
          </cell>
        </row>
        <row r="418">
          <cell r="D418" t="str">
            <v>104668</v>
          </cell>
          <cell r="E418" t="str">
            <v>Special Item</v>
          </cell>
          <cell r="F418" t="str">
            <v>KORES MARKER P1 PERMANENT FINE</v>
          </cell>
          <cell r="J418" t="str">
            <v>NNAV</v>
          </cell>
          <cell r="K418" t="str">
            <v>E645</v>
          </cell>
          <cell r="L418" t="str">
            <v>EXPE01</v>
          </cell>
          <cell r="P418">
            <v>20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 t="str">
            <v>No</v>
          </cell>
          <cell r="Z418" t="str">
            <v/>
          </cell>
          <cell r="AA418" t="str">
            <v>EACH</v>
          </cell>
          <cell r="AB418">
            <v>0</v>
          </cell>
          <cell r="AC418" t="str">
            <v>104668</v>
          </cell>
          <cell r="AD418" t="str">
            <v>EACH</v>
          </cell>
        </row>
        <row r="419">
          <cell r="D419" t="str">
            <v>9114201025</v>
          </cell>
          <cell r="E419" t="str">
            <v>Special Item</v>
          </cell>
          <cell r="F419" t="str">
            <v>MASK DISP VALVED FOLDED (50X B</v>
          </cell>
          <cell r="J419" t="str">
            <v>NNAV</v>
          </cell>
          <cell r="K419" t="str">
            <v>E653</v>
          </cell>
          <cell r="L419" t="str">
            <v>EXPE01</v>
          </cell>
          <cell r="P419">
            <v>0</v>
          </cell>
          <cell r="R419">
            <v>0</v>
          </cell>
          <cell r="S419" t="e">
            <v>#DIV/0!</v>
          </cell>
          <cell r="U419">
            <v>0</v>
          </cell>
          <cell r="V419">
            <v>0</v>
          </cell>
          <cell r="W419">
            <v>0</v>
          </cell>
          <cell r="X419" t="str">
            <v>No</v>
          </cell>
          <cell r="Z419" t="str">
            <v/>
          </cell>
          <cell r="AA419" t="str">
            <v>EACH</v>
          </cell>
          <cell r="AB419">
            <v>0</v>
          </cell>
          <cell r="AC419" t="str">
            <v>9114201025</v>
          </cell>
          <cell r="AD419" t="str">
            <v>EACH</v>
          </cell>
        </row>
        <row r="420">
          <cell r="D420" t="str">
            <v>851427</v>
          </cell>
          <cell r="E420" t="str">
            <v>Special Item</v>
          </cell>
          <cell r="F420" t="str">
            <v>METAL RULERS (300MM)</v>
          </cell>
          <cell r="J420" t="str">
            <v>NNAV</v>
          </cell>
          <cell r="K420" t="str">
            <v>E645</v>
          </cell>
          <cell r="L420" t="str">
            <v>EXPE01</v>
          </cell>
          <cell r="P420">
            <v>0</v>
          </cell>
          <cell r="R420">
            <v>0</v>
          </cell>
          <cell r="S420" t="e">
            <v>#DIV/0!</v>
          </cell>
          <cell r="U420">
            <v>0</v>
          </cell>
          <cell r="V420">
            <v>0</v>
          </cell>
          <cell r="W420">
            <v>0</v>
          </cell>
          <cell r="X420" t="str">
            <v>No</v>
          </cell>
          <cell r="Z420" t="str">
            <v/>
          </cell>
          <cell r="AA420" t="str">
            <v>EACH</v>
          </cell>
          <cell r="AB420">
            <v>0</v>
          </cell>
          <cell r="AC420" t="str">
            <v>851427</v>
          </cell>
          <cell r="AD420" t="str">
            <v>EACH</v>
          </cell>
        </row>
        <row r="421">
          <cell r="D421" t="str">
            <v>38033502</v>
          </cell>
          <cell r="E421" t="str">
            <v>Special Item</v>
          </cell>
          <cell r="F421" t="str">
            <v>MINE MARKING VERT RED</v>
          </cell>
          <cell r="J421" t="str">
            <v>NNAV</v>
          </cell>
          <cell r="K421" t="str">
            <v>E499</v>
          </cell>
          <cell r="L421" t="str">
            <v>EXPE01</v>
          </cell>
          <cell r="P421">
            <v>60</v>
          </cell>
          <cell r="R421">
            <v>0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 t="str">
            <v>No</v>
          </cell>
          <cell r="Z421" t="str">
            <v/>
          </cell>
          <cell r="AA421" t="str">
            <v>EACH</v>
          </cell>
          <cell r="AB421">
            <v>0</v>
          </cell>
          <cell r="AC421" t="str">
            <v>38033502</v>
          </cell>
          <cell r="AD421" t="str">
            <v>EACH</v>
          </cell>
        </row>
        <row r="422">
          <cell r="D422" t="str">
            <v>38033511</v>
          </cell>
          <cell r="E422" t="str">
            <v>Special Item</v>
          </cell>
          <cell r="F422" t="str">
            <v>MINE MARKING VERT WHITE</v>
          </cell>
          <cell r="J422" t="str">
            <v>NNAV</v>
          </cell>
          <cell r="K422" t="str">
            <v>E499</v>
          </cell>
          <cell r="L422" t="str">
            <v>EXPE01</v>
          </cell>
          <cell r="P422">
            <v>60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 t="str">
            <v>No</v>
          </cell>
          <cell r="Z422" t="str">
            <v/>
          </cell>
          <cell r="AA422" t="str">
            <v>EACH</v>
          </cell>
          <cell r="AB422">
            <v>0</v>
          </cell>
          <cell r="AC422" t="str">
            <v>38033511</v>
          </cell>
          <cell r="AD422" t="str">
            <v>EACH</v>
          </cell>
        </row>
        <row r="423">
          <cell r="D423" t="str">
            <v>38033505</v>
          </cell>
          <cell r="E423" t="str">
            <v>Special Item</v>
          </cell>
          <cell r="F423" t="str">
            <v>MINE MARKING VERT YELLOW</v>
          </cell>
          <cell r="J423" t="str">
            <v>NNAV</v>
          </cell>
          <cell r="K423" t="str">
            <v>E499</v>
          </cell>
          <cell r="L423" t="str">
            <v>EXPE01</v>
          </cell>
          <cell r="P423">
            <v>120</v>
          </cell>
          <cell r="R423">
            <v>0</v>
          </cell>
          <cell r="S423">
            <v>0</v>
          </cell>
          <cell r="U423">
            <v>0</v>
          </cell>
          <cell r="V423">
            <v>0</v>
          </cell>
          <cell r="W423">
            <v>0</v>
          </cell>
          <cell r="X423" t="str">
            <v>No</v>
          </cell>
          <cell r="Z423" t="str">
            <v/>
          </cell>
          <cell r="AA423" t="str">
            <v>EACH</v>
          </cell>
          <cell r="AB423">
            <v>0</v>
          </cell>
          <cell r="AC423" t="str">
            <v>38033505</v>
          </cell>
          <cell r="AD423" t="str">
            <v>EACH</v>
          </cell>
        </row>
        <row r="424">
          <cell r="D424" t="str">
            <v>801202</v>
          </cell>
          <cell r="E424" t="str">
            <v>Special Item</v>
          </cell>
          <cell r="F424" t="str">
            <v>MULTIOFFICE COPY PAPER A3 161C</v>
          </cell>
          <cell r="J424" t="str">
            <v>NNAV</v>
          </cell>
          <cell r="K424" t="str">
            <v>E645</v>
          </cell>
          <cell r="L424" t="str">
            <v>EXPE01</v>
          </cell>
          <cell r="P424">
            <v>5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 t="str">
            <v>No</v>
          </cell>
          <cell r="Z424" t="str">
            <v/>
          </cell>
          <cell r="AA424" t="str">
            <v>EACH</v>
          </cell>
          <cell r="AB424">
            <v>0</v>
          </cell>
          <cell r="AC424" t="str">
            <v>801202</v>
          </cell>
          <cell r="AD424" t="str">
            <v>EACH</v>
          </cell>
        </row>
        <row r="425">
          <cell r="D425" t="str">
            <v>5449000062932</v>
          </cell>
          <cell r="E425" t="str">
            <v>Special Item</v>
          </cell>
          <cell r="F425" t="str">
            <v>PALLET 1.5LTR DRINKING WATER B</v>
          </cell>
          <cell r="J425" t="str">
            <v>NNAV</v>
          </cell>
          <cell r="K425" t="str">
            <v>E653</v>
          </cell>
          <cell r="L425" t="str">
            <v>EXPE01</v>
          </cell>
          <cell r="P425">
            <v>0</v>
          </cell>
          <cell r="R425">
            <v>0</v>
          </cell>
          <cell r="S425" t="e">
            <v>#DIV/0!</v>
          </cell>
          <cell r="U425">
            <v>0</v>
          </cell>
          <cell r="V425">
            <v>0</v>
          </cell>
          <cell r="W425">
            <v>0</v>
          </cell>
          <cell r="X425" t="str">
            <v>No</v>
          </cell>
          <cell r="Z425" t="str">
            <v/>
          </cell>
          <cell r="AA425" t="str">
            <v>EACH</v>
          </cell>
          <cell r="AB425">
            <v>0</v>
          </cell>
          <cell r="AC425" t="str">
            <v>5449000062932</v>
          </cell>
          <cell r="AD425" t="str">
            <v>EACH</v>
          </cell>
        </row>
        <row r="426">
          <cell r="D426" t="str">
            <v>44351(BD0676)</v>
          </cell>
          <cell r="E426" t="str">
            <v>Special Item</v>
          </cell>
          <cell r="F426" t="str">
            <v>PARROT NOTICE BOARD ALUM FRAM</v>
          </cell>
          <cell r="J426" t="str">
            <v>NNAV</v>
          </cell>
          <cell r="K426" t="str">
            <v>E575</v>
          </cell>
          <cell r="L426" t="str">
            <v>EXPE01</v>
          </cell>
          <cell r="P426">
            <v>2</v>
          </cell>
          <cell r="R426">
            <v>0</v>
          </cell>
          <cell r="S426">
            <v>0</v>
          </cell>
          <cell r="U426">
            <v>0</v>
          </cell>
          <cell r="V426">
            <v>0</v>
          </cell>
          <cell r="W426">
            <v>0</v>
          </cell>
          <cell r="X426" t="str">
            <v>No</v>
          </cell>
          <cell r="Z426" t="str">
            <v/>
          </cell>
          <cell r="AA426" t="str">
            <v>EACH</v>
          </cell>
          <cell r="AB426">
            <v>0</v>
          </cell>
          <cell r="AC426" t="str">
            <v>44351(BD0676)</v>
          </cell>
          <cell r="AD426" t="str">
            <v>EACH</v>
          </cell>
        </row>
        <row r="427">
          <cell r="D427" t="str">
            <v>444651(BD0669)</v>
          </cell>
          <cell r="E427" t="str">
            <v>Special Item</v>
          </cell>
          <cell r="F427" t="str">
            <v>PARROT NOTICE BOARD ALUM FRAM</v>
          </cell>
          <cell r="J427" t="str">
            <v>NNAV</v>
          </cell>
          <cell r="K427" t="str">
            <v>E575</v>
          </cell>
          <cell r="L427" t="str">
            <v>EXPE01</v>
          </cell>
          <cell r="P427">
            <v>2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 t="str">
            <v>No</v>
          </cell>
          <cell r="Z427" t="str">
            <v/>
          </cell>
          <cell r="AA427" t="str">
            <v>EACH</v>
          </cell>
          <cell r="AB427">
            <v>0</v>
          </cell>
          <cell r="AC427" t="str">
            <v>444651(BD0669)</v>
          </cell>
          <cell r="AD427" t="str">
            <v>EACH</v>
          </cell>
        </row>
        <row r="428">
          <cell r="D428" t="str">
            <v>201463</v>
          </cell>
          <cell r="E428" t="str">
            <v>Special Item</v>
          </cell>
          <cell r="F428" t="str">
            <v>PARROT WHITEBOARD MAG 1800X120</v>
          </cell>
          <cell r="J428" t="str">
            <v>NNAV</v>
          </cell>
          <cell r="K428" t="str">
            <v>E575</v>
          </cell>
          <cell r="L428" t="str">
            <v>EXPE01</v>
          </cell>
          <cell r="P428">
            <v>2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 t="str">
            <v>No</v>
          </cell>
          <cell r="Z428" t="str">
            <v/>
          </cell>
          <cell r="AA428" t="str">
            <v>EACH</v>
          </cell>
          <cell r="AB428">
            <v>0</v>
          </cell>
          <cell r="AC428" t="str">
            <v>201463</v>
          </cell>
          <cell r="AD428" t="str">
            <v>EACH</v>
          </cell>
        </row>
        <row r="429">
          <cell r="D429" t="str">
            <v>34509</v>
          </cell>
          <cell r="E429" t="str">
            <v>Special Item</v>
          </cell>
          <cell r="F429" t="str">
            <v>PARROT WHITEBOARD MAG 2400X120</v>
          </cell>
          <cell r="J429" t="str">
            <v>NNAV</v>
          </cell>
          <cell r="K429" t="str">
            <v>E575</v>
          </cell>
          <cell r="L429" t="str">
            <v>EXPE01</v>
          </cell>
          <cell r="P429">
            <v>2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 t="str">
            <v>No</v>
          </cell>
          <cell r="Z429" t="str">
            <v/>
          </cell>
          <cell r="AA429" t="str">
            <v>EACH</v>
          </cell>
          <cell r="AB429">
            <v>0</v>
          </cell>
          <cell r="AC429" t="str">
            <v>34509</v>
          </cell>
          <cell r="AD429" t="str">
            <v>EACH</v>
          </cell>
        </row>
        <row r="430">
          <cell r="D430" t="str">
            <v>741201</v>
          </cell>
          <cell r="E430" t="str">
            <v>Special Item</v>
          </cell>
          <cell r="F430" t="str">
            <v>PRIMELINE CALCLATOR 12 DIGIT</v>
          </cell>
          <cell r="J430" t="str">
            <v>NNAV</v>
          </cell>
          <cell r="K430" t="str">
            <v>E645</v>
          </cell>
          <cell r="L430" t="str">
            <v>EXPE01</v>
          </cell>
          <cell r="P430">
            <v>4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 t="str">
            <v>No</v>
          </cell>
          <cell r="Z430" t="str">
            <v/>
          </cell>
          <cell r="AA430" t="str">
            <v>EACH</v>
          </cell>
          <cell r="AB430">
            <v>0</v>
          </cell>
          <cell r="AC430" t="str">
            <v>741201</v>
          </cell>
          <cell r="AD430" t="str">
            <v>EACH</v>
          </cell>
        </row>
        <row r="431">
          <cell r="D431" t="str">
            <v>471137</v>
          </cell>
          <cell r="E431" t="str">
            <v>Special Item</v>
          </cell>
          <cell r="F431" t="str">
            <v>PRIMELINE ERASER RUB DUB</v>
          </cell>
          <cell r="J431" t="str">
            <v>NNAV</v>
          </cell>
          <cell r="K431" t="str">
            <v>E645</v>
          </cell>
          <cell r="L431" t="str">
            <v>EXPE01</v>
          </cell>
          <cell r="P431">
            <v>5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 t="str">
            <v>No</v>
          </cell>
          <cell r="Z431" t="str">
            <v/>
          </cell>
          <cell r="AA431" t="str">
            <v>EACH</v>
          </cell>
          <cell r="AB431">
            <v>0</v>
          </cell>
          <cell r="AC431" t="str">
            <v>471137</v>
          </cell>
          <cell r="AD431" t="str">
            <v>EACH</v>
          </cell>
        </row>
        <row r="432">
          <cell r="D432" t="str">
            <v>254302</v>
          </cell>
          <cell r="E432" t="str">
            <v>Special Item</v>
          </cell>
          <cell r="F432" t="str">
            <v>PRIMELINE FOLDBACK CLIP 19MM N</v>
          </cell>
          <cell r="J432" t="str">
            <v>NNAV</v>
          </cell>
          <cell r="K432" t="str">
            <v>E645</v>
          </cell>
          <cell r="L432" t="str">
            <v>EXPE01</v>
          </cell>
          <cell r="P432">
            <v>5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 t="str">
            <v>No</v>
          </cell>
          <cell r="Z432" t="str">
            <v/>
          </cell>
          <cell r="AA432" t="str">
            <v>EACH</v>
          </cell>
          <cell r="AB432">
            <v>0</v>
          </cell>
          <cell r="AC432" t="str">
            <v>254302</v>
          </cell>
          <cell r="AD432" t="str">
            <v>EACH</v>
          </cell>
        </row>
        <row r="433">
          <cell r="D433" t="str">
            <v>254304</v>
          </cell>
          <cell r="E433" t="str">
            <v>Special Item</v>
          </cell>
          <cell r="F433" t="str">
            <v>PRIMELINE FOLDBACK CLIP 32MM N</v>
          </cell>
          <cell r="J433" t="str">
            <v>NNAV</v>
          </cell>
          <cell r="K433" t="str">
            <v>E645</v>
          </cell>
          <cell r="L433" t="str">
            <v>EXPE01</v>
          </cell>
          <cell r="P433">
            <v>2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 t="str">
            <v>No</v>
          </cell>
          <cell r="Z433" t="str">
            <v/>
          </cell>
          <cell r="AA433" t="str">
            <v>EACH</v>
          </cell>
          <cell r="AB433">
            <v>0</v>
          </cell>
          <cell r="AC433" t="str">
            <v>254304</v>
          </cell>
          <cell r="AD433" t="str">
            <v>EACH</v>
          </cell>
        </row>
        <row r="434">
          <cell r="D434" t="str">
            <v>254305</v>
          </cell>
          <cell r="E434" t="str">
            <v>Special Item</v>
          </cell>
          <cell r="F434" t="str">
            <v>PRIMELINE FOLDBACK CLIP 41MM N</v>
          </cell>
          <cell r="J434" t="str">
            <v>NNAV</v>
          </cell>
          <cell r="K434" t="str">
            <v>E645</v>
          </cell>
          <cell r="L434" t="str">
            <v>EXPE01</v>
          </cell>
          <cell r="P434">
            <v>5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 t="str">
            <v>No</v>
          </cell>
          <cell r="Z434" t="str">
            <v/>
          </cell>
          <cell r="AA434" t="str">
            <v>EACH</v>
          </cell>
          <cell r="AB434">
            <v>0</v>
          </cell>
          <cell r="AC434" t="str">
            <v>254305</v>
          </cell>
          <cell r="AD434" t="str">
            <v>EACH</v>
          </cell>
        </row>
        <row r="435">
          <cell r="D435" t="str">
            <v>254306</v>
          </cell>
          <cell r="E435" t="str">
            <v>Special Item</v>
          </cell>
          <cell r="F435" t="str">
            <v>PRIMELINE FOLDBACK CLIP 51MM N</v>
          </cell>
          <cell r="J435" t="str">
            <v>NNAV</v>
          </cell>
          <cell r="K435" t="str">
            <v>E645</v>
          </cell>
          <cell r="L435" t="str">
            <v>EXPE01</v>
          </cell>
          <cell r="P435">
            <v>5</v>
          </cell>
          <cell r="R435">
            <v>0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 t="str">
            <v>No</v>
          </cell>
          <cell r="Z435" t="str">
            <v/>
          </cell>
          <cell r="AA435" t="str">
            <v>EACH</v>
          </cell>
          <cell r="AB435">
            <v>0</v>
          </cell>
          <cell r="AC435" t="str">
            <v>254306</v>
          </cell>
          <cell r="AD435" t="str">
            <v>EACH</v>
          </cell>
        </row>
        <row r="436">
          <cell r="D436" t="str">
            <v>951007</v>
          </cell>
          <cell r="E436" t="str">
            <v>Special Item</v>
          </cell>
          <cell r="F436" t="str">
            <v>PRIMELINE KEYRING HARD PLASTIC</v>
          </cell>
          <cell r="J436" t="str">
            <v>NNAV</v>
          </cell>
          <cell r="K436" t="str">
            <v>E645</v>
          </cell>
          <cell r="L436" t="str">
            <v>EXPE01</v>
          </cell>
          <cell r="P436">
            <v>50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 t="str">
            <v>No</v>
          </cell>
          <cell r="Z436" t="str">
            <v/>
          </cell>
          <cell r="AA436" t="str">
            <v>EACH</v>
          </cell>
          <cell r="AB436">
            <v>0</v>
          </cell>
          <cell r="AC436" t="str">
            <v>951007</v>
          </cell>
          <cell r="AD436" t="str">
            <v>EACH</v>
          </cell>
        </row>
        <row r="437">
          <cell r="D437" t="str">
            <v>951533</v>
          </cell>
          <cell r="E437" t="str">
            <v>Special Item</v>
          </cell>
          <cell r="F437" t="str">
            <v>PRIMELINE LAMINATING POUCH A3</v>
          </cell>
          <cell r="J437" t="str">
            <v>NNAV</v>
          </cell>
          <cell r="K437" t="str">
            <v>E645</v>
          </cell>
          <cell r="L437" t="str">
            <v>EXPE01</v>
          </cell>
          <cell r="P437">
            <v>1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 t="str">
            <v>No</v>
          </cell>
          <cell r="Z437" t="str">
            <v/>
          </cell>
          <cell r="AA437" t="str">
            <v>EACH</v>
          </cell>
          <cell r="AB437">
            <v>0</v>
          </cell>
          <cell r="AC437" t="str">
            <v>951533</v>
          </cell>
          <cell r="AD437" t="str">
            <v>EACH</v>
          </cell>
        </row>
        <row r="438">
          <cell r="D438" t="str">
            <v>951531</v>
          </cell>
          <cell r="E438" t="str">
            <v>Special Item</v>
          </cell>
          <cell r="F438" t="str">
            <v>PRIMELINE LAMINATING POUCH A4</v>
          </cell>
          <cell r="J438" t="str">
            <v>NNAV</v>
          </cell>
          <cell r="K438" t="str">
            <v>E645</v>
          </cell>
          <cell r="L438" t="str">
            <v>EXPE01</v>
          </cell>
          <cell r="P438">
            <v>8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 t="str">
            <v>No</v>
          </cell>
          <cell r="Z438" t="str">
            <v/>
          </cell>
          <cell r="AA438" t="str">
            <v>EACH</v>
          </cell>
          <cell r="AB438">
            <v>0</v>
          </cell>
          <cell r="AC438" t="str">
            <v>951531</v>
          </cell>
          <cell r="AD438" t="str">
            <v>EACH</v>
          </cell>
        </row>
        <row r="439">
          <cell r="D439" t="str">
            <v>881245</v>
          </cell>
          <cell r="E439" t="str">
            <v>Special Item</v>
          </cell>
          <cell r="F439" t="str">
            <v>PRIMELINE SCISSOR O-HANDLE 21C</v>
          </cell>
          <cell r="J439" t="str">
            <v>NNAV</v>
          </cell>
          <cell r="K439" t="str">
            <v>E645</v>
          </cell>
          <cell r="L439" t="str">
            <v>EXPE01</v>
          </cell>
          <cell r="P439">
            <v>10</v>
          </cell>
          <cell r="R439">
            <v>0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 t="str">
            <v>No</v>
          </cell>
          <cell r="Z439" t="str">
            <v/>
          </cell>
          <cell r="AA439" t="str">
            <v>EACH</v>
          </cell>
          <cell r="AB439">
            <v>0</v>
          </cell>
          <cell r="AC439" t="str">
            <v>881245</v>
          </cell>
          <cell r="AD439" t="str">
            <v>EACH</v>
          </cell>
        </row>
        <row r="440">
          <cell r="D440" t="str">
            <v>901109</v>
          </cell>
          <cell r="E440" t="str">
            <v>Special Item</v>
          </cell>
          <cell r="F440" t="str">
            <v>PRIMELINE STAPLES 26/6 BOX 500</v>
          </cell>
          <cell r="J440" t="str">
            <v>NNAV</v>
          </cell>
          <cell r="K440" t="str">
            <v>E645</v>
          </cell>
          <cell r="L440" t="str">
            <v>EXPE01</v>
          </cell>
          <cell r="P440">
            <v>6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 t="str">
            <v>No</v>
          </cell>
          <cell r="Z440" t="str">
            <v/>
          </cell>
          <cell r="AA440" t="str">
            <v>EACH</v>
          </cell>
          <cell r="AB440">
            <v>0</v>
          </cell>
          <cell r="AC440" t="str">
            <v>901109</v>
          </cell>
          <cell r="AD440" t="str">
            <v>EACH</v>
          </cell>
        </row>
        <row r="441">
          <cell r="D441" t="str">
            <v>E0000401</v>
          </cell>
          <cell r="E441" t="str">
            <v>Special Item</v>
          </cell>
          <cell r="F441" t="str">
            <v>PVC ELECTRICAL CONDUIT PIPES 4</v>
          </cell>
          <cell r="J441" t="str">
            <v>NNAV</v>
          </cell>
          <cell r="K441" t="str">
            <v>E499</v>
          </cell>
          <cell r="L441" t="str">
            <v>EXPE01</v>
          </cell>
          <cell r="P441">
            <v>0</v>
          </cell>
          <cell r="R441">
            <v>0</v>
          </cell>
          <cell r="S441" t="e">
            <v>#DIV/0!</v>
          </cell>
          <cell r="U441">
            <v>0</v>
          </cell>
          <cell r="V441">
            <v>0</v>
          </cell>
          <cell r="W441">
            <v>0</v>
          </cell>
          <cell r="X441" t="str">
            <v>No</v>
          </cell>
          <cell r="Z441" t="str">
            <v/>
          </cell>
          <cell r="AA441" t="str">
            <v>EACH</v>
          </cell>
          <cell r="AB441">
            <v>0</v>
          </cell>
          <cell r="AC441" t="str">
            <v>E0000401</v>
          </cell>
          <cell r="AD441" t="str">
            <v>EACH</v>
          </cell>
        </row>
        <row r="442">
          <cell r="D442" t="str">
            <v>771230</v>
          </cell>
          <cell r="E442" t="str">
            <v>Special Item</v>
          </cell>
          <cell r="F442" t="str">
            <v>REXEL PUNCH V230 HEAVY DUTY 2</v>
          </cell>
          <cell r="J442" t="str">
            <v>NNAV</v>
          </cell>
          <cell r="K442" t="str">
            <v>E645</v>
          </cell>
          <cell r="L442" t="str">
            <v>EXPE01</v>
          </cell>
          <cell r="P442">
            <v>5</v>
          </cell>
          <cell r="R442">
            <v>0</v>
          </cell>
          <cell r="S442">
            <v>0</v>
          </cell>
          <cell r="U442">
            <v>0</v>
          </cell>
          <cell r="V442">
            <v>0</v>
          </cell>
          <cell r="W442">
            <v>0</v>
          </cell>
          <cell r="X442" t="str">
            <v>No</v>
          </cell>
          <cell r="Z442" t="str">
            <v/>
          </cell>
          <cell r="AA442" t="str">
            <v>EACH</v>
          </cell>
          <cell r="AB442">
            <v>0</v>
          </cell>
          <cell r="AC442" t="str">
            <v>771230</v>
          </cell>
          <cell r="AD442" t="str">
            <v>EACH</v>
          </cell>
        </row>
        <row r="443">
          <cell r="D443" t="str">
            <v>444089</v>
          </cell>
          <cell r="E443" t="str">
            <v>Special Item</v>
          </cell>
          <cell r="F443" t="str">
            <v>RIO A4 PHOTO FRAME</v>
          </cell>
          <cell r="J443" t="str">
            <v>NNAV</v>
          </cell>
          <cell r="K443" t="str">
            <v>E645</v>
          </cell>
          <cell r="L443" t="str">
            <v>EXPE01</v>
          </cell>
          <cell r="P443">
            <v>10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 t="str">
            <v>No</v>
          </cell>
          <cell r="Z443" t="str">
            <v/>
          </cell>
          <cell r="AA443" t="str">
            <v>EACH</v>
          </cell>
          <cell r="AB443">
            <v>0</v>
          </cell>
          <cell r="AC443" t="str">
            <v>444089</v>
          </cell>
          <cell r="AD443" t="str">
            <v>EACH</v>
          </cell>
        </row>
        <row r="444">
          <cell r="D444" t="str">
            <v>801215</v>
          </cell>
          <cell r="E444" t="str">
            <v>Special Item</v>
          </cell>
          <cell r="F444" t="str">
            <v>ROTATRIM COPY PAPER A4 160CIE</v>
          </cell>
          <cell r="J444" t="str">
            <v>NNAV</v>
          </cell>
          <cell r="K444" t="str">
            <v>E645</v>
          </cell>
          <cell r="L444" t="str">
            <v>EXPE01</v>
          </cell>
          <cell r="P444">
            <v>10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No</v>
          </cell>
          <cell r="Z444" t="str">
            <v/>
          </cell>
          <cell r="AA444" t="str">
            <v>EACH</v>
          </cell>
          <cell r="AB444">
            <v>0</v>
          </cell>
          <cell r="AC444" t="str">
            <v>801215</v>
          </cell>
          <cell r="AD444" t="str">
            <v>EACH</v>
          </cell>
        </row>
        <row r="445">
          <cell r="D445" t="str">
            <v>ROUNBAR25X6M</v>
          </cell>
          <cell r="E445" t="str">
            <v>Special Item</v>
          </cell>
          <cell r="F445" t="str">
            <v>Round Bar MS 25x6m</v>
          </cell>
          <cell r="J445" t="str">
            <v>NNAV</v>
          </cell>
          <cell r="K445" t="str">
            <v>E708</v>
          </cell>
          <cell r="L445" t="str">
            <v>EXPE01</v>
          </cell>
          <cell r="P445">
            <v>70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 t="str">
            <v>No</v>
          </cell>
          <cell r="Z445" t="str">
            <v/>
          </cell>
          <cell r="AA445" t="str">
            <v>EACH</v>
          </cell>
          <cell r="AB445">
            <v>0</v>
          </cell>
          <cell r="AC445" t="str">
            <v>ROUNBAR25X6M</v>
          </cell>
          <cell r="AD445" t="str">
            <v>EACH</v>
          </cell>
        </row>
        <row r="446">
          <cell r="D446" t="str">
            <v>MR1502</v>
          </cell>
          <cell r="E446" t="str">
            <v>Special Item</v>
          </cell>
          <cell r="F446" t="str">
            <v>SHUTTER OIL 200LT</v>
          </cell>
          <cell r="J446" t="str">
            <v>NNAV</v>
          </cell>
          <cell r="K446" t="str">
            <v>E499</v>
          </cell>
          <cell r="L446" t="str">
            <v>EXPE01</v>
          </cell>
          <cell r="P446">
            <v>200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 t="str">
            <v>No</v>
          </cell>
          <cell r="Z446" t="str">
            <v/>
          </cell>
          <cell r="AA446" t="str">
            <v>EACH</v>
          </cell>
          <cell r="AB446">
            <v>0</v>
          </cell>
          <cell r="AC446" t="str">
            <v>MR1502</v>
          </cell>
          <cell r="AD446" t="str">
            <v>EACH</v>
          </cell>
        </row>
        <row r="447">
          <cell r="D447" t="str">
            <v>J0009845</v>
          </cell>
          <cell r="E447" t="str">
            <v>Special Item</v>
          </cell>
          <cell r="F447" t="str">
            <v>STORAGE CLEAR 56L</v>
          </cell>
          <cell r="J447" t="str">
            <v>NNAV</v>
          </cell>
          <cell r="K447" t="str">
            <v>E499</v>
          </cell>
          <cell r="L447" t="str">
            <v>EXPE01</v>
          </cell>
          <cell r="P447">
            <v>35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 t="str">
            <v>No</v>
          </cell>
          <cell r="Z447" t="str">
            <v/>
          </cell>
          <cell r="AA447" t="str">
            <v>EACH</v>
          </cell>
          <cell r="AB447">
            <v>0</v>
          </cell>
          <cell r="AC447" t="str">
            <v>J0009845</v>
          </cell>
          <cell r="AD447" t="str">
            <v>EACH</v>
          </cell>
        </row>
        <row r="448">
          <cell r="D448" t="str">
            <v>555523</v>
          </cell>
          <cell r="E448" t="str">
            <v>Special Item</v>
          </cell>
          <cell r="F448" t="str">
            <v>TREFOIL PAPER CLIPS SILVER 33M</v>
          </cell>
          <cell r="J448" t="str">
            <v>NNAV</v>
          </cell>
          <cell r="K448" t="str">
            <v>E645</v>
          </cell>
          <cell r="L448" t="str">
            <v>EXPE01</v>
          </cell>
          <cell r="P448">
            <v>5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 t="str">
            <v>No</v>
          </cell>
          <cell r="Z448" t="str">
            <v/>
          </cell>
          <cell r="AA448" t="str">
            <v>EACH</v>
          </cell>
          <cell r="AB448">
            <v>0</v>
          </cell>
          <cell r="AC448" t="str">
            <v>555523</v>
          </cell>
          <cell r="AD448" t="str">
            <v>EACH</v>
          </cell>
        </row>
        <row r="449">
          <cell r="D449" t="str">
            <v>IN14860356000</v>
          </cell>
          <cell r="E449" t="str">
            <v>Special Item</v>
          </cell>
          <cell r="F449" t="str">
            <v>TRIPOD-MEDIUM DUTY TWIST LOCK</v>
          </cell>
          <cell r="J449" t="str">
            <v>NNAV</v>
          </cell>
          <cell r="K449" t="str">
            <v>E779</v>
          </cell>
          <cell r="L449" t="str">
            <v>EXPE01</v>
          </cell>
          <cell r="P449">
            <v>3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 t="str">
            <v>No</v>
          </cell>
          <cell r="Z449" t="str">
            <v/>
          </cell>
          <cell r="AA449" t="str">
            <v>EACH</v>
          </cell>
          <cell r="AB449">
            <v>0</v>
          </cell>
          <cell r="AC449" t="str">
            <v>IN14860356000</v>
          </cell>
          <cell r="AD449" t="str">
            <v>EACH</v>
          </cell>
        </row>
        <row r="450">
          <cell r="D450" t="str">
            <v>103488</v>
          </cell>
          <cell r="E450" t="str">
            <v>Special Item</v>
          </cell>
          <cell r="F450" t="str">
            <v>VARTA BATTERY LONGLIFE POWER 1</v>
          </cell>
          <cell r="J450" t="str">
            <v>NNAV</v>
          </cell>
          <cell r="K450" t="str">
            <v>E645</v>
          </cell>
          <cell r="L450" t="str">
            <v>EXPE01</v>
          </cell>
          <cell r="P450">
            <v>20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 t="str">
            <v>No</v>
          </cell>
          <cell r="Z450" t="str">
            <v/>
          </cell>
          <cell r="AA450" t="str">
            <v>EACH</v>
          </cell>
          <cell r="AB450">
            <v>0</v>
          </cell>
          <cell r="AC450" t="str">
            <v>103488</v>
          </cell>
          <cell r="AD450" t="str">
            <v>EACH</v>
          </cell>
        </row>
        <row r="451">
          <cell r="D451" t="str">
            <v>111154</v>
          </cell>
          <cell r="E451" t="str">
            <v>Special Item</v>
          </cell>
          <cell r="F451" t="str">
            <v>W510 JD382 COUNTER BOOK FM A4</v>
          </cell>
          <cell r="J451" t="str">
            <v>NNAV</v>
          </cell>
          <cell r="K451" t="str">
            <v>E645</v>
          </cell>
          <cell r="L451" t="str">
            <v>EXPE01</v>
          </cell>
          <cell r="P451">
            <v>20</v>
          </cell>
          <cell r="R451">
            <v>0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 t="str">
            <v>No</v>
          </cell>
          <cell r="Z451" t="str">
            <v/>
          </cell>
          <cell r="AA451" t="str">
            <v>EACH</v>
          </cell>
          <cell r="AB451">
            <v>0</v>
          </cell>
          <cell r="AC451" t="str">
            <v>111154</v>
          </cell>
          <cell r="AD451" t="str">
            <v>EACH</v>
          </cell>
        </row>
        <row r="452">
          <cell r="D452" t="str">
            <v>723105</v>
          </cell>
          <cell r="E452" t="str">
            <v>Special Item</v>
          </cell>
          <cell r="F452" t="str">
            <v>YOKEN MARKER WHITEBOARD DRY WI</v>
          </cell>
          <cell r="J452" t="str">
            <v>NNAV</v>
          </cell>
          <cell r="K452" t="str">
            <v>E645</v>
          </cell>
          <cell r="L452" t="str">
            <v>EXPE01</v>
          </cell>
          <cell r="P452">
            <v>90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 t="str">
            <v>No</v>
          </cell>
          <cell r="Z452" t="str">
            <v/>
          </cell>
          <cell r="AA452" t="str">
            <v>EACH</v>
          </cell>
          <cell r="AB452">
            <v>0</v>
          </cell>
          <cell r="AC452" t="str">
            <v>723105</v>
          </cell>
          <cell r="AD452" t="str">
            <v>EACH</v>
          </cell>
        </row>
        <row r="453">
          <cell r="D453" t="str">
            <v>PHIA0L</v>
          </cell>
          <cell r="E453" t="str">
            <v>Special Item</v>
          </cell>
          <cell r="F453" t="str">
            <v>XLARGE PRINCIPLE HAZARD</v>
          </cell>
          <cell r="J453" t="str">
            <v>NNAV</v>
          </cell>
          <cell r="K453" t="str">
            <v>E575</v>
          </cell>
          <cell r="L453" t="str">
            <v>EXPO04</v>
          </cell>
          <cell r="P453">
            <v>5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 t="str">
            <v>No</v>
          </cell>
          <cell r="Z453" t="str">
            <v/>
          </cell>
          <cell r="AA453" t="str">
            <v>EACH</v>
          </cell>
          <cell r="AB453">
            <v>0</v>
          </cell>
          <cell r="AC453" t="str">
            <v>PHIA0L</v>
          </cell>
          <cell r="AD453" t="str">
            <v>EACH</v>
          </cell>
        </row>
        <row r="454">
          <cell r="D454" t="str">
            <v>RY240-3-415</v>
          </cell>
          <cell r="E454" t="str">
            <v>Special Item</v>
          </cell>
          <cell r="F454" t="str">
            <v>1-1/2" CRIMP+14DS BENCH 415V-3</v>
          </cell>
          <cell r="J454" t="str">
            <v>NNAV</v>
          </cell>
          <cell r="K454" t="str">
            <v>E750</v>
          </cell>
          <cell r="L454" t="str">
            <v>FLUI06</v>
          </cell>
          <cell r="P454">
            <v>1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 t="str">
            <v>No</v>
          </cell>
          <cell r="Z454" t="str">
            <v/>
          </cell>
          <cell r="AA454" t="str">
            <v>EACH</v>
          </cell>
          <cell r="AB454">
            <v>0</v>
          </cell>
          <cell r="AC454" t="str">
            <v>RY240-3-415</v>
          </cell>
          <cell r="AD454" t="str">
            <v>EACH</v>
          </cell>
        </row>
        <row r="455">
          <cell r="D455" t="str">
            <v>MB001</v>
          </cell>
          <cell r="E455" t="str">
            <v>2407305</v>
          </cell>
          <cell r="F455" t="str">
            <v>BATTERY 1/2AA 3V FOR MRLA001</v>
          </cell>
          <cell r="J455" t="str">
            <v>NNAV</v>
          </cell>
          <cell r="K455" t="str">
            <v>E779</v>
          </cell>
          <cell r="L455" t="str">
            <v>FRAZ01</v>
          </cell>
          <cell r="P455">
            <v>5</v>
          </cell>
          <cell r="R455">
            <v>0</v>
          </cell>
          <cell r="S455">
            <v>0</v>
          </cell>
          <cell r="U455">
            <v>0</v>
          </cell>
          <cell r="V455">
            <v>0</v>
          </cell>
          <cell r="W455">
            <v>0</v>
          </cell>
          <cell r="X455" t="str">
            <v>No</v>
          </cell>
          <cell r="Z455" t="str">
            <v/>
          </cell>
          <cell r="AA455" t="str">
            <v>PACK</v>
          </cell>
          <cell r="AB455">
            <v>0</v>
          </cell>
          <cell r="AC455" t="str">
            <v>MB001</v>
          </cell>
          <cell r="AD455" t="str">
            <v>PACK</v>
          </cell>
        </row>
        <row r="456">
          <cell r="D456" t="str">
            <v>MGLL001</v>
          </cell>
          <cell r="E456" t="str">
            <v>2407315</v>
          </cell>
          <cell r="F456" t="str">
            <v>GRADE LINE LASER</v>
          </cell>
          <cell r="J456" t="str">
            <v>NNAV</v>
          </cell>
          <cell r="K456" t="str">
            <v>E779</v>
          </cell>
          <cell r="L456" t="str">
            <v>FRAZ01</v>
          </cell>
          <cell r="P456">
            <v>1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 t="str">
            <v>No</v>
          </cell>
          <cell r="Z456" t="str">
            <v/>
          </cell>
          <cell r="AA456" t="str">
            <v>EACH</v>
          </cell>
          <cell r="AB456">
            <v>0</v>
          </cell>
          <cell r="AC456" t="str">
            <v>MGLL001</v>
          </cell>
          <cell r="AD456" t="str">
            <v>EACH</v>
          </cell>
        </row>
        <row r="457">
          <cell r="D457" t="str">
            <v>MBP002</v>
          </cell>
          <cell r="E457" t="str">
            <v>2407310</v>
          </cell>
          <cell r="F457" t="str">
            <v>GRADE LINE LASER POUCH</v>
          </cell>
          <cell r="J457" t="str">
            <v>NNAV</v>
          </cell>
          <cell r="K457" t="str">
            <v>E779</v>
          </cell>
          <cell r="L457" t="str">
            <v>FRAZ01</v>
          </cell>
          <cell r="P457">
            <v>1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 t="str">
            <v>No</v>
          </cell>
          <cell r="Z457" t="str">
            <v/>
          </cell>
          <cell r="AA457" t="str">
            <v>EACH</v>
          </cell>
          <cell r="AB457">
            <v>0</v>
          </cell>
          <cell r="AC457" t="str">
            <v>MBP002</v>
          </cell>
          <cell r="AD457" t="str">
            <v>EACH</v>
          </cell>
        </row>
        <row r="458">
          <cell r="D458" t="str">
            <v>MRAL001</v>
          </cell>
          <cell r="E458" t="str">
            <v>2407300</v>
          </cell>
          <cell r="F458" t="str">
            <v>MCGARF LASER W/ POUCH</v>
          </cell>
          <cell r="J458" t="str">
            <v>NNAV</v>
          </cell>
          <cell r="K458" t="str">
            <v>E779</v>
          </cell>
          <cell r="L458" t="str">
            <v>FRAZ01</v>
          </cell>
          <cell r="P458">
            <v>6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 t="str">
            <v>No</v>
          </cell>
          <cell r="Z458" t="str">
            <v/>
          </cell>
          <cell r="AA458" t="str">
            <v>EACH</v>
          </cell>
          <cell r="AB458">
            <v>0</v>
          </cell>
          <cell r="AC458" t="str">
            <v>MRAL001</v>
          </cell>
          <cell r="AD458" t="str">
            <v>EACH</v>
          </cell>
        </row>
        <row r="459">
          <cell r="D459" t="str">
            <v>MWS001</v>
          </cell>
          <cell r="E459" t="str">
            <v>Special Item</v>
          </cell>
          <cell r="F459" t="str">
            <v>MCGARF WALL SLEEVES (PK/25)</v>
          </cell>
          <cell r="J459" t="str">
            <v>NNAV</v>
          </cell>
          <cell r="K459" t="str">
            <v>E779</v>
          </cell>
          <cell r="L459" t="str">
            <v>FRAZ01</v>
          </cell>
          <cell r="P459">
            <v>4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 t="str">
            <v>No</v>
          </cell>
          <cell r="Z459" t="str">
            <v/>
          </cell>
          <cell r="AA459" t="str">
            <v>PACK</v>
          </cell>
          <cell r="AB459">
            <v>0</v>
          </cell>
          <cell r="AC459" t="str">
            <v>MWS001</v>
          </cell>
          <cell r="AD459" t="str">
            <v>PACK</v>
          </cell>
        </row>
        <row r="460">
          <cell r="D460" t="str">
            <v>M-SRACHIE-2M</v>
          </cell>
          <cell r="E460" t="str">
            <v>Special Item</v>
          </cell>
          <cell r="F460" t="str">
            <v>2M MILD STEEL SCRATCHIES</v>
          </cell>
          <cell r="J460" t="str">
            <v>NNAV</v>
          </cell>
          <cell r="K460" t="str">
            <v>E499</v>
          </cell>
          <cell r="L460" t="str">
            <v>GEMI01</v>
          </cell>
          <cell r="P460">
            <v>10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 t="str">
            <v>No</v>
          </cell>
          <cell r="Z460" t="str">
            <v/>
          </cell>
          <cell r="AA460" t="str">
            <v>EACH</v>
          </cell>
          <cell r="AB460">
            <v>0</v>
          </cell>
          <cell r="AC460" t="str">
            <v>M-SRACHIE-2M</v>
          </cell>
          <cell r="AD460" t="str">
            <v>EACH</v>
          </cell>
        </row>
        <row r="461">
          <cell r="D461" t="str">
            <v>BG-44-45-48</v>
          </cell>
          <cell r="E461" t="str">
            <v>Special Item</v>
          </cell>
          <cell r="F461" t="str">
            <v>44MM, 45MM AND 48MM BIT GAUGE</v>
          </cell>
          <cell r="J461" t="str">
            <v>NNAV</v>
          </cell>
          <cell r="K461" t="str">
            <v>E155</v>
          </cell>
          <cell r="L461" t="str">
            <v>GEMI01</v>
          </cell>
          <cell r="P461">
            <v>6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 t="str">
            <v>No</v>
          </cell>
          <cell r="Z461" t="str">
            <v/>
          </cell>
          <cell r="AA461" t="str">
            <v>EACH</v>
          </cell>
          <cell r="AB461">
            <v>0</v>
          </cell>
          <cell r="AC461" t="str">
            <v>BG-44-45-48</v>
          </cell>
          <cell r="AD461" t="str">
            <v>EACH</v>
          </cell>
        </row>
        <row r="462">
          <cell r="D462" t="str">
            <v>SC-B-R-18</v>
          </cell>
          <cell r="E462" t="str">
            <v>Special Item</v>
          </cell>
          <cell r="F462" t="str">
            <v>SCALING BAR RACKS</v>
          </cell>
          <cell r="J462" t="str">
            <v>NNAV</v>
          </cell>
          <cell r="K462" t="str">
            <v>E499</v>
          </cell>
          <cell r="L462" t="str">
            <v>GEMI01</v>
          </cell>
          <cell r="P462">
            <v>2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 t="str">
            <v>No</v>
          </cell>
          <cell r="Z462" t="str">
            <v/>
          </cell>
          <cell r="AA462" t="str">
            <v>EACH</v>
          </cell>
          <cell r="AB462">
            <v>0</v>
          </cell>
          <cell r="AC462" t="str">
            <v>SC-B-R-18</v>
          </cell>
          <cell r="AD462" t="str">
            <v>EACH</v>
          </cell>
        </row>
        <row r="463">
          <cell r="D463" t="str">
            <v>GB-FB-0024</v>
          </cell>
          <cell r="E463" t="str">
            <v>Special Item</v>
          </cell>
          <cell r="F463" t="str">
            <v>SERVICE HANGERS 4 HOOK W CHAIN</v>
          </cell>
          <cell r="J463" t="str">
            <v>NNAV</v>
          </cell>
          <cell r="K463" t="str">
            <v>E500</v>
          </cell>
          <cell r="L463" t="str">
            <v>GEMI01</v>
          </cell>
          <cell r="P463">
            <v>600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 t="str">
            <v>No</v>
          </cell>
          <cell r="Z463" t="str">
            <v/>
          </cell>
          <cell r="AA463" t="str">
            <v>EACH</v>
          </cell>
          <cell r="AB463">
            <v>0</v>
          </cell>
          <cell r="AC463" t="str">
            <v>GB-FB-0024</v>
          </cell>
          <cell r="AD463" t="str">
            <v>EACH</v>
          </cell>
        </row>
        <row r="464">
          <cell r="D464" t="str">
            <v>C40STAMP</v>
          </cell>
          <cell r="E464" t="str">
            <v>Special Item</v>
          </cell>
          <cell r="F464" t="str">
            <v>C40 STAMP</v>
          </cell>
          <cell r="J464" t="str">
            <v>NNAV</v>
          </cell>
          <cell r="K464" t="str">
            <v>E645</v>
          </cell>
          <cell r="L464" t="str">
            <v>GTVI01</v>
          </cell>
          <cell r="P464">
            <v>0</v>
          </cell>
          <cell r="R464">
            <v>0</v>
          </cell>
          <cell r="S464" t="e">
            <v>#DIV/0!</v>
          </cell>
          <cell r="U464">
            <v>0</v>
          </cell>
          <cell r="V464">
            <v>0</v>
          </cell>
          <cell r="W464">
            <v>0</v>
          </cell>
          <cell r="X464" t="str">
            <v>No</v>
          </cell>
          <cell r="Z464" t="str">
            <v/>
          </cell>
          <cell r="AA464" t="str">
            <v>EACH</v>
          </cell>
          <cell r="AB464">
            <v>0</v>
          </cell>
          <cell r="AC464" t="str">
            <v>C40STAMP</v>
          </cell>
          <cell r="AD464" t="str">
            <v>EACH</v>
          </cell>
        </row>
        <row r="465">
          <cell r="D465" t="str">
            <v>PPESIGNS</v>
          </cell>
          <cell r="E465" t="str">
            <v>Special Item</v>
          </cell>
          <cell r="F465" t="str">
            <v>SAFETY SIGN 1500X2000 PORTAL B</v>
          </cell>
          <cell r="J465" t="str">
            <v>NNAV</v>
          </cell>
          <cell r="K465" t="str">
            <v>E575</v>
          </cell>
          <cell r="L465" t="str">
            <v>GTVI01</v>
          </cell>
          <cell r="P465">
            <v>0</v>
          </cell>
          <cell r="R465">
            <v>0</v>
          </cell>
          <cell r="S465" t="e">
            <v>#DIV/0!</v>
          </cell>
          <cell r="U465">
            <v>0</v>
          </cell>
          <cell r="V465">
            <v>0</v>
          </cell>
          <cell r="W465">
            <v>0</v>
          </cell>
          <cell r="X465" t="str">
            <v>No</v>
          </cell>
          <cell r="Z465" t="str">
            <v/>
          </cell>
          <cell r="AA465" t="str">
            <v>EACH</v>
          </cell>
          <cell r="AB465">
            <v>0</v>
          </cell>
          <cell r="AC465" t="str">
            <v>PPESIGNS</v>
          </cell>
          <cell r="AD465" t="str">
            <v>EACH</v>
          </cell>
        </row>
        <row r="466">
          <cell r="D466" t="str">
            <v>AURA-O-001</v>
          </cell>
          <cell r="E466" t="str">
            <v>Special Item</v>
          </cell>
          <cell r="F466" t="str">
            <v>AURA CALIBRATION KIT</v>
          </cell>
          <cell r="J466" t="str">
            <v>NNAV</v>
          </cell>
          <cell r="K466" t="str">
            <v>E653</v>
          </cell>
          <cell r="L466" t="str">
            <v>MINE07</v>
          </cell>
          <cell r="P466">
            <v>1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 t="str">
            <v>No</v>
          </cell>
          <cell r="Z466" t="str">
            <v/>
          </cell>
          <cell r="AA466" t="str">
            <v>EACH</v>
          </cell>
          <cell r="AB466">
            <v>0</v>
          </cell>
          <cell r="AC466" t="str">
            <v>AURA-O-001</v>
          </cell>
          <cell r="AD466" t="str">
            <v>EACH</v>
          </cell>
        </row>
        <row r="467">
          <cell r="D467" t="str">
            <v>427-1300-01</v>
          </cell>
          <cell r="E467" t="str">
            <v>Special Item</v>
          </cell>
          <cell r="F467" t="str">
            <v xml:space="preserve"> ESD 1 ELECTRO -PNEUMATIC REGU</v>
          </cell>
          <cell r="J467" t="str">
            <v>NNAV</v>
          </cell>
          <cell r="K467" t="str">
            <v>E222</v>
          </cell>
          <cell r="L467" t="str">
            <v>MINI02</v>
          </cell>
          <cell r="P467">
            <v>1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 t="str">
            <v>No</v>
          </cell>
          <cell r="Z467" t="str">
            <v/>
          </cell>
          <cell r="AA467" t="str">
            <v>EACH</v>
          </cell>
          <cell r="AB467">
            <v>0</v>
          </cell>
          <cell r="AC467" t="str">
            <v>427-1300-01</v>
          </cell>
          <cell r="AD467" t="str">
            <v>EACH</v>
          </cell>
        </row>
        <row r="468">
          <cell r="D468" t="str">
            <v>5000-08</v>
          </cell>
          <cell r="E468" t="str">
            <v>Special Item</v>
          </cell>
          <cell r="F468" t="str">
            <v>08MM SPHERICAL S/DIAROC HD</v>
          </cell>
          <cell r="J468" t="str">
            <v>NNAV</v>
          </cell>
          <cell r="K468" t="str">
            <v>E155</v>
          </cell>
          <cell r="L468" t="str">
            <v>MINI02</v>
          </cell>
          <cell r="P468">
            <v>20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 t="str">
            <v>No</v>
          </cell>
          <cell r="Z468" t="str">
            <v/>
          </cell>
          <cell r="AA468" t="str">
            <v>EACH</v>
          </cell>
          <cell r="AB468">
            <v>0</v>
          </cell>
          <cell r="AC468" t="str">
            <v>5000-08</v>
          </cell>
          <cell r="AD468" t="str">
            <v>EACH</v>
          </cell>
        </row>
        <row r="469">
          <cell r="D469" t="str">
            <v>5000-09</v>
          </cell>
          <cell r="E469" t="str">
            <v>Special Item</v>
          </cell>
          <cell r="F469" t="str">
            <v>09MM SPHERICAL S/DIAROC HD</v>
          </cell>
          <cell r="J469" t="str">
            <v>NNAV</v>
          </cell>
          <cell r="K469" t="str">
            <v>E155</v>
          </cell>
          <cell r="L469" t="str">
            <v>MINI02</v>
          </cell>
          <cell r="P469">
            <v>20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 t="str">
            <v>No</v>
          </cell>
          <cell r="Z469" t="str">
            <v/>
          </cell>
          <cell r="AA469" t="str">
            <v>EACH</v>
          </cell>
          <cell r="AB469">
            <v>0</v>
          </cell>
          <cell r="AC469" t="str">
            <v>5000-09</v>
          </cell>
          <cell r="AD469" t="str">
            <v>EACH</v>
          </cell>
        </row>
        <row r="470">
          <cell r="D470" t="str">
            <v>5000-10</v>
          </cell>
          <cell r="E470" t="str">
            <v>Special Item</v>
          </cell>
          <cell r="F470" t="str">
            <v>10MM SPHERICAL S/DIAROC HD</v>
          </cell>
          <cell r="J470" t="str">
            <v>NNAV</v>
          </cell>
          <cell r="K470" t="str">
            <v>E155</v>
          </cell>
          <cell r="L470" t="str">
            <v>MINI02</v>
          </cell>
          <cell r="P470">
            <v>20</v>
          </cell>
          <cell r="R470">
            <v>0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 t="str">
            <v>No</v>
          </cell>
          <cell r="Z470" t="str">
            <v/>
          </cell>
          <cell r="AA470" t="str">
            <v>EACH</v>
          </cell>
          <cell r="AB470">
            <v>0</v>
          </cell>
          <cell r="AC470" t="str">
            <v>5000-10</v>
          </cell>
          <cell r="AD470" t="str">
            <v>EACH</v>
          </cell>
        </row>
        <row r="471">
          <cell r="D471" t="str">
            <v>5000-13</v>
          </cell>
          <cell r="E471" t="str">
            <v>Special Item</v>
          </cell>
          <cell r="F471" t="str">
            <v>13MM SPHERICAL S/DIAROC HD</v>
          </cell>
          <cell r="J471" t="str">
            <v>NNAV</v>
          </cell>
          <cell r="K471" t="str">
            <v>E155</v>
          </cell>
          <cell r="L471" t="str">
            <v>MINI02</v>
          </cell>
          <cell r="P471">
            <v>20</v>
          </cell>
          <cell r="R471">
            <v>0</v>
          </cell>
          <cell r="S471">
            <v>0</v>
          </cell>
          <cell r="U471">
            <v>0</v>
          </cell>
          <cell r="V471">
            <v>0</v>
          </cell>
          <cell r="W471">
            <v>0</v>
          </cell>
          <cell r="X471" t="str">
            <v>No</v>
          </cell>
          <cell r="Z471" t="str">
            <v/>
          </cell>
          <cell r="AA471" t="str">
            <v>EACH</v>
          </cell>
          <cell r="AB471">
            <v>0</v>
          </cell>
          <cell r="AC471" t="str">
            <v>5000-13</v>
          </cell>
          <cell r="AD471" t="str">
            <v>EACH</v>
          </cell>
        </row>
        <row r="472">
          <cell r="D472" t="str">
            <v>427-0802-00</v>
          </cell>
          <cell r="E472" t="str">
            <v>Special Item</v>
          </cell>
          <cell r="F472" t="str">
            <v>8MM X 1/4 ELBOW FOR WATER SEPE</v>
          </cell>
          <cell r="J472" t="str">
            <v>NNAV</v>
          </cell>
          <cell r="K472" t="str">
            <v>E222</v>
          </cell>
          <cell r="L472" t="str">
            <v>MINI02</v>
          </cell>
          <cell r="P472">
            <v>2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No</v>
          </cell>
          <cell r="Z472" t="str">
            <v/>
          </cell>
          <cell r="AA472" t="str">
            <v>EACH</v>
          </cell>
          <cell r="AB472">
            <v>0</v>
          </cell>
          <cell r="AC472" t="str">
            <v>427-0802-00</v>
          </cell>
          <cell r="AD472" t="str">
            <v>EACH</v>
          </cell>
        </row>
        <row r="473">
          <cell r="D473" t="str">
            <v>427-0150-01</v>
          </cell>
          <cell r="E473" t="str">
            <v>Special Item</v>
          </cell>
          <cell r="F473" t="str">
            <v>BRACKET TO SUIT A SERIES FILTE</v>
          </cell>
          <cell r="J473" t="str">
            <v>NNAV</v>
          </cell>
          <cell r="K473" t="str">
            <v>E222</v>
          </cell>
          <cell r="L473" t="str">
            <v>MINI02</v>
          </cell>
          <cell r="P473">
            <v>1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No</v>
          </cell>
          <cell r="Z473" t="str">
            <v/>
          </cell>
          <cell r="AA473" t="str">
            <v>EACH</v>
          </cell>
          <cell r="AB473">
            <v>0</v>
          </cell>
          <cell r="AC473" t="str">
            <v>427-0150-01</v>
          </cell>
          <cell r="AD473" t="str">
            <v>EACH</v>
          </cell>
        </row>
        <row r="474">
          <cell r="D474" t="str">
            <v>202-0334-00</v>
          </cell>
          <cell r="E474" t="str">
            <v>Special Item</v>
          </cell>
          <cell r="F474" t="str">
            <v>EMJ: V2 OPERATOR PANEL (EULA)</v>
          </cell>
          <cell r="J474" t="str">
            <v>NNAV</v>
          </cell>
          <cell r="K474" t="str">
            <v>E222</v>
          </cell>
          <cell r="L474" t="str">
            <v>MINI02</v>
          </cell>
          <cell r="P474">
            <v>1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 t="str">
            <v>No</v>
          </cell>
          <cell r="Z474" t="str">
            <v/>
          </cell>
          <cell r="AA474" t="str">
            <v>EACH</v>
          </cell>
          <cell r="AB474">
            <v>0</v>
          </cell>
          <cell r="AC474" t="str">
            <v>202-0334-00</v>
          </cell>
          <cell r="AD474" t="str">
            <v>EACH</v>
          </cell>
        </row>
        <row r="475">
          <cell r="D475" t="str">
            <v>202-0074-00</v>
          </cell>
          <cell r="E475" t="str">
            <v>Special Item</v>
          </cell>
          <cell r="F475" t="str">
            <v>GRINDER MOTOR/GEARBOX (EMJ)</v>
          </cell>
          <cell r="J475" t="str">
            <v>NNAV</v>
          </cell>
          <cell r="K475" t="str">
            <v>E222</v>
          </cell>
          <cell r="L475" t="str">
            <v>MINI02</v>
          </cell>
          <cell r="P475">
            <v>1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 t="str">
            <v>No</v>
          </cell>
          <cell r="Z475" t="str">
            <v/>
          </cell>
          <cell r="AA475" t="str">
            <v>EACH</v>
          </cell>
          <cell r="AB475">
            <v>0</v>
          </cell>
          <cell r="AC475" t="str">
            <v>202-0074-00</v>
          </cell>
          <cell r="AD475" t="str">
            <v>EACH</v>
          </cell>
        </row>
        <row r="476">
          <cell r="D476" t="str">
            <v>202-0076-00</v>
          </cell>
          <cell r="E476" t="str">
            <v>Special Item</v>
          </cell>
          <cell r="F476" t="str">
            <v>MOTOR WITH GEAR (EMJ)</v>
          </cell>
          <cell r="J476" t="str">
            <v>NNAV</v>
          </cell>
          <cell r="K476" t="str">
            <v>E222</v>
          </cell>
          <cell r="L476" t="str">
            <v>MINI02</v>
          </cell>
          <cell r="P476">
            <v>1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No</v>
          </cell>
          <cell r="Z476" t="str">
            <v/>
          </cell>
          <cell r="AA476" t="str">
            <v>EACH</v>
          </cell>
          <cell r="AB476">
            <v>0</v>
          </cell>
          <cell r="AC476" t="str">
            <v>202-0076-00</v>
          </cell>
          <cell r="AD476" t="str">
            <v>EACH</v>
          </cell>
        </row>
        <row r="477">
          <cell r="D477" t="str">
            <v>427-1300-02</v>
          </cell>
          <cell r="E477" t="str">
            <v>Special Item</v>
          </cell>
          <cell r="F477" t="str">
            <v>PRECISION REGULATOR ESD / EMJ</v>
          </cell>
          <cell r="J477" t="str">
            <v>NNAV</v>
          </cell>
          <cell r="K477" t="str">
            <v>E222</v>
          </cell>
          <cell r="L477" t="str">
            <v>MINI02</v>
          </cell>
          <cell r="P477">
            <v>1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No</v>
          </cell>
          <cell r="Z477" t="str">
            <v/>
          </cell>
          <cell r="AA477" t="str">
            <v>EACH</v>
          </cell>
          <cell r="AB477">
            <v>0</v>
          </cell>
          <cell r="AC477" t="str">
            <v>427-1300-02</v>
          </cell>
          <cell r="AD477" t="str">
            <v>EACH</v>
          </cell>
        </row>
        <row r="478">
          <cell r="D478" t="str">
            <v>202-0091-00</v>
          </cell>
          <cell r="E478" t="str">
            <v>Special Item</v>
          </cell>
          <cell r="F478" t="str">
            <v>SPINDLE HOUSING FOR GEARBOX (E</v>
          </cell>
          <cell r="J478" t="str">
            <v>NNAV</v>
          </cell>
          <cell r="K478" t="str">
            <v>E222</v>
          </cell>
          <cell r="L478" t="str">
            <v>MINI02</v>
          </cell>
          <cell r="P478">
            <v>1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 t="str">
            <v>No</v>
          </cell>
          <cell r="Z478" t="str">
            <v/>
          </cell>
          <cell r="AA478" t="str">
            <v>EACH</v>
          </cell>
          <cell r="AB478">
            <v>0</v>
          </cell>
          <cell r="AC478" t="str">
            <v>202-0091-00</v>
          </cell>
          <cell r="AD478" t="str">
            <v>EACH</v>
          </cell>
        </row>
        <row r="479">
          <cell r="D479" t="str">
            <v>202-0113-00</v>
          </cell>
          <cell r="E479" t="str">
            <v>Special Item</v>
          </cell>
          <cell r="F479" t="str">
            <v>WATER PUMP ASSEMBLY</v>
          </cell>
          <cell r="J479" t="str">
            <v>NNAV</v>
          </cell>
          <cell r="K479" t="str">
            <v>E222</v>
          </cell>
          <cell r="L479" t="str">
            <v>MINI02</v>
          </cell>
          <cell r="P479">
            <v>1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 t="str">
            <v>No</v>
          </cell>
          <cell r="Z479" t="str">
            <v/>
          </cell>
          <cell r="AA479" t="str">
            <v>EACH</v>
          </cell>
          <cell r="AB479">
            <v>0</v>
          </cell>
          <cell r="AC479" t="str">
            <v>202-0113-00</v>
          </cell>
          <cell r="AD479" t="str">
            <v>EACH</v>
          </cell>
        </row>
        <row r="480">
          <cell r="D480" t="str">
            <v>427-0150-02</v>
          </cell>
          <cell r="E480" t="str">
            <v>Special Item</v>
          </cell>
          <cell r="F480" t="str">
            <v>WATER SEPERATOR</v>
          </cell>
          <cell r="J480" t="str">
            <v>NNAV</v>
          </cell>
          <cell r="K480" t="str">
            <v>E222</v>
          </cell>
          <cell r="L480" t="str">
            <v>MINI02</v>
          </cell>
          <cell r="P480">
            <v>1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No</v>
          </cell>
          <cell r="Z480" t="str">
            <v/>
          </cell>
          <cell r="AA480" t="str">
            <v>EACH</v>
          </cell>
          <cell r="AB480">
            <v>0</v>
          </cell>
          <cell r="AC480" t="str">
            <v>427-0150-02</v>
          </cell>
          <cell r="AD480" t="str">
            <v>EACH</v>
          </cell>
        </row>
        <row r="481">
          <cell r="D481" t="str">
            <v>ZENZL9408R</v>
          </cell>
          <cell r="E481" t="str">
            <v>1126335</v>
          </cell>
          <cell r="F481" t="str">
            <v>LED FLASHLIGHT M7R RECHARGABLE</v>
          </cell>
          <cell r="J481" t="str">
            <v>NNAV</v>
          </cell>
          <cell r="K481" t="str">
            <v>E499</v>
          </cell>
          <cell r="L481" t="str">
            <v>MMEL02</v>
          </cell>
          <cell r="P481">
            <v>6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No</v>
          </cell>
          <cell r="Z481" t="str">
            <v/>
          </cell>
          <cell r="AA481" t="str">
            <v>EACH</v>
          </cell>
          <cell r="AB481">
            <v>0</v>
          </cell>
          <cell r="AC481" t="str">
            <v>ZENZL9408R</v>
          </cell>
          <cell r="AD481" t="str">
            <v>EACH</v>
          </cell>
        </row>
        <row r="482">
          <cell r="D482" t="str">
            <v>ZENZL501967</v>
          </cell>
          <cell r="E482" t="str">
            <v>1126920</v>
          </cell>
          <cell r="F482" t="str">
            <v>LED TORCHES</v>
          </cell>
          <cell r="J482" t="str">
            <v>NNAV</v>
          </cell>
          <cell r="K482" t="str">
            <v>E499</v>
          </cell>
          <cell r="L482" t="str">
            <v>MMEL02</v>
          </cell>
          <cell r="P482">
            <v>2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No</v>
          </cell>
          <cell r="Z482" t="str">
            <v/>
          </cell>
          <cell r="AA482" t="str">
            <v>EACH</v>
          </cell>
          <cell r="AB482">
            <v>0</v>
          </cell>
          <cell r="AC482" t="str">
            <v>ZENZL501967</v>
          </cell>
          <cell r="AD482" t="str">
            <v>EACH</v>
          </cell>
        </row>
        <row r="483">
          <cell r="D483" t="str">
            <v>510-WT10000XHW</v>
          </cell>
          <cell r="E483" t="str">
            <v>Special Item</v>
          </cell>
          <cell r="F483" t="str">
            <v>10,000 EXTRA HEAVY W/TANK 300K</v>
          </cell>
          <cell r="J483" t="str">
            <v>NNAV</v>
          </cell>
          <cell r="K483" t="str">
            <v>E500</v>
          </cell>
          <cell r="L483" t="str">
            <v>NAMI03</v>
          </cell>
          <cell r="P483">
            <v>2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No</v>
          </cell>
          <cell r="Z483" t="str">
            <v/>
          </cell>
          <cell r="AA483" t="str">
            <v>EACH</v>
          </cell>
          <cell r="AB483">
            <v>0</v>
          </cell>
          <cell r="AC483" t="str">
            <v>510-WT10000XHW</v>
          </cell>
          <cell r="AD483" t="str">
            <v>EACH</v>
          </cell>
        </row>
        <row r="484">
          <cell r="D484" t="str">
            <v>170-AG15+100C6,01</v>
          </cell>
          <cell r="E484" t="str">
            <v>Special Item</v>
          </cell>
          <cell r="F484" t="str">
            <v>15MM CL.6 LDPE POLY AGRO 100M</v>
          </cell>
          <cell r="J484" t="str">
            <v>NNAV</v>
          </cell>
          <cell r="K484" t="str">
            <v>E499</v>
          </cell>
          <cell r="L484" t="str">
            <v>NAMI03</v>
          </cell>
          <cell r="P484">
            <v>20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No</v>
          </cell>
          <cell r="Z484" t="str">
            <v/>
          </cell>
          <cell r="AA484" t="str">
            <v>EACH</v>
          </cell>
          <cell r="AB484">
            <v>0</v>
          </cell>
          <cell r="AC484" t="str">
            <v>170-AG15+100C6,01</v>
          </cell>
          <cell r="AD484" t="str">
            <v>EACH</v>
          </cell>
        </row>
        <row r="485">
          <cell r="D485" t="str">
            <v>195-20PN12+PE100</v>
          </cell>
          <cell r="E485" t="str">
            <v>Special Item</v>
          </cell>
          <cell r="F485" t="str">
            <v>20MM POLY PN12.5 PE100 SDR13.6</v>
          </cell>
          <cell r="J485" t="str">
            <v>NNAV</v>
          </cell>
          <cell r="K485" t="str">
            <v>E499</v>
          </cell>
          <cell r="L485" t="str">
            <v>NAMI03</v>
          </cell>
          <cell r="P485">
            <v>8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No</v>
          </cell>
          <cell r="Z485" t="str">
            <v/>
          </cell>
          <cell r="AA485" t="str">
            <v>EACH</v>
          </cell>
          <cell r="AB485">
            <v>0</v>
          </cell>
          <cell r="AC485" t="str">
            <v>195-20PN12+PE100</v>
          </cell>
          <cell r="AD485" t="str">
            <v>EACH</v>
          </cell>
        </row>
        <row r="486">
          <cell r="D486" t="str">
            <v>195-25PN125+PE100</v>
          </cell>
          <cell r="E486" t="str">
            <v>Special Item</v>
          </cell>
          <cell r="F486" t="str">
            <v>25mm POLY PN12.5 PE100 SDR13.6</v>
          </cell>
          <cell r="J486" t="str">
            <v>NNAV</v>
          </cell>
          <cell r="K486" t="str">
            <v>E499</v>
          </cell>
          <cell r="L486" t="str">
            <v>NAMI03</v>
          </cell>
          <cell r="P486">
            <v>20</v>
          </cell>
          <cell r="R486">
            <v>0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No</v>
          </cell>
          <cell r="Z486" t="str">
            <v/>
          </cell>
          <cell r="AA486" t="str">
            <v>EACH</v>
          </cell>
          <cell r="AB486">
            <v>0</v>
          </cell>
          <cell r="AC486" t="str">
            <v>195-25PN125+PE100</v>
          </cell>
          <cell r="AD486" t="str">
            <v>EACH</v>
          </cell>
        </row>
        <row r="487">
          <cell r="D487" t="str">
            <v>170-AG40+100C6,01</v>
          </cell>
          <cell r="E487" t="str">
            <v>Special Item</v>
          </cell>
          <cell r="F487" t="str">
            <v>40MM CL.6 LDPE POLY AGRO 100M</v>
          </cell>
          <cell r="J487" t="str">
            <v>NNAV</v>
          </cell>
          <cell r="K487" t="str">
            <v>E499</v>
          </cell>
          <cell r="L487" t="str">
            <v>NAMI03</v>
          </cell>
          <cell r="P487">
            <v>40</v>
          </cell>
          <cell r="R487">
            <v>0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No</v>
          </cell>
          <cell r="Z487" t="str">
            <v/>
          </cell>
          <cell r="AA487" t="str">
            <v>EACH</v>
          </cell>
          <cell r="AB487">
            <v>0</v>
          </cell>
          <cell r="AC487" t="str">
            <v>170-AG40+100C6,01</v>
          </cell>
          <cell r="AD487" t="str">
            <v>EACH</v>
          </cell>
        </row>
        <row r="488">
          <cell r="D488" t="str">
            <v>510-WT5000HW150KG</v>
          </cell>
          <cell r="E488" t="str">
            <v>Special Item</v>
          </cell>
          <cell r="F488" t="str">
            <v>5,000LTR EXTRA HEAVY WEIGHT W/</v>
          </cell>
          <cell r="J488" t="str">
            <v>NNAV</v>
          </cell>
          <cell r="K488" t="str">
            <v>E500</v>
          </cell>
          <cell r="L488" t="str">
            <v>NAMI03</v>
          </cell>
          <cell r="P488">
            <v>4</v>
          </cell>
          <cell r="R488">
            <v>0</v>
          </cell>
          <cell r="S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No</v>
          </cell>
          <cell r="Z488" t="str">
            <v/>
          </cell>
          <cell r="AA488" t="str">
            <v>EACH</v>
          </cell>
          <cell r="AB488">
            <v>0</v>
          </cell>
          <cell r="AC488" t="str">
            <v>510-WT5000HW150KG</v>
          </cell>
          <cell r="AD488" t="str">
            <v>EACH</v>
          </cell>
        </row>
        <row r="489">
          <cell r="D489" t="str">
            <v>ACX1329</v>
          </cell>
          <cell r="E489" t="str">
            <v>Special Item</v>
          </cell>
          <cell r="F489" t="str">
            <v>280X3.6MM CABLE TIE PK100</v>
          </cell>
          <cell r="J489" t="str">
            <v>NNAV</v>
          </cell>
          <cell r="K489" t="str">
            <v>E750</v>
          </cell>
          <cell r="L489" t="str">
            <v>NAPA01</v>
          </cell>
          <cell r="P489">
            <v>20</v>
          </cell>
          <cell r="R489">
            <v>0</v>
          </cell>
          <cell r="S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No</v>
          </cell>
          <cell r="Z489" t="str">
            <v/>
          </cell>
          <cell r="AA489" t="str">
            <v>PACK</v>
          </cell>
          <cell r="AB489">
            <v>0</v>
          </cell>
          <cell r="AC489" t="str">
            <v>ACX1329</v>
          </cell>
          <cell r="AD489" t="str">
            <v>PACK</v>
          </cell>
        </row>
        <row r="490">
          <cell r="D490" t="str">
            <v>70065</v>
          </cell>
          <cell r="E490" t="str">
            <v>2405465</v>
          </cell>
          <cell r="F490" t="str">
            <v>450MM ADUSTABLE WRENCH</v>
          </cell>
          <cell r="J490" t="str">
            <v>NNAV</v>
          </cell>
          <cell r="K490" t="str">
            <v>E750</v>
          </cell>
          <cell r="L490" t="str">
            <v>NAPA01</v>
          </cell>
          <cell r="P490">
            <v>10</v>
          </cell>
          <cell r="R490">
            <v>0</v>
          </cell>
          <cell r="S490">
            <v>0</v>
          </cell>
          <cell r="U490">
            <v>0</v>
          </cell>
          <cell r="V490">
            <v>0</v>
          </cell>
          <cell r="W490">
            <v>0</v>
          </cell>
          <cell r="X490" t="str">
            <v>No</v>
          </cell>
          <cell r="Z490" t="str">
            <v/>
          </cell>
          <cell r="AA490" t="str">
            <v>EACH</v>
          </cell>
          <cell r="AB490">
            <v>0</v>
          </cell>
          <cell r="AC490" t="str">
            <v>70065</v>
          </cell>
          <cell r="AD490" t="str">
            <v>EACH</v>
          </cell>
        </row>
        <row r="491">
          <cell r="D491" t="str">
            <v>48324024</v>
          </cell>
          <cell r="E491" t="str">
            <v>Special Item</v>
          </cell>
          <cell r="F491" t="str">
            <v>50PC IMPACT SET SHOCKWAVE</v>
          </cell>
          <cell r="J491" t="str">
            <v>NNAV</v>
          </cell>
          <cell r="K491" t="str">
            <v>E750</v>
          </cell>
          <cell r="L491" t="str">
            <v>NAPA01</v>
          </cell>
          <cell r="P491">
            <v>1</v>
          </cell>
          <cell r="R491">
            <v>0</v>
          </cell>
          <cell r="S491">
            <v>0</v>
          </cell>
          <cell r="U491">
            <v>0</v>
          </cell>
          <cell r="V491">
            <v>0</v>
          </cell>
          <cell r="W491">
            <v>0</v>
          </cell>
          <cell r="X491" t="str">
            <v>No</v>
          </cell>
          <cell r="Z491" t="str">
            <v/>
          </cell>
          <cell r="AA491" t="str">
            <v>PACK</v>
          </cell>
          <cell r="AB491">
            <v>0</v>
          </cell>
          <cell r="AC491" t="str">
            <v>48324024</v>
          </cell>
          <cell r="AD491" t="str">
            <v>PACK</v>
          </cell>
        </row>
        <row r="492">
          <cell r="D492" t="str">
            <v>LG918</v>
          </cell>
          <cell r="E492" t="str">
            <v>2300285</v>
          </cell>
          <cell r="F492" t="str">
            <v>ABA COMBINATION SMART PADLOCK</v>
          </cell>
          <cell r="J492" t="str">
            <v>NNAV</v>
          </cell>
          <cell r="K492" t="str">
            <v>E750</v>
          </cell>
          <cell r="L492" t="str">
            <v>NAPA01</v>
          </cell>
          <cell r="P492">
            <v>50</v>
          </cell>
          <cell r="R492">
            <v>0</v>
          </cell>
          <cell r="S492">
            <v>0</v>
          </cell>
          <cell r="U492">
            <v>0</v>
          </cell>
          <cell r="V492">
            <v>0</v>
          </cell>
          <cell r="W492">
            <v>0</v>
          </cell>
          <cell r="X492" t="str">
            <v>No</v>
          </cell>
          <cell r="Z492" t="str">
            <v/>
          </cell>
          <cell r="AA492" t="str">
            <v>EACH</v>
          </cell>
          <cell r="AB492">
            <v>0</v>
          </cell>
          <cell r="AC492" t="str">
            <v>LG918</v>
          </cell>
          <cell r="AD492" t="str">
            <v>EACH</v>
          </cell>
        </row>
        <row r="493">
          <cell r="D493" t="str">
            <v>ABUS65/50</v>
          </cell>
          <cell r="E493" t="str">
            <v>Special Item</v>
          </cell>
          <cell r="F493" t="str">
            <v>ABUS PADLOCK KEYED ALIKE NUMBE</v>
          </cell>
          <cell r="J493" t="str">
            <v>NNAV</v>
          </cell>
          <cell r="K493" t="str">
            <v>E779</v>
          </cell>
          <cell r="L493" t="str">
            <v>NAPA01</v>
          </cell>
          <cell r="P493">
            <v>20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 t="str">
            <v>No</v>
          </cell>
          <cell r="Z493" t="str">
            <v/>
          </cell>
          <cell r="AA493" t="str">
            <v>EACH</v>
          </cell>
          <cell r="AB493">
            <v>0</v>
          </cell>
          <cell r="AC493" t="str">
            <v>ABUS65/50</v>
          </cell>
          <cell r="AD493" t="str">
            <v>EACH</v>
          </cell>
        </row>
        <row r="494">
          <cell r="D494" t="str">
            <v>AMPCT-500-1ANZ</v>
          </cell>
          <cell r="E494" t="str">
            <v>Special Item</v>
          </cell>
          <cell r="F494" t="str">
            <v>ARMOUR ALL MULTI PURPOSE 16OZ</v>
          </cell>
          <cell r="J494" t="str">
            <v>NNAV</v>
          </cell>
          <cell r="K494" t="str">
            <v>E499</v>
          </cell>
          <cell r="L494" t="str">
            <v>NAPA01</v>
          </cell>
          <cell r="P494">
            <v>15</v>
          </cell>
          <cell r="R494">
            <v>0</v>
          </cell>
          <cell r="S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No</v>
          </cell>
          <cell r="Z494" t="str">
            <v/>
          </cell>
          <cell r="AA494" t="str">
            <v>EACH</v>
          </cell>
          <cell r="AB494">
            <v>0</v>
          </cell>
          <cell r="AC494" t="str">
            <v>AMPCT-500-1ANZ</v>
          </cell>
          <cell r="AD494" t="str">
            <v>EACH</v>
          </cell>
        </row>
        <row r="495">
          <cell r="D495" t="str">
            <v>500072</v>
          </cell>
          <cell r="E495" t="str">
            <v>1000030</v>
          </cell>
          <cell r="F495" t="str">
            <v>BAG CRIB CANVAS</v>
          </cell>
          <cell r="J495" t="str">
            <v>NNAV</v>
          </cell>
          <cell r="K495" t="str">
            <v>E750</v>
          </cell>
          <cell r="L495" t="str">
            <v>NAPA01</v>
          </cell>
          <cell r="P495">
            <v>50</v>
          </cell>
          <cell r="R495">
            <v>0</v>
          </cell>
          <cell r="S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No</v>
          </cell>
          <cell r="Z495" t="str">
            <v/>
          </cell>
          <cell r="AA495" t="str">
            <v>EACH</v>
          </cell>
          <cell r="AB495">
            <v>0</v>
          </cell>
          <cell r="AC495" t="str">
            <v>500072</v>
          </cell>
          <cell r="AD495" t="str">
            <v>EACH</v>
          </cell>
        </row>
        <row r="496">
          <cell r="D496" t="str">
            <v>RMR15</v>
          </cell>
          <cell r="E496" t="str">
            <v>2407450</v>
          </cell>
          <cell r="F496" t="str">
            <v>BAG OF RAGS 15KG</v>
          </cell>
          <cell r="J496" t="str">
            <v>NNAV</v>
          </cell>
          <cell r="K496" t="str">
            <v>E750</v>
          </cell>
          <cell r="L496" t="str">
            <v>NAPA01</v>
          </cell>
          <cell r="P496">
            <v>75</v>
          </cell>
          <cell r="R496">
            <v>0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No</v>
          </cell>
          <cell r="Z496" t="str">
            <v/>
          </cell>
          <cell r="AA496" t="str">
            <v>EACH</v>
          </cell>
          <cell r="AB496">
            <v>0</v>
          </cell>
          <cell r="AC496" t="str">
            <v>RMR15</v>
          </cell>
          <cell r="AD496" t="str">
            <v>EACH</v>
          </cell>
        </row>
        <row r="497">
          <cell r="D497" t="str">
            <v>B10-1</v>
          </cell>
          <cell r="E497" t="str">
            <v>Special Item</v>
          </cell>
          <cell r="F497" t="str">
            <v>BARRIER CREAM 1 LTR B10</v>
          </cell>
          <cell r="J497" t="str">
            <v>NNAV</v>
          </cell>
          <cell r="K497" t="str">
            <v>E653</v>
          </cell>
          <cell r="L497" t="str">
            <v>NAPA01</v>
          </cell>
          <cell r="P497">
            <v>15</v>
          </cell>
          <cell r="R497">
            <v>0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No</v>
          </cell>
          <cell r="Z497" t="str">
            <v/>
          </cell>
          <cell r="AA497" t="str">
            <v>EACH</v>
          </cell>
          <cell r="AB497">
            <v>0</v>
          </cell>
          <cell r="AC497" t="str">
            <v>B10-1</v>
          </cell>
          <cell r="AD497" t="str">
            <v>EACH</v>
          </cell>
        </row>
        <row r="498">
          <cell r="D498" t="str">
            <v>M12-18FC</v>
          </cell>
          <cell r="E498" t="str">
            <v>2300930</v>
          </cell>
          <cell r="F498" t="str">
            <v>BATTERY CHARGER 18V RAPID</v>
          </cell>
          <cell r="J498" t="str">
            <v>NNAV</v>
          </cell>
          <cell r="K498" t="str">
            <v>E750</v>
          </cell>
          <cell r="L498" t="str">
            <v>NAPA01</v>
          </cell>
          <cell r="P498">
            <v>2</v>
          </cell>
          <cell r="R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 t="str">
            <v>No</v>
          </cell>
          <cell r="Z498" t="str">
            <v/>
          </cell>
          <cell r="AA498" t="str">
            <v>EACH</v>
          </cell>
          <cell r="AB498">
            <v>0</v>
          </cell>
          <cell r="AC498" t="str">
            <v>M12-18FC</v>
          </cell>
          <cell r="AD498" t="str">
            <v>EACH</v>
          </cell>
        </row>
        <row r="499">
          <cell r="D499" t="str">
            <v>2251359</v>
          </cell>
          <cell r="E499" t="str">
            <v>Special Item</v>
          </cell>
          <cell r="F499" t="str">
            <v>BATTERY NURON B22-170</v>
          </cell>
          <cell r="J499" t="str">
            <v>NNAV</v>
          </cell>
          <cell r="K499" t="str">
            <v>E779</v>
          </cell>
          <cell r="L499" t="str">
            <v>NAPA01</v>
          </cell>
          <cell r="P499">
            <v>4</v>
          </cell>
          <cell r="R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 t="str">
            <v>No</v>
          </cell>
          <cell r="Z499" t="str">
            <v/>
          </cell>
          <cell r="AA499" t="str">
            <v>EACH</v>
          </cell>
          <cell r="AB499">
            <v>0</v>
          </cell>
          <cell r="AC499" t="str">
            <v>2251359</v>
          </cell>
          <cell r="AD499" t="str">
            <v>EACH</v>
          </cell>
        </row>
        <row r="500">
          <cell r="D500" t="str">
            <v>KBH46GCM160100</v>
          </cell>
          <cell r="E500" t="str">
            <v>Special Item</v>
          </cell>
          <cell r="F500" t="str">
            <v>BOLT &amp; NUT M16X100MM GAL PK/50</v>
          </cell>
          <cell r="J500" t="str">
            <v>NNAV</v>
          </cell>
          <cell r="K500" t="str">
            <v>E750</v>
          </cell>
          <cell r="L500" t="str">
            <v>NAPA01</v>
          </cell>
          <cell r="P500">
            <v>12</v>
          </cell>
          <cell r="R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No</v>
          </cell>
          <cell r="Z500" t="str">
            <v/>
          </cell>
          <cell r="AA500" t="str">
            <v>PACK</v>
          </cell>
          <cell r="AB500">
            <v>0</v>
          </cell>
          <cell r="AC500" t="str">
            <v>KBH46GCM160100</v>
          </cell>
          <cell r="AD500" t="str">
            <v>PACK</v>
          </cell>
        </row>
        <row r="501">
          <cell r="D501" t="str">
            <v>2254433</v>
          </cell>
          <cell r="E501" t="str">
            <v>Special Item</v>
          </cell>
          <cell r="F501" t="str">
            <v>C 6-22 220V BATTERY CHARGER</v>
          </cell>
          <cell r="J501" t="str">
            <v>NNAV</v>
          </cell>
          <cell r="K501" t="str">
            <v>E779</v>
          </cell>
          <cell r="L501" t="str">
            <v>NAPA01</v>
          </cell>
          <cell r="P501">
            <v>2</v>
          </cell>
          <cell r="R501">
            <v>0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No</v>
          </cell>
          <cell r="Z501" t="str">
            <v/>
          </cell>
          <cell r="AA501" t="str">
            <v>EACH</v>
          </cell>
          <cell r="AB501">
            <v>0</v>
          </cell>
          <cell r="AC501" t="str">
            <v>2254433</v>
          </cell>
          <cell r="AD501" t="str">
            <v>EACH</v>
          </cell>
        </row>
        <row r="502">
          <cell r="D502" t="str">
            <v>ACX1317</v>
          </cell>
          <cell r="E502" t="str">
            <v>5704490</v>
          </cell>
          <cell r="F502" t="str">
            <v>CABLE TIES</v>
          </cell>
          <cell r="J502" t="str">
            <v>NNAV</v>
          </cell>
          <cell r="K502" t="str">
            <v>E750</v>
          </cell>
          <cell r="L502" t="str">
            <v>NAPA01</v>
          </cell>
          <cell r="P502">
            <v>25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 t="str">
            <v>No</v>
          </cell>
          <cell r="Z502" t="str">
            <v/>
          </cell>
          <cell r="AA502" t="str">
            <v>EACH</v>
          </cell>
          <cell r="AB502">
            <v>0</v>
          </cell>
          <cell r="AC502" t="str">
            <v>ACX1317</v>
          </cell>
          <cell r="AD502" t="str">
            <v>EACH</v>
          </cell>
        </row>
        <row r="503">
          <cell r="D503" t="str">
            <v>ACX1320</v>
          </cell>
          <cell r="E503" t="str">
            <v>5704500</v>
          </cell>
          <cell r="F503" t="str">
            <v>CABLE TIES</v>
          </cell>
          <cell r="J503" t="str">
            <v>NNAV</v>
          </cell>
          <cell r="K503" t="str">
            <v>E750</v>
          </cell>
          <cell r="L503" t="str">
            <v>NAPA01</v>
          </cell>
          <cell r="P503">
            <v>25</v>
          </cell>
          <cell r="R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 t="str">
            <v>No</v>
          </cell>
          <cell r="Z503" t="str">
            <v/>
          </cell>
          <cell r="AA503" t="str">
            <v>EACH</v>
          </cell>
          <cell r="AB503">
            <v>0</v>
          </cell>
          <cell r="AC503" t="str">
            <v>ACX1320</v>
          </cell>
          <cell r="AD503" t="str">
            <v>EACH</v>
          </cell>
        </row>
        <row r="504">
          <cell r="D504" t="str">
            <v>ACX1328</v>
          </cell>
          <cell r="E504" t="str">
            <v>5701560</v>
          </cell>
          <cell r="F504" t="str">
            <v>CABLE TIES 200 X 8 BLACK(65-90</v>
          </cell>
          <cell r="J504" t="str">
            <v>NNAV</v>
          </cell>
          <cell r="K504" t="str">
            <v>E750</v>
          </cell>
          <cell r="L504" t="str">
            <v>NAPA01</v>
          </cell>
          <cell r="P504">
            <v>20</v>
          </cell>
          <cell r="R504">
            <v>0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 t="str">
            <v>No</v>
          </cell>
          <cell r="Z504" t="str">
            <v/>
          </cell>
          <cell r="AA504" t="str">
            <v>PKT</v>
          </cell>
          <cell r="AB504">
            <v>0</v>
          </cell>
          <cell r="AC504" t="str">
            <v>ACX1328</v>
          </cell>
          <cell r="AD504" t="str">
            <v>PKT</v>
          </cell>
        </row>
        <row r="505">
          <cell r="D505" t="str">
            <v>110510</v>
          </cell>
          <cell r="E505" t="str">
            <v>Special Item</v>
          </cell>
          <cell r="F505" t="str">
            <v>CHAIN BLOCK 1T X 6M</v>
          </cell>
          <cell r="J505" t="str">
            <v>NNAV</v>
          </cell>
          <cell r="K505" t="str">
            <v>E499</v>
          </cell>
          <cell r="L505" t="str">
            <v>NAPA01</v>
          </cell>
          <cell r="P505">
            <v>10</v>
          </cell>
          <cell r="R505">
            <v>0</v>
          </cell>
          <cell r="S505">
            <v>0</v>
          </cell>
          <cell r="U505">
            <v>0</v>
          </cell>
          <cell r="V505">
            <v>0</v>
          </cell>
          <cell r="W505">
            <v>0</v>
          </cell>
          <cell r="X505" t="str">
            <v>No</v>
          </cell>
          <cell r="Z505" t="str">
            <v/>
          </cell>
          <cell r="AA505" t="str">
            <v>EACH</v>
          </cell>
          <cell r="AB505">
            <v>0</v>
          </cell>
          <cell r="AC505" t="str">
            <v>110510</v>
          </cell>
          <cell r="AD505" t="str">
            <v>EACH</v>
          </cell>
        </row>
        <row r="506">
          <cell r="D506" t="str">
            <v>66252841561</v>
          </cell>
          <cell r="E506" t="str">
            <v>2300920</v>
          </cell>
          <cell r="F506" t="str">
            <v>CUT OFF WHL S/S 125X2.5X22.2MM</v>
          </cell>
          <cell r="J506" t="str">
            <v>NNAV</v>
          </cell>
          <cell r="K506" t="str">
            <v>E750</v>
          </cell>
          <cell r="L506" t="str">
            <v>NAPA01</v>
          </cell>
          <cell r="P506">
            <v>50</v>
          </cell>
          <cell r="R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 t="str">
            <v>No</v>
          </cell>
          <cell r="Z506" t="str">
            <v/>
          </cell>
          <cell r="AA506" t="str">
            <v>EACH</v>
          </cell>
          <cell r="AB506">
            <v>0</v>
          </cell>
          <cell r="AC506" t="str">
            <v>66252841561</v>
          </cell>
          <cell r="AD506" t="str">
            <v>EACH</v>
          </cell>
        </row>
        <row r="507">
          <cell r="D507" t="str">
            <v>CT24HLC</v>
          </cell>
          <cell r="E507" t="str">
            <v>4000119</v>
          </cell>
          <cell r="F507" t="str">
            <v>CUTTER BOLT 600MM (24")</v>
          </cell>
          <cell r="J507" t="str">
            <v>NNAV</v>
          </cell>
          <cell r="K507" t="str">
            <v>E750</v>
          </cell>
          <cell r="L507" t="str">
            <v>NAPA01</v>
          </cell>
          <cell r="P507">
            <v>17</v>
          </cell>
          <cell r="R507">
            <v>0</v>
          </cell>
          <cell r="S507">
            <v>0</v>
          </cell>
          <cell r="U507">
            <v>0</v>
          </cell>
          <cell r="V507">
            <v>0</v>
          </cell>
          <cell r="W507">
            <v>0</v>
          </cell>
          <cell r="X507" t="str">
            <v>No</v>
          </cell>
          <cell r="Z507" t="str">
            <v/>
          </cell>
          <cell r="AA507" t="str">
            <v>EACH</v>
          </cell>
          <cell r="AB507">
            <v>0</v>
          </cell>
          <cell r="AC507" t="str">
            <v>CT24HLC</v>
          </cell>
          <cell r="AD507" t="str">
            <v>EACH</v>
          </cell>
        </row>
        <row r="508">
          <cell r="D508" t="str">
            <v>LG950908</v>
          </cell>
          <cell r="E508" t="str">
            <v>1081280</v>
          </cell>
          <cell r="F508" t="str">
            <v>DISTO D5</v>
          </cell>
          <cell r="J508" t="str">
            <v>NNAV</v>
          </cell>
          <cell r="K508" t="str">
            <v>E779</v>
          </cell>
          <cell r="L508" t="str">
            <v>NAPA01</v>
          </cell>
          <cell r="P508">
            <v>4</v>
          </cell>
          <cell r="R508">
            <v>0</v>
          </cell>
          <cell r="S508">
            <v>0</v>
          </cell>
          <cell r="U508">
            <v>0</v>
          </cell>
          <cell r="V508">
            <v>0</v>
          </cell>
          <cell r="W508">
            <v>0</v>
          </cell>
          <cell r="X508" t="str">
            <v>No</v>
          </cell>
          <cell r="Z508" t="str">
            <v/>
          </cell>
          <cell r="AA508" t="str">
            <v>EACH</v>
          </cell>
          <cell r="AB508">
            <v>0</v>
          </cell>
          <cell r="AC508" t="str">
            <v>LG950908</v>
          </cell>
          <cell r="AD508" t="str">
            <v>EACH</v>
          </cell>
        </row>
        <row r="509">
          <cell r="D509" t="str">
            <v>D6011000</v>
          </cell>
          <cell r="E509" t="str">
            <v>Special Item</v>
          </cell>
          <cell r="F509" t="str">
            <v>DRILL 10MMX 150MM MSNRY TO SUI</v>
          </cell>
          <cell r="J509" t="str">
            <v>NNAV</v>
          </cell>
          <cell r="K509" t="str">
            <v>E750</v>
          </cell>
          <cell r="L509" t="str">
            <v>NAPA01</v>
          </cell>
          <cell r="P509">
            <v>15</v>
          </cell>
          <cell r="R509">
            <v>0</v>
          </cell>
          <cell r="S509">
            <v>0</v>
          </cell>
          <cell r="U509">
            <v>0</v>
          </cell>
          <cell r="V509">
            <v>0</v>
          </cell>
          <cell r="W509">
            <v>0</v>
          </cell>
          <cell r="X509" t="str">
            <v>No</v>
          </cell>
          <cell r="Z509" t="str">
            <v/>
          </cell>
          <cell r="AA509" t="str">
            <v>EACH</v>
          </cell>
          <cell r="AB509">
            <v>0</v>
          </cell>
          <cell r="AC509" t="str">
            <v>D6011000</v>
          </cell>
          <cell r="AD509" t="str">
            <v>EACH</v>
          </cell>
        </row>
        <row r="510">
          <cell r="D510" t="str">
            <v>D6011600</v>
          </cell>
          <cell r="E510" t="str">
            <v>Special Item</v>
          </cell>
          <cell r="F510" t="str">
            <v>DRILL 16MMX 150MM MSNRY TO SUI</v>
          </cell>
          <cell r="J510" t="str">
            <v>NNAV</v>
          </cell>
          <cell r="K510" t="str">
            <v>E750</v>
          </cell>
          <cell r="L510" t="str">
            <v>NAPA01</v>
          </cell>
          <cell r="P510">
            <v>15</v>
          </cell>
          <cell r="R510">
            <v>0</v>
          </cell>
          <cell r="S510">
            <v>0</v>
          </cell>
          <cell r="U510">
            <v>0</v>
          </cell>
          <cell r="V510">
            <v>0</v>
          </cell>
          <cell r="W510">
            <v>0</v>
          </cell>
          <cell r="X510" t="str">
            <v>No</v>
          </cell>
          <cell r="Z510" t="str">
            <v/>
          </cell>
          <cell r="AA510" t="str">
            <v>EACH</v>
          </cell>
          <cell r="AB510">
            <v>0</v>
          </cell>
          <cell r="AC510" t="str">
            <v>D6011600</v>
          </cell>
          <cell r="AD510" t="str">
            <v>EACH</v>
          </cell>
        </row>
        <row r="511">
          <cell r="D511" t="str">
            <v>D6010800</v>
          </cell>
          <cell r="E511" t="str">
            <v>Special Item</v>
          </cell>
          <cell r="F511" t="str">
            <v>DRILL 8MMX 150MM MSNRY TO SUIT</v>
          </cell>
          <cell r="J511" t="str">
            <v>NNAV</v>
          </cell>
          <cell r="K511" t="str">
            <v>E750</v>
          </cell>
          <cell r="L511" t="str">
            <v>NAPA01</v>
          </cell>
          <cell r="P511">
            <v>15</v>
          </cell>
          <cell r="R511">
            <v>0</v>
          </cell>
          <cell r="S511">
            <v>0</v>
          </cell>
          <cell r="U511">
            <v>0</v>
          </cell>
          <cell r="V511">
            <v>0</v>
          </cell>
          <cell r="W511">
            <v>0</v>
          </cell>
          <cell r="X511" t="str">
            <v>No</v>
          </cell>
          <cell r="Z511" t="str">
            <v/>
          </cell>
          <cell r="AA511" t="str">
            <v>EACH</v>
          </cell>
          <cell r="AB511">
            <v>0</v>
          </cell>
          <cell r="AC511" t="str">
            <v>D6010800</v>
          </cell>
          <cell r="AD511" t="str">
            <v>EACH</v>
          </cell>
        </row>
        <row r="512">
          <cell r="D512" t="str">
            <v>D102SM8</v>
          </cell>
          <cell r="E512" t="str">
            <v>Special Item</v>
          </cell>
          <cell r="F512" t="str">
            <v>DRILL SET SM8 1.0-13.0 29PC</v>
          </cell>
          <cell r="J512" t="str">
            <v>NNAV</v>
          </cell>
          <cell r="K512" t="str">
            <v>E750</v>
          </cell>
          <cell r="L512" t="str">
            <v>NAPA01</v>
          </cell>
          <cell r="P512">
            <v>2</v>
          </cell>
          <cell r="R512">
            <v>0</v>
          </cell>
          <cell r="S512">
            <v>0</v>
          </cell>
          <cell r="U512">
            <v>0</v>
          </cell>
          <cell r="V512">
            <v>0</v>
          </cell>
          <cell r="W512">
            <v>0</v>
          </cell>
          <cell r="X512" t="str">
            <v>No</v>
          </cell>
          <cell r="Z512" t="str">
            <v/>
          </cell>
          <cell r="AA512" t="str">
            <v>PACK</v>
          </cell>
          <cell r="AB512">
            <v>0</v>
          </cell>
          <cell r="AC512" t="str">
            <v>D102SM8</v>
          </cell>
          <cell r="AD512" t="str">
            <v>PACK</v>
          </cell>
        </row>
        <row r="513">
          <cell r="D513" t="str">
            <v>D08045X</v>
          </cell>
          <cell r="E513" t="str">
            <v>2404955</v>
          </cell>
          <cell r="F513" t="str">
            <v>DYNA BOLT EYE 8MM 100 PK</v>
          </cell>
          <cell r="J513" t="str">
            <v>NNAV</v>
          </cell>
          <cell r="K513" t="str">
            <v>E750</v>
          </cell>
          <cell r="L513" t="str">
            <v>NAPA01</v>
          </cell>
          <cell r="P513">
            <v>10</v>
          </cell>
          <cell r="R513">
            <v>0</v>
          </cell>
          <cell r="S513">
            <v>0</v>
          </cell>
          <cell r="U513">
            <v>0</v>
          </cell>
          <cell r="V513">
            <v>0</v>
          </cell>
          <cell r="W513">
            <v>0</v>
          </cell>
          <cell r="X513" t="str">
            <v>No</v>
          </cell>
          <cell r="Z513" t="str">
            <v/>
          </cell>
          <cell r="AA513" t="str">
            <v>EACH</v>
          </cell>
          <cell r="AB513">
            <v>0</v>
          </cell>
          <cell r="AC513" t="str">
            <v>D08045X</v>
          </cell>
          <cell r="AD513" t="str">
            <v>EACH</v>
          </cell>
        </row>
        <row r="514">
          <cell r="D514" t="str">
            <v>DP10100</v>
          </cell>
          <cell r="E514" t="str">
            <v>Special Item</v>
          </cell>
          <cell r="F514" t="str">
            <v>DYNABOLT M10X100 ZINC</v>
          </cell>
          <cell r="J514" t="str">
            <v>NNAV</v>
          </cell>
          <cell r="K514" t="str">
            <v>E750</v>
          </cell>
          <cell r="L514" t="str">
            <v>NAPA01</v>
          </cell>
          <cell r="P514">
            <v>250</v>
          </cell>
          <cell r="R514">
            <v>0</v>
          </cell>
          <cell r="S514">
            <v>0</v>
          </cell>
          <cell r="U514">
            <v>0</v>
          </cell>
          <cell r="V514">
            <v>0</v>
          </cell>
          <cell r="W514">
            <v>0</v>
          </cell>
          <cell r="X514" t="str">
            <v>No</v>
          </cell>
          <cell r="Z514" t="str">
            <v/>
          </cell>
          <cell r="AA514" t="str">
            <v>EACH</v>
          </cell>
          <cell r="AB514">
            <v>0</v>
          </cell>
          <cell r="AC514" t="str">
            <v>DP10100</v>
          </cell>
          <cell r="AD514" t="str">
            <v>EACH</v>
          </cell>
        </row>
        <row r="515">
          <cell r="D515" t="str">
            <v>66252841305</v>
          </cell>
          <cell r="E515" t="str">
            <v>Special Item</v>
          </cell>
          <cell r="F515" t="str">
            <v>GRINDING DISC- 125MM</v>
          </cell>
          <cell r="J515" t="str">
            <v>NNAV</v>
          </cell>
          <cell r="K515" t="str">
            <v>E750</v>
          </cell>
          <cell r="L515" t="str">
            <v>NAPA01</v>
          </cell>
          <cell r="P515">
            <v>50</v>
          </cell>
          <cell r="R515">
            <v>0</v>
          </cell>
          <cell r="S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No</v>
          </cell>
          <cell r="Z515" t="str">
            <v/>
          </cell>
          <cell r="AA515" t="str">
            <v>EACH</v>
          </cell>
          <cell r="AB515">
            <v>0</v>
          </cell>
          <cell r="AC515" t="str">
            <v>66252841305</v>
          </cell>
          <cell r="AD515" t="str">
            <v>EACH</v>
          </cell>
        </row>
        <row r="516">
          <cell r="D516" t="str">
            <v>SJ-HS10</v>
          </cell>
          <cell r="E516" t="str">
            <v>2400715</v>
          </cell>
          <cell r="F516" t="str">
            <v>HACKSAW</v>
          </cell>
          <cell r="J516" t="str">
            <v>NNAV</v>
          </cell>
          <cell r="K516" t="str">
            <v>E750</v>
          </cell>
          <cell r="L516" t="str">
            <v>NAPA01</v>
          </cell>
          <cell r="P516">
            <v>25</v>
          </cell>
          <cell r="R516">
            <v>0</v>
          </cell>
          <cell r="S516">
            <v>0</v>
          </cell>
          <cell r="U516">
            <v>0</v>
          </cell>
          <cell r="V516">
            <v>0</v>
          </cell>
          <cell r="W516">
            <v>0</v>
          </cell>
          <cell r="X516" t="str">
            <v>No</v>
          </cell>
          <cell r="Z516" t="str">
            <v/>
          </cell>
          <cell r="AA516" t="str">
            <v>EACH</v>
          </cell>
          <cell r="AB516">
            <v>0</v>
          </cell>
          <cell r="AC516" t="str">
            <v>SJ-HS10</v>
          </cell>
          <cell r="AD516" t="str">
            <v>EACH</v>
          </cell>
        </row>
        <row r="517">
          <cell r="D517" t="str">
            <v>EC-AE46X</v>
          </cell>
          <cell r="E517" t="str">
            <v>Special Item</v>
          </cell>
          <cell r="F517" t="str">
            <v>HACKSAW BLADE 32TPI</v>
          </cell>
          <cell r="J517" t="str">
            <v>NNAV</v>
          </cell>
          <cell r="K517" t="str">
            <v>E750</v>
          </cell>
          <cell r="L517" t="str">
            <v>NAPA01</v>
          </cell>
          <cell r="P517">
            <v>200</v>
          </cell>
          <cell r="R517">
            <v>0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 t="str">
            <v>No</v>
          </cell>
          <cell r="Z517" t="str">
            <v/>
          </cell>
          <cell r="AA517" t="str">
            <v>EACH</v>
          </cell>
          <cell r="AB517">
            <v>0</v>
          </cell>
          <cell r="AC517" t="str">
            <v>EC-AE46X</v>
          </cell>
          <cell r="AD517" t="str">
            <v>EACH</v>
          </cell>
        </row>
        <row r="518">
          <cell r="D518" t="str">
            <v>411215</v>
          </cell>
          <cell r="E518" t="str">
            <v>Special Item</v>
          </cell>
          <cell r="F518" t="str">
            <v>HAMMER DILL BIT TE-CX (12) L1</v>
          </cell>
          <cell r="J518" t="str">
            <v>NNAV</v>
          </cell>
          <cell r="K518" t="str">
            <v>E779</v>
          </cell>
          <cell r="L518" t="str">
            <v>NAPA01</v>
          </cell>
          <cell r="P518">
            <v>1</v>
          </cell>
          <cell r="R518">
            <v>0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 t="str">
            <v>No</v>
          </cell>
          <cell r="Z518" t="str">
            <v/>
          </cell>
          <cell r="AA518" t="str">
            <v>EACH</v>
          </cell>
          <cell r="AB518">
            <v>0</v>
          </cell>
          <cell r="AC518" t="str">
            <v>411215</v>
          </cell>
          <cell r="AD518" t="str">
            <v>EACH</v>
          </cell>
        </row>
        <row r="519">
          <cell r="D519" t="str">
            <v>2151591</v>
          </cell>
          <cell r="E519" t="str">
            <v>Special Item</v>
          </cell>
          <cell r="F519" t="str">
            <v>HAMMER DILL BIT TE-CX 16/27 MP</v>
          </cell>
          <cell r="J519" t="str">
            <v>NNAV</v>
          </cell>
          <cell r="K519" t="str">
            <v>E779</v>
          </cell>
          <cell r="L519" t="str">
            <v>NAPA01</v>
          </cell>
          <cell r="P519">
            <v>2</v>
          </cell>
          <cell r="R519">
            <v>0</v>
          </cell>
          <cell r="S519">
            <v>0</v>
          </cell>
          <cell r="U519">
            <v>0</v>
          </cell>
          <cell r="V519">
            <v>0</v>
          </cell>
          <cell r="W519">
            <v>0</v>
          </cell>
          <cell r="X519" t="str">
            <v>No</v>
          </cell>
          <cell r="Z519" t="str">
            <v/>
          </cell>
          <cell r="AA519" t="str">
            <v>EACH</v>
          </cell>
          <cell r="AB519">
            <v>0</v>
          </cell>
          <cell r="AC519" t="str">
            <v>2151591</v>
          </cell>
          <cell r="AD519" t="str">
            <v>EACH</v>
          </cell>
        </row>
        <row r="520">
          <cell r="D520" t="str">
            <v>2151584</v>
          </cell>
          <cell r="E520" t="str">
            <v>Special Item</v>
          </cell>
          <cell r="F520" t="str">
            <v>HAMMER DRILL BIT TE-CX 12/27 M</v>
          </cell>
          <cell r="J520" t="str">
            <v>NNAV</v>
          </cell>
          <cell r="K520" t="str">
            <v>E779</v>
          </cell>
          <cell r="L520" t="str">
            <v>NAPA01</v>
          </cell>
          <cell r="P520">
            <v>2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 t="str">
            <v>No</v>
          </cell>
          <cell r="Z520" t="str">
            <v/>
          </cell>
          <cell r="AA520" t="str">
            <v>EACH</v>
          </cell>
          <cell r="AB520">
            <v>0</v>
          </cell>
          <cell r="AC520" t="str">
            <v>2151584</v>
          </cell>
          <cell r="AD520" t="str">
            <v>EACH</v>
          </cell>
        </row>
        <row r="521">
          <cell r="D521" t="str">
            <v>2022004</v>
          </cell>
          <cell r="E521" t="str">
            <v>Special Item</v>
          </cell>
          <cell r="F521" t="str">
            <v>HAMMER DRILL BIT TE-CX 8/22 MP</v>
          </cell>
          <cell r="J521" t="str">
            <v>NNAV</v>
          </cell>
          <cell r="K521" t="str">
            <v>E779</v>
          </cell>
          <cell r="L521" t="str">
            <v>NAPA01</v>
          </cell>
          <cell r="P521">
            <v>2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 t="str">
            <v>No</v>
          </cell>
          <cell r="Z521" t="str">
            <v/>
          </cell>
          <cell r="AA521" t="str">
            <v>EACH</v>
          </cell>
          <cell r="AB521">
            <v>0</v>
          </cell>
          <cell r="AC521" t="str">
            <v>2022004</v>
          </cell>
          <cell r="AD521" t="str">
            <v>EACH</v>
          </cell>
        </row>
        <row r="522">
          <cell r="D522" t="str">
            <v>TH316</v>
          </cell>
          <cell r="E522" t="str">
            <v>4001160</v>
          </cell>
          <cell r="F522" t="str">
            <v>HAMMER SLEDGE 6LB COPPER</v>
          </cell>
          <cell r="J522" t="str">
            <v>NNAV</v>
          </cell>
          <cell r="K522" t="str">
            <v>E750</v>
          </cell>
          <cell r="L522" t="str">
            <v>NAPA01</v>
          </cell>
          <cell r="P522">
            <v>4</v>
          </cell>
          <cell r="R522">
            <v>0</v>
          </cell>
          <cell r="S522">
            <v>0</v>
          </cell>
          <cell r="U522">
            <v>0</v>
          </cell>
          <cell r="V522">
            <v>0</v>
          </cell>
          <cell r="W522">
            <v>0</v>
          </cell>
          <cell r="X522" t="str">
            <v>No</v>
          </cell>
          <cell r="Z522" t="str">
            <v/>
          </cell>
          <cell r="AA522" t="str">
            <v>EACH</v>
          </cell>
          <cell r="AB522">
            <v>0</v>
          </cell>
          <cell r="AC522" t="str">
            <v>TH316</v>
          </cell>
          <cell r="AD522" t="str">
            <v>EACH</v>
          </cell>
        </row>
        <row r="523">
          <cell r="D523" t="str">
            <v>TH314</v>
          </cell>
          <cell r="E523" t="str">
            <v>4001175</v>
          </cell>
          <cell r="F523" t="str">
            <v>HAMMER THOR 44MM COPPER/COPPER</v>
          </cell>
          <cell r="J523" t="str">
            <v>NNAV</v>
          </cell>
          <cell r="K523" t="str">
            <v>E750</v>
          </cell>
          <cell r="L523" t="str">
            <v>NAPA01</v>
          </cell>
          <cell r="P523">
            <v>12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 t="str">
            <v>No</v>
          </cell>
          <cell r="Z523" t="str">
            <v/>
          </cell>
          <cell r="AA523" t="str">
            <v>EACH</v>
          </cell>
          <cell r="AB523">
            <v>0</v>
          </cell>
          <cell r="AC523" t="str">
            <v>TH314</v>
          </cell>
          <cell r="AD523" t="str">
            <v>EACH</v>
          </cell>
        </row>
        <row r="524">
          <cell r="D524" t="str">
            <v>ACX1321</v>
          </cell>
          <cell r="E524" t="str">
            <v>1115537</v>
          </cell>
          <cell r="F524" t="str">
            <v>HEAVY DUTY CABLE TIES</v>
          </cell>
          <cell r="J524" t="str">
            <v>NNAV</v>
          </cell>
          <cell r="K524" t="str">
            <v>E750</v>
          </cell>
          <cell r="L524" t="str">
            <v>NAPA01</v>
          </cell>
          <cell r="P524">
            <v>10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 t="str">
            <v>No</v>
          </cell>
          <cell r="Z524" t="str">
            <v/>
          </cell>
          <cell r="AA524" t="str">
            <v>PACK</v>
          </cell>
          <cell r="AB524">
            <v>0</v>
          </cell>
          <cell r="AC524" t="str">
            <v>ACX1321</v>
          </cell>
          <cell r="AD524" t="str">
            <v>PACK</v>
          </cell>
        </row>
        <row r="525">
          <cell r="D525" t="str">
            <v>2253114</v>
          </cell>
          <cell r="E525" t="str">
            <v>Special Item</v>
          </cell>
          <cell r="F525" t="str">
            <v>HILTI TE30-22 ROTARY HAMMER</v>
          </cell>
          <cell r="J525" t="str">
            <v>NNAV</v>
          </cell>
          <cell r="K525" t="str">
            <v>E779</v>
          </cell>
          <cell r="L525" t="str">
            <v>NAPA01</v>
          </cell>
          <cell r="P525">
            <v>1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 t="str">
            <v>No</v>
          </cell>
          <cell r="Z525" t="str">
            <v/>
          </cell>
          <cell r="AA525" t="str">
            <v>EACH</v>
          </cell>
          <cell r="AB525">
            <v>0</v>
          </cell>
          <cell r="AC525" t="str">
            <v>2253114</v>
          </cell>
          <cell r="AD525" t="str">
            <v>EACH</v>
          </cell>
        </row>
        <row r="526">
          <cell r="D526" t="str">
            <v>72117</v>
          </cell>
          <cell r="E526" t="str">
            <v>Special Item</v>
          </cell>
          <cell r="F526" t="str">
            <v>IMPACT SOCKET 17MM</v>
          </cell>
          <cell r="J526" t="str">
            <v>NNAV</v>
          </cell>
          <cell r="K526" t="str">
            <v>E750</v>
          </cell>
          <cell r="L526" t="str">
            <v>NAPA01</v>
          </cell>
          <cell r="P526">
            <v>12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 t="str">
            <v>No</v>
          </cell>
          <cell r="Z526" t="str">
            <v/>
          </cell>
          <cell r="AA526" t="str">
            <v>EACH</v>
          </cell>
          <cell r="AB526">
            <v>0</v>
          </cell>
          <cell r="AC526" t="str">
            <v>72117</v>
          </cell>
          <cell r="AD526" t="str">
            <v>EACH</v>
          </cell>
        </row>
        <row r="527">
          <cell r="D527" t="str">
            <v>72124-1</v>
          </cell>
          <cell r="E527" t="str">
            <v>Special Item</v>
          </cell>
          <cell r="F527" t="str">
            <v>IMPACT SOCKET 24MM</v>
          </cell>
          <cell r="J527" t="str">
            <v>NNAV</v>
          </cell>
          <cell r="K527" t="str">
            <v>E750</v>
          </cell>
          <cell r="L527" t="str">
            <v>NAPA01</v>
          </cell>
          <cell r="P527">
            <v>12</v>
          </cell>
          <cell r="R527">
            <v>0</v>
          </cell>
          <cell r="S527">
            <v>0</v>
          </cell>
          <cell r="U527">
            <v>0</v>
          </cell>
          <cell r="V527">
            <v>0</v>
          </cell>
          <cell r="W527">
            <v>0</v>
          </cell>
          <cell r="X527" t="str">
            <v>No</v>
          </cell>
          <cell r="Z527" t="str">
            <v/>
          </cell>
          <cell r="AA527" t="str">
            <v>EACH</v>
          </cell>
          <cell r="AB527">
            <v>0</v>
          </cell>
          <cell r="AC527" t="str">
            <v>72124-1</v>
          </cell>
          <cell r="AD527" t="str">
            <v>EACH</v>
          </cell>
        </row>
        <row r="528">
          <cell r="D528" t="str">
            <v>72130</v>
          </cell>
          <cell r="E528" t="str">
            <v>Special Item</v>
          </cell>
          <cell r="F528" t="str">
            <v>IMPACT SOCKET 30MM</v>
          </cell>
          <cell r="J528" t="str">
            <v>NNAV</v>
          </cell>
          <cell r="K528" t="str">
            <v>E750</v>
          </cell>
          <cell r="L528" t="str">
            <v>NAPA01</v>
          </cell>
          <cell r="P528">
            <v>12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 t="str">
            <v>No</v>
          </cell>
          <cell r="Z528" t="str">
            <v/>
          </cell>
          <cell r="AA528" t="str">
            <v>EACH</v>
          </cell>
          <cell r="AB528">
            <v>0</v>
          </cell>
          <cell r="AC528" t="str">
            <v>72130</v>
          </cell>
          <cell r="AD528" t="str">
            <v>EACH</v>
          </cell>
        </row>
        <row r="529">
          <cell r="D529" t="str">
            <v>0850BLK</v>
          </cell>
          <cell r="E529" t="str">
            <v>1081300</v>
          </cell>
          <cell r="F529" t="str">
            <v>KESTREL 5000 POCKET WEATHER ME</v>
          </cell>
          <cell r="J529" t="str">
            <v>NNAV</v>
          </cell>
          <cell r="K529" t="str">
            <v>E499</v>
          </cell>
          <cell r="L529" t="str">
            <v>NAPA01</v>
          </cell>
          <cell r="P529">
            <v>4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 t="str">
            <v>No</v>
          </cell>
          <cell r="Z529" t="str">
            <v/>
          </cell>
          <cell r="AA529" t="str">
            <v>EACH</v>
          </cell>
          <cell r="AB529">
            <v>0</v>
          </cell>
          <cell r="AC529" t="str">
            <v>0850BLK</v>
          </cell>
          <cell r="AD529" t="str">
            <v>EACH</v>
          </cell>
        </row>
        <row r="530">
          <cell r="D530" t="str">
            <v>AF11</v>
          </cell>
          <cell r="E530" t="str">
            <v>2404620</v>
          </cell>
          <cell r="F530" t="str">
            <v>KNEAD IT MULTIPURPOSE 110GM</v>
          </cell>
          <cell r="J530" t="str">
            <v>NNAV</v>
          </cell>
          <cell r="K530" t="str">
            <v>E779</v>
          </cell>
          <cell r="L530" t="str">
            <v>NAPA01</v>
          </cell>
          <cell r="P530">
            <v>10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 t="str">
            <v>No</v>
          </cell>
          <cell r="Z530" t="str">
            <v/>
          </cell>
          <cell r="AA530" t="str">
            <v>EACH</v>
          </cell>
          <cell r="AB530">
            <v>0</v>
          </cell>
          <cell r="AC530" t="str">
            <v>AF11</v>
          </cell>
          <cell r="AD530" t="str">
            <v>EACH</v>
          </cell>
        </row>
        <row r="531">
          <cell r="D531" t="str">
            <v>11700A</v>
          </cell>
          <cell r="E531" t="str">
            <v>4001273</v>
          </cell>
          <cell r="F531" t="str">
            <v>KNIFE STANLEY BLADE</v>
          </cell>
          <cell r="J531" t="str">
            <v>NNAV</v>
          </cell>
          <cell r="K531" t="str">
            <v>E750</v>
          </cell>
          <cell r="L531" t="str">
            <v>NAPA01</v>
          </cell>
          <cell r="P531">
            <v>10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 t="str">
            <v>No</v>
          </cell>
          <cell r="Z531" t="str">
            <v/>
          </cell>
          <cell r="AA531" t="str">
            <v>EACH</v>
          </cell>
          <cell r="AB531">
            <v>0</v>
          </cell>
          <cell r="AC531" t="str">
            <v>11700A</v>
          </cell>
          <cell r="AD531" t="str">
            <v>EACH</v>
          </cell>
        </row>
        <row r="532">
          <cell r="D532" t="str">
            <v>10-189C</v>
          </cell>
          <cell r="E532" t="str">
            <v>4001287</v>
          </cell>
          <cell r="F532" t="str">
            <v>KNIFE STANLEY TRIMMING</v>
          </cell>
          <cell r="J532" t="str">
            <v>NNAV</v>
          </cell>
          <cell r="K532" t="str">
            <v>E750</v>
          </cell>
          <cell r="L532" t="str">
            <v>NAPA01</v>
          </cell>
          <cell r="P532">
            <v>50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 t="str">
            <v>No</v>
          </cell>
          <cell r="Z532" t="str">
            <v/>
          </cell>
          <cell r="AA532" t="str">
            <v>EACH</v>
          </cell>
          <cell r="AB532">
            <v>0</v>
          </cell>
          <cell r="AC532" t="str">
            <v>10-189C</v>
          </cell>
          <cell r="AD532" t="str">
            <v>EACH</v>
          </cell>
        </row>
        <row r="533">
          <cell r="D533" t="str">
            <v>M18BLSAG125XPD0</v>
          </cell>
          <cell r="E533" t="str">
            <v>Special Item</v>
          </cell>
          <cell r="F533" t="str">
            <v>M18 125MM GRINDER - MILWAUKEE</v>
          </cell>
          <cell r="J533" t="str">
            <v>NNAV</v>
          </cell>
          <cell r="K533" t="str">
            <v>E750</v>
          </cell>
          <cell r="L533" t="str">
            <v>NAPA01</v>
          </cell>
          <cell r="P533">
            <v>1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 t="str">
            <v>No</v>
          </cell>
          <cell r="Z533" t="str">
            <v/>
          </cell>
          <cell r="AA533" t="str">
            <v>EACH</v>
          </cell>
          <cell r="AB533">
            <v>0</v>
          </cell>
          <cell r="AC533" t="str">
            <v>M18BLSAG125XPD0</v>
          </cell>
          <cell r="AD533" t="str">
            <v>EACH</v>
          </cell>
        </row>
        <row r="534">
          <cell r="D534" t="str">
            <v>M18FPD30</v>
          </cell>
          <cell r="E534" t="str">
            <v>Special Item</v>
          </cell>
          <cell r="F534" t="str">
            <v>M18 HAMMER DRILL - MILWAUKEE</v>
          </cell>
          <cell r="J534" t="str">
            <v>NNAV</v>
          </cell>
          <cell r="K534" t="str">
            <v>E750</v>
          </cell>
          <cell r="L534" t="str">
            <v>NAPA01</v>
          </cell>
          <cell r="P534">
            <v>1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 t="str">
            <v>No</v>
          </cell>
          <cell r="Z534" t="str">
            <v/>
          </cell>
          <cell r="AA534" t="str">
            <v>EACH</v>
          </cell>
          <cell r="AB534">
            <v>0</v>
          </cell>
          <cell r="AC534" t="str">
            <v>M18FPD30</v>
          </cell>
          <cell r="AD534" t="str">
            <v>EACH</v>
          </cell>
        </row>
        <row r="535">
          <cell r="D535" t="str">
            <v>M18CSX2-0</v>
          </cell>
          <cell r="E535" t="str">
            <v>Special Item</v>
          </cell>
          <cell r="F535" t="str">
            <v>M18 RECIPROCATING SAW - MILWAU</v>
          </cell>
          <cell r="J535" t="str">
            <v>NNAV</v>
          </cell>
          <cell r="K535" t="str">
            <v>E750</v>
          </cell>
          <cell r="L535" t="str">
            <v>NAPA01</v>
          </cell>
          <cell r="P535">
            <v>1</v>
          </cell>
          <cell r="R535">
            <v>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 t="str">
            <v>No</v>
          </cell>
          <cell r="Z535" t="str">
            <v/>
          </cell>
          <cell r="AA535" t="str">
            <v>EACH</v>
          </cell>
          <cell r="AB535">
            <v>0</v>
          </cell>
          <cell r="AC535" t="str">
            <v>M18CSX2-0</v>
          </cell>
          <cell r="AD535" t="str">
            <v>EACH</v>
          </cell>
        </row>
        <row r="536">
          <cell r="D536" t="str">
            <v>M18FB8M18HB8</v>
          </cell>
          <cell r="E536" t="str">
            <v>Special Item</v>
          </cell>
          <cell r="F536" t="str">
            <v>M18 REDLITHIUM BATT MILWAUKEE</v>
          </cell>
          <cell r="J536" t="str">
            <v>NNAV</v>
          </cell>
          <cell r="K536" t="str">
            <v>E750</v>
          </cell>
          <cell r="L536" t="str">
            <v>NAPA01</v>
          </cell>
          <cell r="P536">
            <v>4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 t="str">
            <v>No</v>
          </cell>
          <cell r="Z536" t="str">
            <v/>
          </cell>
          <cell r="AA536" t="str">
            <v>EACH</v>
          </cell>
          <cell r="AB536">
            <v>0</v>
          </cell>
          <cell r="AC536" t="str">
            <v>M18FB8M18HB8</v>
          </cell>
          <cell r="AD536" t="str">
            <v>EACH</v>
          </cell>
        </row>
        <row r="537">
          <cell r="D537" t="str">
            <v>48005303</v>
          </cell>
          <cell r="E537" t="str">
            <v>Special Item</v>
          </cell>
          <cell r="F537" t="str">
            <v>METAL BLADES TO SUIT</v>
          </cell>
          <cell r="J537" t="str">
            <v>NNAV</v>
          </cell>
          <cell r="K537" t="str">
            <v>E750</v>
          </cell>
          <cell r="L537" t="str">
            <v>NAPA01</v>
          </cell>
          <cell r="P537">
            <v>10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 t="str">
            <v>No</v>
          </cell>
          <cell r="Z537" t="str">
            <v/>
          </cell>
          <cell r="AA537" t="str">
            <v>EACH</v>
          </cell>
          <cell r="AB537">
            <v>0</v>
          </cell>
          <cell r="AC537" t="str">
            <v>48005303</v>
          </cell>
          <cell r="AD537" t="str">
            <v>EACH</v>
          </cell>
        </row>
        <row r="538">
          <cell r="D538" t="str">
            <v>M18FHIWF12-0</v>
          </cell>
          <cell r="E538" t="str">
            <v>2407505</v>
          </cell>
          <cell r="F538" t="str">
            <v>MILWAUKEE WRENCH</v>
          </cell>
          <cell r="J538" t="str">
            <v>NNAV</v>
          </cell>
          <cell r="K538" t="str">
            <v>E750</v>
          </cell>
          <cell r="L538" t="str">
            <v>NAPA01</v>
          </cell>
          <cell r="P538">
            <v>2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 t="str">
            <v>No</v>
          </cell>
          <cell r="Z538" t="str">
            <v/>
          </cell>
          <cell r="AA538" t="str">
            <v>EACH</v>
          </cell>
          <cell r="AB538">
            <v>0</v>
          </cell>
          <cell r="AC538" t="str">
            <v>M18FHIWF12-0</v>
          </cell>
          <cell r="AD538" t="str">
            <v>EACH</v>
          </cell>
        </row>
        <row r="539">
          <cell r="D539" t="str">
            <v>K040037</v>
          </cell>
          <cell r="E539" t="str">
            <v>Special Item</v>
          </cell>
          <cell r="F539" t="str">
            <v>PLIERS</v>
          </cell>
          <cell r="J539" t="str">
            <v>NNAV</v>
          </cell>
          <cell r="K539" t="str">
            <v>E750</v>
          </cell>
          <cell r="L539" t="str">
            <v>NAPA01</v>
          </cell>
          <cell r="P539">
            <v>20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 t="str">
            <v>No</v>
          </cell>
          <cell r="Z539" t="str">
            <v/>
          </cell>
          <cell r="AA539" t="str">
            <v>EACH</v>
          </cell>
          <cell r="AB539">
            <v>0</v>
          </cell>
          <cell r="AC539" t="str">
            <v>K040037</v>
          </cell>
          <cell r="AD539" t="str">
            <v>EACH</v>
          </cell>
        </row>
        <row r="540">
          <cell r="D540" t="str">
            <v>K040037-1</v>
          </cell>
          <cell r="E540" t="str">
            <v>Special Item</v>
          </cell>
          <cell r="F540" t="str">
            <v>PLIERS</v>
          </cell>
          <cell r="J540" t="str">
            <v>NNAV</v>
          </cell>
          <cell r="K540" t="str">
            <v>E750</v>
          </cell>
          <cell r="L540" t="str">
            <v>NAPA01</v>
          </cell>
          <cell r="P540">
            <v>2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 t="str">
            <v>No</v>
          </cell>
          <cell r="Z540" t="str">
            <v/>
          </cell>
          <cell r="AA540" t="str">
            <v>EACH</v>
          </cell>
          <cell r="AB540">
            <v>0</v>
          </cell>
          <cell r="AC540" t="str">
            <v>K040037-1</v>
          </cell>
          <cell r="AD540" t="str">
            <v>EACH</v>
          </cell>
        </row>
        <row r="541">
          <cell r="D541" t="str">
            <v>SCMT28517</v>
          </cell>
          <cell r="E541" t="str">
            <v>4001336</v>
          </cell>
          <cell r="F541" t="str">
            <v>PLIERS DIAGONAL 200MM INSULATE</v>
          </cell>
          <cell r="J541" t="str">
            <v>NNAV</v>
          </cell>
          <cell r="K541" t="str">
            <v>E750</v>
          </cell>
          <cell r="L541" t="str">
            <v>NAPA01</v>
          </cell>
          <cell r="P541">
            <v>17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 t="str">
            <v>No</v>
          </cell>
          <cell r="Z541" t="str">
            <v/>
          </cell>
          <cell r="AA541" t="str">
            <v>EACH</v>
          </cell>
          <cell r="AB541">
            <v>0</v>
          </cell>
          <cell r="AC541" t="str">
            <v>SCMT28517</v>
          </cell>
          <cell r="AD541" t="str">
            <v>EACH</v>
          </cell>
        </row>
        <row r="542">
          <cell r="D542" t="str">
            <v>SCMTRH2430</v>
          </cell>
          <cell r="E542" t="str">
            <v>2406530</v>
          </cell>
          <cell r="F542" t="str">
            <v>PODGER</v>
          </cell>
          <cell r="J542" t="str">
            <v>NNAV</v>
          </cell>
          <cell r="K542" t="str">
            <v>E750</v>
          </cell>
          <cell r="L542" t="str">
            <v>NAPA01</v>
          </cell>
          <cell r="P542">
            <v>10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 t="str">
            <v>No</v>
          </cell>
          <cell r="Z542" t="str">
            <v/>
          </cell>
          <cell r="AA542" t="str">
            <v>EACH</v>
          </cell>
          <cell r="AB542">
            <v>0</v>
          </cell>
          <cell r="AC542" t="str">
            <v>SCMTRH2430</v>
          </cell>
          <cell r="AD542" t="str">
            <v>EACH</v>
          </cell>
        </row>
        <row r="543">
          <cell r="D543" t="str">
            <v>4334109</v>
          </cell>
          <cell r="E543" t="str">
            <v>Special Item</v>
          </cell>
          <cell r="F543" t="str">
            <v>PVC APRON</v>
          </cell>
          <cell r="J543" t="str">
            <v>NNAV</v>
          </cell>
          <cell r="K543" t="str">
            <v>E499</v>
          </cell>
          <cell r="L543" t="str">
            <v>NAPA01</v>
          </cell>
          <cell r="P543">
            <v>4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 t="str">
            <v>No</v>
          </cell>
          <cell r="Z543" t="str">
            <v/>
          </cell>
          <cell r="AA543" t="str">
            <v>EACH</v>
          </cell>
          <cell r="AB543">
            <v>0</v>
          </cell>
          <cell r="AC543" t="str">
            <v>4334109</v>
          </cell>
          <cell r="AD543" t="str">
            <v>EACH</v>
          </cell>
        </row>
        <row r="544">
          <cell r="D544" t="str">
            <v>AF1BK</v>
          </cell>
          <cell r="E544" t="str">
            <v>Special Item</v>
          </cell>
          <cell r="F544" t="str">
            <v>PVC APRON</v>
          </cell>
          <cell r="J544" t="str">
            <v>NNAV</v>
          </cell>
          <cell r="K544" t="str">
            <v>E499</v>
          </cell>
          <cell r="L544" t="str">
            <v>NAPA01</v>
          </cell>
          <cell r="P544">
            <v>4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 t="str">
            <v>No</v>
          </cell>
          <cell r="Z544" t="str">
            <v/>
          </cell>
          <cell r="AA544" t="str">
            <v>EACH</v>
          </cell>
          <cell r="AB544">
            <v>0</v>
          </cell>
          <cell r="AC544" t="str">
            <v>AF1BK</v>
          </cell>
          <cell r="AD544" t="str">
            <v>EACH</v>
          </cell>
        </row>
        <row r="545">
          <cell r="D545" t="str">
            <v>SCMTRH2732</v>
          </cell>
          <cell r="E545" t="str">
            <v>Special Item</v>
          </cell>
          <cell r="F545" t="str">
            <v>RATCHET WRENCH 27-32MM</v>
          </cell>
          <cell r="J545" t="str">
            <v>NNAV</v>
          </cell>
          <cell r="K545" t="str">
            <v>E750</v>
          </cell>
          <cell r="L545" t="str">
            <v>NAPA01</v>
          </cell>
          <cell r="P545">
            <v>6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 t="str">
            <v>No</v>
          </cell>
          <cell r="Z545" t="str">
            <v/>
          </cell>
          <cell r="AA545" t="str">
            <v>EACH</v>
          </cell>
          <cell r="AB545">
            <v>0</v>
          </cell>
          <cell r="AC545" t="str">
            <v>SCMTRH2732</v>
          </cell>
          <cell r="AD545" t="str">
            <v>EACH</v>
          </cell>
        </row>
        <row r="546">
          <cell r="D546" t="str">
            <v>K9234</v>
          </cell>
          <cell r="E546" t="str">
            <v>Special Item</v>
          </cell>
          <cell r="F546" t="str">
            <v>RUBBER HAMMER 64OZ</v>
          </cell>
          <cell r="J546" t="str">
            <v>NNAV</v>
          </cell>
          <cell r="K546" t="str">
            <v>E750</v>
          </cell>
          <cell r="L546" t="str">
            <v>NAPA01</v>
          </cell>
          <cell r="P546">
            <v>2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 t="str">
            <v>No</v>
          </cell>
          <cell r="Z546" t="str">
            <v/>
          </cell>
          <cell r="AA546" t="str">
            <v>EACH</v>
          </cell>
          <cell r="AB546">
            <v>0</v>
          </cell>
          <cell r="AC546" t="str">
            <v>K9234</v>
          </cell>
          <cell r="AD546" t="str">
            <v>EACH</v>
          </cell>
        </row>
        <row r="547">
          <cell r="D547" t="str">
            <v>K9234PTTM7264</v>
          </cell>
          <cell r="E547" t="str">
            <v>Special Item</v>
          </cell>
          <cell r="F547" t="str">
            <v>RUBBER HAMMER 64OZ</v>
          </cell>
          <cell r="J547" t="str">
            <v>NNAV</v>
          </cell>
          <cell r="K547" t="str">
            <v>E750</v>
          </cell>
          <cell r="L547" t="str">
            <v>NAPA01</v>
          </cell>
          <cell r="P547">
            <v>10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 t="str">
            <v>No</v>
          </cell>
          <cell r="Z547" t="str">
            <v/>
          </cell>
          <cell r="AA547" t="str">
            <v>EACH</v>
          </cell>
          <cell r="AB547">
            <v>0</v>
          </cell>
          <cell r="AC547" t="str">
            <v>K9234PTTM7264</v>
          </cell>
          <cell r="AD547" t="str">
            <v>EACH</v>
          </cell>
        </row>
        <row r="548">
          <cell r="D548" t="str">
            <v>SJ72-66XR</v>
          </cell>
          <cell r="E548" t="str">
            <v>2407190</v>
          </cell>
          <cell r="F548" t="str">
            <v>SAW SPEAR AND JACKSON</v>
          </cell>
          <cell r="J548" t="str">
            <v>NNAV</v>
          </cell>
          <cell r="K548" t="str">
            <v>E750</v>
          </cell>
          <cell r="L548" t="str">
            <v>NAPA01</v>
          </cell>
          <cell r="P548">
            <v>22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 t="str">
            <v>No</v>
          </cell>
          <cell r="Z548" t="str">
            <v/>
          </cell>
          <cell r="AA548" t="str">
            <v>EACH</v>
          </cell>
          <cell r="AB548">
            <v>0</v>
          </cell>
          <cell r="AC548" t="str">
            <v>SJ72-66XR</v>
          </cell>
          <cell r="AD548" t="str">
            <v>EACH</v>
          </cell>
        </row>
        <row r="549">
          <cell r="D549" t="str">
            <v>504010</v>
          </cell>
          <cell r="E549" t="str">
            <v>Special Item</v>
          </cell>
          <cell r="F549" t="str">
            <v>SHACKLE 1 T DEE</v>
          </cell>
          <cell r="J549" t="str">
            <v>NNAV</v>
          </cell>
          <cell r="K549" t="str">
            <v>E499</v>
          </cell>
          <cell r="L549" t="str">
            <v>NAPA01</v>
          </cell>
          <cell r="P549">
            <v>40</v>
          </cell>
          <cell r="R549">
            <v>0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 t="str">
            <v>No</v>
          </cell>
          <cell r="Z549" t="str">
            <v/>
          </cell>
          <cell r="AA549" t="str">
            <v>EACH</v>
          </cell>
          <cell r="AB549">
            <v>0</v>
          </cell>
          <cell r="AC549" t="str">
            <v>504010</v>
          </cell>
          <cell r="AD549" t="str">
            <v>EACH</v>
          </cell>
        </row>
        <row r="550">
          <cell r="D550" t="str">
            <v>70062</v>
          </cell>
          <cell r="E550" t="str">
            <v>4002196</v>
          </cell>
          <cell r="F550" t="str">
            <v>SHIFTER - 10" 250MM</v>
          </cell>
          <cell r="J550" t="str">
            <v>NNAV</v>
          </cell>
          <cell r="K550" t="str">
            <v>E750</v>
          </cell>
          <cell r="L550" t="str">
            <v>NAPA01</v>
          </cell>
          <cell r="P550">
            <v>22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 t="str">
            <v>No</v>
          </cell>
          <cell r="Z550" t="str">
            <v/>
          </cell>
          <cell r="AA550" t="str">
            <v>EACH</v>
          </cell>
          <cell r="AB550">
            <v>0</v>
          </cell>
          <cell r="AC550" t="str">
            <v>70062</v>
          </cell>
          <cell r="AD550" t="str">
            <v>EACH</v>
          </cell>
        </row>
        <row r="551">
          <cell r="D551" t="str">
            <v>M3R</v>
          </cell>
          <cell r="E551" t="str">
            <v>4002217</v>
          </cell>
          <cell r="F551" t="str">
            <v>SNIPS STRAIGHT CUT YELLOW GRIP</v>
          </cell>
          <cell r="J551" t="str">
            <v>NNAV</v>
          </cell>
          <cell r="K551" t="str">
            <v>E750</v>
          </cell>
          <cell r="L551" t="str">
            <v>NAPA01</v>
          </cell>
          <cell r="P551">
            <v>2</v>
          </cell>
          <cell r="R551">
            <v>0</v>
          </cell>
          <cell r="S551">
            <v>0</v>
          </cell>
          <cell r="U551">
            <v>0</v>
          </cell>
          <cell r="V551">
            <v>0</v>
          </cell>
          <cell r="W551">
            <v>0</v>
          </cell>
          <cell r="X551" t="str">
            <v>No</v>
          </cell>
          <cell r="Z551" t="str">
            <v/>
          </cell>
          <cell r="AA551" t="str">
            <v>EACH</v>
          </cell>
          <cell r="AB551">
            <v>0</v>
          </cell>
          <cell r="AC551" t="str">
            <v>M3R</v>
          </cell>
          <cell r="AD551" t="str">
            <v>EACH</v>
          </cell>
        </row>
        <row r="552">
          <cell r="D552" t="str">
            <v>M3RAU</v>
          </cell>
          <cell r="E552" t="str">
            <v>4002217</v>
          </cell>
          <cell r="F552" t="str">
            <v>SNIPS STRAIGHT CUT YELLOW GRIP</v>
          </cell>
          <cell r="J552" t="str">
            <v>NNAV</v>
          </cell>
          <cell r="K552" t="str">
            <v>E750</v>
          </cell>
          <cell r="L552" t="str">
            <v>NAPA01</v>
          </cell>
          <cell r="P552">
            <v>25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 t="str">
            <v>No</v>
          </cell>
          <cell r="Z552" t="str">
            <v/>
          </cell>
          <cell r="AA552" t="str">
            <v>EACH</v>
          </cell>
          <cell r="AB552">
            <v>0</v>
          </cell>
          <cell r="AC552" t="str">
            <v>M3RAU</v>
          </cell>
          <cell r="AD552" t="str">
            <v>EACH</v>
          </cell>
        </row>
        <row r="553">
          <cell r="D553" t="str">
            <v>SCMT22228</v>
          </cell>
          <cell r="E553" t="str">
            <v>4004196</v>
          </cell>
          <cell r="F553" t="str">
            <v>SPANNER RING - OPEN 19 MM</v>
          </cell>
          <cell r="J553" t="str">
            <v>NNAV</v>
          </cell>
          <cell r="K553" t="str">
            <v>E750</v>
          </cell>
          <cell r="L553" t="str">
            <v>NAPA01</v>
          </cell>
          <cell r="P553">
            <v>6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 t="str">
            <v>No</v>
          </cell>
          <cell r="Z553" t="str">
            <v/>
          </cell>
          <cell r="AA553" t="str">
            <v>EACH</v>
          </cell>
          <cell r="AB553">
            <v>0</v>
          </cell>
          <cell r="AC553" t="str">
            <v>SCMT22228</v>
          </cell>
          <cell r="AD553" t="str">
            <v>EACH</v>
          </cell>
        </row>
        <row r="554">
          <cell r="D554" t="str">
            <v>SCMT22229</v>
          </cell>
          <cell r="E554" t="str">
            <v>4004203</v>
          </cell>
          <cell r="F554" t="str">
            <v>SPANNER RING - OPEN 20 MM</v>
          </cell>
          <cell r="J554" t="str">
            <v>NNAV</v>
          </cell>
          <cell r="K554" t="str">
            <v>E750</v>
          </cell>
          <cell r="L554" t="str">
            <v>NAPA01</v>
          </cell>
          <cell r="P554">
            <v>5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 t="str">
            <v>No</v>
          </cell>
          <cell r="Z554" t="str">
            <v/>
          </cell>
          <cell r="AA554" t="str">
            <v>EACH</v>
          </cell>
          <cell r="AB554">
            <v>0</v>
          </cell>
          <cell r="AC554" t="str">
            <v>SCMT22229</v>
          </cell>
          <cell r="AD554" t="str">
            <v>EACH</v>
          </cell>
        </row>
        <row r="555">
          <cell r="D555" t="str">
            <v>SCMT22231</v>
          </cell>
          <cell r="E555" t="str">
            <v>4004217</v>
          </cell>
          <cell r="F555" t="str">
            <v>SPANNER RING - OPEN 22 MM</v>
          </cell>
          <cell r="J555" t="str">
            <v>NNAV</v>
          </cell>
          <cell r="K555" t="str">
            <v>E750</v>
          </cell>
          <cell r="L555" t="str">
            <v>NAPA01</v>
          </cell>
          <cell r="P555">
            <v>5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 t="str">
            <v>No</v>
          </cell>
          <cell r="Z555" t="str">
            <v/>
          </cell>
          <cell r="AA555" t="str">
            <v>EACH</v>
          </cell>
          <cell r="AB555">
            <v>0</v>
          </cell>
          <cell r="AC555" t="str">
            <v>SCMT22231</v>
          </cell>
          <cell r="AD555" t="str">
            <v>EACH</v>
          </cell>
        </row>
        <row r="556">
          <cell r="D556" t="str">
            <v>SCMT22232</v>
          </cell>
          <cell r="E556" t="str">
            <v>4004224</v>
          </cell>
          <cell r="F556" t="str">
            <v>SPANNER RING - OPEN 23 MM</v>
          </cell>
          <cell r="J556" t="str">
            <v>NNAV</v>
          </cell>
          <cell r="K556" t="str">
            <v>E750</v>
          </cell>
          <cell r="L556" t="str">
            <v>NAPA01</v>
          </cell>
          <cell r="P556">
            <v>5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 t="str">
            <v>No</v>
          </cell>
          <cell r="Z556" t="str">
            <v/>
          </cell>
          <cell r="AA556" t="str">
            <v>EACH</v>
          </cell>
          <cell r="AB556">
            <v>0</v>
          </cell>
          <cell r="AC556" t="str">
            <v>SCMT22232</v>
          </cell>
          <cell r="AD556" t="str">
            <v>EACH</v>
          </cell>
        </row>
        <row r="557">
          <cell r="D557" t="str">
            <v>SCMT22233</v>
          </cell>
          <cell r="E557" t="str">
            <v>4004231</v>
          </cell>
          <cell r="F557" t="str">
            <v>SPANNER RING - OPEN 24 MM</v>
          </cell>
          <cell r="J557" t="str">
            <v>NNAV</v>
          </cell>
          <cell r="K557" t="str">
            <v>E750</v>
          </cell>
          <cell r="L557" t="str">
            <v>NAPA01</v>
          </cell>
          <cell r="P557">
            <v>5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 t="str">
            <v>No</v>
          </cell>
          <cell r="Z557" t="str">
            <v/>
          </cell>
          <cell r="AA557" t="str">
            <v>EACH</v>
          </cell>
          <cell r="AB557">
            <v>0</v>
          </cell>
          <cell r="AC557" t="str">
            <v>SCMT22233</v>
          </cell>
          <cell r="AD557" t="str">
            <v>EACH</v>
          </cell>
        </row>
        <row r="558">
          <cell r="D558" t="str">
            <v>SCMT22236</v>
          </cell>
          <cell r="E558" t="str">
            <v>Special Item</v>
          </cell>
          <cell r="F558" t="str">
            <v>SPANNER RING - OPEN 27MM</v>
          </cell>
          <cell r="J558" t="str">
            <v>NNAV</v>
          </cell>
          <cell r="K558" t="str">
            <v>E750</v>
          </cell>
          <cell r="L558" t="str">
            <v>NAPA01</v>
          </cell>
          <cell r="P558">
            <v>5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 t="str">
            <v>No</v>
          </cell>
          <cell r="Z558" t="str">
            <v/>
          </cell>
          <cell r="AA558" t="str">
            <v>EACH</v>
          </cell>
          <cell r="AB558">
            <v>0</v>
          </cell>
          <cell r="AC558" t="str">
            <v>SCMT22236</v>
          </cell>
          <cell r="AD558" t="str">
            <v>EACH</v>
          </cell>
        </row>
        <row r="559">
          <cell r="D559" t="str">
            <v>SCMT22239</v>
          </cell>
          <cell r="E559" t="str">
            <v>4004259</v>
          </cell>
          <cell r="F559" t="str">
            <v>SPANNER RING - OPEN 30 MM</v>
          </cell>
          <cell r="J559" t="str">
            <v>NNAV</v>
          </cell>
          <cell r="K559" t="str">
            <v>E750</v>
          </cell>
          <cell r="L559" t="str">
            <v>NAPA01</v>
          </cell>
          <cell r="P559">
            <v>5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 t="str">
            <v>No</v>
          </cell>
          <cell r="Z559" t="str">
            <v/>
          </cell>
          <cell r="AA559" t="str">
            <v>EACH</v>
          </cell>
          <cell r="AB559">
            <v>0</v>
          </cell>
          <cell r="AC559" t="str">
            <v>SCMT22239</v>
          </cell>
          <cell r="AD559" t="str">
            <v>EACH</v>
          </cell>
        </row>
        <row r="560">
          <cell r="D560" t="str">
            <v>SCMT22240</v>
          </cell>
          <cell r="E560" t="str">
            <v>4004266</v>
          </cell>
          <cell r="F560" t="str">
            <v>SPANNER RING - OPEN 32 MM</v>
          </cell>
          <cell r="J560" t="str">
            <v>NNAV</v>
          </cell>
          <cell r="K560" t="str">
            <v>E750</v>
          </cell>
          <cell r="L560" t="str">
            <v>NAPA01</v>
          </cell>
          <cell r="P560">
            <v>5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 t="str">
            <v>No</v>
          </cell>
          <cell r="Z560" t="str">
            <v/>
          </cell>
          <cell r="AA560" t="str">
            <v>EACH</v>
          </cell>
          <cell r="AB560">
            <v>0</v>
          </cell>
          <cell r="AC560" t="str">
            <v>SCMT22240</v>
          </cell>
          <cell r="AD560" t="str">
            <v>EACH</v>
          </cell>
        </row>
        <row r="561">
          <cell r="D561" t="str">
            <v>SCMT22241</v>
          </cell>
          <cell r="E561" t="str">
            <v>4004273</v>
          </cell>
          <cell r="F561" t="str">
            <v>SPANNER RING - OPEN 36MM</v>
          </cell>
          <cell r="J561" t="str">
            <v>NNAV</v>
          </cell>
          <cell r="K561" t="str">
            <v>E750</v>
          </cell>
          <cell r="L561" t="str">
            <v>NAPA01</v>
          </cell>
          <cell r="P561">
            <v>6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 t="str">
            <v>No</v>
          </cell>
          <cell r="Z561" t="str">
            <v/>
          </cell>
          <cell r="AA561" t="str">
            <v>EACH</v>
          </cell>
          <cell r="AB561">
            <v>0</v>
          </cell>
          <cell r="AC561" t="str">
            <v>SCMT22241</v>
          </cell>
          <cell r="AD561" t="str">
            <v>EACH</v>
          </cell>
        </row>
        <row r="562">
          <cell r="D562" t="str">
            <v>100420653</v>
          </cell>
          <cell r="E562" t="str">
            <v>Special Item</v>
          </cell>
          <cell r="F562" t="str">
            <v>SPRINKLER IMPACT METAL PC 15MM</v>
          </cell>
          <cell r="J562" t="str">
            <v>NNAV</v>
          </cell>
          <cell r="K562" t="str">
            <v>E499</v>
          </cell>
          <cell r="L562" t="str">
            <v>NAPA01</v>
          </cell>
          <cell r="P562">
            <v>25</v>
          </cell>
          <cell r="R562">
            <v>0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 t="str">
            <v>No</v>
          </cell>
          <cell r="Z562" t="str">
            <v/>
          </cell>
          <cell r="AA562" t="str">
            <v>EACH</v>
          </cell>
          <cell r="AB562">
            <v>0</v>
          </cell>
          <cell r="AC562" t="str">
            <v>100420653</v>
          </cell>
          <cell r="AD562" t="str">
            <v>EACH</v>
          </cell>
        </row>
        <row r="563">
          <cell r="D563" t="str">
            <v>TRU3025</v>
          </cell>
          <cell r="E563" t="str">
            <v>2401950</v>
          </cell>
          <cell r="F563" t="str">
            <v>TALLY COUNTER CHROME</v>
          </cell>
          <cell r="J563" t="str">
            <v>NNAV</v>
          </cell>
          <cell r="K563" t="str">
            <v>E750</v>
          </cell>
          <cell r="L563" t="str">
            <v>NAPA01</v>
          </cell>
          <cell r="P563">
            <v>4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 t="str">
            <v>No</v>
          </cell>
          <cell r="Z563" t="str">
            <v/>
          </cell>
          <cell r="AA563" t="str">
            <v>EACH</v>
          </cell>
          <cell r="AB563">
            <v>0</v>
          </cell>
          <cell r="AC563" t="str">
            <v>TRU3025</v>
          </cell>
          <cell r="AD563" t="str">
            <v>EACH</v>
          </cell>
        </row>
        <row r="564">
          <cell r="D564" t="str">
            <v>7012913294</v>
          </cell>
          <cell r="E564" t="str">
            <v>1107084</v>
          </cell>
          <cell r="F564" t="str">
            <v>TAPE ELECTRICAL PVC WHITE 20M</v>
          </cell>
          <cell r="J564" t="str">
            <v>NNAV</v>
          </cell>
          <cell r="K564" t="str">
            <v>E499</v>
          </cell>
          <cell r="L564" t="str">
            <v>NAPA01</v>
          </cell>
          <cell r="P564">
            <v>50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 t="str">
            <v>No</v>
          </cell>
          <cell r="Z564" t="str">
            <v/>
          </cell>
          <cell r="AA564" t="str">
            <v>ROLL</v>
          </cell>
          <cell r="AB564">
            <v>0</v>
          </cell>
          <cell r="AC564" t="str">
            <v>7012913294</v>
          </cell>
          <cell r="AD564" t="str">
            <v>ROLL</v>
          </cell>
        </row>
        <row r="565">
          <cell r="D565" t="str">
            <v>AE019500774</v>
          </cell>
          <cell r="E565" t="str">
            <v>1107084</v>
          </cell>
          <cell r="F565" t="str">
            <v>TAPE ELECTRICAL PVC WHITE 20M</v>
          </cell>
          <cell r="J565" t="str">
            <v>NNAV</v>
          </cell>
          <cell r="K565" t="str">
            <v>E750</v>
          </cell>
          <cell r="L565" t="str">
            <v>NAPA01</v>
          </cell>
          <cell r="P565">
            <v>250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 t="str">
            <v>No</v>
          </cell>
          <cell r="Z565" t="str">
            <v/>
          </cell>
          <cell r="AA565" t="str">
            <v>ROLL</v>
          </cell>
          <cell r="AB565">
            <v>0</v>
          </cell>
          <cell r="AC565" t="str">
            <v>AE019500774</v>
          </cell>
          <cell r="AD565" t="str">
            <v>ROLL</v>
          </cell>
        </row>
        <row r="566">
          <cell r="D566" t="str">
            <v>FE60CME</v>
          </cell>
          <cell r="E566" t="str">
            <v>2401029</v>
          </cell>
          <cell r="F566" t="str">
            <v>TAPE MEASURE 60MT FIBRE GLASS</v>
          </cell>
          <cell r="J566" t="str">
            <v>NNAV</v>
          </cell>
          <cell r="K566" t="str">
            <v>E750</v>
          </cell>
          <cell r="L566" t="str">
            <v>NAPA01</v>
          </cell>
          <cell r="P566">
            <v>2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 t="str">
            <v>No</v>
          </cell>
          <cell r="Z566" t="str">
            <v/>
          </cell>
          <cell r="AA566" t="str">
            <v>EACH</v>
          </cell>
          <cell r="AB566">
            <v>0</v>
          </cell>
          <cell r="AC566" t="str">
            <v>FE60CME</v>
          </cell>
          <cell r="AD566" t="str">
            <v>EACH</v>
          </cell>
        </row>
        <row r="567">
          <cell r="D567" t="str">
            <v>UW148MEN</v>
          </cell>
          <cell r="E567" t="str">
            <v>2402590</v>
          </cell>
          <cell r="F567" t="str">
            <v>TAPE MEASURE 8MT (26') STANLEY</v>
          </cell>
          <cell r="J567" t="str">
            <v>NNAV</v>
          </cell>
          <cell r="K567" t="str">
            <v>E750</v>
          </cell>
          <cell r="L567" t="str">
            <v>NAPA01</v>
          </cell>
          <cell r="P567">
            <v>15</v>
          </cell>
          <cell r="R567">
            <v>0</v>
          </cell>
          <cell r="S567">
            <v>0</v>
          </cell>
          <cell r="U567">
            <v>0</v>
          </cell>
          <cell r="V567">
            <v>0</v>
          </cell>
          <cell r="W567">
            <v>0</v>
          </cell>
          <cell r="X567" t="str">
            <v>No</v>
          </cell>
          <cell r="Z567" t="str">
            <v/>
          </cell>
          <cell r="AA567" t="str">
            <v>EACH</v>
          </cell>
          <cell r="AB567">
            <v>0</v>
          </cell>
          <cell r="AC567" t="str">
            <v>UW148MEN</v>
          </cell>
          <cell r="AD567" t="str">
            <v>EACH</v>
          </cell>
        </row>
        <row r="568">
          <cell r="D568" t="str">
            <v>282312</v>
          </cell>
          <cell r="E568" t="str">
            <v>Special Item</v>
          </cell>
          <cell r="F568" t="str">
            <v>TE-CX CHISEL SET 4PC</v>
          </cell>
          <cell r="J568" t="str">
            <v>NNAV</v>
          </cell>
          <cell r="K568" t="str">
            <v>E779</v>
          </cell>
          <cell r="L568" t="str">
            <v>NAPA01</v>
          </cell>
          <cell r="P568">
            <v>3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 t="str">
            <v>No</v>
          </cell>
          <cell r="Z568" t="str">
            <v/>
          </cell>
          <cell r="AA568" t="str">
            <v>EACH</v>
          </cell>
          <cell r="AB568">
            <v>0</v>
          </cell>
          <cell r="AC568" t="str">
            <v>282312</v>
          </cell>
          <cell r="AD568" t="str">
            <v>EACH</v>
          </cell>
        </row>
        <row r="569">
          <cell r="D569" t="str">
            <v>ACX1315</v>
          </cell>
          <cell r="E569" t="str">
            <v>5700540</v>
          </cell>
          <cell r="F569" t="str">
            <v>TIE CABLE 100X2.5MM EACH</v>
          </cell>
          <cell r="J569" t="str">
            <v>NNAV</v>
          </cell>
          <cell r="K569" t="str">
            <v>E750</v>
          </cell>
          <cell r="L569" t="str">
            <v>NAPA01</v>
          </cell>
          <cell r="P569">
            <v>20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 t="str">
            <v>No</v>
          </cell>
          <cell r="Z569" t="str">
            <v/>
          </cell>
          <cell r="AA569" t="str">
            <v>EACH</v>
          </cell>
          <cell r="AB569">
            <v>0</v>
          </cell>
          <cell r="AC569" t="str">
            <v>ACX1315</v>
          </cell>
          <cell r="AD569" t="str">
            <v>EACH</v>
          </cell>
        </row>
        <row r="570">
          <cell r="D570" t="str">
            <v>ACX1316</v>
          </cell>
          <cell r="E570" t="str">
            <v>1131535</v>
          </cell>
          <cell r="F570" t="str">
            <v>TIE CABLE 150MMX3.6MM BLK</v>
          </cell>
          <cell r="J570" t="str">
            <v>NNAV</v>
          </cell>
          <cell r="K570" t="str">
            <v>E750</v>
          </cell>
          <cell r="L570" t="str">
            <v>NAPA01</v>
          </cell>
          <cell r="P570">
            <v>20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 t="str">
            <v>No</v>
          </cell>
          <cell r="Z570" t="str">
            <v/>
          </cell>
          <cell r="AA570" t="str">
            <v>PACK</v>
          </cell>
          <cell r="AB570">
            <v>0</v>
          </cell>
          <cell r="AC570" t="str">
            <v>ACX1316</v>
          </cell>
          <cell r="AD570" t="str">
            <v>PACK</v>
          </cell>
        </row>
        <row r="571">
          <cell r="D571" t="str">
            <v>EC-EOV150</v>
          </cell>
          <cell r="E571" t="str">
            <v>Special Item</v>
          </cell>
          <cell r="F571" t="str">
            <v>VICE ENGINEERS OFFSET 150MM 6I</v>
          </cell>
          <cell r="J571" t="str">
            <v>NNAV</v>
          </cell>
          <cell r="K571" t="str">
            <v>E499</v>
          </cell>
          <cell r="L571" t="str">
            <v>NAPA01</v>
          </cell>
          <cell r="P571">
            <v>1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 t="str">
            <v>No</v>
          </cell>
          <cell r="Z571" t="str">
            <v/>
          </cell>
          <cell r="AA571" t="str">
            <v>EACH</v>
          </cell>
          <cell r="AB571">
            <v>0</v>
          </cell>
          <cell r="AC571" t="str">
            <v>EC-EOV150</v>
          </cell>
          <cell r="AD571" t="str">
            <v>EACH</v>
          </cell>
        </row>
        <row r="572">
          <cell r="D572" t="str">
            <v>WRMSPM16</v>
          </cell>
          <cell r="E572" t="str">
            <v>1801533</v>
          </cell>
          <cell r="F572" t="str">
            <v>WASHER FLAT BLK 16 MM</v>
          </cell>
          <cell r="J572" t="str">
            <v>NNAV</v>
          </cell>
          <cell r="K572" t="str">
            <v>E750</v>
          </cell>
          <cell r="L572" t="str">
            <v>NAPA01</v>
          </cell>
          <cell r="P572">
            <v>3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 t="str">
            <v>No</v>
          </cell>
          <cell r="Z572" t="str">
            <v/>
          </cell>
          <cell r="AA572" t="str">
            <v>BOX</v>
          </cell>
          <cell r="AB572">
            <v>0</v>
          </cell>
          <cell r="AC572" t="str">
            <v>WRMSPM16</v>
          </cell>
          <cell r="AD572" t="str">
            <v>BOX</v>
          </cell>
        </row>
        <row r="573">
          <cell r="D573" t="str">
            <v>48005342</v>
          </cell>
          <cell r="E573" t="str">
            <v>Special Item</v>
          </cell>
          <cell r="F573" t="str">
            <v>WOOD BLADES TO SUIT</v>
          </cell>
          <cell r="J573" t="str">
            <v>NNAV</v>
          </cell>
          <cell r="K573" t="str">
            <v>E750</v>
          </cell>
          <cell r="L573" t="str">
            <v>NAPA01</v>
          </cell>
          <cell r="P573">
            <v>10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 t="str">
            <v>No</v>
          </cell>
          <cell r="Z573" t="str">
            <v/>
          </cell>
          <cell r="AA573" t="str">
            <v>EACH</v>
          </cell>
          <cell r="AB573">
            <v>0</v>
          </cell>
          <cell r="AC573" t="str">
            <v>48005342</v>
          </cell>
          <cell r="AD573" t="str">
            <v>EACH</v>
          </cell>
        </row>
        <row r="574">
          <cell r="D574" t="str">
            <v>SJ-WB450</v>
          </cell>
          <cell r="E574" t="str">
            <v>Special Item</v>
          </cell>
          <cell r="F574" t="str">
            <v>WRECKING BAR 450MM</v>
          </cell>
          <cell r="J574" t="str">
            <v>NNAV</v>
          </cell>
          <cell r="K574" t="str">
            <v>E750</v>
          </cell>
          <cell r="L574" t="str">
            <v>NAPA01</v>
          </cell>
          <cell r="P574">
            <v>3</v>
          </cell>
          <cell r="R574">
            <v>0</v>
          </cell>
          <cell r="S574">
            <v>0</v>
          </cell>
          <cell r="U574">
            <v>0</v>
          </cell>
          <cell r="V574">
            <v>0</v>
          </cell>
          <cell r="W574">
            <v>0</v>
          </cell>
          <cell r="X574" t="str">
            <v>No</v>
          </cell>
          <cell r="Z574" t="str">
            <v/>
          </cell>
          <cell r="AA574" t="str">
            <v>EACH</v>
          </cell>
          <cell r="AB574">
            <v>0</v>
          </cell>
          <cell r="AC574" t="str">
            <v>SJ-WB450</v>
          </cell>
          <cell r="AD574" t="str">
            <v>EACH</v>
          </cell>
        </row>
        <row r="575">
          <cell r="D575" t="str">
            <v>SJ-WB750</v>
          </cell>
          <cell r="E575" t="str">
            <v>Special Item</v>
          </cell>
          <cell r="F575" t="str">
            <v>WRECKING BAR 750MM</v>
          </cell>
          <cell r="J575" t="str">
            <v>NNAV</v>
          </cell>
          <cell r="K575" t="str">
            <v>E750</v>
          </cell>
          <cell r="L575" t="str">
            <v>NAPA01</v>
          </cell>
          <cell r="P575">
            <v>3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 t="str">
            <v>No</v>
          </cell>
          <cell r="Z575" t="str">
            <v/>
          </cell>
          <cell r="AA575" t="str">
            <v>EACH</v>
          </cell>
          <cell r="AB575">
            <v>0</v>
          </cell>
          <cell r="AC575" t="str">
            <v>SJ-WB750</v>
          </cell>
          <cell r="AD575" t="str">
            <v>EACH</v>
          </cell>
        </row>
        <row r="576">
          <cell r="D576" t="str">
            <v>70063</v>
          </cell>
          <cell r="E576" t="str">
            <v>4004990</v>
          </cell>
          <cell r="F576" t="str">
            <v>WRENCH ADJUSTABLE 300MM</v>
          </cell>
          <cell r="J576" t="str">
            <v>NNAV</v>
          </cell>
          <cell r="K576" t="str">
            <v>E750</v>
          </cell>
          <cell r="L576" t="str">
            <v>NAPA01</v>
          </cell>
          <cell r="P576">
            <v>15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 t="str">
            <v>No</v>
          </cell>
          <cell r="Z576" t="str">
            <v/>
          </cell>
          <cell r="AA576" t="str">
            <v>EACH</v>
          </cell>
          <cell r="AB576">
            <v>0</v>
          </cell>
          <cell r="AC576" t="str">
            <v>70063</v>
          </cell>
          <cell r="AD576" t="str">
            <v>EACH</v>
          </cell>
        </row>
        <row r="577">
          <cell r="D577" t="str">
            <v>Q06733</v>
          </cell>
          <cell r="E577" t="str">
            <v>Special Item</v>
          </cell>
          <cell r="F577" t="str">
            <v>TROUGHER SEAT COVERS (FORTUNA</v>
          </cell>
          <cell r="J577" t="str">
            <v>NNAV</v>
          </cell>
          <cell r="K577" t="str">
            <v>E511</v>
          </cell>
          <cell r="L577" t="str">
            <v>SAFA01</v>
          </cell>
          <cell r="P577">
            <v>3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 t="str">
            <v>No</v>
          </cell>
          <cell r="Z577" t="str">
            <v/>
          </cell>
          <cell r="AA577" t="str">
            <v>EACH</v>
          </cell>
          <cell r="AB577">
            <v>0</v>
          </cell>
          <cell r="AC577" t="str">
            <v>Q06733</v>
          </cell>
          <cell r="AD577" t="str">
            <v>EACH</v>
          </cell>
        </row>
        <row r="578">
          <cell r="D578" t="str">
            <v>CUSTOMSPEC/MR05</v>
          </cell>
          <cell r="E578" t="str">
            <v>Special Item</v>
          </cell>
          <cell r="F578" t="str">
            <v xml:space="preserve"> ASSEMBLY POINT</v>
          </cell>
          <cell r="J578" t="str">
            <v>NNAV</v>
          </cell>
          <cell r="K578" t="str">
            <v>E575</v>
          </cell>
          <cell r="L578" t="str">
            <v>SAFE06</v>
          </cell>
          <cell r="P578">
            <v>10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 t="str">
            <v>No</v>
          </cell>
          <cell r="Z578" t="str">
            <v/>
          </cell>
          <cell r="AA578" t="str">
            <v>EACH</v>
          </cell>
          <cell r="AB578">
            <v>0</v>
          </cell>
          <cell r="AC578" t="str">
            <v>CUSTOMSPEC/MR05</v>
          </cell>
          <cell r="AD578" t="str">
            <v>EACH</v>
          </cell>
        </row>
        <row r="579">
          <cell r="D579" t="str">
            <v>SSFP24</v>
          </cell>
          <cell r="E579" t="str">
            <v>4901970</v>
          </cell>
          <cell r="F579" t="str">
            <v>0 SIGN FIRE EXT FOAM DISC</v>
          </cell>
          <cell r="J579" t="str">
            <v>NNAV</v>
          </cell>
          <cell r="K579" t="str">
            <v>E575</v>
          </cell>
          <cell r="L579" t="str">
            <v>SAFE06</v>
          </cell>
          <cell r="P579">
            <v>15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 t="str">
            <v>No</v>
          </cell>
          <cell r="Z579" t="str">
            <v/>
          </cell>
          <cell r="AA579" t="str">
            <v>EACH</v>
          </cell>
          <cell r="AB579">
            <v>0</v>
          </cell>
          <cell r="AC579" t="str">
            <v>SSFP24</v>
          </cell>
          <cell r="AD579" t="str">
            <v>EACH</v>
          </cell>
        </row>
        <row r="580">
          <cell r="D580" t="str">
            <v>SSG21R-10</v>
          </cell>
          <cell r="E580" t="str">
            <v>4901010</v>
          </cell>
          <cell r="F580" t="str">
            <v>10 KPH SIGN  450 / 600</v>
          </cell>
          <cell r="J580" t="str">
            <v>NNAV</v>
          </cell>
          <cell r="K580" t="str">
            <v>E575</v>
          </cell>
          <cell r="L580" t="str">
            <v>SAFE06</v>
          </cell>
          <cell r="P580">
            <v>15</v>
          </cell>
          <cell r="R580">
            <v>0</v>
          </cell>
          <cell r="S580">
            <v>0</v>
          </cell>
          <cell r="U580">
            <v>0</v>
          </cell>
          <cell r="V580">
            <v>0</v>
          </cell>
          <cell r="W580">
            <v>0</v>
          </cell>
          <cell r="X580" t="str">
            <v>No</v>
          </cell>
          <cell r="Z580" t="str">
            <v/>
          </cell>
          <cell r="AA580" t="str">
            <v>EACH</v>
          </cell>
          <cell r="AB580">
            <v>0</v>
          </cell>
          <cell r="AC580" t="str">
            <v>SSG21R-10</v>
          </cell>
          <cell r="AD580" t="str">
            <v>EACH</v>
          </cell>
        </row>
        <row r="581">
          <cell r="D581" t="str">
            <v>SSG21R-20</v>
          </cell>
          <cell r="E581" t="str">
            <v>4901020</v>
          </cell>
          <cell r="F581" t="str">
            <v>20 KPH SIGN  450 / 600</v>
          </cell>
          <cell r="J581" t="str">
            <v>NNAV</v>
          </cell>
          <cell r="K581" t="str">
            <v>E575</v>
          </cell>
          <cell r="L581" t="str">
            <v>SAFE06</v>
          </cell>
          <cell r="P581">
            <v>20</v>
          </cell>
          <cell r="R581">
            <v>0</v>
          </cell>
          <cell r="S581">
            <v>0</v>
          </cell>
          <cell r="U581">
            <v>0</v>
          </cell>
          <cell r="V581">
            <v>0</v>
          </cell>
          <cell r="W581">
            <v>0</v>
          </cell>
          <cell r="X581" t="str">
            <v>No</v>
          </cell>
          <cell r="Z581" t="str">
            <v/>
          </cell>
          <cell r="AA581" t="str">
            <v>EACH</v>
          </cell>
          <cell r="AB581">
            <v>0</v>
          </cell>
          <cell r="AC581" t="str">
            <v>SSG21R-20</v>
          </cell>
          <cell r="AD581" t="str">
            <v>EACH</v>
          </cell>
        </row>
        <row r="582">
          <cell r="D582" t="str">
            <v>SSG21R-30</v>
          </cell>
          <cell r="E582" t="str">
            <v>4901030</v>
          </cell>
          <cell r="F582" t="str">
            <v>30 KPH SIGN  450 / 600</v>
          </cell>
          <cell r="J582" t="str">
            <v>NNAV</v>
          </cell>
          <cell r="K582" t="str">
            <v>E575</v>
          </cell>
          <cell r="L582" t="str">
            <v>SAFE06</v>
          </cell>
          <cell r="P582">
            <v>20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 t="str">
            <v>No</v>
          </cell>
          <cell r="Z582" t="str">
            <v/>
          </cell>
          <cell r="AA582" t="str">
            <v>EACH</v>
          </cell>
          <cell r="AB582">
            <v>0</v>
          </cell>
          <cell r="AC582" t="str">
            <v>SSG21R-30</v>
          </cell>
          <cell r="AD582" t="str">
            <v>EACH</v>
          </cell>
        </row>
        <row r="583">
          <cell r="D583" t="str">
            <v>CUXTOMSPEC/MR08</v>
          </cell>
          <cell r="E583" t="str">
            <v>Special Item</v>
          </cell>
          <cell r="F583" t="str">
            <v>600x450 MTL C2 REF SPILL KIT</v>
          </cell>
          <cell r="J583" t="str">
            <v>NNAV</v>
          </cell>
          <cell r="K583" t="str">
            <v>E575</v>
          </cell>
          <cell r="L583" t="str">
            <v>SAFE06</v>
          </cell>
          <cell r="P583">
            <v>10</v>
          </cell>
          <cell r="R583">
            <v>0</v>
          </cell>
          <cell r="S583">
            <v>0</v>
          </cell>
          <cell r="U583">
            <v>0</v>
          </cell>
          <cell r="V583">
            <v>0</v>
          </cell>
          <cell r="W583">
            <v>0</v>
          </cell>
          <cell r="X583" t="str">
            <v>No</v>
          </cell>
          <cell r="Z583" t="str">
            <v/>
          </cell>
          <cell r="AA583" t="str">
            <v>EACH</v>
          </cell>
          <cell r="AB583">
            <v>0</v>
          </cell>
          <cell r="AC583" t="str">
            <v>CUXTOMSPEC/MR08</v>
          </cell>
          <cell r="AD583" t="str">
            <v>EACH</v>
          </cell>
        </row>
        <row r="584">
          <cell r="D584" t="str">
            <v>SSRS182</v>
          </cell>
          <cell r="E584" t="str">
            <v>4900185</v>
          </cell>
          <cell r="F584" t="str">
            <v>A-FRAME 450X300 A FRAME  450/3</v>
          </cell>
          <cell r="J584" t="str">
            <v>NNAV</v>
          </cell>
          <cell r="K584" t="str">
            <v>E575</v>
          </cell>
          <cell r="L584" t="str">
            <v>SAFE06</v>
          </cell>
          <cell r="P584">
            <v>4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 t="str">
            <v>No</v>
          </cell>
          <cell r="Z584" t="str">
            <v/>
          </cell>
          <cell r="AA584" t="str">
            <v>EACH</v>
          </cell>
          <cell r="AB584">
            <v>0</v>
          </cell>
          <cell r="AC584" t="str">
            <v>SSRS182</v>
          </cell>
          <cell r="AD584" t="str">
            <v>EACH</v>
          </cell>
        </row>
        <row r="585">
          <cell r="D585" t="str">
            <v>SSUNIAIR</v>
          </cell>
          <cell r="E585" t="str">
            <v>4902200</v>
          </cell>
          <cell r="F585" t="str">
            <v>AIR PIPE MARKER BLUE SIGN</v>
          </cell>
          <cell r="J585" t="str">
            <v>NNAV</v>
          </cell>
          <cell r="K585" t="str">
            <v>E575</v>
          </cell>
          <cell r="L585" t="str">
            <v>SAFE06</v>
          </cell>
          <cell r="P585">
            <v>300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 t="str">
            <v>No</v>
          </cell>
          <cell r="Z585" t="str">
            <v/>
          </cell>
          <cell r="AA585" t="str">
            <v>EACH</v>
          </cell>
          <cell r="AB585">
            <v>0</v>
          </cell>
          <cell r="AC585" t="str">
            <v>SSUNIAIR</v>
          </cell>
          <cell r="AD585" t="str">
            <v>EACH</v>
          </cell>
        </row>
        <row r="586">
          <cell r="D586" t="str">
            <v>SSF173</v>
          </cell>
          <cell r="E586" t="str">
            <v>4901950</v>
          </cell>
          <cell r="F586" t="str">
            <v>ARROW REFLECTIVE SIGN  600/180</v>
          </cell>
          <cell r="J586" t="str">
            <v>NNAV</v>
          </cell>
          <cell r="K586" t="str">
            <v>E575</v>
          </cell>
          <cell r="L586" t="str">
            <v>SAFE06</v>
          </cell>
          <cell r="P586">
            <v>50</v>
          </cell>
          <cell r="R586">
            <v>0</v>
          </cell>
          <cell r="S586">
            <v>0</v>
          </cell>
          <cell r="U586">
            <v>0</v>
          </cell>
          <cell r="V586">
            <v>0</v>
          </cell>
          <cell r="W586">
            <v>0</v>
          </cell>
          <cell r="X586" t="str">
            <v>No</v>
          </cell>
          <cell r="Z586" t="str">
            <v/>
          </cell>
          <cell r="AA586" t="str">
            <v>EACH</v>
          </cell>
          <cell r="AB586">
            <v>0</v>
          </cell>
          <cell r="AC586" t="str">
            <v>SSF173</v>
          </cell>
          <cell r="AD586" t="str">
            <v>EACH</v>
          </cell>
        </row>
        <row r="587">
          <cell r="D587" t="str">
            <v>SSDGR56R</v>
          </cell>
          <cell r="E587" t="str">
            <v>4901110</v>
          </cell>
          <cell r="F587" t="str">
            <v>BLANK SIGN DANGER 450 / 300</v>
          </cell>
          <cell r="J587" t="str">
            <v>NNAV</v>
          </cell>
          <cell r="K587" t="str">
            <v>E575</v>
          </cell>
          <cell r="L587" t="str">
            <v>SAFE06</v>
          </cell>
          <cell r="P587">
            <v>20</v>
          </cell>
          <cell r="R587">
            <v>0</v>
          </cell>
          <cell r="S587">
            <v>0</v>
          </cell>
          <cell r="U587">
            <v>0</v>
          </cell>
          <cell r="V587">
            <v>0</v>
          </cell>
          <cell r="W587">
            <v>0</v>
          </cell>
          <cell r="X587" t="str">
            <v>No</v>
          </cell>
          <cell r="Z587" t="str">
            <v/>
          </cell>
          <cell r="AA587" t="str">
            <v>EACH</v>
          </cell>
          <cell r="AB587">
            <v>0</v>
          </cell>
          <cell r="AC587" t="str">
            <v>SSDGR56R</v>
          </cell>
          <cell r="AD587" t="str">
            <v>EACH</v>
          </cell>
        </row>
        <row r="588">
          <cell r="D588" t="str">
            <v>SSDGR348R</v>
          </cell>
          <cell r="E588" t="str">
            <v>4901787</v>
          </cell>
          <cell r="F588" t="str">
            <v>BOGGING IN PROGRESS SIGN DANGE</v>
          </cell>
          <cell r="J588" t="str">
            <v>NNAV</v>
          </cell>
          <cell r="K588" t="str">
            <v>E575</v>
          </cell>
          <cell r="L588" t="str">
            <v>SAFE06</v>
          </cell>
          <cell r="P588">
            <v>40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 t="str">
            <v>No</v>
          </cell>
          <cell r="Z588" t="str">
            <v/>
          </cell>
          <cell r="AA588" t="str">
            <v>EACH</v>
          </cell>
          <cell r="AB588">
            <v>0</v>
          </cell>
          <cell r="AC588" t="str">
            <v>SSDGR348R</v>
          </cell>
          <cell r="AD588" t="str">
            <v>EACH</v>
          </cell>
        </row>
        <row r="589">
          <cell r="D589" t="str">
            <v>SSBCM29R</v>
          </cell>
          <cell r="E589" t="str">
            <v>4900170</v>
          </cell>
          <cell r="F589" t="str">
            <v>CALL UP POINT SIGN  450/300</v>
          </cell>
          <cell r="J589" t="str">
            <v>NNAV</v>
          </cell>
          <cell r="K589" t="str">
            <v>E575</v>
          </cell>
          <cell r="L589" t="str">
            <v>SAFE06</v>
          </cell>
          <cell r="P589">
            <v>8</v>
          </cell>
          <cell r="R589">
            <v>0</v>
          </cell>
          <cell r="S589">
            <v>0</v>
          </cell>
          <cell r="U589">
            <v>0</v>
          </cell>
          <cell r="V589">
            <v>0</v>
          </cell>
          <cell r="W589">
            <v>0</v>
          </cell>
          <cell r="X589" t="str">
            <v>No</v>
          </cell>
          <cell r="Z589" t="str">
            <v/>
          </cell>
          <cell r="AA589" t="str">
            <v>EACH</v>
          </cell>
          <cell r="AB589">
            <v>0</v>
          </cell>
          <cell r="AC589" t="str">
            <v>SSBCM29R</v>
          </cell>
          <cell r="AD589" t="str">
            <v>EACH</v>
          </cell>
        </row>
        <row r="590">
          <cell r="D590" t="str">
            <v>SSDGR141R</v>
          </cell>
          <cell r="E590" t="str">
            <v>4901160</v>
          </cell>
          <cell r="F590" t="str">
            <v>CHARGED FACE SIGN DANGER 450 /</v>
          </cell>
          <cell r="J590" t="str">
            <v>NNAV</v>
          </cell>
          <cell r="K590" t="str">
            <v>E575</v>
          </cell>
          <cell r="L590" t="str">
            <v>SAFE06</v>
          </cell>
          <cell r="P590">
            <v>20</v>
          </cell>
          <cell r="R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 t="str">
            <v>No</v>
          </cell>
          <cell r="Z590" t="str">
            <v/>
          </cell>
          <cell r="AA590" t="str">
            <v>EACH</v>
          </cell>
          <cell r="AB590">
            <v>0</v>
          </cell>
          <cell r="AC590" t="str">
            <v>SSDGR141R</v>
          </cell>
          <cell r="AD590" t="str">
            <v>EACH</v>
          </cell>
        </row>
        <row r="591">
          <cell r="D591" t="str">
            <v>SSDGR343R</v>
          </cell>
          <cell r="E591" t="str">
            <v>4901910</v>
          </cell>
          <cell r="F591" t="str">
            <v>CHARGING IN PROGRESS SIGN DANG</v>
          </cell>
          <cell r="J591" t="str">
            <v>NNAV</v>
          </cell>
          <cell r="K591" t="str">
            <v>E575</v>
          </cell>
          <cell r="L591" t="str">
            <v>SAFE06</v>
          </cell>
          <cell r="P591">
            <v>20</v>
          </cell>
          <cell r="R591">
            <v>0</v>
          </cell>
          <cell r="S591">
            <v>0</v>
          </cell>
          <cell r="U591">
            <v>0</v>
          </cell>
          <cell r="V591">
            <v>0</v>
          </cell>
          <cell r="W591">
            <v>0</v>
          </cell>
          <cell r="X591" t="str">
            <v>No</v>
          </cell>
          <cell r="Z591" t="str">
            <v/>
          </cell>
          <cell r="AA591" t="str">
            <v>EACH</v>
          </cell>
          <cell r="AB591">
            <v>0</v>
          </cell>
          <cell r="AC591" t="str">
            <v>SSDGR343R</v>
          </cell>
          <cell r="AD591" t="str">
            <v>EACH</v>
          </cell>
        </row>
        <row r="592">
          <cell r="D592" t="str">
            <v>SSBCM75</v>
          </cell>
          <cell r="E592" t="str">
            <v>4902225</v>
          </cell>
          <cell r="F592" t="str">
            <v>CONTACT OPERATOR BEFORE SIGN D</v>
          </cell>
          <cell r="J592" t="str">
            <v>NNAV</v>
          </cell>
          <cell r="K592" t="str">
            <v>E575</v>
          </cell>
          <cell r="L592" t="str">
            <v>SAFE06</v>
          </cell>
          <cell r="P592">
            <v>20</v>
          </cell>
          <cell r="R592">
            <v>0</v>
          </cell>
          <cell r="S592">
            <v>0</v>
          </cell>
          <cell r="U592">
            <v>0</v>
          </cell>
          <cell r="V592">
            <v>0</v>
          </cell>
          <cell r="W592">
            <v>0</v>
          </cell>
          <cell r="X592" t="str">
            <v>No</v>
          </cell>
          <cell r="Z592" t="str">
            <v/>
          </cell>
          <cell r="AA592" t="str">
            <v>EACH</v>
          </cell>
          <cell r="AB592">
            <v>0</v>
          </cell>
          <cell r="AC592" t="str">
            <v>SSBCM75</v>
          </cell>
          <cell r="AD592" t="str">
            <v>EACH</v>
          </cell>
        </row>
        <row r="593">
          <cell r="D593" t="str">
            <v>SSDGR2/SP</v>
          </cell>
          <cell r="E593" t="str">
            <v>Special Item</v>
          </cell>
          <cell r="F593" t="str">
            <v>DANGER DRILLING IN PROGRESS</v>
          </cell>
          <cell r="J593" t="str">
            <v>NNAV</v>
          </cell>
          <cell r="K593" t="str">
            <v>E575</v>
          </cell>
          <cell r="L593" t="str">
            <v>SAFE06</v>
          </cell>
          <cell r="P593">
            <v>20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 t="str">
            <v>No</v>
          </cell>
          <cell r="Z593" t="str">
            <v/>
          </cell>
          <cell r="AA593" t="str">
            <v>EACH</v>
          </cell>
          <cell r="AB593">
            <v>0</v>
          </cell>
          <cell r="AC593" t="str">
            <v>SSDGR2/SP</v>
          </cell>
          <cell r="AD593" t="str">
            <v>EACH</v>
          </cell>
        </row>
        <row r="594">
          <cell r="D594" t="str">
            <v>CUSTOMSPEC/MR05</v>
          </cell>
          <cell r="E594" t="str">
            <v>Special Item</v>
          </cell>
          <cell r="F594" t="str">
            <v>DANGER TAG BOARD CLOSED</v>
          </cell>
          <cell r="J594" t="str">
            <v>NNAV</v>
          </cell>
          <cell r="K594" t="str">
            <v>E575</v>
          </cell>
          <cell r="L594" t="str">
            <v>SAFE06</v>
          </cell>
          <cell r="P594">
            <v>6</v>
          </cell>
          <cell r="R594">
            <v>0</v>
          </cell>
          <cell r="S594">
            <v>0</v>
          </cell>
          <cell r="U594">
            <v>0</v>
          </cell>
          <cell r="V594">
            <v>0</v>
          </cell>
          <cell r="W594">
            <v>0</v>
          </cell>
          <cell r="X594" t="str">
            <v>No</v>
          </cell>
          <cell r="Z594" t="str">
            <v/>
          </cell>
          <cell r="AA594" t="str">
            <v>EACH</v>
          </cell>
          <cell r="AB594">
            <v>0</v>
          </cell>
          <cell r="AC594" t="str">
            <v>CUSTOMSPEC/MR05</v>
          </cell>
          <cell r="AD594" t="str">
            <v>EACH</v>
          </cell>
        </row>
        <row r="595">
          <cell r="D595" t="str">
            <v>CUXTOMSPEC/DFP</v>
          </cell>
          <cell r="E595" t="str">
            <v>Special Item</v>
          </cell>
          <cell r="F595" t="str">
            <v>DESIGNATED FIRING POINT</v>
          </cell>
          <cell r="J595" t="str">
            <v>NNAV</v>
          </cell>
          <cell r="K595" t="str">
            <v>E575</v>
          </cell>
          <cell r="L595" t="str">
            <v>SAFE06</v>
          </cell>
          <cell r="P595">
            <v>6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 t="str">
            <v>No</v>
          </cell>
          <cell r="Z595" t="str">
            <v/>
          </cell>
          <cell r="AA595" t="str">
            <v>EACH</v>
          </cell>
          <cell r="AB595">
            <v>0</v>
          </cell>
          <cell r="AC595" t="str">
            <v>CUXTOMSPEC/DFP</v>
          </cell>
          <cell r="AD595" t="str">
            <v>EACH</v>
          </cell>
        </row>
        <row r="596">
          <cell r="D596" t="str">
            <v>SSVH20</v>
          </cell>
          <cell r="E596" t="str">
            <v>4901250</v>
          </cell>
          <cell r="F596" t="str">
            <v>DIAMOND HOLDER SIGN  300 / 300</v>
          </cell>
          <cell r="J596" t="str">
            <v>NNAV</v>
          </cell>
          <cell r="K596" t="str">
            <v>E575</v>
          </cell>
          <cell r="L596" t="str">
            <v>SAFE06</v>
          </cell>
          <cell r="P596">
            <v>6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 t="str">
            <v>No</v>
          </cell>
          <cell r="Z596" t="str">
            <v/>
          </cell>
          <cell r="AA596" t="str">
            <v>EACH</v>
          </cell>
          <cell r="AB596">
            <v>0</v>
          </cell>
          <cell r="AC596" t="str">
            <v>SSVH20</v>
          </cell>
          <cell r="AD596" t="str">
            <v>EACH</v>
          </cell>
        </row>
        <row r="597">
          <cell r="D597" t="str">
            <v>SSPR28</v>
          </cell>
          <cell r="E597" t="str">
            <v>4902100</v>
          </cell>
          <cell r="F597" t="str">
            <v>EMERGENCY EYEWASH SIGN DANGER</v>
          </cell>
          <cell r="J597" t="str">
            <v>NNAV</v>
          </cell>
          <cell r="K597" t="str">
            <v>E575</v>
          </cell>
          <cell r="L597" t="str">
            <v>SAFE06</v>
          </cell>
          <cell r="P597">
            <v>10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 t="str">
            <v>No</v>
          </cell>
          <cell r="Z597" t="str">
            <v/>
          </cell>
          <cell r="AA597" t="str">
            <v>EACH</v>
          </cell>
          <cell r="AB597">
            <v>0</v>
          </cell>
          <cell r="AC597" t="str">
            <v>SSPR28</v>
          </cell>
          <cell r="AD597" t="str">
            <v>EACH</v>
          </cell>
        </row>
        <row r="598">
          <cell r="D598" t="str">
            <v>SSE2-30</v>
          </cell>
          <cell r="E598" t="str">
            <v>4901340</v>
          </cell>
          <cell r="F598" t="str">
            <v>EXPLOSIVE DIAMONDS SIGN  300 /</v>
          </cell>
          <cell r="J598" t="str">
            <v>NNAV</v>
          </cell>
          <cell r="K598" t="str">
            <v>E575</v>
          </cell>
          <cell r="L598" t="str">
            <v>SAFE06</v>
          </cell>
          <cell r="P598">
            <v>12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 t="str">
            <v>No</v>
          </cell>
          <cell r="Z598" t="str">
            <v/>
          </cell>
          <cell r="AA598" t="str">
            <v>EACH</v>
          </cell>
          <cell r="AB598">
            <v>0</v>
          </cell>
          <cell r="AC598" t="str">
            <v>SSE2-30</v>
          </cell>
          <cell r="AD598" t="str">
            <v>EACH</v>
          </cell>
        </row>
        <row r="599">
          <cell r="D599" t="str">
            <v>SSDGR55R</v>
          </cell>
          <cell r="E599" t="str">
            <v>4901350</v>
          </cell>
          <cell r="F599" t="str">
            <v>EXPLOSIVES SIGN DANGER 450 / 3</v>
          </cell>
          <cell r="J599" t="str">
            <v>NNAV</v>
          </cell>
          <cell r="K599" t="str">
            <v>E575</v>
          </cell>
          <cell r="L599" t="str">
            <v>SAFE06</v>
          </cell>
          <cell r="P599">
            <v>20</v>
          </cell>
          <cell r="R599">
            <v>0</v>
          </cell>
          <cell r="S599">
            <v>0</v>
          </cell>
          <cell r="U599">
            <v>0</v>
          </cell>
          <cell r="V599">
            <v>0</v>
          </cell>
          <cell r="W599">
            <v>0</v>
          </cell>
          <cell r="X599" t="str">
            <v>No</v>
          </cell>
          <cell r="Z599" t="str">
            <v/>
          </cell>
          <cell r="AA599" t="str">
            <v>EACH</v>
          </cell>
          <cell r="AB599">
            <v>0</v>
          </cell>
          <cell r="AC599" t="str">
            <v>SSDGR55R</v>
          </cell>
          <cell r="AD599" t="str">
            <v>EACH</v>
          </cell>
        </row>
        <row r="600">
          <cell r="D600" t="str">
            <v>SS840972</v>
          </cell>
          <cell r="E600" t="str">
            <v>4901977</v>
          </cell>
          <cell r="F600" t="str">
            <v>FIRE DISC POWDER AB(E)  DIA SI</v>
          </cell>
          <cell r="J600" t="str">
            <v>NNAV</v>
          </cell>
          <cell r="K600" t="str">
            <v>E575</v>
          </cell>
          <cell r="L600" t="str">
            <v>SAFE06</v>
          </cell>
          <cell r="P600">
            <v>30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 t="str">
            <v>No</v>
          </cell>
          <cell r="Z600" t="str">
            <v/>
          </cell>
          <cell r="AA600" t="str">
            <v>EACH</v>
          </cell>
          <cell r="AB600">
            <v>0</v>
          </cell>
          <cell r="AC600" t="str">
            <v>SS840972</v>
          </cell>
          <cell r="AD600" t="str">
            <v>EACH</v>
          </cell>
        </row>
        <row r="601">
          <cell r="D601" t="str">
            <v>SSF73</v>
          </cell>
          <cell r="E601" t="str">
            <v>4901370</v>
          </cell>
          <cell r="F601" t="str">
            <v>FIRE EXTINGUISHER SIGN  150 /</v>
          </cell>
          <cell r="J601" t="str">
            <v>NNAV</v>
          </cell>
          <cell r="K601" t="str">
            <v>E575</v>
          </cell>
          <cell r="L601" t="str">
            <v>SAFE06</v>
          </cell>
          <cell r="P601">
            <v>50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 t="str">
            <v>No</v>
          </cell>
          <cell r="Z601" t="str">
            <v/>
          </cell>
          <cell r="AA601" t="str">
            <v>EACH</v>
          </cell>
          <cell r="AB601">
            <v>0</v>
          </cell>
          <cell r="AC601" t="str">
            <v>SSF73</v>
          </cell>
          <cell r="AD601" t="str">
            <v>EACH</v>
          </cell>
        </row>
        <row r="602">
          <cell r="D602" t="str">
            <v>SSDGR323</v>
          </cell>
          <cell r="E602" t="str">
            <v>4901390</v>
          </cell>
          <cell r="F602" t="str">
            <v>FIRING IN PROGRESS SIGN DANGER</v>
          </cell>
          <cell r="J602" t="str">
            <v>NNAV</v>
          </cell>
          <cell r="K602" t="str">
            <v>E575</v>
          </cell>
          <cell r="L602" t="str">
            <v>SAFE06</v>
          </cell>
          <cell r="P602">
            <v>15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 t="str">
            <v>No</v>
          </cell>
          <cell r="Z602" t="str">
            <v/>
          </cell>
          <cell r="AA602" t="str">
            <v>EACH</v>
          </cell>
          <cell r="AB602">
            <v>0</v>
          </cell>
          <cell r="AC602" t="str">
            <v>SSDGR323</v>
          </cell>
          <cell r="AD602" t="str">
            <v>EACH</v>
          </cell>
        </row>
        <row r="603">
          <cell r="D603" t="str">
            <v>SSBCMA5</v>
          </cell>
          <cell r="E603" t="str">
            <v>4900010</v>
          </cell>
          <cell r="F603" t="str">
            <v>GREEN/WHITE FIRST AID KIT SIGN</v>
          </cell>
          <cell r="J603" t="str">
            <v>NNAV</v>
          </cell>
          <cell r="K603" t="str">
            <v>E575</v>
          </cell>
          <cell r="L603" t="str">
            <v>SAFE06</v>
          </cell>
          <cell r="P603">
            <v>15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 t="str">
            <v>No</v>
          </cell>
          <cell r="Z603" t="str">
            <v/>
          </cell>
          <cell r="AA603" t="str">
            <v>EACH</v>
          </cell>
          <cell r="AB603">
            <v>0</v>
          </cell>
          <cell r="AC603" t="str">
            <v>SSBCMA5</v>
          </cell>
          <cell r="AD603" t="str">
            <v>EACH</v>
          </cell>
        </row>
        <row r="604">
          <cell r="D604" t="str">
            <v>SSBCM26R</v>
          </cell>
          <cell r="E604" t="str">
            <v>4900145</v>
          </cell>
          <cell r="F604" t="str">
            <v>HAVE YOU REMOVED YOUR TAG SIGN</v>
          </cell>
          <cell r="J604" t="str">
            <v>NNAV</v>
          </cell>
          <cell r="K604" t="str">
            <v>E575</v>
          </cell>
          <cell r="L604" t="str">
            <v>SAFE06</v>
          </cell>
          <cell r="P604">
            <v>4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 t="str">
            <v>No</v>
          </cell>
          <cell r="Z604" t="str">
            <v/>
          </cell>
          <cell r="AA604" t="str">
            <v>EACH</v>
          </cell>
          <cell r="AB604">
            <v>0</v>
          </cell>
          <cell r="AC604" t="str">
            <v>SSBCM26R</v>
          </cell>
          <cell r="AD604" t="str">
            <v>EACH</v>
          </cell>
        </row>
        <row r="605">
          <cell r="D605" t="str">
            <v>SSDGR57R</v>
          </cell>
          <cell r="E605" t="str">
            <v>4901560</v>
          </cell>
          <cell r="F605" t="str">
            <v>NO ENTRY AUTHORISED PERSONNEL</v>
          </cell>
          <cell r="J605" t="str">
            <v>NNAV</v>
          </cell>
          <cell r="K605" t="str">
            <v>E575</v>
          </cell>
          <cell r="L605" t="str">
            <v>SAFE06</v>
          </cell>
          <cell r="P605">
            <v>10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 t="str">
            <v>No</v>
          </cell>
          <cell r="Z605" t="str">
            <v/>
          </cell>
          <cell r="AA605" t="str">
            <v>EACH</v>
          </cell>
          <cell r="AB605">
            <v>0</v>
          </cell>
          <cell r="AC605" t="str">
            <v>SSDGR57R</v>
          </cell>
          <cell r="AD605" t="str">
            <v>EACH</v>
          </cell>
        </row>
        <row r="606">
          <cell r="D606" t="str">
            <v>SSDGR148R</v>
          </cell>
          <cell r="E606" t="str">
            <v>4901550</v>
          </cell>
          <cell r="F606" t="str">
            <v>NO ENTRY SIGN DANGER 450 / 300</v>
          </cell>
          <cell r="J606" t="str">
            <v>NNAV</v>
          </cell>
          <cell r="K606" t="str">
            <v>E575</v>
          </cell>
          <cell r="L606" t="str">
            <v>SAFE06</v>
          </cell>
          <cell r="P606">
            <v>10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 t="str">
            <v>No</v>
          </cell>
          <cell r="Z606" t="str">
            <v/>
          </cell>
          <cell r="AA606" t="str">
            <v>EACH</v>
          </cell>
          <cell r="AB606">
            <v>0</v>
          </cell>
          <cell r="AC606" t="str">
            <v>SSDGR148R</v>
          </cell>
          <cell r="AD606" t="str">
            <v>EACH</v>
          </cell>
        </row>
        <row r="607">
          <cell r="D607" t="str">
            <v>SSSM4</v>
          </cell>
          <cell r="E607" t="str">
            <v>4901640</v>
          </cell>
          <cell r="F607" t="str">
            <v>NO SMOKING SIGN  300 / 450</v>
          </cell>
          <cell r="J607" t="str">
            <v>NNAV</v>
          </cell>
          <cell r="K607" t="str">
            <v>E575</v>
          </cell>
          <cell r="L607" t="str">
            <v>SAFE06</v>
          </cell>
          <cell r="P607">
            <v>20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 t="str">
            <v>No</v>
          </cell>
          <cell r="Z607" t="str">
            <v/>
          </cell>
          <cell r="AA607" t="str">
            <v>EACH</v>
          </cell>
          <cell r="AB607">
            <v>0</v>
          </cell>
          <cell r="AC607" t="str">
            <v>SSSM4</v>
          </cell>
          <cell r="AD607" t="str">
            <v>EACH</v>
          </cell>
        </row>
        <row r="608">
          <cell r="D608" t="str">
            <v>SSDGR3</v>
          </cell>
          <cell r="E608" t="str">
            <v>4901810</v>
          </cell>
          <cell r="F608" t="str">
            <v>NO SMOKING STOP ENGINE SIGN DA</v>
          </cell>
          <cell r="J608" t="str">
            <v>NNAV</v>
          </cell>
          <cell r="K608" t="str">
            <v>E575</v>
          </cell>
          <cell r="L608" t="str">
            <v>SAFE06</v>
          </cell>
          <cell r="P608">
            <v>6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 t="str">
            <v>No</v>
          </cell>
          <cell r="Z608" t="str">
            <v/>
          </cell>
          <cell r="AA608" t="str">
            <v>EACH</v>
          </cell>
          <cell r="AB608">
            <v>0</v>
          </cell>
          <cell r="AC608" t="str">
            <v>SSDGR3</v>
          </cell>
          <cell r="AD608" t="str">
            <v>EACH</v>
          </cell>
        </row>
        <row r="609">
          <cell r="D609" t="str">
            <v>SSDGR327R</v>
          </cell>
          <cell r="E609" t="str">
            <v>4901660</v>
          </cell>
          <cell r="F609" t="str">
            <v>NO SMOKING WITHIN 10 MTRS SIGN</v>
          </cell>
          <cell r="J609" t="str">
            <v>NNAV</v>
          </cell>
          <cell r="K609" t="str">
            <v>E575</v>
          </cell>
          <cell r="L609" t="str">
            <v>SAFE06</v>
          </cell>
          <cell r="P609">
            <v>12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 t="str">
            <v>No</v>
          </cell>
          <cell r="Z609" t="str">
            <v/>
          </cell>
          <cell r="AA609" t="str">
            <v>EACH</v>
          </cell>
          <cell r="AB609">
            <v>0</v>
          </cell>
          <cell r="AC609" t="str">
            <v>SSDGR327R</v>
          </cell>
          <cell r="AD609" t="str">
            <v>EACH</v>
          </cell>
        </row>
        <row r="610">
          <cell r="D610" t="str">
            <v>SSDGR38R</v>
          </cell>
          <cell r="E610" t="str">
            <v>4901680</v>
          </cell>
          <cell r="F610" t="str">
            <v>NO UNAUTHORISED ENTRY SIGN DAN</v>
          </cell>
          <cell r="J610" t="str">
            <v>NNAV</v>
          </cell>
          <cell r="K610" t="str">
            <v>E575</v>
          </cell>
          <cell r="L610" t="str">
            <v>SAFE06</v>
          </cell>
          <cell r="P610">
            <v>20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 t="str">
            <v>No</v>
          </cell>
          <cell r="Z610" t="str">
            <v/>
          </cell>
          <cell r="AA610" t="str">
            <v>EACH</v>
          </cell>
          <cell r="AB610">
            <v>0</v>
          </cell>
          <cell r="AC610" t="str">
            <v>SSDGR38R</v>
          </cell>
          <cell r="AD610" t="str">
            <v>EACH</v>
          </cell>
        </row>
        <row r="611">
          <cell r="D611" t="str">
            <v>SSBCM4902825</v>
          </cell>
          <cell r="E611" t="str">
            <v>4902825</v>
          </cell>
          <cell r="F611" t="str">
            <v>PPE REQUIREMENTS FOR AREA SIGN</v>
          </cell>
          <cell r="J611" t="str">
            <v>NNAV</v>
          </cell>
          <cell r="K611" t="str">
            <v>E575</v>
          </cell>
          <cell r="L611" t="str">
            <v>SAFE06</v>
          </cell>
          <cell r="P611">
            <v>5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 t="str">
            <v>No</v>
          </cell>
          <cell r="Z611" t="str">
            <v/>
          </cell>
          <cell r="AA611" t="str">
            <v>EACH</v>
          </cell>
          <cell r="AB611">
            <v>0</v>
          </cell>
          <cell r="AC611" t="str">
            <v>SSBCM4902825</v>
          </cell>
          <cell r="AD611" t="str">
            <v>EACH</v>
          </cell>
        </row>
        <row r="612">
          <cell r="D612" t="str">
            <v>SSBCM11R</v>
          </cell>
          <cell r="E612" t="str">
            <v>4900055</v>
          </cell>
          <cell r="F612" t="str">
            <v>RE ENTRY IN PROGRESS BLACK/WHI</v>
          </cell>
          <cell r="J612" t="str">
            <v>NNAV</v>
          </cell>
          <cell r="K612" t="str">
            <v>E575</v>
          </cell>
          <cell r="L612" t="str">
            <v>SAFE06</v>
          </cell>
          <cell r="P612">
            <v>15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 t="str">
            <v>No</v>
          </cell>
          <cell r="Z612" t="str">
            <v/>
          </cell>
          <cell r="AA612" t="str">
            <v>EACH</v>
          </cell>
          <cell r="AB612">
            <v>0</v>
          </cell>
          <cell r="AC612" t="str">
            <v>SSBCM11R</v>
          </cell>
          <cell r="AD612" t="str">
            <v>EACH</v>
          </cell>
        </row>
        <row r="613">
          <cell r="D613" t="str">
            <v>SSPRA163R</v>
          </cell>
          <cell r="E613" t="str">
            <v>4901770</v>
          </cell>
          <cell r="F613" t="str">
            <v>REFLECTIVE TAPE C2 SIGN  50MM</v>
          </cell>
          <cell r="J613" t="str">
            <v>NNAV</v>
          </cell>
          <cell r="K613" t="str">
            <v>E575</v>
          </cell>
          <cell r="L613" t="str">
            <v>SAFE06</v>
          </cell>
          <cell r="P613">
            <v>10</v>
          </cell>
          <cell r="R613">
            <v>0</v>
          </cell>
          <cell r="S613">
            <v>0</v>
          </cell>
          <cell r="U613">
            <v>0</v>
          </cell>
          <cell r="V613">
            <v>0</v>
          </cell>
          <cell r="W613">
            <v>0</v>
          </cell>
          <cell r="X613" t="str">
            <v>No</v>
          </cell>
          <cell r="Z613" t="str">
            <v/>
          </cell>
          <cell r="AA613" t="str">
            <v>EACH</v>
          </cell>
          <cell r="AB613">
            <v>0</v>
          </cell>
          <cell r="AC613" t="str">
            <v>SSPRA163R</v>
          </cell>
          <cell r="AD613" t="str">
            <v>EACH</v>
          </cell>
        </row>
        <row r="614">
          <cell r="D614" t="str">
            <v>SSBCM51R</v>
          </cell>
          <cell r="E614" t="str">
            <v>4900320</v>
          </cell>
          <cell r="F614" t="str">
            <v>REFUGE CHAMBER SIGN  450/300</v>
          </cell>
          <cell r="J614" t="str">
            <v>NNAV</v>
          </cell>
          <cell r="K614" t="str">
            <v>E575</v>
          </cell>
          <cell r="L614" t="str">
            <v>SAFE06</v>
          </cell>
          <cell r="P614">
            <v>10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 t="str">
            <v>No</v>
          </cell>
          <cell r="Z614" t="str">
            <v/>
          </cell>
          <cell r="AA614" t="str">
            <v>EACH</v>
          </cell>
          <cell r="AB614">
            <v>0</v>
          </cell>
          <cell r="AC614" t="str">
            <v>SSBCM51R</v>
          </cell>
          <cell r="AD614" t="str">
            <v>EACH</v>
          </cell>
        </row>
        <row r="615">
          <cell r="D615" t="str">
            <v>SSRS85R</v>
          </cell>
          <cell r="E615" t="str">
            <v>4900150</v>
          </cell>
          <cell r="F615" t="str">
            <v>STOP SIGN  600/600</v>
          </cell>
          <cell r="J615" t="str">
            <v>NNAV</v>
          </cell>
          <cell r="K615" t="str">
            <v>E575</v>
          </cell>
          <cell r="L615" t="str">
            <v>SAFE06</v>
          </cell>
          <cell r="P615">
            <v>20</v>
          </cell>
          <cell r="R615">
            <v>0</v>
          </cell>
          <cell r="S615">
            <v>0</v>
          </cell>
          <cell r="U615">
            <v>0</v>
          </cell>
          <cell r="V615">
            <v>0</v>
          </cell>
          <cell r="W615">
            <v>0</v>
          </cell>
          <cell r="X615" t="str">
            <v>No</v>
          </cell>
          <cell r="Z615" t="str">
            <v/>
          </cell>
          <cell r="AA615" t="str">
            <v>EACH</v>
          </cell>
          <cell r="AB615">
            <v>0</v>
          </cell>
          <cell r="AC615" t="str">
            <v>SSRS85R</v>
          </cell>
          <cell r="AD615" t="str">
            <v>EACH</v>
          </cell>
        </row>
        <row r="616">
          <cell r="D616" t="str">
            <v>SSDGR333R</v>
          </cell>
          <cell r="E616" t="str">
            <v>4901830</v>
          </cell>
          <cell r="F616" t="str">
            <v>SUMP SIGN DANGER 450 / 300</v>
          </cell>
          <cell r="J616" t="str">
            <v>NNAV</v>
          </cell>
          <cell r="K616" t="str">
            <v>E575</v>
          </cell>
          <cell r="L616" t="str">
            <v>SAFE06</v>
          </cell>
          <cell r="P616">
            <v>20</v>
          </cell>
          <cell r="R616">
            <v>0</v>
          </cell>
          <cell r="S616">
            <v>0</v>
          </cell>
          <cell r="U616">
            <v>0</v>
          </cell>
          <cell r="V616">
            <v>0</v>
          </cell>
          <cell r="W616">
            <v>0</v>
          </cell>
          <cell r="X616" t="str">
            <v>No</v>
          </cell>
          <cell r="Z616" t="str">
            <v/>
          </cell>
          <cell r="AA616" t="str">
            <v>EACH</v>
          </cell>
          <cell r="AB616">
            <v>0</v>
          </cell>
          <cell r="AC616" t="str">
            <v>SSDGR333R</v>
          </cell>
          <cell r="AD616" t="str">
            <v>EACH</v>
          </cell>
        </row>
        <row r="617">
          <cell r="D617" t="str">
            <v>SPEC/M08</v>
          </cell>
          <cell r="E617" t="str">
            <v>Special Item</v>
          </cell>
          <cell r="F617" t="str">
            <v>TAG BOARD CLOSED</v>
          </cell>
          <cell r="J617" t="str">
            <v>NNAV</v>
          </cell>
          <cell r="K617" t="str">
            <v>E575</v>
          </cell>
          <cell r="L617" t="str">
            <v>SAFE06</v>
          </cell>
          <cell r="P617">
            <v>6</v>
          </cell>
          <cell r="R617">
            <v>0</v>
          </cell>
          <cell r="S617">
            <v>0</v>
          </cell>
          <cell r="U617">
            <v>0</v>
          </cell>
          <cell r="V617">
            <v>0</v>
          </cell>
          <cell r="W617">
            <v>0</v>
          </cell>
          <cell r="X617" t="str">
            <v>No</v>
          </cell>
          <cell r="Z617" t="str">
            <v/>
          </cell>
          <cell r="AA617" t="str">
            <v>EACH</v>
          </cell>
          <cell r="AB617">
            <v>0</v>
          </cell>
          <cell r="AC617" t="str">
            <v>SPEC/M08</v>
          </cell>
          <cell r="AD617" t="str">
            <v>EACH</v>
          </cell>
        </row>
        <row r="618">
          <cell r="D618" t="str">
            <v>SSDGR140R</v>
          </cell>
          <cell r="E618" t="str">
            <v>4901850</v>
          </cell>
          <cell r="F618" t="str">
            <v>TRAILING CABLE SIGN DANGER 450</v>
          </cell>
          <cell r="J618" t="str">
            <v>NNAV</v>
          </cell>
          <cell r="K618" t="str">
            <v>E575</v>
          </cell>
          <cell r="L618" t="str">
            <v>SAFE06</v>
          </cell>
          <cell r="P618">
            <v>20</v>
          </cell>
          <cell r="R618">
            <v>0</v>
          </cell>
          <cell r="S618">
            <v>0</v>
          </cell>
          <cell r="U618">
            <v>0</v>
          </cell>
          <cell r="V618">
            <v>0</v>
          </cell>
          <cell r="W618">
            <v>0</v>
          </cell>
          <cell r="X618" t="str">
            <v>No</v>
          </cell>
          <cell r="Z618" t="str">
            <v/>
          </cell>
          <cell r="AA618" t="str">
            <v>EACH</v>
          </cell>
          <cell r="AB618">
            <v>0</v>
          </cell>
          <cell r="AC618" t="str">
            <v>SSDGR140R</v>
          </cell>
          <cell r="AD618" t="str">
            <v>EACH</v>
          </cell>
        </row>
        <row r="619">
          <cell r="D619" t="str">
            <v>SSDGR336R</v>
          </cell>
          <cell r="E619" t="str">
            <v>4901870</v>
          </cell>
          <cell r="F619" t="str">
            <v>UNSUPPORTED GROUND SIGN DANGER</v>
          </cell>
          <cell r="J619" t="str">
            <v>NNAV</v>
          </cell>
          <cell r="K619" t="str">
            <v>E575</v>
          </cell>
          <cell r="L619" t="str">
            <v>SAFE06</v>
          </cell>
          <cell r="P619">
            <v>20</v>
          </cell>
          <cell r="R619">
            <v>0</v>
          </cell>
          <cell r="S619">
            <v>0</v>
          </cell>
          <cell r="U619">
            <v>0</v>
          </cell>
          <cell r="V619">
            <v>0</v>
          </cell>
          <cell r="W619">
            <v>0</v>
          </cell>
          <cell r="X619" t="str">
            <v>No</v>
          </cell>
          <cell r="Z619" t="str">
            <v/>
          </cell>
          <cell r="AA619" t="str">
            <v>EACH</v>
          </cell>
          <cell r="AB619">
            <v>0</v>
          </cell>
          <cell r="AC619" t="str">
            <v>SSDGR336R</v>
          </cell>
          <cell r="AD619" t="str">
            <v>EACH</v>
          </cell>
        </row>
        <row r="620">
          <cell r="D620" t="str">
            <v>SSUNIWATER</v>
          </cell>
          <cell r="E620" t="str">
            <v>4902205</v>
          </cell>
          <cell r="F620" t="str">
            <v>WATER PIPEMARKER UNIVERSAL SIG</v>
          </cell>
          <cell r="J620" t="str">
            <v>NNAV</v>
          </cell>
          <cell r="K620" t="str">
            <v>E575</v>
          </cell>
          <cell r="L620" t="str">
            <v>SAFE06</v>
          </cell>
          <cell r="P620">
            <v>300</v>
          </cell>
          <cell r="R620">
            <v>0</v>
          </cell>
          <cell r="S620">
            <v>0</v>
          </cell>
          <cell r="U620">
            <v>0</v>
          </cell>
          <cell r="V620">
            <v>0</v>
          </cell>
          <cell r="W620">
            <v>0</v>
          </cell>
          <cell r="X620" t="str">
            <v>No</v>
          </cell>
          <cell r="Z620" t="str">
            <v/>
          </cell>
          <cell r="AA620" t="str">
            <v>EACH</v>
          </cell>
          <cell r="AB620">
            <v>0</v>
          </cell>
          <cell r="AC620" t="str">
            <v>SSUNIWATER</v>
          </cell>
          <cell r="AD620" t="str">
            <v>EACH</v>
          </cell>
        </row>
        <row r="621">
          <cell r="D621" t="str">
            <v>SS-SGRP</v>
          </cell>
          <cell r="E621" t="str">
            <v>Special Item</v>
          </cell>
          <cell r="F621" t="str">
            <v>WHITE ON BLUE STENCH GAS RELEA</v>
          </cell>
          <cell r="J621" t="str">
            <v>NNAV</v>
          </cell>
          <cell r="K621" t="str">
            <v>E575</v>
          </cell>
          <cell r="L621" t="str">
            <v>SAFE06</v>
          </cell>
          <cell r="P621">
            <v>4</v>
          </cell>
          <cell r="R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X621" t="str">
            <v>No</v>
          </cell>
          <cell r="Z621" t="str">
            <v/>
          </cell>
          <cell r="AA621" t="str">
            <v>EACH</v>
          </cell>
          <cell r="AB621">
            <v>0</v>
          </cell>
          <cell r="AC621" t="str">
            <v>SS-SGRP</v>
          </cell>
          <cell r="AD621" t="str">
            <v>EACH</v>
          </cell>
        </row>
        <row r="622">
          <cell r="D622" t="str">
            <v>33191231</v>
          </cell>
          <cell r="E622" t="str">
            <v>Special Item</v>
          </cell>
          <cell r="F622" t="str">
            <v>GUIDE PIECE WHOLE, OLD 2640374</v>
          </cell>
          <cell r="J622" t="str">
            <v>NNAV</v>
          </cell>
          <cell r="K622" t="str">
            <v>E155</v>
          </cell>
          <cell r="L622" t="str">
            <v>SAND17</v>
          </cell>
          <cell r="P622">
            <v>50</v>
          </cell>
          <cell r="R622">
            <v>41</v>
          </cell>
          <cell r="S622">
            <v>0.82</v>
          </cell>
          <cell r="U622">
            <v>0</v>
          </cell>
          <cell r="V622">
            <v>41</v>
          </cell>
          <cell r="W622">
            <v>0</v>
          </cell>
          <cell r="X622" t="str">
            <v>No</v>
          </cell>
          <cell r="Z622" t="str">
            <v/>
          </cell>
          <cell r="AA622" t="str">
            <v>EACH</v>
          </cell>
          <cell r="AB622">
            <v>0</v>
          </cell>
          <cell r="AC622" t="str">
            <v>33191231</v>
          </cell>
          <cell r="AD622" t="str">
            <v>EACH</v>
          </cell>
        </row>
        <row r="623">
          <cell r="D623" t="str">
            <v>33191232</v>
          </cell>
          <cell r="E623" t="str">
            <v>Special Item</v>
          </cell>
          <cell r="F623" t="str">
            <v>GUIDE PIECE WHOLE, OLD 2640374</v>
          </cell>
          <cell r="J623" t="str">
            <v>NNAV</v>
          </cell>
          <cell r="K623" t="str">
            <v>E155</v>
          </cell>
          <cell r="L623" t="str">
            <v>SAND17</v>
          </cell>
          <cell r="P623">
            <v>50</v>
          </cell>
          <cell r="R623">
            <v>45</v>
          </cell>
          <cell r="S623">
            <v>0.9</v>
          </cell>
          <cell r="U623">
            <v>0</v>
          </cell>
          <cell r="V623">
            <v>45</v>
          </cell>
          <cell r="W623">
            <v>0</v>
          </cell>
          <cell r="X623" t="str">
            <v>No</v>
          </cell>
          <cell r="Z623" t="str">
            <v/>
          </cell>
          <cell r="AA623" t="str">
            <v>EACH</v>
          </cell>
          <cell r="AB623">
            <v>0</v>
          </cell>
          <cell r="AC623" t="str">
            <v>33191232</v>
          </cell>
          <cell r="AD623" t="str">
            <v>EACH</v>
          </cell>
        </row>
        <row r="624">
          <cell r="D624" t="str">
            <v>33191234</v>
          </cell>
          <cell r="E624" t="str">
            <v>Special Item</v>
          </cell>
          <cell r="F624" t="str">
            <v>GUIDE PIECE, OLD 26403742</v>
          </cell>
          <cell r="J624" t="str">
            <v>NNAV</v>
          </cell>
          <cell r="K624" t="str">
            <v>E155</v>
          </cell>
          <cell r="L624" t="str">
            <v>SAND17</v>
          </cell>
          <cell r="P624">
            <v>50</v>
          </cell>
          <cell r="R624">
            <v>42</v>
          </cell>
          <cell r="S624">
            <v>0.84</v>
          </cell>
          <cell r="U624">
            <v>0</v>
          </cell>
          <cell r="V624">
            <v>42</v>
          </cell>
          <cell r="W624">
            <v>0</v>
          </cell>
          <cell r="X624" t="str">
            <v>No</v>
          </cell>
          <cell r="Z624" t="str">
            <v/>
          </cell>
          <cell r="AA624" t="str">
            <v>EACH</v>
          </cell>
          <cell r="AB624">
            <v>0</v>
          </cell>
          <cell r="AC624" t="str">
            <v>33191234</v>
          </cell>
          <cell r="AD624" t="str">
            <v>EACH</v>
          </cell>
        </row>
        <row r="625">
          <cell r="D625" t="str">
            <v>D2024004423D001</v>
          </cell>
          <cell r="E625" t="str">
            <v>Special Item</v>
          </cell>
          <cell r="F625" t="str">
            <v>REBAR THREADED INCL NUT/PLATE</v>
          </cell>
          <cell r="J625" t="str">
            <v>NNAV</v>
          </cell>
          <cell r="K625" t="str">
            <v>E700</v>
          </cell>
          <cell r="L625" t="str">
            <v>SAND17</v>
          </cell>
          <cell r="P625">
            <v>0</v>
          </cell>
          <cell r="R625">
            <v>0</v>
          </cell>
          <cell r="S625" t="e">
            <v>#DIV/0!</v>
          </cell>
          <cell r="U625">
            <v>0</v>
          </cell>
          <cell r="V625">
            <v>0</v>
          </cell>
          <cell r="W625">
            <v>0</v>
          </cell>
          <cell r="X625" t="str">
            <v>No</v>
          </cell>
          <cell r="Z625" t="str">
            <v/>
          </cell>
          <cell r="AA625" t="str">
            <v>EACH</v>
          </cell>
          <cell r="AB625">
            <v>0</v>
          </cell>
          <cell r="AC625" t="str">
            <v>D2024004423D001</v>
          </cell>
          <cell r="AD625" t="str">
            <v>EACH</v>
          </cell>
        </row>
        <row r="626">
          <cell r="D626" t="str">
            <v>7580-5243A-S70</v>
          </cell>
          <cell r="E626" t="str">
            <v>4808725</v>
          </cell>
          <cell r="F626" t="str">
            <v>BUTTON BIT A340 43MM SH70</v>
          </cell>
          <cell r="J626" t="str">
            <v>NNAV</v>
          </cell>
          <cell r="K626" t="str">
            <v>E155</v>
          </cell>
          <cell r="L626" t="str">
            <v>SAND23</v>
          </cell>
          <cell r="P626">
            <v>375</v>
          </cell>
          <cell r="R626">
            <v>215</v>
          </cell>
          <cell r="S626">
            <v>0.57333333333333336</v>
          </cell>
          <cell r="U626">
            <v>0</v>
          </cell>
          <cell r="V626">
            <v>215</v>
          </cell>
          <cell r="W626">
            <v>0</v>
          </cell>
          <cell r="X626" t="str">
            <v>No</v>
          </cell>
          <cell r="Z626" t="str">
            <v/>
          </cell>
          <cell r="AA626" t="str">
            <v>EACH</v>
          </cell>
          <cell r="AB626">
            <v>0</v>
          </cell>
          <cell r="AC626" t="str">
            <v>7580-5243A-S70</v>
          </cell>
          <cell r="AD626" t="str">
            <v>EACH</v>
          </cell>
        </row>
        <row r="627">
          <cell r="D627" t="str">
            <v>7580-5345A-R48</v>
          </cell>
          <cell r="E627" t="str">
            <v>4808845</v>
          </cell>
          <cell r="F627" t="str">
            <v>BUTTON BIT A340 45MM</v>
          </cell>
          <cell r="J627" t="str">
            <v>NNAV</v>
          </cell>
          <cell r="K627" t="str">
            <v>E155</v>
          </cell>
          <cell r="L627" t="str">
            <v>SAND23</v>
          </cell>
          <cell r="P627">
            <v>500</v>
          </cell>
          <cell r="R627">
            <v>185</v>
          </cell>
          <cell r="S627">
            <v>0.37</v>
          </cell>
          <cell r="U627">
            <v>0</v>
          </cell>
          <cell r="V627">
            <v>185</v>
          </cell>
          <cell r="W627">
            <v>0</v>
          </cell>
          <cell r="X627" t="str">
            <v>No</v>
          </cell>
          <cell r="Z627" t="str">
            <v/>
          </cell>
          <cell r="AA627" t="str">
            <v>EACH</v>
          </cell>
          <cell r="AB627">
            <v>0</v>
          </cell>
          <cell r="AC627" t="str">
            <v>7580-5345A-R48</v>
          </cell>
          <cell r="AD627" t="str">
            <v>EACH</v>
          </cell>
        </row>
        <row r="628">
          <cell r="D628" t="str">
            <v>7580-5148A-S81</v>
          </cell>
          <cell r="E628" t="str">
            <v>4808575</v>
          </cell>
          <cell r="F628" t="str">
            <v>BUTTON BIT A340 48MM TC</v>
          </cell>
          <cell r="J628" t="str">
            <v>NNAV</v>
          </cell>
          <cell r="K628" t="str">
            <v>E155</v>
          </cell>
          <cell r="L628" t="str">
            <v>SAND23</v>
          </cell>
          <cell r="P628">
            <v>75</v>
          </cell>
          <cell r="R628">
            <v>15</v>
          </cell>
          <cell r="S628">
            <v>0.2</v>
          </cell>
          <cell r="U628">
            <v>0</v>
          </cell>
          <cell r="V628">
            <v>15</v>
          </cell>
          <cell r="W628">
            <v>0</v>
          </cell>
          <cell r="X628" t="str">
            <v>No</v>
          </cell>
          <cell r="Z628" t="str">
            <v/>
          </cell>
          <cell r="AA628" t="str">
            <v>EACH</v>
          </cell>
          <cell r="AB628">
            <v>0</v>
          </cell>
          <cell r="AC628" t="str">
            <v>7580-5148A-S81</v>
          </cell>
          <cell r="AD628" t="str">
            <v>EACH</v>
          </cell>
        </row>
        <row r="629">
          <cell r="D629" t="str">
            <v>7514-1664-S70</v>
          </cell>
          <cell r="E629" t="str">
            <v>4808785</v>
          </cell>
          <cell r="F629" t="str">
            <v>BUTTON BIT T38 64MM SH70</v>
          </cell>
          <cell r="J629" t="str">
            <v>NNAV</v>
          </cell>
          <cell r="K629" t="str">
            <v>E155</v>
          </cell>
          <cell r="L629" t="str">
            <v>SAND23</v>
          </cell>
          <cell r="P629">
            <v>75</v>
          </cell>
          <cell r="R629">
            <v>41</v>
          </cell>
          <cell r="S629">
            <v>0.54666666666666663</v>
          </cell>
          <cell r="U629">
            <v>0</v>
          </cell>
          <cell r="V629">
            <v>41</v>
          </cell>
          <cell r="W629">
            <v>0</v>
          </cell>
          <cell r="X629" t="str">
            <v>No</v>
          </cell>
          <cell r="Z629" t="str">
            <v/>
          </cell>
          <cell r="AA629" t="str">
            <v>EACH</v>
          </cell>
          <cell r="AB629">
            <v>0</v>
          </cell>
          <cell r="AC629" t="str">
            <v>7514-1664-S70</v>
          </cell>
          <cell r="AD629" t="str">
            <v>EACH</v>
          </cell>
        </row>
        <row r="630">
          <cell r="D630" t="str">
            <v>7314-3652</v>
          </cell>
          <cell r="E630" t="str">
            <v>4805190</v>
          </cell>
          <cell r="F630" t="str">
            <v>COUPLING SLEEVE T38</v>
          </cell>
          <cell r="J630" t="str">
            <v>NNAV</v>
          </cell>
          <cell r="K630" t="str">
            <v>E155</v>
          </cell>
          <cell r="L630" t="str">
            <v>SAND23</v>
          </cell>
          <cell r="P630">
            <v>75</v>
          </cell>
          <cell r="R630">
            <v>75</v>
          </cell>
          <cell r="S630">
            <v>1</v>
          </cell>
          <cell r="U630">
            <v>0</v>
          </cell>
          <cell r="V630">
            <v>75</v>
          </cell>
          <cell r="W630">
            <v>0</v>
          </cell>
          <cell r="X630" t="str">
            <v>No</v>
          </cell>
          <cell r="Z630" t="str">
            <v/>
          </cell>
          <cell r="AA630" t="str">
            <v>EACH</v>
          </cell>
          <cell r="AB630">
            <v>0</v>
          </cell>
          <cell r="AC630" t="str">
            <v>7314-3652</v>
          </cell>
          <cell r="AD630" t="str">
            <v>EACH</v>
          </cell>
        </row>
        <row r="631">
          <cell r="D631" t="str">
            <v>7314-6261</v>
          </cell>
          <cell r="E631" t="str">
            <v>4805985</v>
          </cell>
          <cell r="F631" t="str">
            <v>COUPLING T45/T38</v>
          </cell>
          <cell r="J631" t="str">
            <v>NNAV</v>
          </cell>
          <cell r="K631" t="str">
            <v>E155</v>
          </cell>
          <cell r="L631" t="str">
            <v>SAND23</v>
          </cell>
          <cell r="P631">
            <v>0</v>
          </cell>
          <cell r="R631">
            <v>0</v>
          </cell>
          <cell r="S631" t="e">
            <v>#DIV/0!</v>
          </cell>
          <cell r="U631">
            <v>0</v>
          </cell>
          <cell r="V631">
            <v>0</v>
          </cell>
          <cell r="W631">
            <v>0</v>
          </cell>
          <cell r="X631" t="str">
            <v>No</v>
          </cell>
          <cell r="Z631" t="str">
            <v/>
          </cell>
          <cell r="AA631" t="str">
            <v>EACH</v>
          </cell>
          <cell r="AB631">
            <v>0</v>
          </cell>
          <cell r="AC631" t="str">
            <v>7314-6261</v>
          </cell>
          <cell r="AD631" t="str">
            <v>EACH</v>
          </cell>
        </row>
        <row r="632">
          <cell r="D632" t="str">
            <v>7324-8031-20</v>
          </cell>
          <cell r="E632" t="str">
            <v>4808540</v>
          </cell>
          <cell r="F632" t="str">
            <v>DRIFTER ROD T38 H35 A340 L=309</v>
          </cell>
          <cell r="J632" t="str">
            <v>NNAV</v>
          </cell>
          <cell r="K632" t="str">
            <v>E155</v>
          </cell>
          <cell r="L632" t="str">
            <v>SAND23</v>
          </cell>
          <cell r="P632">
            <v>110</v>
          </cell>
          <cell r="R632">
            <v>61</v>
          </cell>
          <cell r="S632">
            <v>0.55454545454545456</v>
          </cell>
          <cell r="U632">
            <v>0</v>
          </cell>
          <cell r="V632">
            <v>61</v>
          </cell>
          <cell r="W632">
            <v>0</v>
          </cell>
          <cell r="X632" t="str">
            <v>No</v>
          </cell>
          <cell r="Z632" t="str">
            <v/>
          </cell>
          <cell r="AA632" t="str">
            <v>EACH</v>
          </cell>
          <cell r="AB632">
            <v>0</v>
          </cell>
          <cell r="AC632" t="str">
            <v>7324-8031-20</v>
          </cell>
          <cell r="AD632" t="str">
            <v>EACH</v>
          </cell>
        </row>
        <row r="633">
          <cell r="D633" t="str">
            <v>7324-8037-20</v>
          </cell>
          <cell r="E633" t="str">
            <v>4808545</v>
          </cell>
          <cell r="F633" t="str">
            <v>DRIFTER ROD T38 H35 A340 L=370</v>
          </cell>
          <cell r="J633" t="str">
            <v>NNAV</v>
          </cell>
          <cell r="K633" t="str">
            <v>E155</v>
          </cell>
          <cell r="L633" t="str">
            <v>SAND23</v>
          </cell>
          <cell r="P633">
            <v>40</v>
          </cell>
          <cell r="R633">
            <v>30</v>
          </cell>
          <cell r="S633">
            <v>0.75</v>
          </cell>
          <cell r="U633">
            <v>0</v>
          </cell>
          <cell r="V633">
            <v>30</v>
          </cell>
          <cell r="W633">
            <v>0</v>
          </cell>
          <cell r="X633" t="str">
            <v>No</v>
          </cell>
          <cell r="Z633" t="str">
            <v/>
          </cell>
          <cell r="AA633" t="str">
            <v>EACH</v>
          </cell>
          <cell r="AB633">
            <v>0</v>
          </cell>
          <cell r="AC633" t="str">
            <v>7324-8037-20</v>
          </cell>
          <cell r="AD633" t="str">
            <v>EACH</v>
          </cell>
        </row>
        <row r="634">
          <cell r="D634" t="str">
            <v>7324-8043-20</v>
          </cell>
          <cell r="E634" t="str">
            <v>4808685</v>
          </cell>
          <cell r="F634" t="str">
            <v>DRIFTER ROD T38 H35 A340 L=430</v>
          </cell>
          <cell r="J634" t="str">
            <v>NNAV</v>
          </cell>
          <cell r="K634" t="str">
            <v>E155</v>
          </cell>
          <cell r="L634" t="str">
            <v>SAND23</v>
          </cell>
          <cell r="P634">
            <v>75</v>
          </cell>
          <cell r="R634">
            <v>75</v>
          </cell>
          <cell r="S634">
            <v>1</v>
          </cell>
          <cell r="U634">
            <v>0</v>
          </cell>
          <cell r="V634">
            <v>75</v>
          </cell>
          <cell r="W634">
            <v>0</v>
          </cell>
          <cell r="X634" t="str">
            <v>No</v>
          </cell>
          <cell r="Z634" t="str">
            <v/>
          </cell>
          <cell r="AA634" t="str">
            <v>EACH</v>
          </cell>
          <cell r="AB634">
            <v>0</v>
          </cell>
          <cell r="AC634" t="str">
            <v>7324-8043-20</v>
          </cell>
          <cell r="AD634" t="str">
            <v>EACH</v>
          </cell>
        </row>
        <row r="635">
          <cell r="D635" t="str">
            <v>7324-7949-20</v>
          </cell>
          <cell r="E635" t="str">
            <v>4808550</v>
          </cell>
          <cell r="F635" t="str">
            <v>DRIFTER ROD T38 R39 A340 L=491</v>
          </cell>
          <cell r="J635" t="str">
            <v>NNAV</v>
          </cell>
          <cell r="K635" t="str">
            <v>E155</v>
          </cell>
          <cell r="L635" t="str">
            <v>SAND23</v>
          </cell>
          <cell r="P635">
            <v>225</v>
          </cell>
          <cell r="R635">
            <v>211</v>
          </cell>
          <cell r="S635">
            <v>0.93777777777777782</v>
          </cell>
          <cell r="U635">
            <v>0</v>
          </cell>
          <cell r="V635">
            <v>211</v>
          </cell>
          <cell r="W635">
            <v>0</v>
          </cell>
          <cell r="X635" t="str">
            <v>No</v>
          </cell>
          <cell r="Z635" t="str">
            <v/>
          </cell>
          <cell r="AA635" t="str">
            <v>EACH</v>
          </cell>
          <cell r="AB635">
            <v>0</v>
          </cell>
          <cell r="AC635" t="str">
            <v>7324-7949-20</v>
          </cell>
          <cell r="AD635" t="str">
            <v>EACH</v>
          </cell>
        </row>
        <row r="636">
          <cell r="D636" t="str">
            <v>7324-4309C-30</v>
          </cell>
          <cell r="E636" t="str">
            <v>4806780</v>
          </cell>
          <cell r="F636" t="str">
            <v>EXTENSION ROD T38 R39 L = 915M</v>
          </cell>
          <cell r="J636" t="str">
            <v>NNAV</v>
          </cell>
          <cell r="K636" t="str">
            <v>E155</v>
          </cell>
          <cell r="L636" t="str">
            <v>SAND23</v>
          </cell>
          <cell r="P636">
            <v>10</v>
          </cell>
          <cell r="R636">
            <v>7</v>
          </cell>
          <cell r="S636">
            <v>0.7</v>
          </cell>
          <cell r="U636">
            <v>0</v>
          </cell>
          <cell r="V636">
            <v>7</v>
          </cell>
          <cell r="W636">
            <v>0</v>
          </cell>
          <cell r="X636" t="str">
            <v>No</v>
          </cell>
          <cell r="Z636" t="str">
            <v/>
          </cell>
          <cell r="AA636" t="str">
            <v>EACH</v>
          </cell>
          <cell r="AB636">
            <v>0</v>
          </cell>
          <cell r="AC636" t="str">
            <v>7324-4309C-30</v>
          </cell>
          <cell r="AD636" t="str">
            <v>EACH</v>
          </cell>
        </row>
        <row r="637">
          <cell r="D637" t="str">
            <v>7324-4331C-30</v>
          </cell>
          <cell r="E637" t="str">
            <v>4802210</v>
          </cell>
          <cell r="F637" t="str">
            <v>EXTENSION ROD T38 R39 L=3050MM</v>
          </cell>
          <cell r="J637" t="str">
            <v>NNAV</v>
          </cell>
          <cell r="K637" t="str">
            <v>E155</v>
          </cell>
          <cell r="L637" t="str">
            <v>SAND23</v>
          </cell>
          <cell r="P637">
            <v>75</v>
          </cell>
          <cell r="R637">
            <v>49</v>
          </cell>
          <cell r="S637">
            <v>0.65333333333333332</v>
          </cell>
          <cell r="U637">
            <v>0</v>
          </cell>
          <cell r="V637">
            <v>49</v>
          </cell>
          <cell r="W637">
            <v>0</v>
          </cell>
          <cell r="X637" t="str">
            <v>No</v>
          </cell>
          <cell r="Z637" t="str">
            <v/>
          </cell>
          <cell r="AA637" t="str">
            <v>EACH</v>
          </cell>
          <cell r="AB637">
            <v>0</v>
          </cell>
          <cell r="AC637" t="str">
            <v>7324-4331C-30</v>
          </cell>
          <cell r="AD637" t="str">
            <v>EACH</v>
          </cell>
        </row>
        <row r="638">
          <cell r="D638" t="str">
            <v>7324-4731-85</v>
          </cell>
          <cell r="E638" t="str">
            <v>4400570</v>
          </cell>
          <cell r="F638" t="str">
            <v>MF ROD T38 R39 L=3050MM</v>
          </cell>
          <cell r="J638" t="str">
            <v>NNAV</v>
          </cell>
          <cell r="K638" t="str">
            <v>E155</v>
          </cell>
          <cell r="L638" t="str">
            <v>SAND23</v>
          </cell>
          <cell r="P638">
            <v>75</v>
          </cell>
          <cell r="R638">
            <v>85</v>
          </cell>
          <cell r="S638">
            <v>1.1333333333333333</v>
          </cell>
          <cell r="U638">
            <v>0</v>
          </cell>
          <cell r="V638">
            <v>85</v>
          </cell>
          <cell r="W638">
            <v>0</v>
          </cell>
          <cell r="X638" t="str">
            <v>No</v>
          </cell>
          <cell r="Z638" t="str">
            <v/>
          </cell>
          <cell r="AA638" t="str">
            <v>EACH</v>
          </cell>
          <cell r="AB638">
            <v>0</v>
          </cell>
          <cell r="AC638" t="str">
            <v>7324-4731-85</v>
          </cell>
          <cell r="AD638" t="str">
            <v>EACH</v>
          </cell>
        </row>
        <row r="639">
          <cell r="D639" t="str">
            <v>7324-4709C-20</v>
          </cell>
          <cell r="E639" t="str">
            <v>4802230</v>
          </cell>
          <cell r="F639" t="str">
            <v>MF ROD T38 R39 L=915MM</v>
          </cell>
          <cell r="J639" t="str">
            <v>NNAV</v>
          </cell>
          <cell r="K639" t="str">
            <v>E155</v>
          </cell>
          <cell r="L639" t="str">
            <v>SAND23</v>
          </cell>
          <cell r="P639">
            <v>10</v>
          </cell>
          <cell r="R639">
            <v>7</v>
          </cell>
          <cell r="S639">
            <v>0.7</v>
          </cell>
          <cell r="U639">
            <v>0</v>
          </cell>
          <cell r="V639">
            <v>7</v>
          </cell>
          <cell r="W639">
            <v>0</v>
          </cell>
          <cell r="X639" t="str">
            <v>No</v>
          </cell>
          <cell r="Z639" t="str">
            <v/>
          </cell>
          <cell r="AA639" t="str">
            <v>EACH</v>
          </cell>
          <cell r="AB639">
            <v>0</v>
          </cell>
          <cell r="AC639" t="str">
            <v>7324-4709C-20</v>
          </cell>
          <cell r="AD639" t="str">
            <v>EACH</v>
          </cell>
        </row>
        <row r="640">
          <cell r="D640" t="str">
            <v>7580-5602P-S70</v>
          </cell>
          <cell r="E640" t="str">
            <v>4808585</v>
          </cell>
          <cell r="F640" t="str">
            <v>REAMING BIT A340 102MM</v>
          </cell>
          <cell r="J640" t="str">
            <v>NNAV</v>
          </cell>
          <cell r="K640" t="str">
            <v>E155</v>
          </cell>
          <cell r="L640" t="str">
            <v>SAND23</v>
          </cell>
          <cell r="P640">
            <v>75</v>
          </cell>
          <cell r="R640">
            <v>57</v>
          </cell>
          <cell r="S640">
            <v>0.76</v>
          </cell>
          <cell r="U640">
            <v>0</v>
          </cell>
          <cell r="V640">
            <v>57</v>
          </cell>
          <cell r="W640">
            <v>0</v>
          </cell>
          <cell r="X640" t="str">
            <v>No</v>
          </cell>
          <cell r="Z640" t="str">
            <v/>
          </cell>
          <cell r="AA640" t="str">
            <v>EACH</v>
          </cell>
          <cell r="AB640">
            <v>0</v>
          </cell>
          <cell r="AC640" t="str">
            <v>7580-5602P-S70</v>
          </cell>
          <cell r="AD640" t="str">
            <v>EACH</v>
          </cell>
        </row>
        <row r="641">
          <cell r="D641" t="str">
            <v>7580-4651A-S70</v>
          </cell>
          <cell r="E641" t="str">
            <v>4808565</v>
          </cell>
          <cell r="F641" t="str">
            <v>RETRAC BIT A340 51 MM</v>
          </cell>
          <cell r="J641" t="str">
            <v>NNAV</v>
          </cell>
          <cell r="K641" t="str">
            <v>E155</v>
          </cell>
          <cell r="L641" t="str">
            <v>SAND23</v>
          </cell>
          <cell r="P641">
            <v>74</v>
          </cell>
          <cell r="R641">
            <v>70</v>
          </cell>
          <cell r="S641">
            <v>0.94594594594594594</v>
          </cell>
          <cell r="U641">
            <v>0</v>
          </cell>
          <cell r="V641">
            <v>70</v>
          </cell>
          <cell r="W641">
            <v>0</v>
          </cell>
          <cell r="X641" t="str">
            <v>No</v>
          </cell>
          <cell r="Z641" t="str">
            <v/>
          </cell>
          <cell r="AA641" t="str">
            <v>EACH</v>
          </cell>
          <cell r="AB641">
            <v>0</v>
          </cell>
          <cell r="AC641" t="str">
            <v>7580-4651A-S70</v>
          </cell>
          <cell r="AD641" t="str">
            <v>EACH</v>
          </cell>
        </row>
        <row r="642">
          <cell r="D642" t="str">
            <v>7304-7669-01</v>
          </cell>
          <cell r="E642" t="str">
            <v>4804660</v>
          </cell>
          <cell r="F642" t="str">
            <v>SHANK T38 RD520/525 D45 L525</v>
          </cell>
          <cell r="J642" t="str">
            <v>NNAV</v>
          </cell>
          <cell r="K642" t="str">
            <v>E155</v>
          </cell>
          <cell r="L642" t="str">
            <v>SAND23</v>
          </cell>
          <cell r="P642">
            <v>75</v>
          </cell>
          <cell r="R642">
            <v>28</v>
          </cell>
          <cell r="S642">
            <v>0.37333333333333335</v>
          </cell>
          <cell r="U642">
            <v>0</v>
          </cell>
          <cell r="V642">
            <v>28</v>
          </cell>
          <cell r="W642">
            <v>0</v>
          </cell>
          <cell r="X642" t="str">
            <v>No</v>
          </cell>
          <cell r="Z642" t="str">
            <v/>
          </cell>
          <cell r="AA642" t="str">
            <v>EACH</v>
          </cell>
          <cell r="AB642">
            <v>0</v>
          </cell>
          <cell r="AC642" t="str">
            <v>7304-7669-01</v>
          </cell>
          <cell r="AD642" t="str">
            <v>EACH</v>
          </cell>
        </row>
        <row r="643">
          <cell r="D643" t="str">
            <v>7305-7669-01</v>
          </cell>
          <cell r="E643" t="str">
            <v>4804670</v>
          </cell>
          <cell r="F643" t="str">
            <v>SHANK T45 RD520/525 D45 L525</v>
          </cell>
          <cell r="J643" t="str">
            <v>NNAV</v>
          </cell>
          <cell r="K643" t="str">
            <v>E155</v>
          </cell>
          <cell r="L643" t="str">
            <v>SAND23</v>
          </cell>
          <cell r="P643">
            <v>0</v>
          </cell>
          <cell r="R643">
            <v>0</v>
          </cell>
          <cell r="S643" t="e">
            <v>#DIV/0!</v>
          </cell>
          <cell r="U643">
            <v>0</v>
          </cell>
          <cell r="V643">
            <v>0</v>
          </cell>
          <cell r="W643">
            <v>0</v>
          </cell>
          <cell r="X643" t="str">
            <v>No</v>
          </cell>
          <cell r="Z643" t="str">
            <v/>
          </cell>
          <cell r="AA643" t="str">
            <v>EACH</v>
          </cell>
          <cell r="AB643">
            <v>0</v>
          </cell>
          <cell r="AC643" t="str">
            <v>7305-7669-01</v>
          </cell>
          <cell r="AD643" t="str">
            <v>EACH</v>
          </cell>
        </row>
        <row r="644">
          <cell r="D644" t="str">
            <v>7580-6045-F49</v>
          </cell>
          <cell r="E644" t="str">
            <v>4808605</v>
          </cell>
          <cell r="F644" t="str">
            <v>SPEEDY BIT A340 45MM</v>
          </cell>
          <cell r="J644" t="str">
            <v>NNAV</v>
          </cell>
          <cell r="K644" t="str">
            <v>E155</v>
          </cell>
          <cell r="L644" t="str">
            <v>SAND23</v>
          </cell>
          <cell r="P644">
            <v>200</v>
          </cell>
          <cell r="R644">
            <v>0</v>
          </cell>
          <cell r="S644">
            <v>0</v>
          </cell>
          <cell r="U644">
            <v>0</v>
          </cell>
          <cell r="V644">
            <v>0</v>
          </cell>
          <cell r="W644">
            <v>0</v>
          </cell>
          <cell r="X644" t="str">
            <v>No</v>
          </cell>
          <cell r="Z644" t="str">
            <v/>
          </cell>
          <cell r="AA644" t="str">
            <v>EACH</v>
          </cell>
          <cell r="AB644">
            <v>0</v>
          </cell>
          <cell r="AC644" t="str">
            <v>7580-6045-F49</v>
          </cell>
          <cell r="AD644" t="str">
            <v>EACH</v>
          </cell>
        </row>
        <row r="645">
          <cell r="D645" t="str">
            <v>7979-2626</v>
          </cell>
          <cell r="E645" t="str">
            <v>4803100</v>
          </cell>
          <cell r="F645" t="str">
            <v>T38 DOLLY 39MM</v>
          </cell>
          <cell r="J645" t="str">
            <v>NNAV</v>
          </cell>
          <cell r="K645" t="str">
            <v>E155</v>
          </cell>
          <cell r="L645" t="str">
            <v>SAND23</v>
          </cell>
          <cell r="P645">
            <v>10</v>
          </cell>
          <cell r="R645">
            <v>7</v>
          </cell>
          <cell r="S645">
            <v>0.7</v>
          </cell>
          <cell r="U645">
            <v>0</v>
          </cell>
          <cell r="V645">
            <v>7</v>
          </cell>
          <cell r="W645">
            <v>0</v>
          </cell>
          <cell r="X645" t="str">
            <v>No</v>
          </cell>
          <cell r="Z645" t="str">
            <v/>
          </cell>
          <cell r="AA645" t="str">
            <v>EACH</v>
          </cell>
          <cell r="AB645">
            <v>0</v>
          </cell>
          <cell r="AC645" t="str">
            <v>7979-2626</v>
          </cell>
          <cell r="AD645" t="str">
            <v>EACH</v>
          </cell>
        </row>
        <row r="646">
          <cell r="D646" t="str">
            <v>7979-2630</v>
          </cell>
          <cell r="E646" t="str">
            <v>4803120</v>
          </cell>
          <cell r="F646" t="str">
            <v>THD F/BOLT DOLLY T38 46</v>
          </cell>
          <cell r="J646" t="str">
            <v>NNAV</v>
          </cell>
          <cell r="K646" t="str">
            <v>E155</v>
          </cell>
          <cell r="L646" t="str">
            <v>SAND23</v>
          </cell>
          <cell r="P646">
            <v>50</v>
          </cell>
          <cell r="R646">
            <v>47</v>
          </cell>
          <cell r="S646">
            <v>0.94</v>
          </cell>
          <cell r="U646">
            <v>0</v>
          </cell>
          <cell r="V646">
            <v>47</v>
          </cell>
          <cell r="W646">
            <v>0</v>
          </cell>
          <cell r="X646" t="str">
            <v>No</v>
          </cell>
          <cell r="Z646" t="str">
            <v/>
          </cell>
          <cell r="AA646" t="str">
            <v>EACH</v>
          </cell>
          <cell r="AB646">
            <v>0</v>
          </cell>
          <cell r="AC646" t="str">
            <v>7979-2630</v>
          </cell>
          <cell r="AD646" t="str">
            <v>EACH</v>
          </cell>
        </row>
        <row r="647">
          <cell r="D647" t="str">
            <v>0110PN160H100M</v>
          </cell>
          <cell r="E647" t="str">
            <v>Special Item</v>
          </cell>
          <cell r="F647" t="str">
            <v>110MM HDPE PN16 PE100 PLAIN EN</v>
          </cell>
          <cell r="J647" t="str">
            <v>NNAV</v>
          </cell>
          <cell r="K647" t="str">
            <v>E499</v>
          </cell>
          <cell r="L647" t="str">
            <v>SINV01</v>
          </cell>
          <cell r="P647">
            <v>40</v>
          </cell>
          <cell r="R647">
            <v>0</v>
          </cell>
          <cell r="S647">
            <v>0</v>
          </cell>
          <cell r="U647">
            <v>0</v>
          </cell>
          <cell r="V647">
            <v>0</v>
          </cell>
          <cell r="W647">
            <v>0</v>
          </cell>
          <cell r="X647" t="str">
            <v>No</v>
          </cell>
          <cell r="Z647" t="str">
            <v/>
          </cell>
          <cell r="AA647" t="str">
            <v>ROLL</v>
          </cell>
          <cell r="AB647">
            <v>0</v>
          </cell>
          <cell r="AC647" t="str">
            <v>0110PN160H100M</v>
          </cell>
          <cell r="AD647" t="str">
            <v>ROLL</v>
          </cell>
        </row>
        <row r="648">
          <cell r="D648" t="str">
            <v>0063PN125H100M</v>
          </cell>
          <cell r="E648" t="str">
            <v>Special Item</v>
          </cell>
          <cell r="F648" t="str">
            <v>63MM HDPE PN12.5 PE100 PLAIN E</v>
          </cell>
          <cell r="J648" t="str">
            <v>NNAV</v>
          </cell>
          <cell r="K648" t="str">
            <v>E499</v>
          </cell>
          <cell r="L648" t="str">
            <v>SINV01</v>
          </cell>
          <cell r="P648">
            <v>20</v>
          </cell>
          <cell r="R648">
            <v>0</v>
          </cell>
          <cell r="S648">
            <v>0</v>
          </cell>
          <cell r="U648">
            <v>0</v>
          </cell>
          <cell r="V648">
            <v>0</v>
          </cell>
          <cell r="W648">
            <v>0</v>
          </cell>
          <cell r="X648" t="str">
            <v>No</v>
          </cell>
          <cell r="Z648" t="str">
            <v/>
          </cell>
          <cell r="AA648" t="str">
            <v>ROLL</v>
          </cell>
          <cell r="AB648">
            <v>0</v>
          </cell>
          <cell r="AC648" t="str">
            <v>0063PN125H100M</v>
          </cell>
          <cell r="AD648" t="str">
            <v>ROLL</v>
          </cell>
        </row>
        <row r="649">
          <cell r="D649" t="str">
            <v>CT10R-16</v>
          </cell>
          <cell r="E649" t="str">
            <v>4502940</v>
          </cell>
          <cell r="F649" t="str">
            <v>1/4"NPT BANJO FITTING</v>
          </cell>
          <cell r="J649" t="str">
            <v>NNAV</v>
          </cell>
          <cell r="K649" t="str">
            <v>E499</v>
          </cell>
          <cell r="L649" t="str">
            <v>SRGP01</v>
          </cell>
          <cell r="P649">
            <v>8</v>
          </cell>
          <cell r="R649">
            <v>0</v>
          </cell>
          <cell r="S649">
            <v>0</v>
          </cell>
          <cell r="U649">
            <v>0</v>
          </cell>
          <cell r="V649">
            <v>0</v>
          </cell>
          <cell r="W649">
            <v>0</v>
          </cell>
          <cell r="X649" t="str">
            <v>No</v>
          </cell>
          <cell r="Z649" t="str">
            <v/>
          </cell>
          <cell r="AA649" t="str">
            <v>EACH</v>
          </cell>
          <cell r="AB649">
            <v>0</v>
          </cell>
          <cell r="AC649" t="str">
            <v>CT10R-16</v>
          </cell>
          <cell r="AD649" t="str">
            <v>EACH</v>
          </cell>
        </row>
        <row r="650">
          <cell r="D650" t="str">
            <v>PA554-19</v>
          </cell>
          <cell r="E650" t="str">
            <v>4503200</v>
          </cell>
          <cell r="F650" t="str">
            <v>1/4"NPT M/F 45° ADAPTOR</v>
          </cell>
          <cell r="J650" t="str">
            <v>NNAV</v>
          </cell>
          <cell r="K650" t="str">
            <v>E499</v>
          </cell>
          <cell r="L650" t="str">
            <v>SRGP01</v>
          </cell>
          <cell r="P650">
            <v>4</v>
          </cell>
          <cell r="R650">
            <v>0</v>
          </cell>
          <cell r="S650">
            <v>0</v>
          </cell>
          <cell r="U650">
            <v>0</v>
          </cell>
          <cell r="V650">
            <v>0</v>
          </cell>
          <cell r="W650">
            <v>0</v>
          </cell>
          <cell r="X650" t="str">
            <v>No</v>
          </cell>
          <cell r="Z650" t="str">
            <v/>
          </cell>
          <cell r="AA650" t="str">
            <v>EACH</v>
          </cell>
          <cell r="AB650">
            <v>0</v>
          </cell>
          <cell r="AC650" t="str">
            <v>PA554-19</v>
          </cell>
          <cell r="AD650" t="str">
            <v>EACH</v>
          </cell>
        </row>
        <row r="651">
          <cell r="D651" t="str">
            <v>CT10R-11</v>
          </cell>
          <cell r="E651" t="str">
            <v>4502890</v>
          </cell>
          <cell r="F651" t="str">
            <v>1/8" BSP MALE BUTTON SILENCER</v>
          </cell>
          <cell r="J651" t="str">
            <v>NNAV</v>
          </cell>
          <cell r="K651" t="str">
            <v>E499</v>
          </cell>
          <cell r="L651" t="str">
            <v>SRGP01</v>
          </cell>
          <cell r="P651">
            <v>8</v>
          </cell>
          <cell r="R651">
            <v>0</v>
          </cell>
          <cell r="S651">
            <v>0</v>
          </cell>
          <cell r="U651">
            <v>0</v>
          </cell>
          <cell r="V651">
            <v>0</v>
          </cell>
          <cell r="W651">
            <v>0</v>
          </cell>
          <cell r="X651" t="str">
            <v>No</v>
          </cell>
          <cell r="Z651" t="str">
            <v/>
          </cell>
          <cell r="AA651" t="str">
            <v>EACH</v>
          </cell>
          <cell r="AB651">
            <v>0</v>
          </cell>
          <cell r="AC651" t="str">
            <v>CT10R-11</v>
          </cell>
          <cell r="AD651" t="str">
            <v>EACH</v>
          </cell>
        </row>
        <row r="652">
          <cell r="D652" t="str">
            <v>CT10R-02</v>
          </cell>
          <cell r="E652" t="str">
            <v>4502800</v>
          </cell>
          <cell r="F652" t="str">
            <v>46.002 VALVE</v>
          </cell>
          <cell r="J652" t="str">
            <v>NNAV</v>
          </cell>
          <cell r="K652" t="str">
            <v>E499</v>
          </cell>
          <cell r="L652" t="str">
            <v>SRGP01</v>
          </cell>
          <cell r="P652">
            <v>8</v>
          </cell>
          <cell r="R652">
            <v>0</v>
          </cell>
          <cell r="S652">
            <v>0</v>
          </cell>
          <cell r="U652">
            <v>0</v>
          </cell>
          <cell r="V652">
            <v>0</v>
          </cell>
          <cell r="W652">
            <v>0</v>
          </cell>
          <cell r="X652" t="str">
            <v>No</v>
          </cell>
          <cell r="Z652" t="str">
            <v/>
          </cell>
          <cell r="AA652" t="str">
            <v>EACH</v>
          </cell>
          <cell r="AB652">
            <v>0</v>
          </cell>
          <cell r="AC652" t="str">
            <v>CT10R-02</v>
          </cell>
          <cell r="AD652" t="str">
            <v>EACH</v>
          </cell>
        </row>
        <row r="653">
          <cell r="D653" t="str">
            <v>CT10R-12</v>
          </cell>
          <cell r="E653" t="str">
            <v>4502900</v>
          </cell>
          <cell r="F653" t="str">
            <v>6MM PUSH-ON TUBE Y PIECE</v>
          </cell>
          <cell r="J653" t="str">
            <v>NNAV</v>
          </cell>
          <cell r="K653" t="str">
            <v>E499</v>
          </cell>
          <cell r="L653" t="str">
            <v>SRGP01</v>
          </cell>
          <cell r="P653">
            <v>8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 t="str">
            <v>No</v>
          </cell>
          <cell r="Z653" t="str">
            <v/>
          </cell>
          <cell r="AA653" t="str">
            <v>EACH</v>
          </cell>
          <cell r="AB653">
            <v>0</v>
          </cell>
          <cell r="AC653" t="str">
            <v>CT10R-12</v>
          </cell>
          <cell r="AD653" t="str">
            <v>EACH</v>
          </cell>
        </row>
        <row r="654">
          <cell r="D654" t="str">
            <v>CT10R-13</v>
          </cell>
          <cell r="E654" t="str">
            <v>4502910</v>
          </cell>
          <cell r="F654" t="str">
            <v>6MM SWIVEL 90 TO 1/8"BSPP</v>
          </cell>
          <cell r="J654" t="str">
            <v>NNAV</v>
          </cell>
          <cell r="K654" t="str">
            <v>E499</v>
          </cell>
          <cell r="L654" t="str">
            <v>SRGP01</v>
          </cell>
          <cell r="P654">
            <v>8</v>
          </cell>
          <cell r="R654">
            <v>0</v>
          </cell>
          <cell r="S654">
            <v>0</v>
          </cell>
          <cell r="U654">
            <v>0</v>
          </cell>
          <cell r="V654">
            <v>0</v>
          </cell>
          <cell r="W654">
            <v>0</v>
          </cell>
          <cell r="X654" t="str">
            <v>No</v>
          </cell>
          <cell r="Z654" t="str">
            <v/>
          </cell>
          <cell r="AA654" t="str">
            <v>EACH</v>
          </cell>
          <cell r="AB654">
            <v>0</v>
          </cell>
          <cell r="AC654" t="str">
            <v>CT10R-13</v>
          </cell>
          <cell r="AD654" t="str">
            <v>EACH</v>
          </cell>
        </row>
        <row r="655">
          <cell r="D655" t="str">
            <v>CT10R-14</v>
          </cell>
          <cell r="E655" t="str">
            <v>4502920</v>
          </cell>
          <cell r="F655" t="str">
            <v>6MM X 1/8"BSPP STR CONNECTOR</v>
          </cell>
          <cell r="J655" t="str">
            <v>NNAV</v>
          </cell>
          <cell r="K655" t="str">
            <v>E499</v>
          </cell>
          <cell r="L655" t="str">
            <v>SRGP01</v>
          </cell>
          <cell r="P655">
            <v>8</v>
          </cell>
          <cell r="R655">
            <v>0</v>
          </cell>
          <cell r="S655">
            <v>0</v>
          </cell>
          <cell r="U655">
            <v>0</v>
          </cell>
          <cell r="V655">
            <v>0</v>
          </cell>
          <cell r="W655">
            <v>0</v>
          </cell>
          <cell r="X655" t="str">
            <v>No</v>
          </cell>
          <cell r="Z655" t="str">
            <v/>
          </cell>
          <cell r="AA655" t="str">
            <v>EACH</v>
          </cell>
          <cell r="AB655">
            <v>0</v>
          </cell>
          <cell r="AC655" t="str">
            <v>CT10R-14</v>
          </cell>
          <cell r="AD655" t="str">
            <v>EACH</v>
          </cell>
        </row>
        <row r="656">
          <cell r="D656" t="str">
            <v>CT10R-15</v>
          </cell>
          <cell r="E656" t="str">
            <v>4502930</v>
          </cell>
          <cell r="F656" t="str">
            <v>6MM X 5MMNPT STR NIPPLE</v>
          </cell>
          <cell r="J656" t="str">
            <v>NNAV</v>
          </cell>
          <cell r="K656" t="str">
            <v>E499</v>
          </cell>
          <cell r="L656" t="str">
            <v>SRGP01</v>
          </cell>
          <cell r="P656">
            <v>8</v>
          </cell>
          <cell r="R656">
            <v>0</v>
          </cell>
          <cell r="S656">
            <v>0</v>
          </cell>
          <cell r="U656">
            <v>0</v>
          </cell>
          <cell r="V656">
            <v>0</v>
          </cell>
          <cell r="W656">
            <v>0</v>
          </cell>
          <cell r="X656" t="str">
            <v>No</v>
          </cell>
          <cell r="Z656" t="str">
            <v/>
          </cell>
          <cell r="AA656" t="str">
            <v>EACH</v>
          </cell>
          <cell r="AB656">
            <v>0</v>
          </cell>
          <cell r="AC656" t="str">
            <v>CT10R-15</v>
          </cell>
          <cell r="AD656" t="str">
            <v>EACH</v>
          </cell>
        </row>
        <row r="657">
          <cell r="D657" t="str">
            <v>PA6-05</v>
          </cell>
          <cell r="E657" t="str">
            <v>4502240</v>
          </cell>
          <cell r="F657" t="str">
            <v>AIR FILTER AFM20-02-C</v>
          </cell>
          <cell r="J657" t="str">
            <v>NNAV</v>
          </cell>
          <cell r="K657" t="str">
            <v>E499</v>
          </cell>
          <cell r="L657" t="str">
            <v>SRGP01</v>
          </cell>
          <cell r="P657">
            <v>3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 t="str">
            <v>No</v>
          </cell>
          <cell r="Z657" t="str">
            <v/>
          </cell>
          <cell r="AA657" t="str">
            <v>EACH</v>
          </cell>
          <cell r="AB657">
            <v>0</v>
          </cell>
          <cell r="AC657" t="str">
            <v>PA6-05</v>
          </cell>
          <cell r="AD657" t="str">
            <v>EACH</v>
          </cell>
        </row>
        <row r="658">
          <cell r="D658" t="str">
            <v>PA6-06</v>
          </cell>
          <cell r="E658" t="str">
            <v>4502250</v>
          </cell>
          <cell r="F658" t="str">
            <v>AIR LUBRICATOR AL20-02-C</v>
          </cell>
          <cell r="J658" t="str">
            <v>NNAV</v>
          </cell>
          <cell r="K658" t="str">
            <v>E499</v>
          </cell>
          <cell r="L658" t="str">
            <v>SRGP01</v>
          </cell>
          <cell r="P658">
            <v>3</v>
          </cell>
          <cell r="R658">
            <v>0</v>
          </cell>
          <cell r="S658">
            <v>0</v>
          </cell>
          <cell r="U658">
            <v>0</v>
          </cell>
          <cell r="V658">
            <v>0</v>
          </cell>
          <cell r="W658">
            <v>0</v>
          </cell>
          <cell r="X658" t="str">
            <v>No</v>
          </cell>
          <cell r="Z658" t="str">
            <v/>
          </cell>
          <cell r="AA658" t="str">
            <v>EACH</v>
          </cell>
          <cell r="AB658">
            <v>0</v>
          </cell>
          <cell r="AC658" t="str">
            <v>PA6-06</v>
          </cell>
          <cell r="AD658" t="str">
            <v>EACH</v>
          </cell>
        </row>
        <row r="659">
          <cell r="D659" t="str">
            <v>GMP-AM</v>
          </cell>
          <cell r="E659" t="str">
            <v>4502260</v>
          </cell>
          <cell r="F659" t="str">
            <v>AIR MOTOR MRV050A SM8AMAN</v>
          </cell>
          <cell r="J659" t="str">
            <v>NNAV</v>
          </cell>
          <cell r="K659" t="str">
            <v>E226</v>
          </cell>
          <cell r="L659" t="str">
            <v>SRGP01</v>
          </cell>
          <cell r="P659">
            <v>2</v>
          </cell>
          <cell r="R659">
            <v>0</v>
          </cell>
          <cell r="S659">
            <v>0</v>
          </cell>
          <cell r="U659">
            <v>0</v>
          </cell>
          <cell r="V659">
            <v>0</v>
          </cell>
          <cell r="W659">
            <v>0</v>
          </cell>
          <cell r="X659" t="str">
            <v>No</v>
          </cell>
          <cell r="Z659" t="str">
            <v/>
          </cell>
          <cell r="AA659" t="str">
            <v>EACH</v>
          </cell>
          <cell r="AB659">
            <v>0</v>
          </cell>
          <cell r="AC659" t="str">
            <v>GMP-AM</v>
          </cell>
          <cell r="AD659" t="str">
            <v>EACH</v>
          </cell>
        </row>
        <row r="660">
          <cell r="D660" t="str">
            <v>GMP-AM-07</v>
          </cell>
          <cell r="E660" t="str">
            <v>4502270</v>
          </cell>
          <cell r="F660" t="str">
            <v>AIR MOTOR REPAIR KIT</v>
          </cell>
          <cell r="J660" t="str">
            <v>NNAV</v>
          </cell>
          <cell r="K660" t="str">
            <v>E499</v>
          </cell>
          <cell r="L660" t="str">
            <v>SRGP01</v>
          </cell>
          <cell r="P660">
            <v>5</v>
          </cell>
          <cell r="R660">
            <v>0</v>
          </cell>
          <cell r="S660">
            <v>0</v>
          </cell>
          <cell r="U660">
            <v>0</v>
          </cell>
          <cell r="V660">
            <v>0</v>
          </cell>
          <cell r="W660">
            <v>0</v>
          </cell>
          <cell r="X660" t="str">
            <v>No</v>
          </cell>
          <cell r="Z660" t="str">
            <v/>
          </cell>
          <cell r="AA660" t="str">
            <v>EACH</v>
          </cell>
          <cell r="AB660">
            <v>0</v>
          </cell>
          <cell r="AC660" t="str">
            <v>GMP-AM-07</v>
          </cell>
          <cell r="AD660" t="str">
            <v>EACH</v>
          </cell>
        </row>
        <row r="661">
          <cell r="D661" t="str">
            <v>GR-AM-KIT</v>
          </cell>
          <cell r="E661" t="str">
            <v>4501830</v>
          </cell>
          <cell r="F661" t="str">
            <v>AIR MOTOR REPAIR KIT</v>
          </cell>
          <cell r="J661" t="str">
            <v>NNAV</v>
          </cell>
          <cell r="K661" t="str">
            <v>E499</v>
          </cell>
          <cell r="L661" t="str">
            <v>SRGP01</v>
          </cell>
          <cell r="P661">
            <v>5</v>
          </cell>
          <cell r="R661">
            <v>0</v>
          </cell>
          <cell r="S661">
            <v>0</v>
          </cell>
          <cell r="U661">
            <v>0</v>
          </cell>
          <cell r="V661">
            <v>0</v>
          </cell>
          <cell r="W661">
            <v>0</v>
          </cell>
          <cell r="X661" t="str">
            <v>No</v>
          </cell>
          <cell r="Z661" t="str">
            <v/>
          </cell>
          <cell r="AA661" t="str">
            <v>EACH</v>
          </cell>
          <cell r="AB661">
            <v>0</v>
          </cell>
          <cell r="AC661" t="str">
            <v>GR-AM-KIT</v>
          </cell>
          <cell r="AD661" t="str">
            <v>EACH</v>
          </cell>
        </row>
        <row r="662">
          <cell r="D662" t="str">
            <v>PA554-07</v>
          </cell>
          <cell r="E662" t="str">
            <v>4503090</v>
          </cell>
          <cell r="F662" t="str">
            <v>B&amp;S MUFFLER</v>
          </cell>
          <cell r="J662" t="str">
            <v>NNAV</v>
          </cell>
          <cell r="K662" t="str">
            <v>E499</v>
          </cell>
          <cell r="L662" t="str">
            <v>SRGP01</v>
          </cell>
          <cell r="P662">
            <v>2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 t="str">
            <v>No</v>
          </cell>
          <cell r="Z662" t="str">
            <v/>
          </cell>
          <cell r="AA662" t="str">
            <v>EACH</v>
          </cell>
          <cell r="AB662">
            <v>0</v>
          </cell>
          <cell r="AC662" t="str">
            <v>PA554-07</v>
          </cell>
          <cell r="AD662" t="str">
            <v>EACH</v>
          </cell>
        </row>
        <row r="663">
          <cell r="D663" t="str">
            <v>GR41-1-16</v>
          </cell>
          <cell r="E663" t="str">
            <v>4501720</v>
          </cell>
          <cell r="F663" t="str">
            <v>BALL 1.1/2'</v>
          </cell>
          <cell r="J663" t="str">
            <v>NNAV</v>
          </cell>
          <cell r="K663" t="str">
            <v>E499</v>
          </cell>
          <cell r="L663" t="str">
            <v>SRGP01</v>
          </cell>
          <cell r="P663">
            <v>8</v>
          </cell>
          <cell r="R663">
            <v>0</v>
          </cell>
          <cell r="S663">
            <v>0</v>
          </cell>
          <cell r="U663">
            <v>0</v>
          </cell>
          <cell r="V663">
            <v>0</v>
          </cell>
          <cell r="W663">
            <v>0</v>
          </cell>
          <cell r="X663" t="str">
            <v>No</v>
          </cell>
          <cell r="Z663" t="str">
            <v/>
          </cell>
          <cell r="AA663" t="str">
            <v>EACH</v>
          </cell>
          <cell r="AB663">
            <v>0</v>
          </cell>
          <cell r="AC663" t="str">
            <v>GR41-1-16</v>
          </cell>
          <cell r="AD663" t="str">
            <v>EACH</v>
          </cell>
        </row>
        <row r="664">
          <cell r="D664" t="str">
            <v>GR41-1-17</v>
          </cell>
          <cell r="E664" t="str">
            <v>4501730</v>
          </cell>
          <cell r="F664" t="str">
            <v>BALL 7/8'</v>
          </cell>
          <cell r="J664" t="str">
            <v>NNAV</v>
          </cell>
          <cell r="K664" t="str">
            <v>E499</v>
          </cell>
          <cell r="L664" t="str">
            <v>SRGP01</v>
          </cell>
          <cell r="P664">
            <v>8</v>
          </cell>
          <cell r="R664">
            <v>0</v>
          </cell>
          <cell r="S664">
            <v>0</v>
          </cell>
          <cell r="U664">
            <v>0</v>
          </cell>
          <cell r="V664">
            <v>0</v>
          </cell>
          <cell r="W664">
            <v>0</v>
          </cell>
          <cell r="X664" t="str">
            <v>No</v>
          </cell>
          <cell r="Z664" t="str">
            <v/>
          </cell>
          <cell r="AA664" t="str">
            <v>EACH</v>
          </cell>
          <cell r="AB664">
            <v>0</v>
          </cell>
          <cell r="AC664" t="str">
            <v>GR41-1-17</v>
          </cell>
          <cell r="AD664" t="str">
            <v>EACH</v>
          </cell>
        </row>
        <row r="665">
          <cell r="D665" t="str">
            <v>GMP-GB-07</v>
          </cell>
          <cell r="E665" t="str">
            <v>Special Item</v>
          </cell>
          <cell r="F665" t="str">
            <v>BEARING</v>
          </cell>
          <cell r="J665" t="str">
            <v>NNAV</v>
          </cell>
          <cell r="K665" t="str">
            <v>E499</v>
          </cell>
          <cell r="L665" t="str">
            <v>SRGP01</v>
          </cell>
          <cell r="P665">
            <v>5</v>
          </cell>
          <cell r="R665">
            <v>0</v>
          </cell>
          <cell r="S665">
            <v>0</v>
          </cell>
          <cell r="U665">
            <v>0</v>
          </cell>
          <cell r="V665">
            <v>0</v>
          </cell>
          <cell r="W665">
            <v>0</v>
          </cell>
          <cell r="X665" t="str">
            <v>No</v>
          </cell>
          <cell r="Z665" t="str">
            <v/>
          </cell>
          <cell r="AA665" t="str">
            <v>EACH</v>
          </cell>
          <cell r="AB665">
            <v>0</v>
          </cell>
          <cell r="AC665" t="str">
            <v>GMP-GB-07</v>
          </cell>
          <cell r="AD665" t="str">
            <v>EACH</v>
          </cell>
        </row>
        <row r="666">
          <cell r="D666" t="str">
            <v>GMP-GB-01</v>
          </cell>
          <cell r="E666" t="str">
            <v>Special Item</v>
          </cell>
          <cell r="F666" t="str">
            <v>BEARING - GEARBOX</v>
          </cell>
          <cell r="J666" t="str">
            <v>NNAV</v>
          </cell>
          <cell r="K666" t="str">
            <v>E499</v>
          </cell>
          <cell r="L666" t="str">
            <v>SRGP01</v>
          </cell>
          <cell r="P666">
            <v>5</v>
          </cell>
          <cell r="R666">
            <v>0</v>
          </cell>
          <cell r="S666">
            <v>0</v>
          </cell>
          <cell r="U666">
            <v>0</v>
          </cell>
          <cell r="V666">
            <v>0</v>
          </cell>
          <cell r="W666">
            <v>0</v>
          </cell>
          <cell r="X666" t="str">
            <v>No</v>
          </cell>
          <cell r="Z666" t="str">
            <v/>
          </cell>
          <cell r="AA666" t="str">
            <v>EACH</v>
          </cell>
          <cell r="AB666">
            <v>0</v>
          </cell>
          <cell r="AC666" t="str">
            <v>GMP-GB-01</v>
          </cell>
          <cell r="AD666" t="str">
            <v>EACH</v>
          </cell>
        </row>
        <row r="667">
          <cell r="D667" t="str">
            <v>GMP-GB-02</v>
          </cell>
          <cell r="E667" t="str">
            <v>Special Item</v>
          </cell>
          <cell r="F667" t="str">
            <v>BEARING - GEARBOX</v>
          </cell>
          <cell r="J667" t="str">
            <v>NNAV</v>
          </cell>
          <cell r="K667" t="str">
            <v>E499</v>
          </cell>
          <cell r="L667" t="str">
            <v>SRGP01</v>
          </cell>
          <cell r="P667">
            <v>5</v>
          </cell>
          <cell r="R667">
            <v>0</v>
          </cell>
          <cell r="S667">
            <v>0</v>
          </cell>
          <cell r="U667">
            <v>0</v>
          </cell>
          <cell r="V667">
            <v>0</v>
          </cell>
          <cell r="W667">
            <v>0</v>
          </cell>
          <cell r="X667" t="str">
            <v>No</v>
          </cell>
          <cell r="Z667" t="str">
            <v/>
          </cell>
          <cell r="AA667" t="str">
            <v>EACH</v>
          </cell>
          <cell r="AB667">
            <v>0</v>
          </cell>
          <cell r="AC667" t="str">
            <v>GMP-GB-02</v>
          </cell>
          <cell r="AD667" t="str">
            <v>EACH</v>
          </cell>
        </row>
        <row r="668">
          <cell r="D668" t="str">
            <v>GR41-1-13</v>
          </cell>
          <cell r="E668" t="str">
            <v>4501690</v>
          </cell>
          <cell r="F668" t="str">
            <v>BEARING TEFLON</v>
          </cell>
          <cell r="J668" t="str">
            <v>NNAV</v>
          </cell>
          <cell r="K668" t="str">
            <v>E499</v>
          </cell>
          <cell r="L668" t="str">
            <v>SRGP01</v>
          </cell>
          <cell r="P668">
            <v>8</v>
          </cell>
          <cell r="R668">
            <v>0</v>
          </cell>
          <cell r="S668">
            <v>0</v>
          </cell>
          <cell r="U668">
            <v>0</v>
          </cell>
          <cell r="V668">
            <v>0</v>
          </cell>
          <cell r="W668">
            <v>0</v>
          </cell>
          <cell r="X668" t="str">
            <v>No</v>
          </cell>
          <cell r="Z668" t="str">
            <v/>
          </cell>
          <cell r="AA668" t="str">
            <v>EACH</v>
          </cell>
          <cell r="AB668">
            <v>0</v>
          </cell>
          <cell r="AC668" t="str">
            <v>GR41-1-13</v>
          </cell>
          <cell r="AD668" t="str">
            <v>EACH</v>
          </cell>
        </row>
        <row r="669">
          <cell r="D669" t="str">
            <v>GR41-1-3</v>
          </cell>
          <cell r="E669" t="str">
            <v>4501590</v>
          </cell>
          <cell r="F669" t="str">
            <v>BODY</v>
          </cell>
          <cell r="J669" t="str">
            <v>NNAV</v>
          </cell>
          <cell r="K669" t="str">
            <v>E499</v>
          </cell>
          <cell r="L669" t="str">
            <v>SRGP01</v>
          </cell>
          <cell r="P669">
            <v>2</v>
          </cell>
          <cell r="R669">
            <v>0</v>
          </cell>
          <cell r="S669">
            <v>0</v>
          </cell>
          <cell r="U669">
            <v>0</v>
          </cell>
          <cell r="V669">
            <v>0</v>
          </cell>
          <cell r="W669">
            <v>0</v>
          </cell>
          <cell r="X669" t="str">
            <v>No</v>
          </cell>
          <cell r="Z669" t="str">
            <v/>
          </cell>
          <cell r="AA669" t="str">
            <v>EACH</v>
          </cell>
          <cell r="AB669">
            <v>0</v>
          </cell>
          <cell r="AC669" t="str">
            <v>GR41-1-3</v>
          </cell>
          <cell r="AD669" t="str">
            <v>EACH</v>
          </cell>
        </row>
        <row r="670">
          <cell r="D670" t="str">
            <v>CT10R-18</v>
          </cell>
          <cell r="E670" t="str">
            <v>4502960</v>
          </cell>
          <cell r="F670" t="str">
            <v>BRASS 5MM X 6MM HOSE CONNECTOR</v>
          </cell>
          <cell r="J670" t="str">
            <v>NNAV</v>
          </cell>
          <cell r="K670" t="str">
            <v>E499</v>
          </cell>
          <cell r="L670" t="str">
            <v>SRGP01</v>
          </cell>
          <cell r="P670">
            <v>8</v>
          </cell>
          <cell r="R670">
            <v>0</v>
          </cell>
          <cell r="S670">
            <v>0</v>
          </cell>
          <cell r="U670">
            <v>0</v>
          </cell>
          <cell r="V670">
            <v>0</v>
          </cell>
          <cell r="W670">
            <v>0</v>
          </cell>
          <cell r="X670" t="str">
            <v>No</v>
          </cell>
          <cell r="Z670" t="str">
            <v/>
          </cell>
          <cell r="AA670" t="str">
            <v>EACH</v>
          </cell>
          <cell r="AB670">
            <v>0</v>
          </cell>
          <cell r="AC670" t="str">
            <v>CT10R-18</v>
          </cell>
          <cell r="AD670" t="str">
            <v>EACH</v>
          </cell>
        </row>
        <row r="671">
          <cell r="D671" t="str">
            <v>CT10R-19</v>
          </cell>
          <cell r="E671" t="str">
            <v>4502970</v>
          </cell>
          <cell r="F671" t="str">
            <v>BRASS 90° 5MM X 6MM HOSE CONT</v>
          </cell>
          <cell r="J671" t="str">
            <v>NNAV</v>
          </cell>
          <cell r="K671" t="str">
            <v>E499</v>
          </cell>
          <cell r="L671" t="str">
            <v>SRGP01</v>
          </cell>
          <cell r="P671">
            <v>8</v>
          </cell>
          <cell r="R671">
            <v>0</v>
          </cell>
          <cell r="S671">
            <v>0</v>
          </cell>
          <cell r="U671">
            <v>0</v>
          </cell>
          <cell r="V671">
            <v>0</v>
          </cell>
          <cell r="W671">
            <v>0</v>
          </cell>
          <cell r="X671" t="str">
            <v>No</v>
          </cell>
          <cell r="Z671" t="str">
            <v/>
          </cell>
          <cell r="AA671" t="str">
            <v>EACH</v>
          </cell>
          <cell r="AB671">
            <v>0</v>
          </cell>
          <cell r="AC671" t="str">
            <v>CT10R-19</v>
          </cell>
          <cell r="AD671" t="str">
            <v>EACH</v>
          </cell>
        </row>
        <row r="672">
          <cell r="D672" t="str">
            <v>CT10R-10</v>
          </cell>
          <cell r="E672" t="str">
            <v>4502880</v>
          </cell>
          <cell r="F672" t="str">
            <v>BRASS NIPPLE 1/4" BSP</v>
          </cell>
          <cell r="J672" t="str">
            <v>NNAV</v>
          </cell>
          <cell r="K672" t="str">
            <v>E499</v>
          </cell>
          <cell r="L672" t="str">
            <v>SRGP01</v>
          </cell>
          <cell r="P672">
            <v>8</v>
          </cell>
          <cell r="R672">
            <v>0</v>
          </cell>
          <cell r="S672">
            <v>0</v>
          </cell>
          <cell r="U672">
            <v>0</v>
          </cell>
          <cell r="V672">
            <v>0</v>
          </cell>
          <cell r="W672">
            <v>0</v>
          </cell>
          <cell r="X672" t="str">
            <v>No</v>
          </cell>
          <cell r="Z672" t="str">
            <v/>
          </cell>
          <cell r="AA672" t="str">
            <v>EACH</v>
          </cell>
          <cell r="AB672">
            <v>0</v>
          </cell>
          <cell r="AC672" t="str">
            <v>CT10R-10</v>
          </cell>
          <cell r="AD672" t="str">
            <v>EACH</v>
          </cell>
        </row>
        <row r="673">
          <cell r="D673" t="str">
            <v>CC10</v>
          </cell>
          <cell r="E673" t="str">
            <v>4502580</v>
          </cell>
          <cell r="F673" t="str">
            <v>CABLE CUTTER 10 TON</v>
          </cell>
          <cell r="J673" t="str">
            <v>NNAV</v>
          </cell>
          <cell r="K673" t="str">
            <v>E499</v>
          </cell>
          <cell r="L673" t="str">
            <v>SRGP01</v>
          </cell>
          <cell r="P673">
            <v>1</v>
          </cell>
          <cell r="R673">
            <v>0</v>
          </cell>
          <cell r="S673">
            <v>0</v>
          </cell>
          <cell r="U673">
            <v>0</v>
          </cell>
          <cell r="V673">
            <v>0</v>
          </cell>
          <cell r="W673">
            <v>0</v>
          </cell>
          <cell r="X673" t="str">
            <v>No</v>
          </cell>
          <cell r="Z673" t="str">
            <v/>
          </cell>
          <cell r="AA673" t="str">
            <v>EACH</v>
          </cell>
          <cell r="AB673">
            <v>0</v>
          </cell>
          <cell r="AC673" t="str">
            <v>CC10</v>
          </cell>
          <cell r="AD673" t="str">
            <v>EACH</v>
          </cell>
        </row>
        <row r="674">
          <cell r="D674" t="str">
            <v>CC10-03</v>
          </cell>
          <cell r="E674" t="str">
            <v>4502610</v>
          </cell>
          <cell r="F674" t="str">
            <v>CABLE CUTTER SEAL KIT</v>
          </cell>
          <cell r="J674" t="str">
            <v>NNAV</v>
          </cell>
          <cell r="K674" t="str">
            <v>E499</v>
          </cell>
          <cell r="L674" t="str">
            <v>SRGP01</v>
          </cell>
          <cell r="P674">
            <v>4</v>
          </cell>
          <cell r="R674">
            <v>0</v>
          </cell>
          <cell r="S674">
            <v>0</v>
          </cell>
          <cell r="U674">
            <v>0</v>
          </cell>
          <cell r="V674">
            <v>0</v>
          </cell>
          <cell r="W674">
            <v>0</v>
          </cell>
          <cell r="X674" t="str">
            <v>No</v>
          </cell>
          <cell r="Z674" t="str">
            <v/>
          </cell>
          <cell r="AA674" t="str">
            <v>EACH</v>
          </cell>
          <cell r="AB674">
            <v>0</v>
          </cell>
          <cell r="AC674" t="str">
            <v>CC10-03</v>
          </cell>
          <cell r="AD674" t="str">
            <v>EACH</v>
          </cell>
        </row>
        <row r="675">
          <cell r="D675" t="str">
            <v>CC10-04</v>
          </cell>
          <cell r="E675" t="str">
            <v>4502620</v>
          </cell>
          <cell r="F675" t="str">
            <v>CABLE CUTTER SPRING ASSEMBLY</v>
          </cell>
          <cell r="J675" t="str">
            <v>NNAV</v>
          </cell>
          <cell r="K675" t="str">
            <v>E499</v>
          </cell>
          <cell r="L675" t="str">
            <v>SRGP01</v>
          </cell>
          <cell r="P675">
            <v>10</v>
          </cell>
          <cell r="R675">
            <v>0</v>
          </cell>
          <cell r="S675">
            <v>0</v>
          </cell>
          <cell r="U675">
            <v>0</v>
          </cell>
          <cell r="V675">
            <v>0</v>
          </cell>
          <cell r="W675">
            <v>0</v>
          </cell>
          <cell r="X675" t="str">
            <v>No</v>
          </cell>
          <cell r="Z675" t="str">
            <v/>
          </cell>
          <cell r="AA675" t="str">
            <v>EACH</v>
          </cell>
          <cell r="AB675">
            <v>0</v>
          </cell>
          <cell r="AC675" t="str">
            <v>CC10-04</v>
          </cell>
          <cell r="AD675" t="str">
            <v>EACH</v>
          </cell>
        </row>
        <row r="676">
          <cell r="D676" t="str">
            <v>PA6D-06C</v>
          </cell>
          <cell r="E676" t="str">
            <v>4502280</v>
          </cell>
          <cell r="F676" t="str">
            <v>CALIBRATED 600 BAR GAUGE</v>
          </cell>
          <cell r="J676" t="str">
            <v>NNAV</v>
          </cell>
          <cell r="K676" t="str">
            <v>E499</v>
          </cell>
          <cell r="L676" t="str">
            <v>SRGP01</v>
          </cell>
          <cell r="P676">
            <v>12</v>
          </cell>
          <cell r="R676">
            <v>0</v>
          </cell>
          <cell r="S676">
            <v>0</v>
          </cell>
          <cell r="U676">
            <v>0</v>
          </cell>
          <cell r="V676">
            <v>0</v>
          </cell>
          <cell r="W676">
            <v>0</v>
          </cell>
          <cell r="X676" t="str">
            <v>No</v>
          </cell>
          <cell r="Z676" t="str">
            <v/>
          </cell>
          <cell r="AA676" t="str">
            <v>EACH</v>
          </cell>
          <cell r="AB676">
            <v>0</v>
          </cell>
          <cell r="AC676" t="str">
            <v>PA6D-06C</v>
          </cell>
          <cell r="AD676" t="str">
            <v>EACH</v>
          </cell>
        </row>
        <row r="677">
          <cell r="D677" t="str">
            <v>CC10-07</v>
          </cell>
          <cell r="E677" t="str">
            <v>4502640</v>
          </cell>
          <cell r="F677" t="str">
            <v>CATCHER</v>
          </cell>
          <cell r="J677" t="str">
            <v>NNAV</v>
          </cell>
          <cell r="K677" t="str">
            <v>E499</v>
          </cell>
          <cell r="L677" t="str">
            <v>SRGP01</v>
          </cell>
          <cell r="P677">
            <v>2</v>
          </cell>
          <cell r="R677">
            <v>0</v>
          </cell>
          <cell r="S677">
            <v>0</v>
          </cell>
          <cell r="U677">
            <v>0</v>
          </cell>
          <cell r="V677">
            <v>0</v>
          </cell>
          <cell r="W677">
            <v>0</v>
          </cell>
          <cell r="X677" t="str">
            <v>No</v>
          </cell>
          <cell r="Z677" t="str">
            <v/>
          </cell>
          <cell r="AA677" t="str">
            <v>EACH</v>
          </cell>
          <cell r="AB677">
            <v>0</v>
          </cell>
          <cell r="AC677" t="str">
            <v>CC10-07</v>
          </cell>
          <cell r="AD677" t="str">
            <v>EACH</v>
          </cell>
        </row>
        <row r="678">
          <cell r="D678" t="str">
            <v>GR-301-102-04</v>
          </cell>
          <cell r="E678" t="str">
            <v>4502190</v>
          </cell>
          <cell r="F678" t="str">
            <v>COPPER GASKET</v>
          </cell>
          <cell r="J678" t="str">
            <v>NNAV</v>
          </cell>
          <cell r="K678" t="str">
            <v>E499</v>
          </cell>
          <cell r="L678" t="str">
            <v>SRGP01</v>
          </cell>
          <cell r="P678">
            <v>2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 t="str">
            <v>No</v>
          </cell>
          <cell r="Z678" t="str">
            <v/>
          </cell>
          <cell r="AA678" t="str">
            <v>EACH</v>
          </cell>
          <cell r="AB678">
            <v>0</v>
          </cell>
          <cell r="AC678" t="str">
            <v>GR-301-102-04</v>
          </cell>
          <cell r="AD678" t="str">
            <v>EACH</v>
          </cell>
        </row>
        <row r="679">
          <cell r="D679" t="str">
            <v>GMP-GB-05</v>
          </cell>
          <cell r="E679" t="str">
            <v>4502300</v>
          </cell>
          <cell r="F679" t="str">
            <v>COUPLING LO95 25MM BORE 6MM K</v>
          </cell>
          <cell r="J679" t="str">
            <v>NNAV</v>
          </cell>
          <cell r="K679" t="str">
            <v>E499</v>
          </cell>
          <cell r="L679" t="str">
            <v>SRGP01</v>
          </cell>
          <cell r="P679">
            <v>2</v>
          </cell>
          <cell r="R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X679" t="str">
            <v>No</v>
          </cell>
          <cell r="Z679" t="str">
            <v/>
          </cell>
          <cell r="AA679" t="str">
            <v>EACH</v>
          </cell>
          <cell r="AB679">
            <v>0</v>
          </cell>
          <cell r="AC679" t="str">
            <v>GMP-GB-05</v>
          </cell>
          <cell r="AD679" t="str">
            <v>EACH</v>
          </cell>
        </row>
        <row r="680">
          <cell r="D680" t="str">
            <v>GMP-AM-04</v>
          </cell>
          <cell r="E680" t="str">
            <v>4502310</v>
          </cell>
          <cell r="F680" t="str">
            <v>COUPLING LO95 7/8"</v>
          </cell>
          <cell r="J680" t="str">
            <v>NNAV</v>
          </cell>
          <cell r="K680" t="str">
            <v>E499</v>
          </cell>
          <cell r="L680" t="str">
            <v>SRGP01</v>
          </cell>
          <cell r="P680">
            <v>2</v>
          </cell>
          <cell r="R680">
            <v>0</v>
          </cell>
          <cell r="S680">
            <v>0</v>
          </cell>
          <cell r="U680">
            <v>0</v>
          </cell>
          <cell r="V680">
            <v>0</v>
          </cell>
          <cell r="W680">
            <v>0</v>
          </cell>
          <cell r="X680" t="str">
            <v>No</v>
          </cell>
          <cell r="Z680" t="str">
            <v/>
          </cell>
          <cell r="AA680" t="str">
            <v>EACH</v>
          </cell>
          <cell r="AB680">
            <v>0</v>
          </cell>
          <cell r="AC680" t="str">
            <v>GMP-AM-04</v>
          </cell>
          <cell r="AD680" t="str">
            <v>EACH</v>
          </cell>
        </row>
        <row r="681">
          <cell r="D681" t="str">
            <v>CT10-02</v>
          </cell>
          <cell r="E681" t="str">
            <v>4502670</v>
          </cell>
          <cell r="F681" t="str">
            <v>CT10 CYLINDER OUTER BODY</v>
          </cell>
          <cell r="J681" t="str">
            <v>NNAV</v>
          </cell>
          <cell r="K681" t="str">
            <v>E499</v>
          </cell>
          <cell r="L681" t="str">
            <v>SRGP01</v>
          </cell>
          <cell r="P681">
            <v>1</v>
          </cell>
          <cell r="R681">
            <v>0</v>
          </cell>
          <cell r="S681">
            <v>0</v>
          </cell>
          <cell r="U681">
            <v>0</v>
          </cell>
          <cell r="V681">
            <v>0</v>
          </cell>
          <cell r="W681">
            <v>0</v>
          </cell>
          <cell r="X681" t="str">
            <v>No</v>
          </cell>
          <cell r="Z681" t="str">
            <v/>
          </cell>
          <cell r="AA681" t="str">
            <v>EACH</v>
          </cell>
          <cell r="AB681">
            <v>0</v>
          </cell>
          <cell r="AC681" t="str">
            <v>CT10-02</v>
          </cell>
          <cell r="AD681" t="str">
            <v>EACH</v>
          </cell>
        </row>
        <row r="682">
          <cell r="D682" t="str">
            <v>CT10-06</v>
          </cell>
          <cell r="E682" t="str">
            <v>4502690</v>
          </cell>
          <cell r="F682" t="str">
            <v>CT10 JACK CYL INNER BODY</v>
          </cell>
          <cell r="J682" t="str">
            <v>NNAV</v>
          </cell>
          <cell r="K682" t="str">
            <v>E499</v>
          </cell>
          <cell r="L682" t="str">
            <v>SRGP01</v>
          </cell>
          <cell r="P682">
            <v>4</v>
          </cell>
          <cell r="R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X682" t="str">
            <v>No</v>
          </cell>
          <cell r="Z682" t="str">
            <v/>
          </cell>
          <cell r="AA682" t="str">
            <v>EACH</v>
          </cell>
          <cell r="AB682">
            <v>0</v>
          </cell>
          <cell r="AC682" t="str">
            <v>CT10-06</v>
          </cell>
          <cell r="AD682" t="str">
            <v>EACH</v>
          </cell>
        </row>
        <row r="683">
          <cell r="D683" t="str">
            <v>CT10-JJ-01</v>
          </cell>
          <cell r="E683" t="str">
            <v>4502760</v>
          </cell>
          <cell r="F683" t="str">
            <v>CT10 JACK JAW O-RING</v>
          </cell>
          <cell r="J683" t="str">
            <v>NNAV</v>
          </cell>
          <cell r="K683" t="str">
            <v>E499</v>
          </cell>
          <cell r="L683" t="str">
            <v>SRGP01</v>
          </cell>
          <cell r="P683">
            <v>30</v>
          </cell>
          <cell r="R683">
            <v>0</v>
          </cell>
          <cell r="S683">
            <v>0</v>
          </cell>
          <cell r="U683">
            <v>0</v>
          </cell>
          <cell r="V683">
            <v>0</v>
          </cell>
          <cell r="W683">
            <v>0</v>
          </cell>
          <cell r="X683" t="str">
            <v>No</v>
          </cell>
          <cell r="Z683" t="str">
            <v/>
          </cell>
          <cell r="AA683" t="str">
            <v>EACH</v>
          </cell>
          <cell r="AB683">
            <v>0</v>
          </cell>
          <cell r="AC683" t="str">
            <v>CT10-JJ-01</v>
          </cell>
          <cell r="AD683" t="str">
            <v>EACH</v>
          </cell>
        </row>
        <row r="684">
          <cell r="D684" t="str">
            <v>CT10-05</v>
          </cell>
          <cell r="E684" t="str">
            <v>4502680</v>
          </cell>
          <cell r="F684" t="str">
            <v>CT10 JACK PISTON ROD</v>
          </cell>
          <cell r="J684" t="str">
            <v>NNAV</v>
          </cell>
          <cell r="K684" t="str">
            <v>E499</v>
          </cell>
          <cell r="L684" t="str">
            <v>SRGP01</v>
          </cell>
          <cell r="P684">
            <v>4</v>
          </cell>
          <cell r="R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X684" t="str">
            <v>No</v>
          </cell>
          <cell r="Z684" t="str">
            <v/>
          </cell>
          <cell r="AA684" t="str">
            <v>EACH</v>
          </cell>
          <cell r="AB684">
            <v>0</v>
          </cell>
          <cell r="AC684" t="str">
            <v>CT10-05</v>
          </cell>
          <cell r="AD684" t="str">
            <v>EACH</v>
          </cell>
        </row>
        <row r="685">
          <cell r="D685" t="str">
            <v>CT10-13</v>
          </cell>
          <cell r="E685" t="str">
            <v>4502740</v>
          </cell>
          <cell r="F685" t="str">
            <v>CT10 JACK ROD SCRAPER SEAL</v>
          </cell>
          <cell r="J685" t="str">
            <v>NNAV</v>
          </cell>
          <cell r="K685" t="str">
            <v>E499</v>
          </cell>
          <cell r="L685" t="str">
            <v>SRGP01</v>
          </cell>
          <cell r="P685">
            <v>20</v>
          </cell>
          <cell r="R685">
            <v>0</v>
          </cell>
          <cell r="S685">
            <v>0</v>
          </cell>
          <cell r="U685">
            <v>0</v>
          </cell>
          <cell r="V685">
            <v>0</v>
          </cell>
          <cell r="W685">
            <v>0</v>
          </cell>
          <cell r="X685" t="str">
            <v>No</v>
          </cell>
          <cell r="Z685" t="str">
            <v/>
          </cell>
          <cell r="AA685" t="str">
            <v>EACH</v>
          </cell>
          <cell r="AB685">
            <v>0</v>
          </cell>
          <cell r="AC685" t="str">
            <v>CT10-13</v>
          </cell>
          <cell r="AD685" t="str">
            <v>EACH</v>
          </cell>
        </row>
        <row r="686">
          <cell r="D686" t="str">
            <v>CT10R-01</v>
          </cell>
          <cell r="E686" t="str">
            <v>4502790</v>
          </cell>
          <cell r="F686" t="str">
            <v>CT10R HANDLE REMOTE CONTROL</v>
          </cell>
          <cell r="J686" t="str">
            <v>NNAV</v>
          </cell>
          <cell r="K686" t="str">
            <v>E499</v>
          </cell>
          <cell r="L686" t="str">
            <v>SRGP01</v>
          </cell>
          <cell r="P686">
            <v>20</v>
          </cell>
          <cell r="R686">
            <v>0</v>
          </cell>
          <cell r="S686">
            <v>0</v>
          </cell>
          <cell r="U686">
            <v>0</v>
          </cell>
          <cell r="V686">
            <v>0</v>
          </cell>
          <cell r="W686">
            <v>0</v>
          </cell>
          <cell r="X686" t="str">
            <v>No</v>
          </cell>
          <cell r="Z686" t="str">
            <v/>
          </cell>
          <cell r="AA686" t="str">
            <v>EACH</v>
          </cell>
          <cell r="AB686">
            <v>0</v>
          </cell>
          <cell r="AC686" t="str">
            <v>CT10R-01</v>
          </cell>
          <cell r="AD686" t="str">
            <v>EACH</v>
          </cell>
        </row>
        <row r="687">
          <cell r="D687" t="str">
            <v>CT10R-03</v>
          </cell>
          <cell r="E687" t="str">
            <v>4502810</v>
          </cell>
          <cell r="F687" t="str">
            <v>CT10R REMOTE CONTROL HARNESS</v>
          </cell>
          <cell r="J687" t="str">
            <v>NNAV</v>
          </cell>
          <cell r="K687" t="str">
            <v>E499</v>
          </cell>
          <cell r="L687" t="str">
            <v>SRGP01</v>
          </cell>
          <cell r="P687">
            <v>4</v>
          </cell>
          <cell r="R687">
            <v>0</v>
          </cell>
          <cell r="S687">
            <v>0</v>
          </cell>
          <cell r="U687">
            <v>0</v>
          </cell>
          <cell r="V687">
            <v>0</v>
          </cell>
          <cell r="W687">
            <v>0</v>
          </cell>
          <cell r="X687" t="str">
            <v>No</v>
          </cell>
          <cell r="Z687" t="str">
            <v/>
          </cell>
          <cell r="AA687" t="str">
            <v>EACH</v>
          </cell>
          <cell r="AB687">
            <v>0</v>
          </cell>
          <cell r="AC687" t="str">
            <v>CT10R-03</v>
          </cell>
          <cell r="AD687" t="str">
            <v>EACH</v>
          </cell>
        </row>
        <row r="688">
          <cell r="D688" t="str">
            <v>CT10RUNIT</v>
          </cell>
          <cell r="E688" t="str">
            <v>4503000</v>
          </cell>
          <cell r="F688" t="str">
            <v>CT10R TENSION UNIT</v>
          </cell>
          <cell r="J688" t="str">
            <v>NNAV</v>
          </cell>
          <cell r="K688" t="str">
            <v>E499</v>
          </cell>
          <cell r="L688" t="str">
            <v>SRGP01</v>
          </cell>
          <cell r="P688">
            <v>2</v>
          </cell>
          <cell r="R688">
            <v>0</v>
          </cell>
          <cell r="S688">
            <v>0</v>
          </cell>
          <cell r="U688">
            <v>0</v>
          </cell>
          <cell r="V688">
            <v>0</v>
          </cell>
          <cell r="W688">
            <v>0</v>
          </cell>
          <cell r="X688" t="str">
            <v>No</v>
          </cell>
          <cell r="Z688" t="str">
            <v/>
          </cell>
          <cell r="AA688" t="str">
            <v>EACH</v>
          </cell>
          <cell r="AB688">
            <v>0</v>
          </cell>
          <cell r="AC688" t="str">
            <v>CT10RUNIT</v>
          </cell>
          <cell r="AD688" t="str">
            <v>EACH</v>
          </cell>
        </row>
        <row r="689">
          <cell r="D689" t="str">
            <v>GR41-1-24</v>
          </cell>
          <cell r="E689" t="str">
            <v>4501770</v>
          </cell>
          <cell r="F689" t="str">
            <v>CUP SEAL</v>
          </cell>
          <cell r="J689" t="str">
            <v>NNAV</v>
          </cell>
          <cell r="K689" t="str">
            <v>E499</v>
          </cell>
          <cell r="L689" t="str">
            <v>SRGP01</v>
          </cell>
          <cell r="P689">
            <v>40</v>
          </cell>
          <cell r="R689">
            <v>0</v>
          </cell>
          <cell r="S689">
            <v>0</v>
          </cell>
          <cell r="U689">
            <v>0</v>
          </cell>
          <cell r="V689">
            <v>0</v>
          </cell>
          <cell r="W689">
            <v>0</v>
          </cell>
          <cell r="X689" t="str">
            <v>No</v>
          </cell>
          <cell r="Z689" t="str">
            <v/>
          </cell>
          <cell r="AA689" t="str">
            <v>EACH</v>
          </cell>
          <cell r="AB689">
            <v>0</v>
          </cell>
          <cell r="AC689" t="str">
            <v>GR41-1-24</v>
          </cell>
          <cell r="AD689" t="str">
            <v>EACH</v>
          </cell>
        </row>
        <row r="690">
          <cell r="D690" t="str">
            <v>GR41-1-1</v>
          </cell>
          <cell r="E690" t="str">
            <v>4501570</v>
          </cell>
          <cell r="F690" t="str">
            <v>CYLINDER RISER TUBE</v>
          </cell>
          <cell r="J690" t="str">
            <v>NNAV</v>
          </cell>
          <cell r="K690" t="str">
            <v>E499</v>
          </cell>
          <cell r="L690" t="str">
            <v>SRGP01</v>
          </cell>
          <cell r="P690">
            <v>8</v>
          </cell>
          <cell r="R690">
            <v>0</v>
          </cell>
          <cell r="S690">
            <v>0</v>
          </cell>
          <cell r="U690">
            <v>0</v>
          </cell>
          <cell r="V690">
            <v>0</v>
          </cell>
          <cell r="W690">
            <v>0</v>
          </cell>
          <cell r="X690" t="str">
            <v>No</v>
          </cell>
          <cell r="Z690" t="str">
            <v/>
          </cell>
          <cell r="AA690" t="str">
            <v>EACH</v>
          </cell>
          <cell r="AB690">
            <v>0</v>
          </cell>
          <cell r="AC690" t="str">
            <v>GR41-1-1</v>
          </cell>
          <cell r="AD690" t="str">
            <v>EACH</v>
          </cell>
        </row>
        <row r="691">
          <cell r="D691" t="str">
            <v>CT10-01</v>
          </cell>
          <cell r="E691" t="str">
            <v>4502660</v>
          </cell>
          <cell r="F691" t="str">
            <v>ELBOW 3/8" NPT M/F</v>
          </cell>
          <cell r="J691" t="str">
            <v>NNAV</v>
          </cell>
          <cell r="K691" t="str">
            <v>E499</v>
          </cell>
          <cell r="L691" t="str">
            <v>SRGP01</v>
          </cell>
          <cell r="P691">
            <v>4</v>
          </cell>
          <cell r="R691">
            <v>0</v>
          </cell>
          <cell r="S691">
            <v>0</v>
          </cell>
          <cell r="U691">
            <v>0</v>
          </cell>
          <cell r="V691">
            <v>0</v>
          </cell>
          <cell r="W691">
            <v>0</v>
          </cell>
          <cell r="X691" t="str">
            <v>No</v>
          </cell>
          <cell r="Z691" t="str">
            <v/>
          </cell>
          <cell r="AA691" t="str">
            <v>EACH</v>
          </cell>
          <cell r="AB691">
            <v>0</v>
          </cell>
          <cell r="AC691" t="str">
            <v>CT10-01</v>
          </cell>
          <cell r="AD691" t="str">
            <v>EACH</v>
          </cell>
        </row>
        <row r="692">
          <cell r="D692" t="str">
            <v>PA6D-09</v>
          </cell>
          <cell r="E692" t="str">
            <v>4503380</v>
          </cell>
          <cell r="F692" t="str">
            <v>FEMALE PIONEER COUPLING</v>
          </cell>
          <cell r="J692" t="str">
            <v>NNAV</v>
          </cell>
          <cell r="K692" t="str">
            <v>E499</v>
          </cell>
          <cell r="L692" t="str">
            <v>SRGP01</v>
          </cell>
          <cell r="P692">
            <v>8</v>
          </cell>
          <cell r="R692">
            <v>0</v>
          </cell>
          <cell r="S692">
            <v>0</v>
          </cell>
          <cell r="U692">
            <v>0</v>
          </cell>
          <cell r="V692">
            <v>0</v>
          </cell>
          <cell r="W692">
            <v>0</v>
          </cell>
          <cell r="X692" t="str">
            <v>No</v>
          </cell>
          <cell r="Z692" t="str">
            <v/>
          </cell>
          <cell r="AA692" t="str">
            <v>EACH</v>
          </cell>
          <cell r="AB692">
            <v>0</v>
          </cell>
          <cell r="AC692" t="str">
            <v>PA6D-09</v>
          </cell>
          <cell r="AD692" t="str">
            <v>EACH</v>
          </cell>
        </row>
        <row r="693">
          <cell r="D693" t="str">
            <v>PA6D-19</v>
          </cell>
          <cell r="E693" t="str">
            <v>4503480</v>
          </cell>
          <cell r="F693" t="str">
            <v>FEMALE PIONEER COUPLING PLUG</v>
          </cell>
          <cell r="J693" t="str">
            <v>NNAV</v>
          </cell>
          <cell r="K693" t="str">
            <v>E499</v>
          </cell>
          <cell r="L693" t="str">
            <v>SRGP01</v>
          </cell>
          <cell r="P693">
            <v>6</v>
          </cell>
          <cell r="R693">
            <v>0</v>
          </cell>
          <cell r="S693">
            <v>0</v>
          </cell>
          <cell r="U693">
            <v>0</v>
          </cell>
          <cell r="V693">
            <v>0</v>
          </cell>
          <cell r="W693">
            <v>0</v>
          </cell>
          <cell r="X693" t="str">
            <v>No</v>
          </cell>
          <cell r="Z693" t="str">
            <v/>
          </cell>
          <cell r="AA693" t="str">
            <v>EACH</v>
          </cell>
          <cell r="AB693">
            <v>0</v>
          </cell>
          <cell r="AC693" t="str">
            <v>PA6D-19</v>
          </cell>
          <cell r="AD693" t="str">
            <v>EACH</v>
          </cell>
        </row>
        <row r="694">
          <cell r="D694" t="str">
            <v>CC10-02</v>
          </cell>
          <cell r="E694" t="str">
            <v>4502600</v>
          </cell>
          <cell r="F694" t="str">
            <v>FIXED BLADE CABLE CUTTER</v>
          </cell>
          <cell r="J694" t="str">
            <v>NNAV</v>
          </cell>
          <cell r="K694" t="str">
            <v>E499</v>
          </cell>
          <cell r="L694" t="str">
            <v>SRGP01</v>
          </cell>
          <cell r="P694">
            <v>4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 t="str">
            <v>No</v>
          </cell>
          <cell r="Z694" t="str">
            <v/>
          </cell>
          <cell r="AA694" t="str">
            <v>EACH</v>
          </cell>
          <cell r="AB694">
            <v>0</v>
          </cell>
          <cell r="AC694" t="str">
            <v>CC10-02</v>
          </cell>
          <cell r="AD694" t="str">
            <v>EACH</v>
          </cell>
        </row>
        <row r="695">
          <cell r="D695" t="str">
            <v>GR41-1-9</v>
          </cell>
          <cell r="E695" t="str">
            <v>4501650</v>
          </cell>
          <cell r="F695" t="str">
            <v>FOOTBLOCK</v>
          </cell>
          <cell r="J695" t="str">
            <v>NNAV</v>
          </cell>
          <cell r="K695" t="str">
            <v>E499</v>
          </cell>
          <cell r="L695" t="str">
            <v>SRGP01</v>
          </cell>
          <cell r="P695">
            <v>8</v>
          </cell>
          <cell r="R695">
            <v>0</v>
          </cell>
          <cell r="S695">
            <v>0</v>
          </cell>
          <cell r="U695">
            <v>0</v>
          </cell>
          <cell r="V695">
            <v>0</v>
          </cell>
          <cell r="W695">
            <v>0</v>
          </cell>
          <cell r="X695" t="str">
            <v>No</v>
          </cell>
          <cell r="Z695" t="str">
            <v/>
          </cell>
          <cell r="AA695" t="str">
            <v>EACH</v>
          </cell>
          <cell r="AB695">
            <v>0</v>
          </cell>
          <cell r="AC695" t="str">
            <v>GR41-1-9</v>
          </cell>
          <cell r="AD695" t="str">
            <v>EACH</v>
          </cell>
        </row>
        <row r="696">
          <cell r="D696" t="str">
            <v>GMP-AM-02</v>
          </cell>
          <cell r="E696" t="str">
            <v>Special Item</v>
          </cell>
          <cell r="F696" t="str">
            <v>FRONT ROTOR BEARING</v>
          </cell>
          <cell r="J696" t="str">
            <v>NNAV</v>
          </cell>
          <cell r="K696" t="str">
            <v>E499</v>
          </cell>
          <cell r="L696" t="str">
            <v>SRGP01</v>
          </cell>
          <cell r="P696">
            <v>5</v>
          </cell>
          <cell r="R696">
            <v>0</v>
          </cell>
          <cell r="S696">
            <v>0</v>
          </cell>
          <cell r="U696">
            <v>0</v>
          </cell>
          <cell r="V696">
            <v>0</v>
          </cell>
          <cell r="W696">
            <v>0</v>
          </cell>
          <cell r="X696" t="str">
            <v>No</v>
          </cell>
          <cell r="Z696" t="str">
            <v/>
          </cell>
          <cell r="AA696" t="str">
            <v>EACH</v>
          </cell>
          <cell r="AB696">
            <v>0</v>
          </cell>
          <cell r="AC696" t="str">
            <v>GMP-AM-02</v>
          </cell>
          <cell r="AD696" t="str">
            <v>EACH</v>
          </cell>
        </row>
        <row r="697">
          <cell r="D697" t="str">
            <v>GMP-AM-08</v>
          </cell>
          <cell r="E697" t="str">
            <v>Special Item</v>
          </cell>
          <cell r="F697" t="str">
            <v>GASKET</v>
          </cell>
          <cell r="J697" t="str">
            <v>NNAV</v>
          </cell>
          <cell r="K697" t="str">
            <v>E499</v>
          </cell>
          <cell r="L697" t="str">
            <v>SRGP01</v>
          </cell>
          <cell r="P697">
            <v>5</v>
          </cell>
          <cell r="R697">
            <v>0</v>
          </cell>
          <cell r="S697">
            <v>0</v>
          </cell>
          <cell r="U697">
            <v>0</v>
          </cell>
          <cell r="V697">
            <v>0</v>
          </cell>
          <cell r="W697">
            <v>0</v>
          </cell>
          <cell r="X697" t="str">
            <v>No</v>
          </cell>
          <cell r="Z697" t="str">
            <v/>
          </cell>
          <cell r="AA697" t="str">
            <v>EACH</v>
          </cell>
          <cell r="AB697">
            <v>0</v>
          </cell>
          <cell r="AC697" t="str">
            <v>GMP-AM-08</v>
          </cell>
          <cell r="AD697" t="str">
            <v>EACH</v>
          </cell>
        </row>
        <row r="698">
          <cell r="D698" t="str">
            <v>GMP-AM-11</v>
          </cell>
          <cell r="E698" t="str">
            <v>Special Item</v>
          </cell>
          <cell r="F698" t="str">
            <v>GASKET</v>
          </cell>
          <cell r="J698" t="str">
            <v>NNAV</v>
          </cell>
          <cell r="K698" t="str">
            <v>E499</v>
          </cell>
          <cell r="L698" t="str">
            <v>SRGP01</v>
          </cell>
          <cell r="P698">
            <v>5</v>
          </cell>
          <cell r="R698">
            <v>0</v>
          </cell>
          <cell r="S698">
            <v>0</v>
          </cell>
          <cell r="U698">
            <v>0</v>
          </cell>
          <cell r="V698">
            <v>0</v>
          </cell>
          <cell r="W698">
            <v>0</v>
          </cell>
          <cell r="X698" t="str">
            <v>No</v>
          </cell>
          <cell r="Z698" t="str">
            <v/>
          </cell>
          <cell r="AA698" t="str">
            <v>EACH</v>
          </cell>
          <cell r="AB698">
            <v>0</v>
          </cell>
          <cell r="AC698" t="str">
            <v>GMP-AM-11</v>
          </cell>
          <cell r="AD698" t="str">
            <v>EACH</v>
          </cell>
        </row>
        <row r="699">
          <cell r="D699" t="str">
            <v>GMP-GB</v>
          </cell>
          <cell r="E699" t="str">
            <v>4502330</v>
          </cell>
          <cell r="F699" t="str">
            <v>GROUT MIXER GEARBOX 15:1</v>
          </cell>
          <cell r="J699" t="str">
            <v>NNAV</v>
          </cell>
          <cell r="K699" t="str">
            <v>E499</v>
          </cell>
          <cell r="L699" t="str">
            <v>SRGP01</v>
          </cell>
          <cell r="P699">
            <v>1</v>
          </cell>
          <cell r="R699">
            <v>0</v>
          </cell>
          <cell r="S699">
            <v>0</v>
          </cell>
          <cell r="U699">
            <v>0</v>
          </cell>
          <cell r="V699">
            <v>0</v>
          </cell>
          <cell r="W699">
            <v>0</v>
          </cell>
          <cell r="X699" t="str">
            <v>No</v>
          </cell>
          <cell r="Z699" t="str">
            <v/>
          </cell>
          <cell r="AA699" t="str">
            <v>EACH</v>
          </cell>
          <cell r="AB699">
            <v>0</v>
          </cell>
          <cell r="AC699" t="str">
            <v>GMP-GB</v>
          </cell>
          <cell r="AD699" t="str">
            <v>EACH</v>
          </cell>
        </row>
        <row r="700">
          <cell r="D700" t="str">
            <v>GMP-MT-01</v>
          </cell>
          <cell r="E700" t="str">
            <v>4502340</v>
          </cell>
          <cell r="F700" t="str">
            <v>GROUT MIXER PADDLE - ALL</v>
          </cell>
          <cell r="J700" t="str">
            <v>NNAV</v>
          </cell>
          <cell r="K700" t="str">
            <v>E499</v>
          </cell>
          <cell r="L700" t="str">
            <v>SRGP01</v>
          </cell>
          <cell r="P700">
            <v>1</v>
          </cell>
          <cell r="R700">
            <v>0</v>
          </cell>
          <cell r="S700">
            <v>0</v>
          </cell>
          <cell r="U700">
            <v>0</v>
          </cell>
          <cell r="V700">
            <v>0</v>
          </cell>
          <cell r="W700">
            <v>0</v>
          </cell>
          <cell r="X700" t="str">
            <v>No</v>
          </cell>
          <cell r="Z700" t="str">
            <v/>
          </cell>
          <cell r="AA700" t="str">
            <v>EACH</v>
          </cell>
          <cell r="AB700">
            <v>0</v>
          </cell>
          <cell r="AC700" t="str">
            <v>GMP-MT-01</v>
          </cell>
          <cell r="AD700" t="str">
            <v>EACH</v>
          </cell>
        </row>
        <row r="701">
          <cell r="D701" t="str">
            <v>PA6-07</v>
          </cell>
          <cell r="E701" t="str">
            <v>4503250</v>
          </cell>
          <cell r="F701" t="str">
            <v>HOSE PROTECTOR  33MM</v>
          </cell>
          <cell r="J701" t="str">
            <v>NNAV</v>
          </cell>
          <cell r="K701" t="str">
            <v>E499</v>
          </cell>
          <cell r="L701" t="str">
            <v>SRGP01</v>
          </cell>
          <cell r="P701">
            <v>3</v>
          </cell>
          <cell r="R701">
            <v>0</v>
          </cell>
          <cell r="S701">
            <v>0</v>
          </cell>
          <cell r="U701">
            <v>0</v>
          </cell>
          <cell r="V701">
            <v>0</v>
          </cell>
          <cell r="W701">
            <v>0</v>
          </cell>
          <cell r="X701" t="str">
            <v>No</v>
          </cell>
          <cell r="Z701" t="str">
            <v/>
          </cell>
          <cell r="AA701" t="str">
            <v>EACH</v>
          </cell>
          <cell r="AB701">
            <v>0</v>
          </cell>
          <cell r="AC701" t="str">
            <v>PA6-07</v>
          </cell>
          <cell r="AD701" t="str">
            <v>EACH</v>
          </cell>
        </row>
        <row r="702">
          <cell r="D702" t="str">
            <v>HOSE-3.0</v>
          </cell>
          <cell r="E702" t="str">
            <v>4502360</v>
          </cell>
          <cell r="F702" t="str">
            <v>HYDRAULIC HOSE 3.0M</v>
          </cell>
          <cell r="J702" t="str">
            <v>NNAV</v>
          </cell>
          <cell r="K702" t="str">
            <v>E499</v>
          </cell>
          <cell r="L702" t="str">
            <v>SRGP01</v>
          </cell>
          <cell r="P702">
            <v>12</v>
          </cell>
          <cell r="R702">
            <v>0</v>
          </cell>
          <cell r="S702">
            <v>0</v>
          </cell>
          <cell r="U702">
            <v>0</v>
          </cell>
          <cell r="V702">
            <v>0</v>
          </cell>
          <cell r="W702">
            <v>0</v>
          </cell>
          <cell r="X702" t="str">
            <v>No</v>
          </cell>
          <cell r="Z702" t="str">
            <v/>
          </cell>
          <cell r="AA702" t="str">
            <v>EACH</v>
          </cell>
          <cell r="AB702">
            <v>0</v>
          </cell>
          <cell r="AC702" t="str">
            <v>HOSE-3.0</v>
          </cell>
          <cell r="AD702" t="str">
            <v>EACH</v>
          </cell>
        </row>
        <row r="703">
          <cell r="D703" t="str">
            <v>CT10-07</v>
          </cell>
          <cell r="E703" t="str">
            <v>4502370</v>
          </cell>
          <cell r="F703" t="str">
            <v>INNER GUIDE TUBE</v>
          </cell>
          <cell r="J703" t="str">
            <v>NNAV</v>
          </cell>
          <cell r="K703" t="str">
            <v>E499</v>
          </cell>
          <cell r="L703" t="str">
            <v>SRGP01</v>
          </cell>
          <cell r="P703">
            <v>4</v>
          </cell>
          <cell r="R703">
            <v>0</v>
          </cell>
          <cell r="S703">
            <v>0</v>
          </cell>
          <cell r="U703">
            <v>0</v>
          </cell>
          <cell r="V703">
            <v>0</v>
          </cell>
          <cell r="W703">
            <v>0</v>
          </cell>
          <cell r="X703" t="str">
            <v>No</v>
          </cell>
          <cell r="Z703" t="str">
            <v/>
          </cell>
          <cell r="AA703" t="str">
            <v>EACH</v>
          </cell>
          <cell r="AB703">
            <v>0</v>
          </cell>
          <cell r="AC703" t="str">
            <v>CT10-07</v>
          </cell>
          <cell r="AD703" t="str">
            <v>EACH</v>
          </cell>
        </row>
        <row r="704">
          <cell r="D704" t="str">
            <v>GR41-1-10</v>
          </cell>
          <cell r="E704" t="str">
            <v>4501660</v>
          </cell>
          <cell r="F704" t="str">
            <v>INSERT</v>
          </cell>
          <cell r="J704" t="str">
            <v>NNAV</v>
          </cell>
          <cell r="K704" t="str">
            <v>E499</v>
          </cell>
          <cell r="L704" t="str">
            <v>SRGP01</v>
          </cell>
          <cell r="P704">
            <v>20</v>
          </cell>
          <cell r="R704">
            <v>0</v>
          </cell>
          <cell r="S704">
            <v>0</v>
          </cell>
          <cell r="U704">
            <v>0</v>
          </cell>
          <cell r="V704">
            <v>0</v>
          </cell>
          <cell r="W704">
            <v>0</v>
          </cell>
          <cell r="X704" t="str">
            <v>No</v>
          </cell>
          <cell r="Z704" t="str">
            <v/>
          </cell>
          <cell r="AA704" t="str">
            <v>EACH</v>
          </cell>
          <cell r="AB704">
            <v>0</v>
          </cell>
          <cell r="AC704" t="str">
            <v>GR41-1-10</v>
          </cell>
          <cell r="AD704" t="str">
            <v>EACH</v>
          </cell>
        </row>
        <row r="705">
          <cell r="D705" t="str">
            <v>CT10-14</v>
          </cell>
          <cell r="E705" t="str">
            <v>4502750</v>
          </cell>
          <cell r="F705" t="str">
            <v>JACK JAW CLEANING BRUSH COMP</v>
          </cell>
          <cell r="J705" t="str">
            <v>NNAV</v>
          </cell>
          <cell r="K705" t="str">
            <v>E499</v>
          </cell>
          <cell r="L705" t="str">
            <v>SRGP01</v>
          </cell>
          <cell r="P705">
            <v>2</v>
          </cell>
          <cell r="R705">
            <v>0</v>
          </cell>
          <cell r="S705">
            <v>0</v>
          </cell>
          <cell r="U705">
            <v>0</v>
          </cell>
          <cell r="V705">
            <v>0</v>
          </cell>
          <cell r="W705">
            <v>0</v>
          </cell>
          <cell r="X705" t="str">
            <v>No</v>
          </cell>
          <cell r="Z705" t="str">
            <v/>
          </cell>
          <cell r="AA705" t="str">
            <v>EACH</v>
          </cell>
          <cell r="AB705">
            <v>0</v>
          </cell>
          <cell r="AC705" t="str">
            <v>CT10-14</v>
          </cell>
          <cell r="AD705" t="str">
            <v>EACH</v>
          </cell>
        </row>
        <row r="706">
          <cell r="D706" t="str">
            <v>CT10JJ</v>
          </cell>
          <cell r="E706" t="str">
            <v>1950780</v>
          </cell>
          <cell r="F706" t="str">
            <v>JACK JAW SET</v>
          </cell>
          <cell r="J706" t="str">
            <v>NNAV</v>
          </cell>
          <cell r="K706" t="str">
            <v>E499</v>
          </cell>
          <cell r="L706" t="str">
            <v>SRGP01</v>
          </cell>
          <cell r="P706">
            <v>40</v>
          </cell>
          <cell r="R706">
            <v>0</v>
          </cell>
          <cell r="S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>No</v>
          </cell>
          <cell r="Z706" t="str">
            <v/>
          </cell>
          <cell r="AA706" t="str">
            <v>EACH</v>
          </cell>
          <cell r="AB706">
            <v>0</v>
          </cell>
          <cell r="AC706" t="str">
            <v>CT10JJ</v>
          </cell>
          <cell r="AD706" t="str">
            <v>EACH</v>
          </cell>
        </row>
        <row r="707">
          <cell r="D707" t="str">
            <v>CT1003</v>
          </cell>
          <cell r="E707" t="str">
            <v>1950750</v>
          </cell>
          <cell r="F707" t="str">
            <v>JACK SEAL KIT</v>
          </cell>
          <cell r="J707" t="str">
            <v>NNAV</v>
          </cell>
          <cell r="K707" t="str">
            <v>E499</v>
          </cell>
          <cell r="L707" t="str">
            <v>SRGP01</v>
          </cell>
          <cell r="P707">
            <v>8</v>
          </cell>
          <cell r="R707">
            <v>0</v>
          </cell>
          <cell r="S707">
            <v>0</v>
          </cell>
          <cell r="U707">
            <v>0</v>
          </cell>
          <cell r="V707">
            <v>0</v>
          </cell>
          <cell r="W707">
            <v>0</v>
          </cell>
          <cell r="X707" t="str">
            <v>No</v>
          </cell>
          <cell r="Z707" t="str">
            <v/>
          </cell>
          <cell r="AA707" t="str">
            <v>EACH</v>
          </cell>
          <cell r="AB707">
            <v>0</v>
          </cell>
          <cell r="AC707" t="str">
            <v>CT1003</v>
          </cell>
          <cell r="AD707" t="str">
            <v>EACH</v>
          </cell>
        </row>
        <row r="708">
          <cell r="D708" t="str">
            <v>GMP-AM-05</v>
          </cell>
          <cell r="E708" t="str">
            <v>4502390</v>
          </cell>
          <cell r="F708" t="str">
            <v>LO95 COUPLING ELEMENT</v>
          </cell>
          <cell r="J708" t="str">
            <v>NNAV</v>
          </cell>
          <cell r="K708" t="str">
            <v>E499</v>
          </cell>
          <cell r="L708" t="str">
            <v>SRGP01</v>
          </cell>
          <cell r="P708">
            <v>8</v>
          </cell>
          <cell r="R708">
            <v>0</v>
          </cell>
          <cell r="S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No</v>
          </cell>
          <cell r="Z708" t="str">
            <v/>
          </cell>
          <cell r="AA708" t="str">
            <v>EACH</v>
          </cell>
          <cell r="AB708">
            <v>0</v>
          </cell>
          <cell r="AC708" t="str">
            <v>GMP-AM-05</v>
          </cell>
          <cell r="AD708" t="str">
            <v>EACH</v>
          </cell>
        </row>
        <row r="709">
          <cell r="D709" t="str">
            <v>CT1004</v>
          </cell>
          <cell r="E709" t="str">
            <v>1950770</v>
          </cell>
          <cell r="F709" t="str">
            <v>LOAD CAP</v>
          </cell>
          <cell r="J709" t="str">
            <v>NNAV</v>
          </cell>
          <cell r="K709" t="str">
            <v>E499</v>
          </cell>
          <cell r="L709" t="str">
            <v>SRGP01</v>
          </cell>
          <cell r="P709">
            <v>12</v>
          </cell>
          <cell r="R709">
            <v>0</v>
          </cell>
          <cell r="S709">
            <v>0</v>
          </cell>
          <cell r="U709">
            <v>0</v>
          </cell>
          <cell r="V709">
            <v>0</v>
          </cell>
          <cell r="W709">
            <v>0</v>
          </cell>
          <cell r="X709" t="str">
            <v>No</v>
          </cell>
          <cell r="Z709" t="str">
            <v/>
          </cell>
          <cell r="AA709" t="str">
            <v>EACH</v>
          </cell>
          <cell r="AB709">
            <v>0</v>
          </cell>
          <cell r="AC709" t="str">
            <v>CT1004</v>
          </cell>
          <cell r="AD709" t="str">
            <v>EACH</v>
          </cell>
        </row>
        <row r="710">
          <cell r="D710" t="str">
            <v>PA6D-10</v>
          </cell>
          <cell r="E710" t="str">
            <v>4503390</v>
          </cell>
          <cell r="F710" t="str">
            <v>MALE PIONEER COUPLING</v>
          </cell>
          <cell r="J710" t="str">
            <v>NNAV</v>
          </cell>
          <cell r="K710" t="str">
            <v>E499</v>
          </cell>
          <cell r="L710" t="str">
            <v>SRGP01</v>
          </cell>
          <cell r="P710">
            <v>8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 t="str">
            <v>No</v>
          </cell>
          <cell r="Z710" t="str">
            <v/>
          </cell>
          <cell r="AA710" t="str">
            <v>EACH</v>
          </cell>
          <cell r="AB710">
            <v>0</v>
          </cell>
          <cell r="AC710" t="str">
            <v>PA6D-10</v>
          </cell>
          <cell r="AD710" t="str">
            <v>EACH</v>
          </cell>
        </row>
        <row r="711">
          <cell r="D711" t="str">
            <v>PA6D-20</v>
          </cell>
          <cell r="E711" t="str">
            <v>4503490</v>
          </cell>
          <cell r="F711" t="str">
            <v>MALE PIONEER COUPLING CAP</v>
          </cell>
          <cell r="J711" t="str">
            <v>NNAV</v>
          </cell>
          <cell r="K711" t="str">
            <v>E499</v>
          </cell>
          <cell r="L711" t="str">
            <v>SRGP01</v>
          </cell>
          <cell r="P711">
            <v>6</v>
          </cell>
          <cell r="R711">
            <v>0</v>
          </cell>
          <cell r="S711">
            <v>0</v>
          </cell>
          <cell r="U711">
            <v>0</v>
          </cell>
          <cell r="V711">
            <v>0</v>
          </cell>
          <cell r="W711">
            <v>0</v>
          </cell>
          <cell r="X711" t="str">
            <v>No</v>
          </cell>
          <cell r="Z711" t="str">
            <v/>
          </cell>
          <cell r="AA711" t="str">
            <v>EACH</v>
          </cell>
          <cell r="AB711">
            <v>0</v>
          </cell>
          <cell r="AC711" t="str">
            <v>PA6D-20</v>
          </cell>
          <cell r="AD711" t="str">
            <v>EACH</v>
          </cell>
        </row>
        <row r="712">
          <cell r="D712" t="str">
            <v>CC10-01</v>
          </cell>
          <cell r="E712" t="str">
            <v>4502590</v>
          </cell>
          <cell r="F712" t="str">
            <v>MOVING BLADE CABLE CUTTER</v>
          </cell>
          <cell r="J712" t="str">
            <v>NNAV</v>
          </cell>
          <cell r="K712" t="str">
            <v>E499</v>
          </cell>
          <cell r="L712" t="str">
            <v>SRGP01</v>
          </cell>
          <cell r="P712">
            <v>4</v>
          </cell>
          <cell r="R712">
            <v>0</v>
          </cell>
          <cell r="S712">
            <v>0</v>
          </cell>
          <cell r="U712">
            <v>0</v>
          </cell>
          <cell r="V712">
            <v>0</v>
          </cell>
          <cell r="W712">
            <v>0</v>
          </cell>
          <cell r="X712" t="str">
            <v>No</v>
          </cell>
          <cell r="Z712" t="str">
            <v/>
          </cell>
          <cell r="AA712" t="str">
            <v>EACH</v>
          </cell>
          <cell r="AB712">
            <v>0</v>
          </cell>
          <cell r="AC712" t="str">
            <v>CC10-01</v>
          </cell>
          <cell r="AD712" t="str">
            <v>EACH</v>
          </cell>
        </row>
        <row r="713">
          <cell r="D713" t="str">
            <v>PA6D-11</v>
          </cell>
          <cell r="E713" t="str">
            <v>4503400</v>
          </cell>
          <cell r="F713" t="str">
            <v>NIPPLE 3/8" NPT</v>
          </cell>
          <cell r="J713" t="str">
            <v>NNAV</v>
          </cell>
          <cell r="K713" t="str">
            <v>E499</v>
          </cell>
          <cell r="L713" t="str">
            <v>SRGP01</v>
          </cell>
          <cell r="P713">
            <v>4</v>
          </cell>
          <cell r="R713">
            <v>0</v>
          </cell>
          <cell r="S713">
            <v>0</v>
          </cell>
          <cell r="U713">
            <v>0</v>
          </cell>
          <cell r="V713">
            <v>0</v>
          </cell>
          <cell r="W713">
            <v>0</v>
          </cell>
          <cell r="X713" t="str">
            <v>No</v>
          </cell>
          <cell r="Z713" t="str">
            <v/>
          </cell>
          <cell r="AA713" t="str">
            <v>EACH</v>
          </cell>
          <cell r="AB713">
            <v>0</v>
          </cell>
          <cell r="AC713" t="str">
            <v>PA6D-11</v>
          </cell>
          <cell r="AD713" t="str">
            <v>EACH</v>
          </cell>
        </row>
        <row r="714">
          <cell r="D714" t="str">
            <v>GR41-1-5</v>
          </cell>
          <cell r="E714" t="str">
            <v>4501610</v>
          </cell>
          <cell r="F714" t="str">
            <v>NUT GLAND</v>
          </cell>
          <cell r="J714" t="str">
            <v>NNAV</v>
          </cell>
          <cell r="K714" t="str">
            <v>E499</v>
          </cell>
          <cell r="L714" t="str">
            <v>SRGP01</v>
          </cell>
          <cell r="P714">
            <v>8</v>
          </cell>
          <cell r="R714">
            <v>0</v>
          </cell>
          <cell r="S714">
            <v>0</v>
          </cell>
          <cell r="U714">
            <v>0</v>
          </cell>
          <cell r="V714">
            <v>0</v>
          </cell>
          <cell r="W714">
            <v>0</v>
          </cell>
          <cell r="X714" t="str">
            <v>No</v>
          </cell>
          <cell r="Z714" t="str">
            <v/>
          </cell>
          <cell r="AA714" t="str">
            <v>EACH</v>
          </cell>
          <cell r="AB714">
            <v>0</v>
          </cell>
          <cell r="AC714" t="str">
            <v>GR41-1-5</v>
          </cell>
          <cell r="AD714" t="str">
            <v>EACH</v>
          </cell>
        </row>
        <row r="715">
          <cell r="D715" t="str">
            <v>GR41-1-19</v>
          </cell>
          <cell r="E715" t="str">
            <v>4501750</v>
          </cell>
          <cell r="F715" t="str">
            <v>NUT PISTON ROD 1/2" UNC</v>
          </cell>
          <cell r="J715" t="str">
            <v>NNAV</v>
          </cell>
          <cell r="K715" t="str">
            <v>E499</v>
          </cell>
          <cell r="L715" t="str">
            <v>SRGP01</v>
          </cell>
          <cell r="P715">
            <v>8</v>
          </cell>
          <cell r="R715">
            <v>0</v>
          </cell>
          <cell r="S715">
            <v>0</v>
          </cell>
          <cell r="U715">
            <v>0</v>
          </cell>
          <cell r="V715">
            <v>0</v>
          </cell>
          <cell r="W715">
            <v>0</v>
          </cell>
          <cell r="X715" t="str">
            <v>No</v>
          </cell>
          <cell r="Z715" t="str">
            <v/>
          </cell>
          <cell r="AA715" t="str">
            <v>EACH</v>
          </cell>
          <cell r="AB715">
            <v>0</v>
          </cell>
          <cell r="AC715" t="str">
            <v>GR41-1-19</v>
          </cell>
          <cell r="AD715" t="str">
            <v>EACH</v>
          </cell>
        </row>
        <row r="716">
          <cell r="D716" t="str">
            <v>GMP-AM-12</v>
          </cell>
          <cell r="E716" t="str">
            <v>Special Item</v>
          </cell>
          <cell r="F716" t="str">
            <v>ORING</v>
          </cell>
          <cell r="J716" t="str">
            <v>NNAV</v>
          </cell>
          <cell r="K716" t="str">
            <v>E499</v>
          </cell>
          <cell r="L716" t="str">
            <v>SRGP01</v>
          </cell>
          <cell r="P716">
            <v>5</v>
          </cell>
          <cell r="R716">
            <v>0</v>
          </cell>
          <cell r="S716">
            <v>0</v>
          </cell>
          <cell r="U716">
            <v>0</v>
          </cell>
          <cell r="V716">
            <v>0</v>
          </cell>
          <cell r="W716">
            <v>0</v>
          </cell>
          <cell r="X716" t="str">
            <v>No</v>
          </cell>
          <cell r="Z716" t="str">
            <v/>
          </cell>
          <cell r="AA716" t="str">
            <v>EACH</v>
          </cell>
          <cell r="AB716">
            <v>0</v>
          </cell>
          <cell r="AC716" t="str">
            <v>GMP-AM-12</v>
          </cell>
          <cell r="AD716" t="str">
            <v>EACH</v>
          </cell>
        </row>
        <row r="717">
          <cell r="D717" t="str">
            <v>CT10-09</v>
          </cell>
          <cell r="E717" t="str">
            <v>4502400</v>
          </cell>
          <cell r="F717" t="str">
            <v>OUTER GUIDE TUBE</v>
          </cell>
          <cell r="J717" t="str">
            <v>NNAV</v>
          </cell>
          <cell r="K717" t="str">
            <v>E499</v>
          </cell>
          <cell r="L717" t="str">
            <v>SRGP01</v>
          </cell>
          <cell r="P717">
            <v>4</v>
          </cell>
          <cell r="R717">
            <v>0</v>
          </cell>
          <cell r="S717">
            <v>0</v>
          </cell>
          <cell r="U717">
            <v>0</v>
          </cell>
          <cell r="V717">
            <v>0</v>
          </cell>
          <cell r="W717">
            <v>0</v>
          </cell>
          <cell r="X717" t="str">
            <v>No</v>
          </cell>
          <cell r="Z717" t="str">
            <v/>
          </cell>
          <cell r="AA717" t="str">
            <v>EACH</v>
          </cell>
          <cell r="AB717">
            <v>0</v>
          </cell>
          <cell r="AC717" t="str">
            <v>CT10-09</v>
          </cell>
          <cell r="AD717" t="str">
            <v>EACH</v>
          </cell>
        </row>
        <row r="718">
          <cell r="D718" t="str">
            <v>GMP-GB-04</v>
          </cell>
          <cell r="E718" t="str">
            <v>Special Item</v>
          </cell>
          <cell r="F718" t="str">
            <v>OUTPUT SEAL</v>
          </cell>
          <cell r="J718" t="str">
            <v>NNAV</v>
          </cell>
          <cell r="K718" t="str">
            <v>E499</v>
          </cell>
          <cell r="L718" t="str">
            <v>SRGP01</v>
          </cell>
          <cell r="P718">
            <v>5</v>
          </cell>
          <cell r="R718">
            <v>0</v>
          </cell>
          <cell r="S718">
            <v>0</v>
          </cell>
          <cell r="U718">
            <v>0</v>
          </cell>
          <cell r="V718">
            <v>0</v>
          </cell>
          <cell r="W718">
            <v>0</v>
          </cell>
          <cell r="X718" t="str">
            <v>No</v>
          </cell>
          <cell r="Z718" t="str">
            <v/>
          </cell>
          <cell r="AA718" t="str">
            <v>EACH</v>
          </cell>
          <cell r="AB718">
            <v>0</v>
          </cell>
          <cell r="AC718" t="str">
            <v>GMP-GB-04</v>
          </cell>
          <cell r="AD718" t="str">
            <v>EACH</v>
          </cell>
        </row>
        <row r="719">
          <cell r="D719" t="str">
            <v>GR41-1-18</v>
          </cell>
          <cell r="E719" t="str">
            <v>4501740</v>
          </cell>
          <cell r="F719" t="str">
            <v>PACKING 'V'</v>
          </cell>
          <cell r="J719" t="str">
            <v>NNAV</v>
          </cell>
          <cell r="K719" t="str">
            <v>E499</v>
          </cell>
          <cell r="L719" t="str">
            <v>SRGP01</v>
          </cell>
          <cell r="P719">
            <v>8</v>
          </cell>
          <cell r="R719">
            <v>0</v>
          </cell>
          <cell r="S719">
            <v>0</v>
          </cell>
          <cell r="U719">
            <v>0</v>
          </cell>
          <cell r="V719">
            <v>0</v>
          </cell>
          <cell r="W719">
            <v>0</v>
          </cell>
          <cell r="X719" t="str">
            <v>No</v>
          </cell>
          <cell r="Z719" t="str">
            <v/>
          </cell>
          <cell r="AA719" t="str">
            <v>EACH</v>
          </cell>
          <cell r="AB719">
            <v>0</v>
          </cell>
          <cell r="AC719" t="str">
            <v>GR41-1-18</v>
          </cell>
          <cell r="AD719" t="str">
            <v>EACH</v>
          </cell>
        </row>
        <row r="720">
          <cell r="D720" t="str">
            <v>GR41-1-6</v>
          </cell>
          <cell r="E720" t="str">
            <v>4501620</v>
          </cell>
          <cell r="F720" t="str">
            <v>PISTON  BODY</v>
          </cell>
          <cell r="J720" t="str">
            <v>NNAV</v>
          </cell>
          <cell r="K720" t="str">
            <v>E499</v>
          </cell>
          <cell r="L720" t="str">
            <v>SRGP01</v>
          </cell>
          <cell r="P720">
            <v>8</v>
          </cell>
          <cell r="R720">
            <v>0</v>
          </cell>
          <cell r="S720">
            <v>0</v>
          </cell>
          <cell r="U720">
            <v>0</v>
          </cell>
          <cell r="V720">
            <v>0</v>
          </cell>
          <cell r="W720">
            <v>0</v>
          </cell>
          <cell r="X720" t="str">
            <v>No</v>
          </cell>
          <cell r="Z720" t="str">
            <v/>
          </cell>
          <cell r="AA720" t="str">
            <v>EACH</v>
          </cell>
          <cell r="AB720">
            <v>0</v>
          </cell>
          <cell r="AC720" t="str">
            <v>GR41-1-6</v>
          </cell>
          <cell r="AD720" t="str">
            <v>EACH</v>
          </cell>
        </row>
        <row r="721">
          <cell r="D721" t="str">
            <v>GR-301-132</v>
          </cell>
          <cell r="E721" t="str">
            <v>4502130</v>
          </cell>
          <cell r="F721" t="str">
            <v>PISTON ROD SEAL</v>
          </cell>
          <cell r="J721" t="str">
            <v>NNAV</v>
          </cell>
          <cell r="K721" t="str">
            <v>E499</v>
          </cell>
          <cell r="L721" t="str">
            <v>SRGP01</v>
          </cell>
          <cell r="P721">
            <v>8</v>
          </cell>
          <cell r="R721">
            <v>0</v>
          </cell>
          <cell r="S721">
            <v>0</v>
          </cell>
          <cell r="U721">
            <v>0</v>
          </cell>
          <cell r="V721">
            <v>0</v>
          </cell>
          <cell r="W721">
            <v>0</v>
          </cell>
          <cell r="X721" t="str">
            <v>No</v>
          </cell>
          <cell r="Z721" t="str">
            <v/>
          </cell>
          <cell r="AA721" t="str">
            <v>EACH</v>
          </cell>
          <cell r="AB721">
            <v>0</v>
          </cell>
          <cell r="AC721" t="str">
            <v>GR-301-132</v>
          </cell>
          <cell r="AD721" t="str">
            <v>EACH</v>
          </cell>
        </row>
        <row r="722">
          <cell r="D722" t="str">
            <v>GMP-PG</v>
          </cell>
          <cell r="E722" t="str">
            <v>4503510</v>
          </cell>
          <cell r="F722" t="str">
            <v>POLYETHYLENE GROUT MIXER COMP</v>
          </cell>
          <cell r="J722" t="str">
            <v>NNAV</v>
          </cell>
          <cell r="K722" t="str">
            <v>E226</v>
          </cell>
          <cell r="L722" t="str">
            <v>SRGP01</v>
          </cell>
          <cell r="P722">
            <v>2</v>
          </cell>
          <cell r="R722">
            <v>0</v>
          </cell>
          <cell r="S722">
            <v>0</v>
          </cell>
          <cell r="U722">
            <v>0</v>
          </cell>
          <cell r="V722">
            <v>0</v>
          </cell>
          <cell r="W722">
            <v>0</v>
          </cell>
          <cell r="X722" t="str">
            <v>No</v>
          </cell>
          <cell r="Z722" t="str">
            <v/>
          </cell>
          <cell r="AA722" t="str">
            <v>EACH</v>
          </cell>
          <cell r="AB722">
            <v>0</v>
          </cell>
          <cell r="AC722" t="str">
            <v>GMP-PG</v>
          </cell>
          <cell r="AD722" t="str">
            <v>EACH</v>
          </cell>
        </row>
        <row r="723">
          <cell r="D723" t="str">
            <v>GR-301-127</v>
          </cell>
          <cell r="E723" t="str">
            <v>4502090</v>
          </cell>
          <cell r="F723" t="str">
            <v>POPPET VALVE</v>
          </cell>
          <cell r="J723" t="str">
            <v>NNAV</v>
          </cell>
          <cell r="K723" t="str">
            <v>E499</v>
          </cell>
          <cell r="L723" t="str">
            <v>SRGP01</v>
          </cell>
          <cell r="P723">
            <v>2</v>
          </cell>
          <cell r="R723">
            <v>0</v>
          </cell>
          <cell r="S723">
            <v>0</v>
          </cell>
          <cell r="U723">
            <v>0</v>
          </cell>
          <cell r="V723">
            <v>0</v>
          </cell>
          <cell r="W723">
            <v>0</v>
          </cell>
          <cell r="X723" t="str">
            <v>No</v>
          </cell>
          <cell r="Z723" t="str">
            <v/>
          </cell>
          <cell r="AA723" t="str">
            <v>EACH</v>
          </cell>
          <cell r="AB723">
            <v>0</v>
          </cell>
          <cell r="AC723" t="str">
            <v>GR-301-127</v>
          </cell>
          <cell r="AD723" t="str">
            <v>EACH</v>
          </cell>
        </row>
        <row r="724">
          <cell r="D724" t="str">
            <v>GR-301-126</v>
          </cell>
          <cell r="E724" t="str">
            <v>4502080</v>
          </cell>
          <cell r="F724" t="str">
            <v>POPPET VALVE #1</v>
          </cell>
          <cell r="J724" t="str">
            <v>NNAV</v>
          </cell>
          <cell r="K724" t="str">
            <v>E499</v>
          </cell>
          <cell r="L724" t="str">
            <v>SRGP01</v>
          </cell>
          <cell r="P724">
            <v>2</v>
          </cell>
          <cell r="R724">
            <v>0</v>
          </cell>
          <cell r="S724">
            <v>0</v>
          </cell>
          <cell r="U724">
            <v>0</v>
          </cell>
          <cell r="V724">
            <v>0</v>
          </cell>
          <cell r="W724">
            <v>0</v>
          </cell>
          <cell r="X724" t="str">
            <v>No</v>
          </cell>
          <cell r="Z724" t="str">
            <v/>
          </cell>
          <cell r="AA724" t="str">
            <v>EACH</v>
          </cell>
          <cell r="AB724">
            <v>0</v>
          </cell>
          <cell r="AC724" t="str">
            <v>GR-301-126</v>
          </cell>
          <cell r="AD724" t="str">
            <v>EACH</v>
          </cell>
        </row>
        <row r="725">
          <cell r="D725" t="str">
            <v>GMP-AM-01</v>
          </cell>
          <cell r="E725" t="str">
            <v>Special Item</v>
          </cell>
          <cell r="F725" t="str">
            <v>REAR ROTOR BEARING BEARING</v>
          </cell>
          <cell r="J725" t="str">
            <v>NNAV</v>
          </cell>
          <cell r="K725" t="str">
            <v>E499</v>
          </cell>
          <cell r="L725" t="str">
            <v>SRGP01</v>
          </cell>
          <cell r="P725">
            <v>5</v>
          </cell>
          <cell r="R725">
            <v>0</v>
          </cell>
          <cell r="S725">
            <v>0</v>
          </cell>
          <cell r="U725">
            <v>0</v>
          </cell>
          <cell r="V725">
            <v>0</v>
          </cell>
          <cell r="W725">
            <v>0</v>
          </cell>
          <cell r="X725" t="str">
            <v>No</v>
          </cell>
          <cell r="Z725" t="str">
            <v/>
          </cell>
          <cell r="AA725" t="str">
            <v>EACH</v>
          </cell>
          <cell r="AB725">
            <v>0</v>
          </cell>
          <cell r="AC725" t="str">
            <v>GMP-AM-01</v>
          </cell>
          <cell r="AD725" t="str">
            <v>EACH</v>
          </cell>
        </row>
        <row r="726">
          <cell r="D726" t="str">
            <v>CT10R-05</v>
          </cell>
          <cell r="E726" t="str">
            <v>4502830</v>
          </cell>
          <cell r="F726" t="str">
            <v>REDUCING BUSH 3/8" X 1/4" NPT</v>
          </cell>
          <cell r="J726" t="str">
            <v>NNAV</v>
          </cell>
          <cell r="K726" t="str">
            <v>E499</v>
          </cell>
          <cell r="L726" t="str">
            <v>SRGP01</v>
          </cell>
          <cell r="P726">
            <v>8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 t="str">
            <v>No</v>
          </cell>
          <cell r="Z726" t="str">
            <v/>
          </cell>
          <cell r="AA726" t="str">
            <v>EACH</v>
          </cell>
          <cell r="AB726">
            <v>0</v>
          </cell>
          <cell r="AC726" t="str">
            <v>CT10R-05</v>
          </cell>
          <cell r="AD726" t="str">
            <v>EACH</v>
          </cell>
        </row>
        <row r="727">
          <cell r="D727" t="str">
            <v>PA6D-01</v>
          </cell>
          <cell r="E727" t="str">
            <v>4503330</v>
          </cell>
          <cell r="F727" t="str">
            <v>RELIEF VALVE</v>
          </cell>
          <cell r="J727" t="str">
            <v>NNAV</v>
          </cell>
          <cell r="K727" t="str">
            <v>E499</v>
          </cell>
          <cell r="L727" t="str">
            <v>SRGP01</v>
          </cell>
          <cell r="P727">
            <v>3</v>
          </cell>
          <cell r="R727">
            <v>0</v>
          </cell>
          <cell r="S727">
            <v>0</v>
          </cell>
          <cell r="U727">
            <v>0</v>
          </cell>
          <cell r="V727">
            <v>0</v>
          </cell>
          <cell r="W727">
            <v>0</v>
          </cell>
          <cell r="X727" t="str">
            <v>No</v>
          </cell>
          <cell r="Z727" t="str">
            <v/>
          </cell>
          <cell r="AA727" t="str">
            <v>EACH</v>
          </cell>
          <cell r="AB727">
            <v>0</v>
          </cell>
          <cell r="AC727" t="str">
            <v>PA6D-01</v>
          </cell>
          <cell r="AD727" t="str">
            <v>EACH</v>
          </cell>
        </row>
        <row r="728">
          <cell r="D728" t="str">
            <v>PA6D-13</v>
          </cell>
          <cell r="E728" t="str">
            <v>4503420</v>
          </cell>
          <cell r="F728" t="str">
            <v>REPAIR KIT 300433</v>
          </cell>
          <cell r="J728" t="str">
            <v>NNAV</v>
          </cell>
          <cell r="K728" t="str">
            <v>E499</v>
          </cell>
          <cell r="L728" t="str">
            <v>SRGP01</v>
          </cell>
          <cell r="P728">
            <v>4</v>
          </cell>
          <cell r="R728">
            <v>0</v>
          </cell>
          <cell r="S728">
            <v>0</v>
          </cell>
          <cell r="U728">
            <v>0</v>
          </cell>
          <cell r="V728">
            <v>0</v>
          </cell>
          <cell r="W728">
            <v>0</v>
          </cell>
          <cell r="X728" t="str">
            <v>No</v>
          </cell>
          <cell r="Z728" t="str">
            <v/>
          </cell>
          <cell r="AA728" t="str">
            <v>EACH</v>
          </cell>
          <cell r="AB728">
            <v>0</v>
          </cell>
          <cell r="AC728" t="str">
            <v>PA6D-13</v>
          </cell>
          <cell r="AD728" t="str">
            <v>EACH</v>
          </cell>
        </row>
        <row r="729">
          <cell r="D729" t="str">
            <v>PA6D-23</v>
          </cell>
          <cell r="E729" t="str">
            <v>Special Item</v>
          </cell>
          <cell r="F729" t="str">
            <v>REPAIR KIT 300844</v>
          </cell>
          <cell r="J729" t="str">
            <v>NNAV</v>
          </cell>
          <cell r="K729" t="str">
            <v>E499</v>
          </cell>
          <cell r="L729" t="str">
            <v>SRGP01</v>
          </cell>
          <cell r="P729">
            <v>3</v>
          </cell>
          <cell r="R729">
            <v>0</v>
          </cell>
          <cell r="S729">
            <v>0</v>
          </cell>
          <cell r="U729">
            <v>0</v>
          </cell>
          <cell r="V729">
            <v>0</v>
          </cell>
          <cell r="W729">
            <v>0</v>
          </cell>
          <cell r="X729" t="str">
            <v>No</v>
          </cell>
          <cell r="Z729" t="str">
            <v/>
          </cell>
          <cell r="AA729" t="str">
            <v>EACH</v>
          </cell>
          <cell r="AB729">
            <v>0</v>
          </cell>
          <cell r="AC729" t="str">
            <v>PA6D-23</v>
          </cell>
          <cell r="AD729" t="str">
            <v>EACH</v>
          </cell>
        </row>
        <row r="730">
          <cell r="D730" t="str">
            <v>PA6D-24</v>
          </cell>
          <cell r="E730" t="str">
            <v>Special Item</v>
          </cell>
          <cell r="F730" t="str">
            <v>REPAIR KIT 300847</v>
          </cell>
          <cell r="J730" t="str">
            <v>NNAV</v>
          </cell>
          <cell r="K730" t="str">
            <v>E499</v>
          </cell>
          <cell r="L730" t="str">
            <v>SRGP01</v>
          </cell>
          <cell r="P730">
            <v>3</v>
          </cell>
          <cell r="R730">
            <v>0</v>
          </cell>
          <cell r="S730">
            <v>0</v>
          </cell>
          <cell r="U730">
            <v>0</v>
          </cell>
          <cell r="V730">
            <v>0</v>
          </cell>
          <cell r="W730">
            <v>0</v>
          </cell>
          <cell r="X730" t="str">
            <v>No</v>
          </cell>
          <cell r="Z730" t="str">
            <v/>
          </cell>
          <cell r="AA730" t="str">
            <v>EACH</v>
          </cell>
          <cell r="AB730">
            <v>0</v>
          </cell>
          <cell r="AC730" t="str">
            <v>PA6D-24</v>
          </cell>
          <cell r="AD730" t="str">
            <v>EACH</v>
          </cell>
        </row>
        <row r="731">
          <cell r="D731" t="str">
            <v>PA6D-17</v>
          </cell>
          <cell r="E731" t="str">
            <v>4502440</v>
          </cell>
          <cell r="F731" t="str">
            <v>RESERVOIR GASKET</v>
          </cell>
          <cell r="J731" t="str">
            <v>NNAV</v>
          </cell>
          <cell r="K731" t="str">
            <v>E499</v>
          </cell>
          <cell r="L731" t="str">
            <v>SRGP01</v>
          </cell>
          <cell r="P731">
            <v>12</v>
          </cell>
          <cell r="R731">
            <v>0</v>
          </cell>
          <cell r="S731">
            <v>0</v>
          </cell>
          <cell r="U731">
            <v>0</v>
          </cell>
          <cell r="V731">
            <v>0</v>
          </cell>
          <cell r="W731">
            <v>0</v>
          </cell>
          <cell r="X731" t="str">
            <v>No</v>
          </cell>
          <cell r="Z731" t="str">
            <v/>
          </cell>
          <cell r="AA731" t="str">
            <v>EACH</v>
          </cell>
          <cell r="AB731">
            <v>0</v>
          </cell>
          <cell r="AC731" t="str">
            <v>PA6D-17</v>
          </cell>
          <cell r="AD731" t="str">
            <v>EACH</v>
          </cell>
        </row>
        <row r="732">
          <cell r="D732" t="str">
            <v>GR-PP-COM</v>
          </cell>
          <cell r="E732" t="str">
            <v>4502210</v>
          </cell>
          <cell r="F732" t="str">
            <v>ROCK GROUT PUMP (HAN DOK)</v>
          </cell>
          <cell r="J732" t="str">
            <v>NNAV</v>
          </cell>
          <cell r="K732" t="str">
            <v>E499</v>
          </cell>
          <cell r="L732" t="str">
            <v>SRGP01</v>
          </cell>
          <cell r="P732">
            <v>1</v>
          </cell>
          <cell r="R732">
            <v>0</v>
          </cell>
          <cell r="S732">
            <v>0</v>
          </cell>
          <cell r="U732">
            <v>0</v>
          </cell>
          <cell r="V732">
            <v>0</v>
          </cell>
          <cell r="W732">
            <v>0</v>
          </cell>
          <cell r="X732" t="str">
            <v>No</v>
          </cell>
          <cell r="Z732" t="str">
            <v/>
          </cell>
          <cell r="AA732" t="str">
            <v>EACH</v>
          </cell>
          <cell r="AB732">
            <v>0</v>
          </cell>
          <cell r="AC732" t="str">
            <v>GR-PP-COM</v>
          </cell>
          <cell r="AD732" t="str">
            <v>EACH</v>
          </cell>
        </row>
        <row r="733">
          <cell r="D733" t="str">
            <v>GR-301-110</v>
          </cell>
          <cell r="E733" t="str">
            <v>4501940</v>
          </cell>
          <cell r="F733" t="str">
            <v>ROCKER TOGGLE</v>
          </cell>
          <cell r="J733" t="str">
            <v>NNAV</v>
          </cell>
          <cell r="K733" t="str">
            <v>E499</v>
          </cell>
          <cell r="L733" t="str">
            <v>SRGP01</v>
          </cell>
          <cell r="P733">
            <v>2</v>
          </cell>
          <cell r="R733">
            <v>0</v>
          </cell>
          <cell r="S733">
            <v>0</v>
          </cell>
          <cell r="U733">
            <v>0</v>
          </cell>
          <cell r="V733">
            <v>0</v>
          </cell>
          <cell r="W733">
            <v>0</v>
          </cell>
          <cell r="X733" t="str">
            <v>No</v>
          </cell>
          <cell r="Z733" t="str">
            <v/>
          </cell>
          <cell r="AA733" t="str">
            <v>EACH</v>
          </cell>
          <cell r="AB733">
            <v>0</v>
          </cell>
          <cell r="AC733" t="str">
            <v>GR-301-110</v>
          </cell>
          <cell r="AD733" t="str">
            <v>EACH</v>
          </cell>
        </row>
        <row r="734">
          <cell r="D734" t="str">
            <v>GR41-1-2</v>
          </cell>
          <cell r="E734" t="str">
            <v>4501580</v>
          </cell>
          <cell r="F734" t="str">
            <v>ROD</v>
          </cell>
          <cell r="J734" t="str">
            <v>NNAV</v>
          </cell>
          <cell r="K734" t="str">
            <v>E499</v>
          </cell>
          <cell r="L734" t="str">
            <v>SRGP01</v>
          </cell>
          <cell r="P734">
            <v>8</v>
          </cell>
          <cell r="R734">
            <v>0</v>
          </cell>
          <cell r="S734">
            <v>0</v>
          </cell>
          <cell r="U734">
            <v>0</v>
          </cell>
          <cell r="V734">
            <v>0</v>
          </cell>
          <cell r="W734">
            <v>0</v>
          </cell>
          <cell r="X734" t="str">
            <v>No</v>
          </cell>
          <cell r="Z734" t="str">
            <v/>
          </cell>
          <cell r="AA734" t="str">
            <v>EACH</v>
          </cell>
          <cell r="AB734">
            <v>0</v>
          </cell>
          <cell r="AC734" t="str">
            <v>GR41-1-2</v>
          </cell>
          <cell r="AD734" t="str">
            <v>EACH</v>
          </cell>
        </row>
        <row r="735">
          <cell r="D735" t="str">
            <v>GR41-1-20</v>
          </cell>
          <cell r="E735" t="str">
            <v>4501760</v>
          </cell>
          <cell r="F735" t="str">
            <v>ROD NUT 5/8' UNC</v>
          </cell>
          <cell r="J735" t="str">
            <v>NNAV</v>
          </cell>
          <cell r="K735" t="str">
            <v>E499</v>
          </cell>
          <cell r="L735" t="str">
            <v>SRGP01</v>
          </cell>
          <cell r="P735">
            <v>8</v>
          </cell>
          <cell r="R735">
            <v>0</v>
          </cell>
          <cell r="S735">
            <v>0</v>
          </cell>
          <cell r="U735">
            <v>0</v>
          </cell>
          <cell r="V735">
            <v>0</v>
          </cell>
          <cell r="W735">
            <v>0</v>
          </cell>
          <cell r="X735" t="str">
            <v>No</v>
          </cell>
          <cell r="Z735" t="str">
            <v/>
          </cell>
          <cell r="AA735" t="str">
            <v>EACH</v>
          </cell>
          <cell r="AB735">
            <v>0</v>
          </cell>
          <cell r="AC735" t="str">
            <v>GR41-1-20</v>
          </cell>
          <cell r="AD735" t="str">
            <v>EACH</v>
          </cell>
        </row>
        <row r="736">
          <cell r="D736" t="str">
            <v>GMP-AM-10</v>
          </cell>
          <cell r="E736" t="str">
            <v>Special Item</v>
          </cell>
          <cell r="F736" t="str">
            <v>ROTOR SHAFT SEAL</v>
          </cell>
          <cell r="J736" t="str">
            <v>NNAV</v>
          </cell>
          <cell r="K736" t="str">
            <v>E499</v>
          </cell>
          <cell r="L736" t="str">
            <v>SRGP01</v>
          </cell>
          <cell r="P736">
            <v>5</v>
          </cell>
          <cell r="R736">
            <v>0</v>
          </cell>
          <cell r="S736">
            <v>0</v>
          </cell>
          <cell r="U736">
            <v>0</v>
          </cell>
          <cell r="V736">
            <v>0</v>
          </cell>
          <cell r="W736">
            <v>0</v>
          </cell>
          <cell r="X736" t="str">
            <v>No</v>
          </cell>
          <cell r="Z736" t="str">
            <v/>
          </cell>
          <cell r="AA736" t="str">
            <v>EACH</v>
          </cell>
          <cell r="AB736">
            <v>0</v>
          </cell>
          <cell r="AC736" t="str">
            <v>GMP-AM-10</v>
          </cell>
          <cell r="AD736" t="str">
            <v>EACH</v>
          </cell>
        </row>
        <row r="737">
          <cell r="D737" t="str">
            <v>CC10-06</v>
          </cell>
          <cell r="E737" t="str">
            <v>4502630</v>
          </cell>
          <cell r="F737" t="str">
            <v>SAFETY SHROUD</v>
          </cell>
          <cell r="J737" t="str">
            <v>NNAV</v>
          </cell>
          <cell r="K737" t="str">
            <v>E499</v>
          </cell>
          <cell r="L737" t="str">
            <v>SRGP01</v>
          </cell>
          <cell r="P737">
            <v>2</v>
          </cell>
          <cell r="R737">
            <v>0</v>
          </cell>
          <cell r="S737">
            <v>0</v>
          </cell>
          <cell r="U737">
            <v>0</v>
          </cell>
          <cell r="V737">
            <v>0</v>
          </cell>
          <cell r="W737">
            <v>0</v>
          </cell>
          <cell r="X737" t="str">
            <v>No</v>
          </cell>
          <cell r="Z737" t="str">
            <v/>
          </cell>
          <cell r="AA737" t="str">
            <v>EACH</v>
          </cell>
          <cell r="AB737">
            <v>0</v>
          </cell>
          <cell r="AC737" t="str">
            <v>CC10-06</v>
          </cell>
          <cell r="AD737" t="str">
            <v>EACH</v>
          </cell>
        </row>
        <row r="738">
          <cell r="D738" t="str">
            <v>GMP-GB-03</v>
          </cell>
          <cell r="E738" t="str">
            <v>Special Item</v>
          </cell>
          <cell r="F738" t="str">
            <v>SEAL</v>
          </cell>
          <cell r="J738" t="str">
            <v>NNAV</v>
          </cell>
          <cell r="K738" t="str">
            <v>E499</v>
          </cell>
          <cell r="L738" t="str">
            <v>SRGP01</v>
          </cell>
          <cell r="P738">
            <v>5</v>
          </cell>
          <cell r="R738">
            <v>0</v>
          </cell>
          <cell r="S738">
            <v>0</v>
          </cell>
          <cell r="U738">
            <v>0</v>
          </cell>
          <cell r="V738">
            <v>0</v>
          </cell>
          <cell r="W738">
            <v>0</v>
          </cell>
          <cell r="X738" t="str">
            <v>No</v>
          </cell>
          <cell r="Z738" t="str">
            <v/>
          </cell>
          <cell r="AA738" t="str">
            <v>EACH</v>
          </cell>
          <cell r="AB738">
            <v>0</v>
          </cell>
          <cell r="AC738" t="str">
            <v>GMP-GB-03</v>
          </cell>
          <cell r="AD738" t="str">
            <v>EACH</v>
          </cell>
        </row>
        <row r="739">
          <cell r="D739" t="str">
            <v>GR-301-113</v>
          </cell>
          <cell r="E739" t="str">
            <v>4501970</v>
          </cell>
          <cell r="F739" t="str">
            <v>SEAL CYLINDER</v>
          </cell>
          <cell r="J739" t="str">
            <v>NNAV</v>
          </cell>
          <cell r="K739" t="str">
            <v>E499</v>
          </cell>
          <cell r="L739" t="str">
            <v>SRGP01</v>
          </cell>
          <cell r="P739">
            <v>2</v>
          </cell>
          <cell r="R739">
            <v>0</v>
          </cell>
          <cell r="S739">
            <v>0</v>
          </cell>
          <cell r="U739">
            <v>0</v>
          </cell>
          <cell r="V739">
            <v>0</v>
          </cell>
          <cell r="W739">
            <v>0</v>
          </cell>
          <cell r="X739" t="str">
            <v>No</v>
          </cell>
          <cell r="Z739" t="str">
            <v/>
          </cell>
          <cell r="AA739" t="str">
            <v>EACH</v>
          </cell>
          <cell r="AB739">
            <v>0</v>
          </cell>
          <cell r="AC739" t="str">
            <v>GR-301-113</v>
          </cell>
          <cell r="AD739" t="str">
            <v>EACH</v>
          </cell>
        </row>
        <row r="740">
          <cell r="D740" t="str">
            <v>GR-301-114</v>
          </cell>
          <cell r="E740" t="str">
            <v>4501980</v>
          </cell>
          <cell r="F740" t="str">
            <v>SEAL PISTON</v>
          </cell>
          <cell r="J740" t="str">
            <v>NNAV</v>
          </cell>
          <cell r="K740" t="str">
            <v>E499</v>
          </cell>
          <cell r="L740" t="str">
            <v>SRGP01</v>
          </cell>
          <cell r="P740">
            <v>2</v>
          </cell>
          <cell r="R740">
            <v>0</v>
          </cell>
          <cell r="S740">
            <v>0</v>
          </cell>
          <cell r="U740">
            <v>0</v>
          </cell>
          <cell r="V740">
            <v>0</v>
          </cell>
          <cell r="W740">
            <v>0</v>
          </cell>
          <cell r="X740" t="str">
            <v>No</v>
          </cell>
          <cell r="Z740" t="str">
            <v/>
          </cell>
          <cell r="AA740" t="str">
            <v>EACH</v>
          </cell>
          <cell r="AB740">
            <v>0</v>
          </cell>
          <cell r="AC740" t="str">
            <v>GR-301-114</v>
          </cell>
          <cell r="AD740" t="str">
            <v>EACH</v>
          </cell>
        </row>
        <row r="741">
          <cell r="D741" t="str">
            <v>GR41-1-11</v>
          </cell>
          <cell r="E741" t="str">
            <v>4501670</v>
          </cell>
          <cell r="F741" t="str">
            <v>SEAT</v>
          </cell>
          <cell r="J741" t="str">
            <v>NNAV</v>
          </cell>
          <cell r="K741" t="str">
            <v>E499</v>
          </cell>
          <cell r="L741" t="str">
            <v>SRGP01</v>
          </cell>
          <cell r="P741">
            <v>8</v>
          </cell>
          <cell r="R741">
            <v>0</v>
          </cell>
          <cell r="S741">
            <v>0</v>
          </cell>
          <cell r="U741">
            <v>0</v>
          </cell>
          <cell r="V741">
            <v>0</v>
          </cell>
          <cell r="W741">
            <v>0</v>
          </cell>
          <cell r="X741" t="str">
            <v>No</v>
          </cell>
          <cell r="Z741" t="str">
            <v/>
          </cell>
          <cell r="AA741" t="str">
            <v>EACH</v>
          </cell>
          <cell r="AB741">
            <v>0</v>
          </cell>
          <cell r="AC741" t="str">
            <v>GR41-1-11</v>
          </cell>
          <cell r="AD741" t="str">
            <v>EACH</v>
          </cell>
        </row>
        <row r="742">
          <cell r="D742" t="str">
            <v>GMP-GB-06</v>
          </cell>
          <cell r="E742" t="str">
            <v>Special Item</v>
          </cell>
          <cell r="F742" t="str">
            <v>SHAFT</v>
          </cell>
          <cell r="J742" t="str">
            <v>NNAV</v>
          </cell>
          <cell r="K742" t="str">
            <v>E499</v>
          </cell>
          <cell r="L742" t="str">
            <v>SRGP01</v>
          </cell>
          <cell r="P742">
            <v>1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 t="str">
            <v>No</v>
          </cell>
          <cell r="Z742" t="str">
            <v/>
          </cell>
          <cell r="AA742" t="str">
            <v>EACH</v>
          </cell>
          <cell r="AB742">
            <v>0</v>
          </cell>
          <cell r="AC742" t="str">
            <v>GMP-GB-06</v>
          </cell>
          <cell r="AD742" t="str">
            <v>EACH</v>
          </cell>
        </row>
        <row r="743">
          <cell r="D743" t="str">
            <v>CT10-10</v>
          </cell>
          <cell r="E743" t="str">
            <v>4502730</v>
          </cell>
          <cell r="F743" t="str">
            <v>SOCKET HIGH PRESSURE 3/8"NPT</v>
          </cell>
          <cell r="J743" t="str">
            <v>NNAV</v>
          </cell>
          <cell r="K743" t="str">
            <v>E499</v>
          </cell>
          <cell r="L743" t="str">
            <v>SRGP01</v>
          </cell>
          <cell r="P743">
            <v>4</v>
          </cell>
          <cell r="R743">
            <v>0</v>
          </cell>
          <cell r="S743">
            <v>0</v>
          </cell>
          <cell r="U743">
            <v>0</v>
          </cell>
          <cell r="V743">
            <v>0</v>
          </cell>
          <cell r="W743">
            <v>0</v>
          </cell>
          <cell r="X743" t="str">
            <v>No</v>
          </cell>
          <cell r="Z743" t="str">
            <v/>
          </cell>
          <cell r="AA743" t="str">
            <v>EACH</v>
          </cell>
          <cell r="AB743">
            <v>0</v>
          </cell>
          <cell r="AC743" t="str">
            <v>CT10-10</v>
          </cell>
          <cell r="AD743" t="str">
            <v>EACH</v>
          </cell>
        </row>
        <row r="744">
          <cell r="D744" t="str">
            <v>PA6-01</v>
          </cell>
          <cell r="E744" t="str">
            <v>4503220</v>
          </cell>
          <cell r="F744" t="str">
            <v>SOLENOID VALVE 9594</v>
          </cell>
          <cell r="J744" t="str">
            <v>NNAV</v>
          </cell>
          <cell r="K744" t="str">
            <v>E499</v>
          </cell>
          <cell r="L744" t="str">
            <v>SRGP01</v>
          </cell>
          <cell r="P744">
            <v>3</v>
          </cell>
          <cell r="R744">
            <v>0</v>
          </cell>
          <cell r="S744">
            <v>0</v>
          </cell>
          <cell r="U744">
            <v>0</v>
          </cell>
          <cell r="V744">
            <v>0</v>
          </cell>
          <cell r="W744">
            <v>0</v>
          </cell>
          <cell r="X744" t="str">
            <v>No</v>
          </cell>
          <cell r="Z744" t="str">
            <v/>
          </cell>
          <cell r="AA744" t="str">
            <v>EACH</v>
          </cell>
          <cell r="AB744">
            <v>0</v>
          </cell>
          <cell r="AC744" t="str">
            <v>PA6-01</v>
          </cell>
          <cell r="AD744" t="str">
            <v>EACH</v>
          </cell>
        </row>
        <row r="745">
          <cell r="D745" t="str">
            <v>GR41-1-7</v>
          </cell>
          <cell r="E745" t="str">
            <v>4501630</v>
          </cell>
          <cell r="F745" t="str">
            <v>SPACER</v>
          </cell>
          <cell r="J745" t="str">
            <v>NNAV</v>
          </cell>
          <cell r="K745" t="str">
            <v>E499</v>
          </cell>
          <cell r="L745" t="str">
            <v>SRGP01</v>
          </cell>
          <cell r="P745">
            <v>8</v>
          </cell>
          <cell r="R745">
            <v>0</v>
          </cell>
          <cell r="S745">
            <v>0</v>
          </cell>
          <cell r="U745">
            <v>0</v>
          </cell>
          <cell r="V745">
            <v>0</v>
          </cell>
          <cell r="W745">
            <v>0</v>
          </cell>
          <cell r="X745" t="str">
            <v>No</v>
          </cell>
          <cell r="Z745" t="str">
            <v/>
          </cell>
          <cell r="AA745" t="str">
            <v>EACH</v>
          </cell>
          <cell r="AB745">
            <v>0</v>
          </cell>
          <cell r="AC745" t="str">
            <v>GR41-1-7</v>
          </cell>
          <cell r="AD745" t="str">
            <v>EACH</v>
          </cell>
        </row>
        <row r="746">
          <cell r="D746" t="str">
            <v>GR41-1-15</v>
          </cell>
          <cell r="E746" t="str">
            <v>4501710</v>
          </cell>
          <cell r="F746" t="str">
            <v>SPACER O RING</v>
          </cell>
          <cell r="J746" t="str">
            <v>NNAV</v>
          </cell>
          <cell r="K746" t="str">
            <v>E499</v>
          </cell>
          <cell r="L746" t="str">
            <v>SRGP01</v>
          </cell>
          <cell r="P746">
            <v>8</v>
          </cell>
          <cell r="R746">
            <v>0</v>
          </cell>
          <cell r="S746">
            <v>0</v>
          </cell>
          <cell r="U746">
            <v>0</v>
          </cell>
          <cell r="V746">
            <v>0</v>
          </cell>
          <cell r="W746">
            <v>0</v>
          </cell>
          <cell r="X746" t="str">
            <v>No</v>
          </cell>
          <cell r="Z746" t="str">
            <v/>
          </cell>
          <cell r="AA746" t="str">
            <v>EACH</v>
          </cell>
          <cell r="AB746">
            <v>0</v>
          </cell>
          <cell r="AC746" t="str">
            <v>GR41-1-15</v>
          </cell>
          <cell r="AD746" t="str">
            <v>EACH</v>
          </cell>
        </row>
        <row r="747">
          <cell r="D747" t="str">
            <v>CT10-08</v>
          </cell>
          <cell r="E747" t="str">
            <v>4502450</v>
          </cell>
          <cell r="F747" t="str">
            <v>SPRING</v>
          </cell>
          <cell r="J747" t="str">
            <v>NNAV</v>
          </cell>
          <cell r="K747" t="str">
            <v>E499</v>
          </cell>
          <cell r="L747" t="str">
            <v>SRGP01</v>
          </cell>
          <cell r="P747">
            <v>4</v>
          </cell>
          <cell r="R747">
            <v>0</v>
          </cell>
          <cell r="S747">
            <v>0</v>
          </cell>
          <cell r="U747">
            <v>0</v>
          </cell>
          <cell r="V747">
            <v>0</v>
          </cell>
          <cell r="W747">
            <v>0</v>
          </cell>
          <cell r="X747" t="str">
            <v>No</v>
          </cell>
          <cell r="Z747" t="str">
            <v/>
          </cell>
          <cell r="AA747" t="str">
            <v>EACH</v>
          </cell>
          <cell r="AB747">
            <v>0</v>
          </cell>
          <cell r="AC747" t="str">
            <v>CT10-08</v>
          </cell>
          <cell r="AD747" t="str">
            <v>EACH</v>
          </cell>
        </row>
        <row r="748">
          <cell r="D748" t="str">
            <v>GR-301-123</v>
          </cell>
          <cell r="E748" t="str">
            <v>4502050</v>
          </cell>
          <cell r="F748" t="str">
            <v>SPRING COMPRESSION</v>
          </cell>
          <cell r="J748" t="str">
            <v>NNAV</v>
          </cell>
          <cell r="K748" t="str">
            <v>E499</v>
          </cell>
          <cell r="L748" t="str">
            <v>SRGP01</v>
          </cell>
          <cell r="P748">
            <v>2</v>
          </cell>
          <cell r="R748">
            <v>0</v>
          </cell>
          <cell r="S748">
            <v>0</v>
          </cell>
          <cell r="U748">
            <v>0</v>
          </cell>
          <cell r="V748">
            <v>0</v>
          </cell>
          <cell r="W748">
            <v>0</v>
          </cell>
          <cell r="X748" t="str">
            <v>No</v>
          </cell>
          <cell r="Z748" t="str">
            <v/>
          </cell>
          <cell r="AA748" t="str">
            <v>EACH</v>
          </cell>
          <cell r="AB748">
            <v>0</v>
          </cell>
          <cell r="AC748" t="str">
            <v>GR-301-123</v>
          </cell>
          <cell r="AD748" t="str">
            <v>EACH</v>
          </cell>
        </row>
        <row r="749">
          <cell r="D749" t="str">
            <v>CT10R-09</v>
          </cell>
          <cell r="E749" t="str">
            <v>4502870</v>
          </cell>
          <cell r="F749" t="str">
            <v>STEEL REDUCING NIPPLE 1/2"X1/4</v>
          </cell>
          <cell r="J749" t="str">
            <v>NNAV</v>
          </cell>
          <cell r="K749" t="str">
            <v>E499</v>
          </cell>
          <cell r="L749" t="str">
            <v>SRGP01</v>
          </cell>
          <cell r="P749">
            <v>4</v>
          </cell>
          <cell r="R749">
            <v>0</v>
          </cell>
          <cell r="S749">
            <v>0</v>
          </cell>
          <cell r="U749">
            <v>0</v>
          </cell>
          <cell r="V749">
            <v>0</v>
          </cell>
          <cell r="W749">
            <v>0</v>
          </cell>
          <cell r="X749" t="str">
            <v>No</v>
          </cell>
          <cell r="Z749" t="str">
            <v/>
          </cell>
          <cell r="AA749" t="str">
            <v>EACH</v>
          </cell>
          <cell r="AB749">
            <v>0</v>
          </cell>
          <cell r="AC749" t="str">
            <v>CT10R-09</v>
          </cell>
          <cell r="AD749" t="str">
            <v>EACH</v>
          </cell>
        </row>
        <row r="750">
          <cell r="D750" t="str">
            <v>PA6-08</v>
          </cell>
          <cell r="E750" t="str">
            <v>4503260</v>
          </cell>
          <cell r="F750" t="str">
            <v>SWIVEL ADAPTOR</v>
          </cell>
          <cell r="J750" t="str">
            <v>NNAV</v>
          </cell>
          <cell r="K750" t="str">
            <v>E499</v>
          </cell>
          <cell r="L750" t="str">
            <v>SRGP01</v>
          </cell>
          <cell r="P750">
            <v>8</v>
          </cell>
          <cell r="R750">
            <v>0</v>
          </cell>
          <cell r="S750">
            <v>0</v>
          </cell>
          <cell r="U750">
            <v>0</v>
          </cell>
          <cell r="V750">
            <v>0</v>
          </cell>
          <cell r="W750">
            <v>0</v>
          </cell>
          <cell r="X750" t="str">
            <v>No</v>
          </cell>
          <cell r="Z750" t="str">
            <v/>
          </cell>
          <cell r="AA750" t="str">
            <v>EACH</v>
          </cell>
          <cell r="AB750">
            <v>0</v>
          </cell>
          <cell r="AC750" t="str">
            <v>PA6-08</v>
          </cell>
          <cell r="AD750" t="str">
            <v>EACH</v>
          </cell>
        </row>
        <row r="751">
          <cell r="D751" t="str">
            <v>CT10R-04</v>
          </cell>
          <cell r="E751" t="str">
            <v>4502820</v>
          </cell>
          <cell r="F751" t="str">
            <v>TEE PIECE 3/8"NPT H/PRESS</v>
          </cell>
          <cell r="J751" t="str">
            <v>NNAV</v>
          </cell>
          <cell r="K751" t="str">
            <v>E499</v>
          </cell>
          <cell r="L751" t="str">
            <v>SRGP01</v>
          </cell>
          <cell r="P751">
            <v>8</v>
          </cell>
          <cell r="R751">
            <v>0</v>
          </cell>
          <cell r="S751">
            <v>0</v>
          </cell>
          <cell r="U751">
            <v>0</v>
          </cell>
          <cell r="V751">
            <v>0</v>
          </cell>
          <cell r="W751">
            <v>0</v>
          </cell>
          <cell r="X751" t="str">
            <v>No</v>
          </cell>
          <cell r="Z751" t="str">
            <v/>
          </cell>
          <cell r="AA751" t="str">
            <v>EACH</v>
          </cell>
          <cell r="AB751">
            <v>0</v>
          </cell>
          <cell r="AC751" t="str">
            <v>CT10R-04</v>
          </cell>
          <cell r="AD751" t="str">
            <v>EACH</v>
          </cell>
        </row>
        <row r="752">
          <cell r="D752" t="str">
            <v>TURTLELUB</v>
          </cell>
          <cell r="E752" t="str">
            <v>Special Item</v>
          </cell>
          <cell r="F752" t="str">
            <v>TURTLE LUBRICATOR 1.5L</v>
          </cell>
          <cell r="J752" t="str">
            <v>NNAV</v>
          </cell>
          <cell r="K752" t="str">
            <v>E499</v>
          </cell>
          <cell r="L752" t="str">
            <v>SRGP01</v>
          </cell>
          <cell r="P752">
            <v>2</v>
          </cell>
          <cell r="R752">
            <v>0</v>
          </cell>
          <cell r="S752">
            <v>0</v>
          </cell>
          <cell r="U752">
            <v>0</v>
          </cell>
          <cell r="V752">
            <v>0</v>
          </cell>
          <cell r="W752">
            <v>0</v>
          </cell>
          <cell r="X752" t="str">
            <v>No</v>
          </cell>
          <cell r="Z752" t="str">
            <v/>
          </cell>
          <cell r="AA752" t="str">
            <v>EACH</v>
          </cell>
          <cell r="AB752">
            <v>0</v>
          </cell>
          <cell r="AC752" t="str">
            <v>TURTLELUB</v>
          </cell>
          <cell r="AD752" t="str">
            <v>EACH</v>
          </cell>
        </row>
        <row r="753">
          <cell r="D753" t="str">
            <v>PA6-02</v>
          </cell>
          <cell r="E753" t="str">
            <v>4503230</v>
          </cell>
          <cell r="F753" t="str">
            <v>VALVE 87.027</v>
          </cell>
          <cell r="J753" t="str">
            <v>NNAV</v>
          </cell>
          <cell r="K753" t="str">
            <v>E499</v>
          </cell>
          <cell r="L753" t="str">
            <v>SRGP01</v>
          </cell>
          <cell r="P753">
            <v>3</v>
          </cell>
          <cell r="R753">
            <v>0</v>
          </cell>
          <cell r="S753">
            <v>0</v>
          </cell>
          <cell r="U753">
            <v>0</v>
          </cell>
          <cell r="V753">
            <v>0</v>
          </cell>
          <cell r="W753">
            <v>0</v>
          </cell>
          <cell r="X753" t="str">
            <v>No</v>
          </cell>
          <cell r="Z753" t="str">
            <v/>
          </cell>
          <cell r="AA753" t="str">
            <v>EACH</v>
          </cell>
          <cell r="AB753">
            <v>0</v>
          </cell>
          <cell r="AC753" t="str">
            <v>PA6-02</v>
          </cell>
          <cell r="AD753" t="str">
            <v>EACH</v>
          </cell>
        </row>
        <row r="754">
          <cell r="D754" t="str">
            <v>PA6-03</v>
          </cell>
          <cell r="E754" t="str">
            <v>4503240</v>
          </cell>
          <cell r="F754" t="str">
            <v>VALVE OR8-1/4</v>
          </cell>
          <cell r="J754" t="str">
            <v>NNAV</v>
          </cell>
          <cell r="K754" t="str">
            <v>E499</v>
          </cell>
          <cell r="L754" t="str">
            <v>SRGP01</v>
          </cell>
          <cell r="P754">
            <v>3</v>
          </cell>
          <cell r="R754">
            <v>0</v>
          </cell>
          <cell r="S754">
            <v>0</v>
          </cell>
          <cell r="U754">
            <v>0</v>
          </cell>
          <cell r="V754">
            <v>0</v>
          </cell>
          <cell r="W754">
            <v>0</v>
          </cell>
          <cell r="X754" t="str">
            <v>No</v>
          </cell>
          <cell r="Z754" t="str">
            <v/>
          </cell>
          <cell r="AA754" t="str">
            <v>EACH</v>
          </cell>
          <cell r="AB754">
            <v>0</v>
          </cell>
          <cell r="AC754" t="str">
            <v>PA6-03</v>
          </cell>
          <cell r="AD754" t="str">
            <v>EACH</v>
          </cell>
        </row>
        <row r="755">
          <cell r="D755" t="str">
            <v>GMP-AM-09</v>
          </cell>
          <cell r="E755" t="str">
            <v>Special Item</v>
          </cell>
          <cell r="F755" t="str">
            <v>VANE KIT</v>
          </cell>
          <cell r="J755" t="str">
            <v>NNAV</v>
          </cell>
          <cell r="K755" t="str">
            <v>E499</v>
          </cell>
          <cell r="L755" t="str">
            <v>SRGP01</v>
          </cell>
          <cell r="P755">
            <v>5</v>
          </cell>
          <cell r="R755">
            <v>0</v>
          </cell>
          <cell r="S755">
            <v>0</v>
          </cell>
          <cell r="U755">
            <v>0</v>
          </cell>
          <cell r="V755">
            <v>0</v>
          </cell>
          <cell r="W755">
            <v>0</v>
          </cell>
          <cell r="X755" t="str">
            <v>No</v>
          </cell>
          <cell r="Z755" t="str">
            <v/>
          </cell>
          <cell r="AA755" t="str">
            <v>EACH</v>
          </cell>
          <cell r="AB755">
            <v>0</v>
          </cell>
          <cell r="AC755" t="str">
            <v>GMP-AM-09</v>
          </cell>
          <cell r="AD755" t="str">
            <v>EACH</v>
          </cell>
        </row>
        <row r="756">
          <cell r="D756" t="str">
            <v>GMP-AM-13</v>
          </cell>
          <cell r="E756" t="str">
            <v>Special Item</v>
          </cell>
          <cell r="F756" t="str">
            <v>VANE PINS</v>
          </cell>
          <cell r="J756" t="str">
            <v>NNAV</v>
          </cell>
          <cell r="K756" t="str">
            <v>E499</v>
          </cell>
          <cell r="L756" t="str">
            <v>SRGP01</v>
          </cell>
          <cell r="P756">
            <v>5</v>
          </cell>
          <cell r="R756">
            <v>0</v>
          </cell>
          <cell r="S756">
            <v>0</v>
          </cell>
          <cell r="U756">
            <v>0</v>
          </cell>
          <cell r="V756">
            <v>0</v>
          </cell>
          <cell r="W756">
            <v>0</v>
          </cell>
          <cell r="X756" t="str">
            <v>No</v>
          </cell>
          <cell r="Z756" t="str">
            <v/>
          </cell>
          <cell r="AA756" t="str">
            <v>EACH</v>
          </cell>
          <cell r="AB756">
            <v>0</v>
          </cell>
          <cell r="AC756" t="str">
            <v>GMP-AM-13</v>
          </cell>
          <cell r="AD756" t="str">
            <v>EACH</v>
          </cell>
        </row>
        <row r="757">
          <cell r="D757" t="str">
            <v>GR41-1-8</v>
          </cell>
          <cell r="E757" t="str">
            <v>4501640</v>
          </cell>
          <cell r="F757" t="str">
            <v>WASHER CUP SEAL</v>
          </cell>
          <cell r="J757" t="str">
            <v>NNAV</v>
          </cell>
          <cell r="K757" t="str">
            <v>E499</v>
          </cell>
          <cell r="L757" t="str">
            <v>SRGP01</v>
          </cell>
          <cell r="P757">
            <v>8</v>
          </cell>
          <cell r="R757">
            <v>0</v>
          </cell>
          <cell r="S757">
            <v>0</v>
          </cell>
          <cell r="U757">
            <v>0</v>
          </cell>
          <cell r="V757">
            <v>0</v>
          </cell>
          <cell r="W757">
            <v>0</v>
          </cell>
          <cell r="X757" t="str">
            <v>No</v>
          </cell>
          <cell r="Z757" t="str">
            <v/>
          </cell>
          <cell r="AA757" t="str">
            <v>EACH</v>
          </cell>
          <cell r="AB757">
            <v>0</v>
          </cell>
          <cell r="AC757" t="str">
            <v>GR41-1-8</v>
          </cell>
          <cell r="AD757" t="str">
            <v>EACH</v>
          </cell>
        </row>
        <row r="758">
          <cell r="D758" t="str">
            <v>GR41-1-14</v>
          </cell>
          <cell r="E758" t="str">
            <v>4501700</v>
          </cell>
          <cell r="F758" t="str">
            <v>WASHER CYLINDER</v>
          </cell>
          <cell r="J758" t="str">
            <v>NNAV</v>
          </cell>
          <cell r="K758" t="str">
            <v>E499</v>
          </cell>
          <cell r="L758" t="str">
            <v>SRGP01</v>
          </cell>
          <cell r="P758">
            <v>8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 t="str">
            <v>No</v>
          </cell>
          <cell r="Z758" t="str">
            <v/>
          </cell>
          <cell r="AA758" t="str">
            <v>EACH</v>
          </cell>
          <cell r="AB758">
            <v>0</v>
          </cell>
          <cell r="AC758" t="str">
            <v>GR41-1-14</v>
          </cell>
          <cell r="AD758" t="str">
            <v>EACH</v>
          </cell>
        </row>
        <row r="759">
          <cell r="D759" t="str">
            <v>GR41-1-12</v>
          </cell>
          <cell r="E759" t="str">
            <v>4501680</v>
          </cell>
          <cell r="F759" t="str">
            <v>WASHER FOOT BLOCK</v>
          </cell>
          <cell r="J759" t="str">
            <v>NNAV</v>
          </cell>
          <cell r="K759" t="str">
            <v>E499</v>
          </cell>
          <cell r="L759" t="str">
            <v>SRGP01</v>
          </cell>
          <cell r="P759">
            <v>8</v>
          </cell>
          <cell r="R759">
            <v>0</v>
          </cell>
          <cell r="S759">
            <v>0</v>
          </cell>
          <cell r="U759">
            <v>0</v>
          </cell>
          <cell r="V759">
            <v>0</v>
          </cell>
          <cell r="W759">
            <v>0</v>
          </cell>
          <cell r="X759" t="str">
            <v>No</v>
          </cell>
          <cell r="Z759" t="str">
            <v/>
          </cell>
          <cell r="AA759" t="str">
            <v>EACH</v>
          </cell>
          <cell r="AB759">
            <v>0</v>
          </cell>
          <cell r="AC759" t="str">
            <v>GR41-1-12</v>
          </cell>
          <cell r="AD759" t="str">
            <v>EACH</v>
          </cell>
        </row>
        <row r="760">
          <cell r="D760" t="str">
            <v>GR-WET-COM</v>
          </cell>
          <cell r="E760" t="str">
            <v>4501850</v>
          </cell>
          <cell r="F760" t="str">
            <v>WET END COMPLETE</v>
          </cell>
          <cell r="J760" t="str">
            <v>NNAV</v>
          </cell>
          <cell r="K760" t="str">
            <v>E499</v>
          </cell>
          <cell r="L760" t="str">
            <v>SRGP01</v>
          </cell>
          <cell r="P760">
            <v>1</v>
          </cell>
          <cell r="R760">
            <v>0</v>
          </cell>
          <cell r="S760">
            <v>0</v>
          </cell>
          <cell r="U760">
            <v>0</v>
          </cell>
          <cell r="V760">
            <v>0</v>
          </cell>
          <cell r="W760">
            <v>0</v>
          </cell>
          <cell r="X760" t="str">
            <v>No</v>
          </cell>
          <cell r="Z760" t="str">
            <v/>
          </cell>
          <cell r="AA760" t="str">
            <v>EACH</v>
          </cell>
          <cell r="AB760">
            <v>0</v>
          </cell>
          <cell r="AC760" t="str">
            <v>GR-WET-COM</v>
          </cell>
          <cell r="AD760" t="str">
            <v>EACH</v>
          </cell>
        </row>
        <row r="761">
          <cell r="D761" t="str">
            <v>CBP328154-47G</v>
          </cell>
          <cell r="E761" t="str">
            <v>Special Item</v>
          </cell>
          <cell r="F761" t="str">
            <v>D/FLY 300X280 GALV</v>
          </cell>
          <cell r="J761" t="str">
            <v>NNAV</v>
          </cell>
          <cell r="K761" t="str">
            <v>E700</v>
          </cell>
          <cell r="L761" t="str">
            <v>TONR01</v>
          </cell>
          <cell r="P761">
            <v>2400</v>
          </cell>
          <cell r="R761">
            <v>775</v>
          </cell>
          <cell r="S761">
            <v>0.32291666666666669</v>
          </cell>
          <cell r="U761">
            <v>0</v>
          </cell>
          <cell r="V761">
            <v>775</v>
          </cell>
          <cell r="W761">
            <v>0</v>
          </cell>
          <cell r="X761" t="str">
            <v>No</v>
          </cell>
          <cell r="Z761" t="str">
            <v/>
          </cell>
          <cell r="AA761" t="str">
            <v>EACH</v>
          </cell>
          <cell r="AB761">
            <v>0</v>
          </cell>
          <cell r="AC761" t="str">
            <v>CBP328154-47G</v>
          </cell>
          <cell r="AD761" t="str">
            <v>EACH</v>
          </cell>
        </row>
        <row r="762">
          <cell r="D762" t="str">
            <v>FB47-2400G</v>
          </cell>
          <cell r="E762" t="str">
            <v>Special Item</v>
          </cell>
          <cell r="F762" t="str">
            <v>FRICTION BOLT 47 X 2400 GALV</v>
          </cell>
          <cell r="J762" t="str">
            <v>NNAV</v>
          </cell>
          <cell r="K762" t="str">
            <v>E700</v>
          </cell>
          <cell r="L762" t="str">
            <v>TONR01</v>
          </cell>
          <cell r="P762">
            <v>2400</v>
          </cell>
          <cell r="R762">
            <v>0</v>
          </cell>
          <cell r="S762">
            <v>0</v>
          </cell>
          <cell r="U762">
            <v>0</v>
          </cell>
          <cell r="V762">
            <v>0</v>
          </cell>
          <cell r="W762">
            <v>0</v>
          </cell>
          <cell r="X762" t="str">
            <v>No</v>
          </cell>
          <cell r="Z762" t="str">
            <v/>
          </cell>
          <cell r="AA762" t="str">
            <v>EACH</v>
          </cell>
          <cell r="AB762">
            <v>0</v>
          </cell>
          <cell r="AC762" t="str">
            <v>FB47-2400G</v>
          </cell>
          <cell r="AD762" t="str">
            <v>EACH</v>
          </cell>
        </row>
        <row r="763">
          <cell r="D763" t="str">
            <v>DM100180040025M</v>
          </cell>
          <cell r="E763" t="str">
            <v>Special Item</v>
          </cell>
          <cell r="F763" t="str">
            <v>1800 X 100 X 4MM X 25M ROLL FG</v>
          </cell>
          <cell r="J763" t="str">
            <v>NNAV</v>
          </cell>
          <cell r="K763" t="str">
            <v>E497</v>
          </cell>
          <cell r="L763" t="str">
            <v>WIRE02</v>
          </cell>
          <cell r="P763">
            <v>20</v>
          </cell>
          <cell r="R763">
            <v>0</v>
          </cell>
          <cell r="S763">
            <v>0</v>
          </cell>
          <cell r="U763">
            <v>0</v>
          </cell>
          <cell r="V763">
            <v>0</v>
          </cell>
          <cell r="W763">
            <v>0</v>
          </cell>
          <cell r="X763" t="str">
            <v>No</v>
          </cell>
          <cell r="Z763" t="str">
            <v/>
          </cell>
          <cell r="AA763" t="str">
            <v>ROLL</v>
          </cell>
          <cell r="AB763">
            <v>0</v>
          </cell>
          <cell r="AC763" t="str">
            <v>DM100180040025M</v>
          </cell>
          <cell r="AD763" t="str">
            <v>ROLL</v>
          </cell>
        </row>
        <row r="764">
          <cell r="D764" t="str">
            <v>MESH2.4X4.5</v>
          </cell>
          <cell r="E764" t="str">
            <v>Special Item</v>
          </cell>
          <cell r="F764" t="str">
            <v>MESH - 2.40 X 4.50 M - GALV</v>
          </cell>
          <cell r="J764" t="str">
            <v>NNAV</v>
          </cell>
          <cell r="K764" t="str">
            <v>E497</v>
          </cell>
          <cell r="L764" t="str">
            <v>WIRE02</v>
          </cell>
          <cell r="P764">
            <v>1825</v>
          </cell>
          <cell r="R764">
            <v>2235</v>
          </cell>
          <cell r="S764">
            <v>1.2246575342465753</v>
          </cell>
          <cell r="U764">
            <v>0</v>
          </cell>
          <cell r="V764">
            <v>2235</v>
          </cell>
          <cell r="W764">
            <v>0</v>
          </cell>
          <cell r="X764" t="str">
            <v>No</v>
          </cell>
          <cell r="Z764" t="str">
            <v/>
          </cell>
          <cell r="AA764" t="str">
            <v>EACH</v>
          </cell>
          <cell r="AB764">
            <v>0</v>
          </cell>
          <cell r="AC764" t="str">
            <v>MESH2.4X4.5</v>
          </cell>
          <cell r="AD764" t="str">
            <v>EACH</v>
          </cell>
        </row>
        <row r="765">
          <cell r="D765" t="str">
            <v>MESH2.4X4.5 - NON-GALV</v>
          </cell>
          <cell r="E765" t="str">
            <v>Special Item</v>
          </cell>
          <cell r="F765" t="str">
            <v>MESH - 2.40 X 4.50 M - NON-GALV</v>
          </cell>
          <cell r="J765" t="str">
            <v>NNAV</v>
          </cell>
          <cell r="K765" t="str">
            <v>E497</v>
          </cell>
          <cell r="L765" t="str">
            <v>WIRE02</v>
          </cell>
          <cell r="R765">
            <v>298</v>
          </cell>
          <cell r="S765" t="e">
            <v>#DIV/0!</v>
          </cell>
          <cell r="U765">
            <v>0</v>
          </cell>
          <cell r="V765">
            <v>298</v>
          </cell>
          <cell r="W765">
            <v>0</v>
          </cell>
          <cell r="X765" t="str">
            <v>No</v>
          </cell>
          <cell r="Z765" t="str">
            <v/>
          </cell>
          <cell r="AA765" t="str">
            <v>EACH</v>
          </cell>
          <cell r="AB765">
            <v>0</v>
          </cell>
          <cell r="AC765" t="str">
            <v>MESH2.4X4.5 - NON-GALV</v>
          </cell>
          <cell r="AD765" t="str">
            <v>EACH</v>
          </cell>
        </row>
        <row r="766">
          <cell r="D766" t="str">
            <v>55010050</v>
          </cell>
          <cell r="E766">
            <v>1676830</v>
          </cell>
          <cell r="F766" t="str">
            <v>PANTS WET WEATHER PVC YEL SML</v>
          </cell>
          <cell r="J766" t="str">
            <v>NNAV</v>
          </cell>
          <cell r="K766" t="str">
            <v>E653</v>
          </cell>
          <cell r="L766" t="str">
            <v>ATOM03</v>
          </cell>
          <cell r="R766">
            <v>0</v>
          </cell>
          <cell r="S766" t="e">
            <v>#DIV/0!</v>
          </cell>
          <cell r="U766">
            <v>0</v>
          </cell>
          <cell r="V766">
            <v>0</v>
          </cell>
          <cell r="W766">
            <v>0</v>
          </cell>
          <cell r="X766" t="str">
            <v>No</v>
          </cell>
          <cell r="Z766" t="str">
            <v/>
          </cell>
          <cell r="AA766" t="str">
            <v>EACH</v>
          </cell>
          <cell r="AB766">
            <v>0</v>
          </cell>
          <cell r="AC766" t="str">
            <v>55010050</v>
          </cell>
          <cell r="AD766" t="str">
            <v>EACH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atseb Amon" id="{C4BFAD24-4E50-40D8-8838-3F1BC423DD15}" userId="S::Batseb.Amon@byrnecut.com.au::322ca95f-a1f2-443a-951a-a87a55dc725f" providerId="AD"/>
  <person displayName="Daryl Christensen" id="{93454B84-DFB0-4168-9F50-347D0276C6DE}" userId="S::Daryl.Christensen@byrnecut.com.au::f5edda99-0b0d-4a02-be1d-95de52084a9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seb Amon" refreshedDate="46172.21521736111" createdVersion="8" refreshedVersion="8" minRefreshableVersion="3" recordCount="44" xr:uid="{12459669-ADF4-49A0-9716-FC9C6F342C76}">
  <cacheSource type="worksheet">
    <worksheetSource ref="D1:I45" sheet="GS &amp; VENT ISS UPDAE"/>
  </cacheSource>
  <cacheFields count="6">
    <cacheField name="Field1" caption="Field1" numFmtId="0">
      <sharedItems containsBlank="1"/>
    </cacheField>
    <cacheField name="Date" numFmtId="14">
      <sharedItems containsSemiMixedTypes="0" containsNonDate="0" containsDate="1" containsString="0" minDate="2025-05-08T00:00:00" maxDate="2026-05-29T00:00:00"/>
    </cacheField>
    <cacheField name="Requester" numFmtId="14">
      <sharedItems/>
    </cacheField>
    <cacheField name="Qty issued" numFmtId="0">
      <sharedItems containsSemiMixedTypes="0" containsString="0" containsNumber="1" containsInteger="1" minValue="1" maxValue="1200"/>
    </cacheField>
    <cacheField name="Description" numFmtId="0">
      <sharedItems count="16">
        <s v="COMBI PLATE 300X280X6MM GALVAN  "/>
        <s v="MD BOLT 2.4M LONG GALVANIZED    "/>
        <s v="FRICTION BOLT 47 X 2400 GALV    "/>
        <s v="D/FLY 300X280 GALV              "/>
        <s v="OHORONGO CEMENT 50KG"/>
        <s v="RAGS - BAGS"/>
        <s v="MESH - 2.40 X 4.50 M - GALV"/>
        <s v="EYE BOLT"/>
        <s v="EXPANSION SHELL 24 MM R/HAND"/>
        <s v="BARREL &amp; 3 PIECE WEDGE ANCHOR   "/>
        <s v="PULL TEST RINGS (COLLARS)       "/>
        <s v="TYPHOON 300 SILVER TWIN DUCT 1045MM (1400) X 20M "/>
        <s v="TYPHOON 300 1400 X 5M           "/>
        <s v="TYPHOON 300 SILVER CONCERTINA"/>
        <s v="EYEBOLT SHELLS "/>
        <s v="SERVICE HANGERS "/>
      </sharedItems>
    </cacheField>
    <cacheField name="Are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seb Amon" refreshedDate="46174.420071064815" createdVersion="8" refreshedVersion="8" minRefreshableVersion="3" recordCount="329" xr:uid="{484E797F-8BA5-401F-812E-6B42FF868642}">
  <cacheSource type="worksheet">
    <worksheetSource ref="J1:P330" sheet="Drill Cons Iss Update"/>
  </cacheSource>
  <cacheFields count="7">
    <cacheField name="Date" numFmtId="0">
      <sharedItems containsNonDate="0" containsDate="1" containsString="0" containsBlank="1" minDate="2026-05-01T00:00:00" maxDate="2026-06-01T00:00:00"/>
    </cacheField>
    <cacheField name="Requester" numFmtId="0">
      <sharedItems containsBlank="1" count="12">
        <s v="GEOFREY"/>
        <s v="DELTON"/>
        <s v="HOGES"/>
        <s v="JUNIAS"/>
        <s v="CHARL"/>
        <s v="SIMON"/>
        <s v="HAMISH"/>
        <s v="RIOGEN "/>
        <s v="TEX"/>
        <s v="JL"/>
        <s v="DANIEL"/>
        <m/>
      </sharedItems>
    </cacheField>
    <cacheField name="Machine" numFmtId="0">
      <sharedItems containsBlank="1" count="7">
        <s v="DD122"/>
        <s v="DD159"/>
        <s v="ALL"/>
        <m/>
        <s v="DD160" u="1"/>
        <s v="DD161" u="1"/>
        <s v="DD162" u="1"/>
      </sharedItems>
    </cacheField>
    <cacheField name="Shift" numFmtId="0">
      <sharedItems containsBlank="1"/>
    </cacheField>
    <cacheField name="Qty issued" numFmtId="0">
      <sharedItems containsString="0" containsBlank="1" containsNumber="1" containsInteger="1" minValue="1" maxValue="20"/>
    </cacheField>
    <cacheField name="Description" numFmtId="0">
      <sharedItems containsBlank="1" count="28">
        <s v="BIT ADAPTOR T45/T38M"/>
        <s v="MD BOLT DRIVER 900MM &quot;&quot;T&quot;&quot; THREA  "/>
        <s v="T38X64MM BUTTON BIT"/>
        <s v="A340X43MM BUTTON BIT"/>
        <s v="A340X45MM BUTTON BIT"/>
        <s v="BOLTING CENTRALISER DIA 66MM (GUIDE PIECE)"/>
        <s v="SPEEDY BIT A340X45MM XT49"/>
        <s v="REAMING BIT A340 102MM          "/>
        <s v="T38 EXTENSION ROUND ROD L3050MM"/>
        <s v="A340X51MM RETRAC BIT"/>
        <s v="SHANK T45 RD520/525 D45 L525"/>
        <s v="BORING CENTRALISER DIA 41MM      "/>
        <s v="COUPLING SLEEVE T38/T45"/>
        <s v="GRINDING CUP 8MM, SPERICAL"/>
        <s v="GRINDING CUP 9MM, SPERICAL"/>
        <s v="GRINDING CUP 10MM, SPERICAL"/>
        <s v="GRINDING CUP 11MM, SPERICAL"/>
        <s v="GRINDING CUP, 12MM, SEMI BAL"/>
        <s v="GRINDING CUP, 13MM, SPERICAL"/>
        <s v="GRINDING CUP, 14MM, SPERICAL"/>
        <s v="GRINDING CUP, 16MM, SUP SPHERE"/>
        <s v="SHANK T38 RD520/525 D45 L525"/>
        <s v="DRIFTER ROD T38 H35 A340 L=309  "/>
        <s v="MF ROD T38 R39 L=3050MM         "/>
        <s v="DRIFTER ROD T38 R39 A340 L=491"/>
        <s v="DRIFTER ROD T38 H35 A340 L=370  "/>
        <s v="COUPLING SLEEVE T38/T38"/>
        <m/>
      </sharedItems>
    </cacheField>
    <cacheField name="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Area"/>
    <d v="2026-05-01T00:00:00"/>
    <s v="KYLE"/>
    <n v="480"/>
    <x v="0"/>
    <s v="SOUTH PORTAL"/>
  </r>
  <r>
    <s v="LAY-DOWN"/>
    <d v="2026-05-01T00:00:00"/>
    <s v="KYLE"/>
    <n v="240"/>
    <x v="1"/>
    <s v="SOUTH PORTAL"/>
  </r>
  <r>
    <s v="SOUTH PORTAL"/>
    <d v="2026-05-01T00:00:00"/>
    <s v="DELTON"/>
    <n v="46"/>
    <x v="1"/>
    <s v="SOUTH PORTAL"/>
  </r>
  <r>
    <s v="NORTH PORTAL"/>
    <d v="2026-05-01T00:00:00"/>
    <s v="DELTON"/>
    <n v="46"/>
    <x v="0"/>
    <s v="SOUTH PORTAL"/>
  </r>
  <r>
    <s v="OFFICE"/>
    <d v="2026-05-01T00:00:00"/>
    <s v="DELTON"/>
    <n v="6"/>
    <x v="2"/>
    <s v="SOUTH PORTAL"/>
  </r>
  <r>
    <s v="UNDERGROUND"/>
    <d v="2026-05-01T00:00:00"/>
    <s v="DELTON"/>
    <n v="20"/>
    <x v="3"/>
    <s v="SOUTH PORTAL"/>
  </r>
  <r>
    <m/>
    <d v="2026-05-01T00:00:00"/>
    <s v="VICTOR"/>
    <n v="240"/>
    <x v="1"/>
    <s v="SOUTH PORTAL"/>
  </r>
  <r>
    <m/>
    <d v="2026-05-01T00:00:00"/>
    <s v="VICTOR"/>
    <n v="1200"/>
    <x v="0"/>
    <s v="SOUTH PORTAL"/>
  </r>
  <r>
    <m/>
    <d v="2026-05-01T00:00:00"/>
    <s v="VICTOR"/>
    <n v="150"/>
    <x v="2"/>
    <s v="SOUTH PORTAL"/>
  </r>
  <r>
    <m/>
    <d v="2026-05-04T00:00:00"/>
    <s v="KAMBATA"/>
    <n v="240"/>
    <x v="0"/>
    <s v="SOUTH PORTAL"/>
  </r>
  <r>
    <m/>
    <d v="2026-05-04T00:00:00"/>
    <s v="KAMBATA"/>
    <n v="6"/>
    <x v="4"/>
    <s v="SOUTH PORTAL"/>
  </r>
  <r>
    <m/>
    <d v="2026-05-05T00:00:00"/>
    <s v="SAKARIAS"/>
    <n v="1"/>
    <x v="5"/>
    <s v="UNDERGROUND"/>
  </r>
  <r>
    <m/>
    <d v="2025-05-08T00:00:00"/>
    <s v="DELTON"/>
    <n v="22"/>
    <x v="1"/>
    <s v="SOUTH PORTAL"/>
  </r>
  <r>
    <m/>
    <d v="2026-05-08T00:00:00"/>
    <s v="VICTOR"/>
    <n v="240"/>
    <x v="1"/>
    <s v="SOUTH PORTAL"/>
  </r>
  <r>
    <m/>
    <d v="2026-05-08T00:00:00"/>
    <s v="VICTOR"/>
    <n v="100"/>
    <x v="6"/>
    <s v="SOUTH PORTAL"/>
  </r>
  <r>
    <m/>
    <d v="2026-05-09T00:00:00"/>
    <s v="SAM"/>
    <n v="16"/>
    <x v="7"/>
    <s v="SOUTH PORTAL"/>
  </r>
  <r>
    <m/>
    <d v="2026-05-09T00:00:00"/>
    <s v="SAM"/>
    <n v="16"/>
    <x v="8"/>
    <s v="SOUTH PORTAL"/>
  </r>
  <r>
    <m/>
    <d v="2026-05-13T00:00:00"/>
    <s v="SIMON"/>
    <n v="4"/>
    <x v="1"/>
    <s v="NORTH PORTAL"/>
  </r>
  <r>
    <m/>
    <d v="2026-05-13T00:00:00"/>
    <s v="SIMON"/>
    <n v="3"/>
    <x v="8"/>
    <s v="NORTH PORTAL"/>
  </r>
  <r>
    <m/>
    <d v="2026-05-13T00:00:00"/>
    <s v="KAZAPUA"/>
    <n v="6"/>
    <x v="4"/>
    <s v="NORTH PORTAL"/>
  </r>
  <r>
    <m/>
    <d v="2026-05-14T00:00:00"/>
    <s v="KAZAPUA"/>
    <n v="50"/>
    <x v="9"/>
    <s v="UNDERGROUND"/>
  </r>
  <r>
    <m/>
    <d v="2026-05-14T00:00:00"/>
    <s v="HOGES"/>
    <n v="50"/>
    <x v="10"/>
    <s v="UNDERGROUND"/>
  </r>
  <r>
    <m/>
    <d v="2026-05-15T00:00:00"/>
    <s v="HAMISH"/>
    <n v="50"/>
    <x v="10"/>
    <s v="UNDERGROUND"/>
  </r>
  <r>
    <m/>
    <d v="2026-05-18T00:00:00"/>
    <s v="KAZAPUA"/>
    <n v="240"/>
    <x v="1"/>
    <s v="SOUTH PORTAL"/>
  </r>
  <r>
    <m/>
    <d v="2026-05-18T00:00:00"/>
    <s v="BRETT"/>
    <n v="2"/>
    <x v="11"/>
    <s v="NORTH PORTAL"/>
  </r>
  <r>
    <m/>
    <d v="2026-05-21T00:00:00"/>
    <s v="BRETT"/>
    <n v="1"/>
    <x v="12"/>
    <s v="NORTH PORTAL"/>
  </r>
  <r>
    <m/>
    <d v="2026-05-21T00:00:00"/>
    <s v="BRETT"/>
    <n v="1"/>
    <x v="13"/>
    <s v="NORTH PORTAL"/>
  </r>
  <r>
    <m/>
    <d v="2026-05-20T00:00:00"/>
    <s v="BRETT"/>
    <n v="3"/>
    <x v="7"/>
    <s v="NORTH PORTAL"/>
  </r>
  <r>
    <m/>
    <d v="2026-05-20T00:00:00"/>
    <s v="BRETT"/>
    <n v="20"/>
    <x v="8"/>
    <s v="NORTH PORTAL"/>
  </r>
  <r>
    <m/>
    <d v="2026-05-20T00:00:00"/>
    <s v="BRETT"/>
    <n v="20"/>
    <x v="14"/>
    <s v="NORTH PORTAL"/>
  </r>
  <r>
    <m/>
    <d v="2026-05-20T00:00:00"/>
    <s v="BRETT"/>
    <n v="24"/>
    <x v="15"/>
    <s v="NORTH PORTAL"/>
  </r>
  <r>
    <m/>
    <d v="2026-05-22T00:00:00"/>
    <s v="KAMBATA"/>
    <n v="120"/>
    <x v="1"/>
    <s v="SOUTH PORTAL"/>
  </r>
  <r>
    <m/>
    <d v="2026-05-22T00:00:00"/>
    <s v="KAMBATA"/>
    <n v="240"/>
    <x v="0"/>
    <s v="SOUTH PORTAL"/>
  </r>
  <r>
    <m/>
    <d v="2026-05-22T00:00:00"/>
    <s v="KAMBATA"/>
    <n v="120"/>
    <x v="1"/>
    <s v="NORTH PORTAL"/>
  </r>
  <r>
    <m/>
    <d v="2026-05-22T00:00:00"/>
    <s v="KAMBATA"/>
    <n v="240"/>
    <x v="0"/>
    <s v="NORTH PORTAL"/>
  </r>
  <r>
    <m/>
    <d v="2026-05-25T00:00:00"/>
    <s v="VICTOR"/>
    <n v="570"/>
    <x v="0"/>
    <s v="NORTH PORTAL"/>
  </r>
  <r>
    <m/>
    <d v="2026-05-27T00:00:00"/>
    <s v="EPSON"/>
    <n v="1"/>
    <x v="13"/>
    <s v="NORTH PORTAL"/>
  </r>
  <r>
    <m/>
    <d v="2026-05-28T00:00:00"/>
    <s v="VICTOR"/>
    <n v="120"/>
    <x v="1"/>
    <s v="SOUTH PORTAL"/>
  </r>
  <r>
    <m/>
    <d v="2026-05-28T00:00:00"/>
    <s v="VICTOR"/>
    <n v="240"/>
    <x v="0"/>
    <s v="SOUTH PORTAL"/>
  </r>
  <r>
    <m/>
    <d v="2026-05-28T00:00:00"/>
    <s v="VICTOR"/>
    <n v="100"/>
    <x v="1"/>
    <s v="SOUTH PORTAL"/>
  </r>
  <r>
    <m/>
    <d v="2026-05-28T00:00:00"/>
    <s v="VICTOR"/>
    <n v="120"/>
    <x v="1"/>
    <s v="NORTH PORTAL"/>
  </r>
  <r>
    <m/>
    <d v="2026-05-28T00:00:00"/>
    <s v="VICTOR"/>
    <n v="100"/>
    <x v="6"/>
    <s v="NORTH PORTAL"/>
  </r>
  <r>
    <m/>
    <d v="2026-05-28T00:00:00"/>
    <s v="VICTOR"/>
    <n v="240"/>
    <x v="1"/>
    <s v="NORTH PORTAL"/>
  </r>
  <r>
    <m/>
    <d v="2026-05-28T00:00:00"/>
    <s v="VICTOR"/>
    <n v="240"/>
    <x v="0"/>
    <s v="NORTH POR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d v="2026-05-01T00:00:00"/>
    <x v="0"/>
    <x v="0"/>
    <s v="D/S"/>
    <n v="1"/>
    <x v="0"/>
    <s v="NORTH"/>
  </r>
  <r>
    <d v="2026-05-01T00:00:00"/>
    <x v="0"/>
    <x v="0"/>
    <s v="D/S"/>
    <n v="1"/>
    <x v="1"/>
    <s v="NORTH"/>
  </r>
  <r>
    <d v="2026-05-01T00:00:00"/>
    <x v="0"/>
    <x v="0"/>
    <s v="D/S"/>
    <n v="1"/>
    <x v="2"/>
    <s v="NORTH"/>
  </r>
  <r>
    <d v="2026-05-02T00:00:00"/>
    <x v="1"/>
    <x v="1"/>
    <s v="D/S"/>
    <n v="10"/>
    <x v="3"/>
    <s v="SOUTH"/>
  </r>
  <r>
    <d v="2026-05-02T00:00:00"/>
    <x v="1"/>
    <x v="1"/>
    <s v="D/S"/>
    <n v="10"/>
    <x v="4"/>
    <s v="SOUTH"/>
  </r>
  <r>
    <d v="2026-05-03T00:00:00"/>
    <x v="2"/>
    <x v="1"/>
    <s v="N/S"/>
    <n v="10"/>
    <x v="3"/>
    <s v="SOUTH"/>
  </r>
  <r>
    <d v="2026-05-03T00:00:00"/>
    <x v="2"/>
    <x v="1"/>
    <s v="N/S"/>
    <n v="10"/>
    <x v="4"/>
    <s v="SOUTH"/>
  </r>
  <r>
    <d v="2026-05-03T00:00:00"/>
    <x v="0"/>
    <x v="0"/>
    <s v="D/S"/>
    <n v="2"/>
    <x v="0"/>
    <s v="NORTH"/>
  </r>
  <r>
    <d v="2026-05-03T00:00:00"/>
    <x v="0"/>
    <x v="0"/>
    <s v="D/S"/>
    <n v="2"/>
    <x v="5"/>
    <s v="NORTH"/>
  </r>
  <r>
    <d v="2026-05-03T00:00:00"/>
    <x v="2"/>
    <x v="1"/>
    <s v="N/S"/>
    <n v="1"/>
    <x v="1"/>
    <s v="SOUTH"/>
  </r>
  <r>
    <d v="2026-05-03T00:00:00"/>
    <x v="0"/>
    <x v="0"/>
    <s v="D/S"/>
    <n v="10"/>
    <x v="6"/>
    <s v="NORTH"/>
  </r>
  <r>
    <d v="2026-05-05T00:00:00"/>
    <x v="3"/>
    <x v="1"/>
    <s v="N/S"/>
    <n v="2"/>
    <x v="4"/>
    <s v="SOUTH"/>
  </r>
  <r>
    <d v="2026-05-05T00:00:00"/>
    <x v="0"/>
    <x v="1"/>
    <s v="D/S"/>
    <n v="4"/>
    <x v="7"/>
    <s v="SOUTH"/>
  </r>
  <r>
    <d v="2026-05-05T00:00:00"/>
    <x v="2"/>
    <x v="1"/>
    <s v="N/S"/>
    <n v="2"/>
    <x v="2"/>
    <s v="SOUTH"/>
  </r>
  <r>
    <d v="2026-05-05T00:00:00"/>
    <x v="3"/>
    <x v="1"/>
    <s v="N/S"/>
    <n v="2"/>
    <x v="8"/>
    <s v="SOUTH"/>
  </r>
  <r>
    <d v="2026-05-08T00:00:00"/>
    <x v="2"/>
    <x v="1"/>
    <s v="N/S"/>
    <n v="10"/>
    <x v="3"/>
    <s v="SOUTH"/>
  </r>
  <r>
    <d v="2026-05-08T00:00:00"/>
    <x v="2"/>
    <x v="1"/>
    <s v="N/S"/>
    <n v="10"/>
    <x v="4"/>
    <s v="NORTH"/>
  </r>
  <r>
    <d v="2026-05-08T00:00:00"/>
    <x v="2"/>
    <x v="1"/>
    <s v="N/S"/>
    <n v="3"/>
    <x v="9"/>
    <s v="NORTH"/>
  </r>
  <r>
    <d v="2026-05-08T00:00:00"/>
    <x v="2"/>
    <x v="1"/>
    <s v="N/S"/>
    <n v="10"/>
    <x v="6"/>
    <s v="NORTH"/>
  </r>
  <r>
    <d v="2026-05-08T00:00:00"/>
    <x v="4"/>
    <x v="1"/>
    <s v="N/S"/>
    <n v="2"/>
    <x v="10"/>
    <s v="NORTH"/>
  </r>
  <r>
    <d v="2026-05-10T00:00:00"/>
    <x v="2"/>
    <x v="1"/>
    <s v="N/S"/>
    <n v="10"/>
    <x v="3"/>
    <s v="NORTH"/>
  </r>
  <r>
    <d v="2026-05-10T00:00:00"/>
    <x v="2"/>
    <x v="1"/>
    <s v="N/S"/>
    <n v="10"/>
    <x v="4"/>
    <s v="NORTH"/>
  </r>
  <r>
    <d v="2026-05-12T00:00:00"/>
    <x v="2"/>
    <x v="0"/>
    <s v="N/S"/>
    <n v="2"/>
    <x v="11"/>
    <s v="NORTH"/>
  </r>
  <r>
    <d v="2026-05-14T00:00:00"/>
    <x v="5"/>
    <x v="0"/>
    <s v="N/S"/>
    <n v="5"/>
    <x v="7"/>
    <s v="NORTH"/>
  </r>
  <r>
    <d v="2026-05-14T00:00:00"/>
    <x v="2"/>
    <x v="1"/>
    <s v="D/S"/>
    <n v="2"/>
    <x v="12"/>
    <s v="NORTH"/>
  </r>
  <r>
    <d v="2026-05-14T00:00:00"/>
    <x v="2"/>
    <x v="1"/>
    <s v="D/S"/>
    <n v="10"/>
    <x v="3"/>
    <s v="NORTH"/>
  </r>
  <r>
    <d v="2026-05-14T00:00:00"/>
    <x v="6"/>
    <x v="1"/>
    <s v="N/S"/>
    <n v="10"/>
    <x v="6"/>
    <s v="SOUTH"/>
  </r>
  <r>
    <d v="2026-05-14T00:00:00"/>
    <x v="6"/>
    <x v="1"/>
    <s v="N/S"/>
    <n v="10"/>
    <x v="4"/>
    <s v="SOUTH"/>
  </r>
  <r>
    <d v="2026-05-15T00:00:00"/>
    <x v="2"/>
    <x v="0"/>
    <s v="N/S"/>
    <n v="10"/>
    <x v="3"/>
    <s v="SOUTH"/>
  </r>
  <r>
    <d v="2026-05-15T00:00:00"/>
    <x v="6"/>
    <x v="1"/>
    <s v="N/S"/>
    <n v="2"/>
    <x v="0"/>
    <s v="SOUTH"/>
  </r>
  <r>
    <d v="2026-05-15T00:00:00"/>
    <x v="6"/>
    <x v="0"/>
    <s v="N/S"/>
    <n v="10"/>
    <x v="3"/>
    <s v="SOUTH"/>
  </r>
  <r>
    <d v="2026-05-15T00:00:00"/>
    <x v="6"/>
    <x v="0"/>
    <s v="N/S"/>
    <n v="5"/>
    <x v="9"/>
    <s v="NORTH"/>
  </r>
  <r>
    <d v="2026-05-15T00:00:00"/>
    <x v="6"/>
    <x v="1"/>
    <s v="N/S"/>
    <n v="2"/>
    <x v="1"/>
    <s v="NORTH"/>
  </r>
  <r>
    <d v="2026-05-15T00:00:00"/>
    <x v="7"/>
    <x v="2"/>
    <s v="D/S"/>
    <n v="2"/>
    <x v="13"/>
    <s v="SOUTH"/>
  </r>
  <r>
    <d v="2026-05-15T00:00:00"/>
    <x v="7"/>
    <x v="2"/>
    <s v="D/S"/>
    <n v="2"/>
    <x v="14"/>
    <s v="SOUTH"/>
  </r>
  <r>
    <d v="2026-05-15T00:00:00"/>
    <x v="7"/>
    <x v="2"/>
    <s v="D/S"/>
    <n v="2"/>
    <x v="15"/>
    <s v="WORKSHOP"/>
  </r>
  <r>
    <d v="2026-05-15T00:00:00"/>
    <x v="7"/>
    <x v="2"/>
    <s v="D/S"/>
    <n v="2"/>
    <x v="16"/>
    <s v="WORKSHOP"/>
  </r>
  <r>
    <d v="2026-05-15T00:00:00"/>
    <x v="7"/>
    <x v="2"/>
    <s v="D/S"/>
    <n v="1"/>
    <x v="17"/>
    <s v="WORKSHOP"/>
  </r>
  <r>
    <d v="2026-05-15T00:00:00"/>
    <x v="7"/>
    <x v="2"/>
    <s v="D/S"/>
    <n v="1"/>
    <x v="18"/>
    <s v="WORKSHOP"/>
  </r>
  <r>
    <d v="2026-05-15T00:00:00"/>
    <x v="7"/>
    <x v="2"/>
    <s v="D/S"/>
    <n v="1"/>
    <x v="19"/>
    <s v="WORKSHOP"/>
  </r>
  <r>
    <d v="2026-05-15T00:00:00"/>
    <x v="7"/>
    <x v="2"/>
    <s v="D/S"/>
    <n v="1"/>
    <x v="20"/>
    <s v="WORKSHOP"/>
  </r>
  <r>
    <d v="2026-05-16T00:00:00"/>
    <x v="2"/>
    <x v="1"/>
    <s v="D/S"/>
    <n v="10"/>
    <x v="2"/>
    <s v="WORKSHOP"/>
  </r>
  <r>
    <d v="2026-05-17T00:00:00"/>
    <x v="6"/>
    <x v="1"/>
    <s v="N/S"/>
    <n v="5"/>
    <x v="12"/>
    <s v="WORKSHOP"/>
  </r>
  <r>
    <d v="2026-05-17T00:00:00"/>
    <x v="6"/>
    <x v="1"/>
    <s v="N/S"/>
    <n v="10"/>
    <x v="6"/>
    <s v="SOUTH"/>
  </r>
  <r>
    <d v="2026-05-17T00:00:00"/>
    <x v="6"/>
    <x v="1"/>
    <s v="N/S"/>
    <n v="20"/>
    <x v="3"/>
    <s v="SOUTH"/>
  </r>
  <r>
    <d v="2026-05-17T00:00:00"/>
    <x v="6"/>
    <x v="1"/>
    <s v="N/S"/>
    <n v="10"/>
    <x v="4"/>
    <s v="SOUTH"/>
  </r>
  <r>
    <d v="2026-05-17T00:00:00"/>
    <x v="6"/>
    <x v="1"/>
    <s v="N/S"/>
    <n v="3"/>
    <x v="7"/>
    <s v="SOUTH"/>
  </r>
  <r>
    <d v="2026-05-20T00:00:00"/>
    <x v="6"/>
    <x v="1"/>
    <s v="N/S"/>
    <n v="2"/>
    <x v="0"/>
    <s v="SOUTH"/>
  </r>
  <r>
    <d v="2026-05-20T00:00:00"/>
    <x v="8"/>
    <x v="0"/>
    <s v="N/S"/>
    <n v="1"/>
    <x v="21"/>
    <s v="NORTH"/>
  </r>
  <r>
    <d v="2026-05-21T00:00:00"/>
    <x v="6"/>
    <x v="1"/>
    <s v="D/S"/>
    <n v="5"/>
    <x v="2"/>
    <s v="NORTH"/>
  </r>
  <r>
    <d v="2026-05-21T00:00:00"/>
    <x v="1"/>
    <x v="1"/>
    <s v="D/S"/>
    <n v="1"/>
    <x v="22"/>
    <s v="SOUTH"/>
  </r>
  <r>
    <d v="2026-05-21T00:00:00"/>
    <x v="1"/>
    <x v="1"/>
    <s v="D/S"/>
    <n v="1"/>
    <x v="23"/>
    <s v="SOUTH"/>
  </r>
  <r>
    <d v="2026-05-21T00:00:00"/>
    <x v="9"/>
    <x v="0"/>
    <s v="N/S"/>
    <n v="1"/>
    <x v="24"/>
    <s v="NORTH"/>
  </r>
  <r>
    <d v="2026-05-21T00:00:00"/>
    <x v="6"/>
    <x v="1"/>
    <s v="N/S"/>
    <n v="1"/>
    <x v="10"/>
    <s v="NORTH"/>
  </r>
  <r>
    <d v="2026-05-22T00:00:00"/>
    <x v="6"/>
    <x v="1"/>
    <s v="N/S"/>
    <n v="5"/>
    <x v="2"/>
    <s v="SOUTH"/>
  </r>
  <r>
    <d v="2026-05-22T00:00:00"/>
    <x v="1"/>
    <x v="0"/>
    <s v="D/S"/>
    <n v="1"/>
    <x v="25"/>
    <s v="NORTH"/>
  </r>
  <r>
    <d v="2026-05-22T00:00:00"/>
    <x v="8"/>
    <x v="0"/>
    <s v="N/S"/>
    <n v="2"/>
    <x v="11"/>
    <s v="SOUTH"/>
  </r>
  <r>
    <d v="2026-05-23T00:00:00"/>
    <x v="6"/>
    <x v="1"/>
    <s v="N/S"/>
    <n v="2"/>
    <x v="0"/>
    <s v="SOUTH"/>
  </r>
  <r>
    <d v="2026-05-23T00:00:00"/>
    <x v="6"/>
    <x v="1"/>
    <s v="N/S"/>
    <n v="10"/>
    <x v="6"/>
    <s v="SOUTH"/>
  </r>
  <r>
    <d v="2026-05-23T00:00:00"/>
    <x v="6"/>
    <x v="1"/>
    <s v="N/S"/>
    <n v="2"/>
    <x v="1"/>
    <s v="SOUTH"/>
  </r>
  <r>
    <d v="2026-05-23T00:00:00"/>
    <x v="3"/>
    <x v="1"/>
    <s v="N/S"/>
    <n v="2"/>
    <x v="8"/>
    <s v="SOUTH"/>
  </r>
  <r>
    <d v="2026-05-23T00:00:00"/>
    <x v="3"/>
    <x v="1"/>
    <s v="N/S"/>
    <n v="1"/>
    <x v="0"/>
    <s v="SOUTH"/>
  </r>
  <r>
    <d v="2026-05-23T00:00:00"/>
    <x v="3"/>
    <x v="1"/>
    <s v="N/S"/>
    <n v="1"/>
    <x v="1"/>
    <s v="SOUTH"/>
  </r>
  <r>
    <d v="2026-05-24T00:00:00"/>
    <x v="1"/>
    <x v="0"/>
    <s v="D/S"/>
    <n v="5"/>
    <x v="26"/>
    <s v="NORTH"/>
  </r>
  <r>
    <d v="2026-05-24T00:00:00"/>
    <x v="1"/>
    <x v="0"/>
    <s v="D/S"/>
    <n v="2"/>
    <x v="12"/>
    <s v="NORTH"/>
  </r>
  <r>
    <d v="2026-05-24T00:00:00"/>
    <x v="1"/>
    <x v="0"/>
    <s v="D/S"/>
    <n v="2"/>
    <x v="0"/>
    <s v="NORTH"/>
  </r>
  <r>
    <d v="2026-05-24T00:00:00"/>
    <x v="1"/>
    <x v="0"/>
    <s v="D/S"/>
    <n v="1"/>
    <x v="1"/>
    <s v="NORTH"/>
  </r>
  <r>
    <d v="2026-05-28T00:00:00"/>
    <x v="5"/>
    <x v="0"/>
    <s v="D/S"/>
    <n v="1"/>
    <x v="1"/>
    <s v="NORTH"/>
  </r>
  <r>
    <d v="2026-05-28T00:00:00"/>
    <x v="1"/>
    <x v="1"/>
    <s v="N/S"/>
    <n v="10"/>
    <x v="3"/>
    <s v="SOUTH"/>
  </r>
  <r>
    <d v="2026-05-29T00:00:00"/>
    <x v="5"/>
    <x v="0"/>
    <s v="D/S"/>
    <n v="2"/>
    <x v="10"/>
    <s v="NORTH"/>
  </r>
  <r>
    <d v="2026-05-29T00:00:00"/>
    <x v="5"/>
    <x v="0"/>
    <s v="D/S"/>
    <n v="1"/>
    <x v="12"/>
    <s v="NORTH"/>
  </r>
  <r>
    <d v="2026-05-29T00:00:00"/>
    <x v="5"/>
    <x v="0"/>
    <s v="D/S"/>
    <n v="2"/>
    <x v="2"/>
    <s v="NORTH"/>
  </r>
  <r>
    <d v="2026-05-29T00:00:00"/>
    <x v="5"/>
    <x v="1"/>
    <s v="D/S"/>
    <n v="2"/>
    <x v="2"/>
    <s v="SOUTH"/>
  </r>
  <r>
    <d v="2026-05-31T00:00:00"/>
    <x v="5"/>
    <x v="1"/>
    <s v="D/S"/>
    <n v="1"/>
    <x v="1"/>
    <s v="SOUTH"/>
  </r>
  <r>
    <d v="2026-05-31T00:00:00"/>
    <x v="10"/>
    <x v="1"/>
    <s v="N/S"/>
    <n v="1"/>
    <x v="10"/>
    <s v="SOUTH"/>
  </r>
  <r>
    <d v="2026-05-31T00:00:00"/>
    <x v="10"/>
    <x v="1"/>
    <s v="N/S"/>
    <n v="10"/>
    <x v="6"/>
    <s v="SOUTH"/>
  </r>
  <r>
    <d v="2026-05-31T00:00:00"/>
    <x v="10"/>
    <x v="1"/>
    <s v="N/S"/>
    <n v="10"/>
    <x v="3"/>
    <s v="SOUTH"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  <r>
    <m/>
    <x v="11"/>
    <x v="3"/>
    <m/>
    <m/>
    <x v="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7DCE5-E291-450F-A986-87B2ABFE4E6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18" firstHeaderRow="1" firstDataRow="1" firstDataCol="1"/>
  <pivotFields count="6">
    <pivotField showAll="0"/>
    <pivotField numFmtId="14" showAll="0"/>
    <pivotField showAll="0"/>
    <pivotField dataField="1" showAll="0"/>
    <pivotField axis="axisRow" showAll="0">
      <items count="17">
        <item x="9"/>
        <item x="0"/>
        <item x="3"/>
        <item x="8"/>
        <item x="7"/>
        <item x="14"/>
        <item x="2"/>
        <item x="1"/>
        <item x="6"/>
        <item x="4"/>
        <item x="10"/>
        <item x="5"/>
        <item x="15"/>
        <item x="12"/>
        <item x="13"/>
        <item x="11"/>
        <item t="default"/>
      </items>
    </pivotField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ty issued" fld="3" baseField="4" baseItem="0"/>
  </dataFields>
  <formats count="4">
    <format dxfId="9">
      <pivotArea collapsedLevelsAreSubtotals="1" fieldPosition="0">
        <references count="1">
          <reference field="4" count="0"/>
        </references>
      </pivotArea>
    </format>
    <format dxfId="8">
      <pivotArea dataOnly="0" labelOnly="1" fieldPosition="0">
        <references count="1">
          <reference field="4" count="0"/>
        </references>
      </pivotArea>
    </format>
    <format dxfId="7">
      <pivotArea collapsedLevelsAreSubtotals="1" fieldPosition="0">
        <references count="1">
          <reference field="4" count="0"/>
        </references>
      </pivotArea>
    </format>
    <format dxfId="6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6461E-9006-41D4-865F-39EEE3776E7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3:U24" firstHeaderRow="1" firstDataRow="2" firstDataCol="1" rowPageCount="1" colPageCount="1"/>
  <pivotFields count="7">
    <pivotField showAll="0"/>
    <pivotField axis="axisPage" showAll="0">
      <items count="13">
        <item x="4"/>
        <item x="1"/>
        <item x="0"/>
        <item x="6"/>
        <item x="2"/>
        <item x="3"/>
        <item x="5"/>
        <item x="11"/>
        <item x="7"/>
        <item x="8"/>
        <item x="9"/>
        <item x="10"/>
        <item t="default"/>
      </items>
    </pivotField>
    <pivotField axis="axisCol" showAll="0">
      <items count="8">
        <item x="0"/>
        <item x="1"/>
        <item h="1" x="3"/>
        <item h="1" m="1" x="4"/>
        <item h="1" m="1" x="5"/>
        <item h="1" m="1" x="6"/>
        <item h="1" x="2"/>
        <item t="default"/>
      </items>
    </pivotField>
    <pivotField showAll="0"/>
    <pivotField dataField="1" showAll="0"/>
    <pivotField axis="axisRow" showAll="0">
      <items count="29">
        <item x="3"/>
        <item x="4"/>
        <item x="9"/>
        <item x="0"/>
        <item x="5"/>
        <item x="12"/>
        <item x="1"/>
        <item x="7"/>
        <item x="10"/>
        <item x="6"/>
        <item x="8"/>
        <item x="2"/>
        <item x="27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1"/>
        <item x="26"/>
        <item t="default"/>
      </items>
    </pivotField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Qty issued" fld="4" baseField="5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11-30T10:23:43.14" personId="{93454B84-DFB0-4168-9F50-347D0276C6DE}" id="{4C30CC13-A282-4FD8-BDD4-83114C808D99}">
    <text>New part number</text>
  </threadedComment>
  <threadedComment ref="B13" dT="2025-11-30T10:23:43.14" personId="{93454B84-DFB0-4168-9F50-347D0276C6DE}" id="{A6FD445F-C00D-4B4F-B0BB-AA34C26726ED}">
    <text>New part number</text>
  </threadedComment>
  <threadedComment ref="B14" dT="2025-11-30T10:23:43.14" personId="{93454B84-DFB0-4168-9F50-347D0276C6DE}" id="{5D09B0F6-A39D-43A8-B1EB-623478997343}">
    <text>New part number</text>
  </threadedComment>
  <threadedComment ref="B15" dT="2025-11-30T10:23:43.14" personId="{93454B84-DFB0-4168-9F50-347D0276C6DE}" id="{DF5BE23B-84D1-48E9-A8FB-51E6967C7586}">
    <text>New part number</text>
  </threadedComment>
  <threadedComment ref="B17" dT="2025-11-30T10:23:43.14" personId="{93454B84-DFB0-4168-9F50-347D0276C6DE}" id="{380682FC-303F-42CD-B11A-86B6C6AA0993}">
    <text>New part number</text>
  </threadedComment>
  <threadedComment ref="B23" dT="2025-11-30T10:23:43.14" personId="{93454B84-DFB0-4168-9F50-347D0276C6DE}" id="{5687488A-9FA1-4B90-92D7-477A9FAF11D1}">
    <text>New part number</text>
  </threadedComment>
  <threadedComment ref="B24" dT="2025-11-30T10:23:43.14" personId="{93454B84-DFB0-4168-9F50-347D0276C6DE}" id="{89AA9D75-71A5-4635-B13A-E433AAE7751A}">
    <text>New part number</text>
  </threadedComment>
  <threadedComment ref="B27" dT="2025-11-30T10:23:43.14" personId="{93454B84-DFB0-4168-9F50-347D0276C6DE}" id="{AB137417-B933-4802-A4BB-C965C1A2D036}">
    <text>New part number</text>
  </threadedComment>
  <threadedComment ref="B28" dT="2025-11-30T10:23:43.14" personId="{93454B84-DFB0-4168-9F50-347D0276C6DE}" id="{CA29FF35-60CB-4E23-9A73-7B6AEF7C798D}">
    <text>New part 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7" dT="2026-05-24T10:58:57.82" personId="{C4BFAD24-4E50-40D8-8838-3F1BC423DD15}" id="{246B3CAA-0530-4B1E-9DEC-94504DE9C0BE}">
    <text xml:space="preserve">1x Festus Thomas
</text>
  </threadedComment>
  <threadedComment ref="L27" dT="2026-05-24T10:58:57.82" personId="{C4BFAD24-4E50-40D8-8838-3F1BC423DD15}" id="{D26E6A6D-E488-43CD-A219-2512138C87FE}">
    <text>1x Victor Ndeutapo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1DF3-9970-4B61-908B-FF675A35A940}">
  <sheetPr>
    <pageSetUpPr fitToPage="1"/>
  </sheetPr>
  <dimension ref="A1:M59"/>
  <sheetViews>
    <sheetView topLeftCell="E23" zoomScale="70" zoomScaleNormal="70" workbookViewId="0">
      <selection activeCell="E1" sqref="E1:I1"/>
    </sheetView>
  </sheetViews>
  <sheetFormatPr defaultColWidth="8.85546875" defaultRowHeight="15" x14ac:dyDescent="0.2"/>
  <cols>
    <col min="1" max="1" width="67.7109375" style="3" hidden="1" customWidth="1"/>
    <col min="2" max="2" width="8.85546875" style="3" hidden="1" customWidth="1"/>
    <col min="3" max="3" width="11.7109375" style="3" hidden="1" customWidth="1"/>
    <col min="4" max="4" width="50.42578125" style="3" hidden="1" customWidth="1"/>
    <col min="5" max="6" width="22.7109375" style="3" customWidth="1"/>
    <col min="7" max="7" width="23.140625" style="3" customWidth="1"/>
    <col min="8" max="8" width="64" style="3" bestFit="1" customWidth="1"/>
    <col min="9" max="9" width="18.140625" style="3" bestFit="1" customWidth="1"/>
    <col min="10" max="10" width="23.28515625" style="3" customWidth="1"/>
    <col min="11" max="11" width="64" style="3" bestFit="1" customWidth="1"/>
    <col min="12" max="12" width="22.42578125" style="3" bestFit="1" customWidth="1"/>
    <col min="13" max="13" width="12.5703125" style="3" customWidth="1"/>
    <col min="14" max="14" width="24" style="3" customWidth="1"/>
    <col min="15" max="15" width="11.5703125" style="3" customWidth="1"/>
    <col min="16" max="16" width="11.28515625" style="3" customWidth="1"/>
    <col min="17" max="17" width="11.85546875" style="3" customWidth="1"/>
    <col min="18" max="20" width="8.85546875" style="3"/>
    <col min="21" max="21" width="12.140625" style="3" customWidth="1"/>
    <col min="22" max="16384" width="8.85546875" style="3"/>
  </cols>
  <sheetData>
    <row r="1" spans="1:13" ht="21" thickBot="1" x14ac:dyDescent="0.3">
      <c r="E1" s="13" t="s">
        <v>105</v>
      </c>
      <c r="F1" s="14" t="s">
        <v>106</v>
      </c>
      <c r="G1" s="14" t="s">
        <v>104</v>
      </c>
      <c r="H1" s="14" t="s">
        <v>2</v>
      </c>
      <c r="I1" s="15" t="s">
        <v>107</v>
      </c>
      <c r="K1" s="42" t="s">
        <v>327</v>
      </c>
      <c r="L1" t="s">
        <v>326</v>
      </c>
      <c r="M1"/>
    </row>
    <row r="2" spans="1:13" ht="15.75" x14ac:dyDescent="0.25">
      <c r="A2" s="4" t="s">
        <v>2</v>
      </c>
      <c r="C2" s="4" t="s">
        <v>108</v>
      </c>
      <c r="D2" s="3" t="s">
        <v>107</v>
      </c>
      <c r="E2" s="121">
        <v>46143</v>
      </c>
      <c r="F2" s="122" t="s">
        <v>132</v>
      </c>
      <c r="G2" s="123">
        <v>480</v>
      </c>
      <c r="H2" s="123" t="s">
        <v>62</v>
      </c>
      <c r="I2" s="124" t="s">
        <v>116</v>
      </c>
      <c r="K2" s="125" t="s">
        <v>68</v>
      </c>
      <c r="L2" s="3">
        <v>50</v>
      </c>
      <c r="M2"/>
    </row>
    <row r="3" spans="1:13" ht="15.75" x14ac:dyDescent="0.25">
      <c r="A3" s="3" t="s">
        <v>55</v>
      </c>
      <c r="C3" s="3" t="s">
        <v>109</v>
      </c>
      <c r="D3" s="3" t="s">
        <v>115</v>
      </c>
      <c r="E3" s="6">
        <v>46143</v>
      </c>
      <c r="F3" s="12" t="s">
        <v>132</v>
      </c>
      <c r="G3" s="5">
        <v>240</v>
      </c>
      <c r="H3" s="5" t="s">
        <v>61</v>
      </c>
      <c r="I3" s="7" t="s">
        <v>116</v>
      </c>
      <c r="K3" s="125" t="s">
        <v>62</v>
      </c>
      <c r="L3" s="3">
        <v>3496</v>
      </c>
      <c r="M3"/>
    </row>
    <row r="4" spans="1:13" ht="15.75" x14ac:dyDescent="0.25">
      <c r="A4" s="3" t="s">
        <v>56</v>
      </c>
      <c r="C4" s="3" t="s">
        <v>110</v>
      </c>
      <c r="D4" s="3" t="s">
        <v>116</v>
      </c>
      <c r="E4" s="6">
        <v>46143</v>
      </c>
      <c r="F4" s="12" t="s">
        <v>310</v>
      </c>
      <c r="G4" s="5">
        <v>46</v>
      </c>
      <c r="H4" s="5" t="s">
        <v>61</v>
      </c>
      <c r="I4" s="7" t="s">
        <v>116</v>
      </c>
      <c r="K4" s="125" t="s">
        <v>60</v>
      </c>
      <c r="L4" s="3">
        <v>20</v>
      </c>
      <c r="M4"/>
    </row>
    <row r="5" spans="1:13" ht="15.75" x14ac:dyDescent="0.25">
      <c r="A5" s="3" t="s">
        <v>57</v>
      </c>
      <c r="C5" s="3" t="s">
        <v>111</v>
      </c>
      <c r="D5" s="3" t="s">
        <v>117</v>
      </c>
      <c r="E5" s="6">
        <v>46143</v>
      </c>
      <c r="F5" s="12" t="s">
        <v>310</v>
      </c>
      <c r="G5" s="5">
        <v>46</v>
      </c>
      <c r="H5" s="5" t="s">
        <v>62</v>
      </c>
      <c r="I5" s="7" t="s">
        <v>116</v>
      </c>
      <c r="K5" s="125" t="s">
        <v>375</v>
      </c>
      <c r="L5" s="3">
        <v>39</v>
      </c>
      <c r="M5"/>
    </row>
    <row r="6" spans="1:13" ht="15.75" x14ac:dyDescent="0.25">
      <c r="A6" s="3" t="s">
        <v>58</v>
      </c>
      <c r="C6" s="3" t="s">
        <v>112</v>
      </c>
      <c r="D6" s="3" t="s">
        <v>118</v>
      </c>
      <c r="E6" s="6">
        <v>46143</v>
      </c>
      <c r="F6" s="12" t="s">
        <v>310</v>
      </c>
      <c r="G6" s="5">
        <v>6</v>
      </c>
      <c r="H6" s="5" t="s">
        <v>59</v>
      </c>
      <c r="I6" s="7" t="s">
        <v>116</v>
      </c>
      <c r="K6" s="125" t="s">
        <v>124</v>
      </c>
      <c r="L6" s="3">
        <v>19</v>
      </c>
      <c r="M6"/>
    </row>
    <row r="7" spans="1:13" ht="15.75" x14ac:dyDescent="0.25">
      <c r="A7" s="3" t="s">
        <v>59</v>
      </c>
      <c r="C7" s="3" t="s">
        <v>113</v>
      </c>
      <c r="D7" s="3" t="s">
        <v>131</v>
      </c>
      <c r="E7" s="6">
        <v>46143</v>
      </c>
      <c r="F7" s="12" t="s">
        <v>310</v>
      </c>
      <c r="G7" s="5">
        <v>20</v>
      </c>
      <c r="H7" s="5" t="s">
        <v>60</v>
      </c>
      <c r="I7" s="7" t="s">
        <v>116</v>
      </c>
      <c r="K7" s="125" t="s">
        <v>408</v>
      </c>
      <c r="L7" s="3">
        <v>20</v>
      </c>
      <c r="M7"/>
    </row>
    <row r="8" spans="1:13" ht="15.75" x14ac:dyDescent="0.25">
      <c r="A8" s="3" t="s">
        <v>60</v>
      </c>
      <c r="C8" s="3" t="s">
        <v>114</v>
      </c>
      <c r="E8" s="6">
        <v>46143</v>
      </c>
      <c r="F8" s="78" t="s">
        <v>369</v>
      </c>
      <c r="G8" s="5">
        <v>240</v>
      </c>
      <c r="H8" s="5" t="s">
        <v>61</v>
      </c>
      <c r="I8" s="7" t="s">
        <v>116</v>
      </c>
      <c r="K8" s="125" t="s">
        <v>59</v>
      </c>
      <c r="L8" s="3">
        <v>156</v>
      </c>
      <c r="M8"/>
    </row>
    <row r="9" spans="1:13" ht="15.75" x14ac:dyDescent="0.25">
      <c r="A9" s="3" t="s">
        <v>61</v>
      </c>
      <c r="C9" s="3" t="s">
        <v>119</v>
      </c>
      <c r="E9" s="6">
        <v>46143</v>
      </c>
      <c r="F9" s="78" t="s">
        <v>369</v>
      </c>
      <c r="G9" s="5">
        <v>1200</v>
      </c>
      <c r="H9" s="5" t="s">
        <v>62</v>
      </c>
      <c r="I9" s="7" t="s">
        <v>116</v>
      </c>
      <c r="K9" s="125" t="s">
        <v>61</v>
      </c>
      <c r="L9" s="3">
        <v>1852</v>
      </c>
      <c r="M9"/>
    </row>
    <row r="10" spans="1:13" ht="15.75" x14ac:dyDescent="0.25">
      <c r="A10" s="3" t="s">
        <v>62</v>
      </c>
      <c r="C10" s="3" t="s">
        <v>120</v>
      </c>
      <c r="E10" s="6">
        <v>46143</v>
      </c>
      <c r="F10" s="78" t="s">
        <v>369</v>
      </c>
      <c r="G10" s="5">
        <v>150</v>
      </c>
      <c r="H10" s="5" t="s">
        <v>59</v>
      </c>
      <c r="I10" s="7" t="s">
        <v>116</v>
      </c>
      <c r="K10" s="125" t="s">
        <v>64</v>
      </c>
      <c r="L10" s="3">
        <v>200</v>
      </c>
      <c r="M10"/>
    </row>
    <row r="11" spans="1:13" ht="15.75" x14ac:dyDescent="0.25">
      <c r="A11" s="3" t="s">
        <v>63</v>
      </c>
      <c r="C11" s="3" t="s">
        <v>121</v>
      </c>
      <c r="E11" s="6">
        <v>46146</v>
      </c>
      <c r="F11" s="12" t="s">
        <v>110</v>
      </c>
      <c r="G11" s="5">
        <v>240</v>
      </c>
      <c r="H11" s="5" t="s">
        <v>62</v>
      </c>
      <c r="I11" s="7" t="s">
        <v>116</v>
      </c>
      <c r="K11" s="125" t="s">
        <v>133</v>
      </c>
      <c r="L11" s="3">
        <v>12</v>
      </c>
      <c r="M11"/>
    </row>
    <row r="12" spans="1:13" ht="15.75" x14ac:dyDescent="0.25">
      <c r="A12" s="3" t="s">
        <v>64</v>
      </c>
      <c r="C12" s="3" t="s">
        <v>122</v>
      </c>
      <c r="E12" s="6">
        <v>46146</v>
      </c>
      <c r="F12" s="12" t="s">
        <v>110</v>
      </c>
      <c r="G12" s="5">
        <v>6</v>
      </c>
      <c r="H12" s="5" t="s">
        <v>133</v>
      </c>
      <c r="I12" s="7" t="s">
        <v>116</v>
      </c>
      <c r="K12" s="125" t="s">
        <v>63</v>
      </c>
      <c r="L12" s="3">
        <v>100</v>
      </c>
      <c r="M12"/>
    </row>
    <row r="13" spans="1:13" ht="15.75" x14ac:dyDescent="0.25">
      <c r="A13" s="3" t="s">
        <v>65</v>
      </c>
      <c r="C13" s="3" t="s">
        <v>123</v>
      </c>
      <c r="E13" s="6">
        <v>46147</v>
      </c>
      <c r="F13" s="12" t="s">
        <v>296</v>
      </c>
      <c r="G13" s="5">
        <v>1</v>
      </c>
      <c r="H13" s="5" t="s">
        <v>297</v>
      </c>
      <c r="I13" s="7" t="s">
        <v>131</v>
      </c>
      <c r="K13" s="125" t="s">
        <v>297</v>
      </c>
      <c r="L13" s="3">
        <v>1</v>
      </c>
      <c r="M13"/>
    </row>
    <row r="14" spans="1:13" ht="15.75" x14ac:dyDescent="0.25">
      <c r="A14" s="3" t="s">
        <v>66</v>
      </c>
      <c r="C14" s="3" t="s">
        <v>125</v>
      </c>
      <c r="E14" s="6">
        <v>45785</v>
      </c>
      <c r="F14" s="12" t="s">
        <v>310</v>
      </c>
      <c r="G14" s="5">
        <v>22</v>
      </c>
      <c r="H14" s="5" t="s">
        <v>61</v>
      </c>
      <c r="I14" s="7" t="s">
        <v>116</v>
      </c>
      <c r="K14" s="125" t="s">
        <v>407</v>
      </c>
      <c r="L14" s="3">
        <v>24</v>
      </c>
      <c r="M14"/>
    </row>
    <row r="15" spans="1:13" ht="15.75" x14ac:dyDescent="0.25">
      <c r="A15" s="3" t="s">
        <v>67</v>
      </c>
      <c r="C15" s="3" t="s">
        <v>127</v>
      </c>
      <c r="E15" s="6">
        <v>46150</v>
      </c>
      <c r="F15" s="12" t="s">
        <v>369</v>
      </c>
      <c r="G15" s="5">
        <v>240</v>
      </c>
      <c r="H15" s="5" t="s">
        <v>61</v>
      </c>
      <c r="I15" s="7" t="s">
        <v>116</v>
      </c>
      <c r="K15" s="125" t="s">
        <v>78</v>
      </c>
      <c r="L15" s="3">
        <v>1</v>
      </c>
      <c r="M15"/>
    </row>
    <row r="16" spans="1:13" ht="15.75" x14ac:dyDescent="0.25">
      <c r="A16" s="3" t="s">
        <v>68</v>
      </c>
      <c r="C16" s="3" t="s">
        <v>128</v>
      </c>
      <c r="E16" s="6">
        <v>46150</v>
      </c>
      <c r="F16" s="12" t="s">
        <v>369</v>
      </c>
      <c r="G16" s="5">
        <v>100</v>
      </c>
      <c r="H16" s="5" t="s">
        <v>64</v>
      </c>
      <c r="I16" s="7" t="s">
        <v>116</v>
      </c>
      <c r="K16" s="125" t="s">
        <v>94</v>
      </c>
      <c r="L16" s="3">
        <v>2</v>
      </c>
      <c r="M16"/>
    </row>
    <row r="17" spans="1:13" ht="15.75" x14ac:dyDescent="0.25">
      <c r="A17" s="3" t="s">
        <v>69</v>
      </c>
      <c r="C17" s="3" t="s">
        <v>129</v>
      </c>
      <c r="E17" s="6">
        <v>46151</v>
      </c>
      <c r="F17" s="12" t="s">
        <v>374</v>
      </c>
      <c r="G17" s="5">
        <v>16</v>
      </c>
      <c r="H17" s="5" t="s">
        <v>124</v>
      </c>
      <c r="I17" s="7" t="s">
        <v>116</v>
      </c>
      <c r="K17" s="125" t="s">
        <v>89</v>
      </c>
      <c r="L17" s="3">
        <v>2</v>
      </c>
      <c r="M17"/>
    </row>
    <row r="18" spans="1:13" ht="15.75" x14ac:dyDescent="0.25">
      <c r="A18" s="3" t="s">
        <v>70</v>
      </c>
      <c r="C18" s="3" t="s">
        <v>130</v>
      </c>
      <c r="E18" s="6">
        <v>46151</v>
      </c>
      <c r="F18" s="12" t="s">
        <v>374</v>
      </c>
      <c r="G18" s="5">
        <v>16</v>
      </c>
      <c r="H18" s="5" t="s">
        <v>375</v>
      </c>
      <c r="I18" s="7" t="s">
        <v>116</v>
      </c>
      <c r="K18" s="43" t="s">
        <v>328</v>
      </c>
      <c r="L18">
        <v>5994</v>
      </c>
      <c r="M18"/>
    </row>
    <row r="19" spans="1:13" ht="20.45" customHeight="1" x14ac:dyDescent="0.2">
      <c r="A19" s="3" t="s">
        <v>71</v>
      </c>
      <c r="C19" s="3" t="s">
        <v>132</v>
      </c>
      <c r="E19" s="6">
        <v>46155</v>
      </c>
      <c r="F19" s="12" t="s">
        <v>112</v>
      </c>
      <c r="G19" s="5">
        <v>4</v>
      </c>
      <c r="H19" s="5" t="s">
        <v>61</v>
      </c>
      <c r="I19" s="7" t="s">
        <v>117</v>
      </c>
    </row>
    <row r="20" spans="1:13" ht="20.45" customHeight="1" x14ac:dyDescent="0.2">
      <c r="A20" s="3" t="s">
        <v>124</v>
      </c>
      <c r="C20" s="3" t="s">
        <v>135</v>
      </c>
      <c r="E20" s="6">
        <v>46155</v>
      </c>
      <c r="F20" s="12" t="s">
        <v>112</v>
      </c>
      <c r="G20" s="5">
        <v>3</v>
      </c>
      <c r="H20" s="5" t="s">
        <v>375</v>
      </c>
      <c r="I20" s="7" t="s">
        <v>117</v>
      </c>
    </row>
    <row r="21" spans="1:13" ht="20.45" customHeight="1" x14ac:dyDescent="0.2">
      <c r="A21" s="3" t="s">
        <v>73</v>
      </c>
      <c r="C21" s="3" t="s">
        <v>296</v>
      </c>
      <c r="E21" s="6">
        <v>46155</v>
      </c>
      <c r="F21" s="12" t="s">
        <v>120</v>
      </c>
      <c r="G21" s="5">
        <v>6</v>
      </c>
      <c r="H21" s="5" t="s">
        <v>133</v>
      </c>
      <c r="I21" s="7" t="s">
        <v>117</v>
      </c>
    </row>
    <row r="22" spans="1:13" ht="20.45" customHeight="1" x14ac:dyDescent="0.2">
      <c r="A22" s="3" t="s">
        <v>74</v>
      </c>
      <c r="C22" s="3" t="s">
        <v>369</v>
      </c>
      <c r="E22" s="6">
        <v>46156</v>
      </c>
      <c r="F22" s="12" t="s">
        <v>120</v>
      </c>
      <c r="G22" s="5">
        <v>50</v>
      </c>
      <c r="H22" s="5" t="s">
        <v>68</v>
      </c>
      <c r="I22" s="7" t="s">
        <v>131</v>
      </c>
    </row>
    <row r="23" spans="1:13" ht="20.45" customHeight="1" x14ac:dyDescent="0.2">
      <c r="A23" s="3" t="s">
        <v>75</v>
      </c>
      <c r="C23" s="3" t="s">
        <v>310</v>
      </c>
      <c r="E23" s="6">
        <v>46156</v>
      </c>
      <c r="F23" s="12" t="s">
        <v>130</v>
      </c>
      <c r="G23" s="5">
        <v>50</v>
      </c>
      <c r="H23" s="5" t="s">
        <v>63</v>
      </c>
      <c r="I23" s="7" t="s">
        <v>131</v>
      </c>
    </row>
    <row r="24" spans="1:13" ht="20.45" customHeight="1" x14ac:dyDescent="0.2">
      <c r="A24" s="3" t="s">
        <v>76</v>
      </c>
      <c r="C24" s="3" t="s">
        <v>374</v>
      </c>
      <c r="E24" s="6">
        <v>46157</v>
      </c>
      <c r="F24" s="12" t="s">
        <v>311</v>
      </c>
      <c r="G24" s="5">
        <v>50</v>
      </c>
      <c r="H24" s="5" t="s">
        <v>63</v>
      </c>
      <c r="I24" s="7" t="s">
        <v>131</v>
      </c>
    </row>
    <row r="25" spans="1:13" ht="20.45" customHeight="1" x14ac:dyDescent="0.2">
      <c r="A25" s="3" t="s">
        <v>77</v>
      </c>
      <c r="C25" s="3" t="s">
        <v>311</v>
      </c>
      <c r="E25" s="6">
        <v>46160</v>
      </c>
      <c r="F25" s="12" t="s">
        <v>120</v>
      </c>
      <c r="G25" s="5">
        <v>240</v>
      </c>
      <c r="H25" s="5" t="s">
        <v>61</v>
      </c>
      <c r="I25" s="7" t="s">
        <v>116</v>
      </c>
    </row>
    <row r="26" spans="1:13" ht="20.45" customHeight="1" x14ac:dyDescent="0.2">
      <c r="A26" s="3" t="s">
        <v>78</v>
      </c>
      <c r="C26" s="3" t="s">
        <v>380</v>
      </c>
      <c r="E26" s="6">
        <v>46160</v>
      </c>
      <c r="F26" s="12" t="s">
        <v>380</v>
      </c>
      <c r="G26" s="5">
        <v>2</v>
      </c>
      <c r="H26" s="5" t="s">
        <v>89</v>
      </c>
      <c r="I26" s="7" t="s">
        <v>117</v>
      </c>
    </row>
    <row r="27" spans="1:13" ht="20.45" customHeight="1" x14ac:dyDescent="0.2">
      <c r="A27" s="3" t="s">
        <v>79</v>
      </c>
      <c r="C27" s="3" t="s">
        <v>404</v>
      </c>
      <c r="E27" s="6">
        <v>46163</v>
      </c>
      <c r="F27" s="12" t="s">
        <v>380</v>
      </c>
      <c r="G27" s="5">
        <v>1</v>
      </c>
      <c r="H27" s="5" t="s">
        <v>78</v>
      </c>
      <c r="I27" s="7" t="s">
        <v>117</v>
      </c>
    </row>
    <row r="28" spans="1:13" ht="20.45" customHeight="1" x14ac:dyDescent="0.2">
      <c r="A28" s="3" t="s">
        <v>80</v>
      </c>
      <c r="C28" s="3" t="s">
        <v>627</v>
      </c>
      <c r="E28" s="6">
        <v>46163</v>
      </c>
      <c r="F28" s="12" t="s">
        <v>380</v>
      </c>
      <c r="G28" s="5">
        <v>1</v>
      </c>
      <c r="H28" s="5" t="s">
        <v>94</v>
      </c>
      <c r="I28" s="7" t="s">
        <v>117</v>
      </c>
    </row>
    <row r="29" spans="1:13" ht="20.45" customHeight="1" x14ac:dyDescent="0.2">
      <c r="A29" s="3" t="s">
        <v>81</v>
      </c>
      <c r="E29" s="6">
        <v>46162</v>
      </c>
      <c r="F29" s="12" t="s">
        <v>380</v>
      </c>
      <c r="G29" s="5">
        <v>3</v>
      </c>
      <c r="H29" s="5" t="s">
        <v>124</v>
      </c>
      <c r="I29" s="7" t="s">
        <v>117</v>
      </c>
    </row>
    <row r="30" spans="1:13" ht="20.45" customHeight="1" x14ac:dyDescent="0.2">
      <c r="A30" s="3" t="s">
        <v>82</v>
      </c>
      <c r="E30" s="6">
        <v>46162</v>
      </c>
      <c r="F30" s="12" t="s">
        <v>380</v>
      </c>
      <c r="G30" s="5">
        <v>20</v>
      </c>
      <c r="H30" s="5" t="s">
        <v>375</v>
      </c>
      <c r="I30" s="7" t="s">
        <v>117</v>
      </c>
    </row>
    <row r="31" spans="1:13" ht="20.45" customHeight="1" x14ac:dyDescent="0.2">
      <c r="A31" s="3" t="s">
        <v>83</v>
      </c>
      <c r="E31" s="6">
        <v>46162</v>
      </c>
      <c r="F31" s="12" t="s">
        <v>380</v>
      </c>
      <c r="G31" s="5">
        <v>20</v>
      </c>
      <c r="H31" s="5" t="s">
        <v>408</v>
      </c>
      <c r="I31" s="7" t="s">
        <v>117</v>
      </c>
    </row>
    <row r="32" spans="1:13" ht="20.45" customHeight="1" x14ac:dyDescent="0.2">
      <c r="A32" s="3" t="s">
        <v>84</v>
      </c>
      <c r="E32" s="6">
        <v>46162</v>
      </c>
      <c r="F32" s="12" t="s">
        <v>380</v>
      </c>
      <c r="G32" s="5">
        <v>24</v>
      </c>
      <c r="H32" s="5" t="s">
        <v>407</v>
      </c>
      <c r="I32" s="7" t="s">
        <v>117</v>
      </c>
    </row>
    <row r="33" spans="1:13" ht="20.45" customHeight="1" x14ac:dyDescent="0.2">
      <c r="A33" s="3" t="s">
        <v>85</v>
      </c>
      <c r="E33" s="6">
        <v>46164</v>
      </c>
      <c r="F33" s="12" t="s">
        <v>110</v>
      </c>
      <c r="G33" s="5">
        <v>120</v>
      </c>
      <c r="H33" s="5" t="s">
        <v>61</v>
      </c>
      <c r="I33" s="7" t="s">
        <v>116</v>
      </c>
      <c r="M33" s="3">
        <f>31*240+198+18</f>
        <v>7656</v>
      </c>
    </row>
    <row r="34" spans="1:13" ht="20.45" customHeight="1" x14ac:dyDescent="0.2">
      <c r="A34" s="3" t="s">
        <v>86</v>
      </c>
      <c r="E34" s="6">
        <v>46164</v>
      </c>
      <c r="F34" s="12" t="s">
        <v>110</v>
      </c>
      <c r="G34" s="5">
        <v>240</v>
      </c>
      <c r="H34" s="5" t="s">
        <v>62</v>
      </c>
      <c r="I34" s="7" t="s">
        <v>116</v>
      </c>
    </row>
    <row r="35" spans="1:13" x14ac:dyDescent="0.2">
      <c r="A35" s="3" t="s">
        <v>87</v>
      </c>
      <c r="E35" s="6">
        <v>46164</v>
      </c>
      <c r="F35" s="12" t="s">
        <v>110</v>
      </c>
      <c r="G35" s="5">
        <v>120</v>
      </c>
      <c r="H35" s="5" t="s">
        <v>61</v>
      </c>
      <c r="I35" s="7" t="s">
        <v>117</v>
      </c>
    </row>
    <row r="36" spans="1:13" x14ac:dyDescent="0.2">
      <c r="A36" s="3" t="s">
        <v>88</v>
      </c>
      <c r="E36" s="6">
        <v>46164</v>
      </c>
      <c r="F36" s="12" t="s">
        <v>110</v>
      </c>
      <c r="G36" s="5">
        <v>240</v>
      </c>
      <c r="H36" s="5" t="s">
        <v>62</v>
      </c>
      <c r="I36" s="7" t="s">
        <v>117</v>
      </c>
    </row>
    <row r="37" spans="1:13" x14ac:dyDescent="0.2">
      <c r="A37" s="3" t="s">
        <v>89</v>
      </c>
      <c r="E37" s="6">
        <v>46167</v>
      </c>
      <c r="F37" s="12" t="s">
        <v>369</v>
      </c>
      <c r="G37" s="5">
        <v>570</v>
      </c>
      <c r="H37" s="5" t="s">
        <v>62</v>
      </c>
      <c r="I37" s="7" t="s">
        <v>117</v>
      </c>
    </row>
    <row r="38" spans="1:13" x14ac:dyDescent="0.2">
      <c r="A38" s="3" t="s">
        <v>90</v>
      </c>
      <c r="E38" s="6">
        <v>46169</v>
      </c>
      <c r="F38" s="12" t="s">
        <v>627</v>
      </c>
      <c r="G38" s="5">
        <v>1</v>
      </c>
      <c r="H38" s="5" t="s">
        <v>94</v>
      </c>
      <c r="I38" s="7" t="s">
        <v>117</v>
      </c>
      <c r="L38" s="3">
        <f>5*300</f>
        <v>1500</v>
      </c>
    </row>
    <row r="39" spans="1:13" x14ac:dyDescent="0.2">
      <c r="A39" s="3" t="s">
        <v>91</v>
      </c>
      <c r="E39" s="6">
        <v>46170</v>
      </c>
      <c r="F39" s="12" t="s">
        <v>369</v>
      </c>
      <c r="G39" s="5">
        <v>120</v>
      </c>
      <c r="H39" s="5" t="s">
        <v>61</v>
      </c>
      <c r="I39" s="7" t="s">
        <v>116</v>
      </c>
      <c r="L39" s="3">
        <f>60+170+1500</f>
        <v>1730</v>
      </c>
    </row>
    <row r="40" spans="1:13" x14ac:dyDescent="0.2">
      <c r="A40" s="3" t="s">
        <v>92</v>
      </c>
      <c r="E40" s="6">
        <v>46170</v>
      </c>
      <c r="F40" s="12" t="s">
        <v>369</v>
      </c>
      <c r="G40" s="5">
        <v>240</v>
      </c>
      <c r="H40" s="5" t="s">
        <v>62</v>
      </c>
      <c r="I40" s="7" t="s">
        <v>116</v>
      </c>
    </row>
    <row r="41" spans="1:13" x14ac:dyDescent="0.2">
      <c r="A41" s="3" t="s">
        <v>93</v>
      </c>
      <c r="E41" s="6">
        <v>46170</v>
      </c>
      <c r="F41" s="12" t="s">
        <v>369</v>
      </c>
      <c r="G41" s="5">
        <v>100</v>
      </c>
      <c r="H41" s="5" t="s">
        <v>61</v>
      </c>
      <c r="I41" s="7" t="s">
        <v>116</v>
      </c>
    </row>
    <row r="42" spans="1:13" x14ac:dyDescent="0.2">
      <c r="A42" s="3" t="s">
        <v>94</v>
      </c>
      <c r="E42" s="6">
        <v>46170</v>
      </c>
      <c r="F42" s="78" t="s">
        <v>369</v>
      </c>
      <c r="G42" s="5">
        <v>120</v>
      </c>
      <c r="H42" s="5" t="s">
        <v>61</v>
      </c>
      <c r="I42" s="7" t="s">
        <v>117</v>
      </c>
    </row>
    <row r="43" spans="1:13" x14ac:dyDescent="0.2">
      <c r="A43" s="3" t="s">
        <v>95</v>
      </c>
      <c r="E43" s="6">
        <v>46170</v>
      </c>
      <c r="F43" s="78" t="s">
        <v>369</v>
      </c>
      <c r="G43" s="5">
        <v>100</v>
      </c>
      <c r="H43" s="5" t="s">
        <v>64</v>
      </c>
      <c r="I43" s="7" t="s">
        <v>117</v>
      </c>
    </row>
    <row r="44" spans="1:13" x14ac:dyDescent="0.2">
      <c r="A44" s="3" t="s">
        <v>133</v>
      </c>
      <c r="E44" s="6">
        <v>46170</v>
      </c>
      <c r="F44" s="78" t="s">
        <v>369</v>
      </c>
      <c r="G44" s="5">
        <v>240</v>
      </c>
      <c r="H44" s="5" t="s">
        <v>61</v>
      </c>
      <c r="I44" s="7" t="s">
        <v>117</v>
      </c>
    </row>
    <row r="45" spans="1:13" x14ac:dyDescent="0.2">
      <c r="A45" s="3" t="s">
        <v>63</v>
      </c>
      <c r="E45" s="6">
        <v>46170</v>
      </c>
      <c r="F45" s="78" t="s">
        <v>369</v>
      </c>
      <c r="G45" s="5">
        <v>240</v>
      </c>
      <c r="H45" s="5" t="s">
        <v>62</v>
      </c>
      <c r="I45" s="7" t="s">
        <v>117</v>
      </c>
    </row>
    <row r="46" spans="1:13" x14ac:dyDescent="0.2">
      <c r="A46" s="3" t="s">
        <v>331</v>
      </c>
      <c r="E46" s="6">
        <v>46171</v>
      </c>
      <c r="F46" s="5" t="s">
        <v>380</v>
      </c>
      <c r="G46" s="5">
        <v>26</v>
      </c>
      <c r="H46" s="5" t="s">
        <v>57</v>
      </c>
      <c r="I46" s="7" t="s">
        <v>116</v>
      </c>
    </row>
    <row r="47" spans="1:13" x14ac:dyDescent="0.2">
      <c r="A47" s="3" t="s">
        <v>375</v>
      </c>
      <c r="E47" s="8"/>
      <c r="F47" s="5"/>
      <c r="G47" s="5" t="s">
        <v>623</v>
      </c>
      <c r="H47" s="5"/>
      <c r="I47" s="7"/>
    </row>
    <row r="48" spans="1:13" x14ac:dyDescent="0.2">
      <c r="A48" s="3" t="s">
        <v>406</v>
      </c>
      <c r="E48" s="8"/>
      <c r="F48" s="5"/>
      <c r="G48" s="5"/>
      <c r="H48" s="5"/>
      <c r="I48" s="7"/>
    </row>
    <row r="49" spans="1:9" x14ac:dyDescent="0.2">
      <c r="A49" s="3" t="s">
        <v>407</v>
      </c>
      <c r="E49" s="8"/>
      <c r="F49" s="5"/>
      <c r="G49" s="5"/>
      <c r="H49" s="5"/>
      <c r="I49" s="7"/>
    </row>
    <row r="50" spans="1:9" x14ac:dyDescent="0.2">
      <c r="A50" s="3" t="s">
        <v>408</v>
      </c>
      <c r="E50" s="8"/>
      <c r="F50" s="5"/>
      <c r="G50" s="5"/>
      <c r="H50" s="5"/>
      <c r="I50" s="7"/>
    </row>
    <row r="51" spans="1:9" x14ac:dyDescent="0.2">
      <c r="E51" s="8"/>
      <c r="F51" s="5"/>
      <c r="G51" s="5"/>
      <c r="H51" s="5"/>
      <c r="I51" s="7"/>
    </row>
    <row r="52" spans="1:9" x14ac:dyDescent="0.2">
      <c r="E52" s="8"/>
      <c r="F52" s="5"/>
      <c r="G52" s="5"/>
      <c r="H52" s="5"/>
      <c r="I52" s="7"/>
    </row>
    <row r="53" spans="1:9" x14ac:dyDescent="0.2">
      <c r="E53" s="8"/>
      <c r="F53" s="5"/>
      <c r="G53" s="5"/>
      <c r="H53" s="5"/>
      <c r="I53" s="7"/>
    </row>
    <row r="54" spans="1:9" x14ac:dyDescent="0.2">
      <c r="E54" s="8"/>
      <c r="F54" s="5"/>
      <c r="G54" s="5"/>
      <c r="H54" s="5"/>
      <c r="I54" s="7"/>
    </row>
    <row r="55" spans="1:9" x14ac:dyDescent="0.2">
      <c r="E55" s="8"/>
      <c r="F55" s="5"/>
      <c r="G55" s="5"/>
      <c r="H55" s="5"/>
      <c r="I55" s="7"/>
    </row>
    <row r="56" spans="1:9" x14ac:dyDescent="0.2">
      <c r="E56" s="8"/>
      <c r="F56" s="5"/>
      <c r="G56" s="5"/>
      <c r="H56" s="5"/>
      <c r="I56" s="7"/>
    </row>
    <row r="57" spans="1:9" x14ac:dyDescent="0.2">
      <c r="E57" s="8"/>
      <c r="F57" s="5"/>
      <c r="G57" s="5"/>
      <c r="H57" s="5"/>
      <c r="I57" s="7"/>
    </row>
    <row r="58" spans="1:9" x14ac:dyDescent="0.2">
      <c r="E58" s="8"/>
      <c r="F58" s="5"/>
      <c r="G58" s="5"/>
      <c r="H58" s="5"/>
      <c r="I58" s="7"/>
    </row>
    <row r="59" spans="1:9" ht="15.75" thickBot="1" x14ac:dyDescent="0.25">
      <c r="E59" s="9"/>
      <c r="F59" s="10"/>
      <c r="G59" s="10"/>
      <c r="H59" s="10"/>
      <c r="I59" s="11"/>
    </row>
  </sheetData>
  <autoFilter ref="E1:I1" xr:uid="{D9A21DF3-9970-4B61-908B-FF675A35A940}"/>
  <dataValidations count="3">
    <dataValidation type="list" allowBlank="1" showInputMessage="1" showErrorMessage="1" sqref="F2:F45" xr:uid="{6A860EC4-590D-4232-B7A9-A3F5A5E5A8C4}">
      <formula1>$C$3:$C$47</formula1>
    </dataValidation>
    <dataValidation type="list" allowBlank="1" showInputMessage="1" showErrorMessage="1" sqref="H2:H7 H9:H61" xr:uid="{AE3CF93D-1910-4780-8F21-464B5587126C}">
      <formula1>$A$3:$A$56</formula1>
    </dataValidation>
    <dataValidation type="list" allowBlank="1" showInputMessage="1" showErrorMessage="1" sqref="I2:I45" xr:uid="{81255BEA-B557-4A67-96C6-7EE7B6968514}">
      <formula1>$D$3:$D$43</formula1>
    </dataValidation>
  </dataValidations>
  <pageMargins left="0.31496062992125984" right="0.31496062992125984" top="0.74803149606299213" bottom="0.74803149606299213" header="0.31496062992125984" footer="0.31496062992125984"/>
  <pageSetup paperSize="9" scale="54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E47C-2DEC-4390-8C86-DD5D44450F7B}">
  <dimension ref="A1:M168"/>
  <sheetViews>
    <sheetView topLeftCell="E1" zoomScaleNormal="100" workbookViewId="0">
      <selection activeCell="I15" sqref="I15"/>
    </sheetView>
  </sheetViews>
  <sheetFormatPr defaultRowHeight="15" x14ac:dyDescent="0.25"/>
  <cols>
    <col min="1" max="1" width="30.85546875" style="80" hidden="1" customWidth="1"/>
    <col min="2" max="2" width="17.28515625" style="80" hidden="1" customWidth="1"/>
    <col min="3" max="3" width="8.42578125" style="80" hidden="1" customWidth="1"/>
    <col min="4" max="4" width="11.140625" style="80" hidden="1" customWidth="1"/>
    <col min="5" max="5" width="21.42578125" customWidth="1"/>
    <col min="6" max="6" width="12.42578125" customWidth="1"/>
    <col min="8" max="8" width="22.85546875" customWidth="1"/>
    <col min="9" max="9" width="11.140625" customWidth="1"/>
    <col min="10" max="10" width="8.28515625" customWidth="1"/>
    <col min="11" max="11" width="14.85546875" customWidth="1"/>
    <col min="12" max="12" width="12.85546875" bestFit="1" customWidth="1"/>
    <col min="13" max="13" width="12" customWidth="1"/>
  </cols>
  <sheetData>
    <row r="1" spans="1:13" ht="63" customHeight="1" x14ac:dyDescent="0.3">
      <c r="F1" s="16" t="s">
        <v>136</v>
      </c>
      <c r="H1" s="17"/>
      <c r="J1" s="18"/>
    </row>
    <row r="2" spans="1:13" ht="22.5" x14ac:dyDescent="0.25">
      <c r="B2" s="80" t="s">
        <v>137</v>
      </c>
      <c r="C2" s="80" t="s">
        <v>138</v>
      </c>
      <c r="D2" s="80" t="s">
        <v>139</v>
      </c>
      <c r="E2" s="19" t="s">
        <v>137</v>
      </c>
      <c r="F2" s="20" t="s">
        <v>138</v>
      </c>
      <c r="G2" s="128" t="s">
        <v>2</v>
      </c>
      <c r="H2" s="129"/>
      <c r="I2" s="21" t="s">
        <v>140</v>
      </c>
      <c r="J2" s="22" t="s">
        <v>141</v>
      </c>
      <c r="K2" s="23" t="s">
        <v>106</v>
      </c>
      <c r="L2" s="23" t="s">
        <v>142</v>
      </c>
      <c r="M2" s="23" t="s">
        <v>105</v>
      </c>
    </row>
    <row r="3" spans="1:13" x14ac:dyDescent="0.25">
      <c r="A3" s="81" t="s">
        <v>143</v>
      </c>
      <c r="B3" s="81" t="s">
        <v>144</v>
      </c>
      <c r="C3" s="81" t="s">
        <v>145</v>
      </c>
      <c r="D3" s="81" t="s">
        <v>115</v>
      </c>
      <c r="E3" s="24" t="s">
        <v>144</v>
      </c>
      <c r="F3" s="25" t="s">
        <v>145</v>
      </c>
      <c r="G3" s="26" t="s">
        <v>148</v>
      </c>
      <c r="H3" s="27"/>
      <c r="I3" s="28"/>
      <c r="J3" s="29">
        <v>1</v>
      </c>
      <c r="K3" s="25" t="s">
        <v>310</v>
      </c>
      <c r="L3" s="25" t="s">
        <v>115</v>
      </c>
      <c r="M3" s="79">
        <v>46146</v>
      </c>
    </row>
    <row r="4" spans="1:13" x14ac:dyDescent="0.25">
      <c r="A4" s="81" t="s">
        <v>146</v>
      </c>
      <c r="B4" s="81" t="s">
        <v>144</v>
      </c>
      <c r="C4" s="81" t="s">
        <v>145</v>
      </c>
      <c r="D4" s="81" t="s">
        <v>117</v>
      </c>
      <c r="E4" s="24" t="s">
        <v>144</v>
      </c>
      <c r="F4" s="25" t="s">
        <v>7</v>
      </c>
      <c r="G4" s="26" t="s">
        <v>293</v>
      </c>
      <c r="H4" s="27"/>
      <c r="I4" s="28">
        <v>4</v>
      </c>
      <c r="J4" s="29">
        <v>1</v>
      </c>
      <c r="K4" s="25" t="s">
        <v>367</v>
      </c>
      <c r="L4" s="25" t="s">
        <v>131</v>
      </c>
      <c r="M4" s="79">
        <v>46149</v>
      </c>
    </row>
    <row r="5" spans="1:13" x14ac:dyDescent="0.25">
      <c r="A5" s="81" t="s">
        <v>147</v>
      </c>
      <c r="B5" s="81" t="s">
        <v>144</v>
      </c>
      <c r="C5" s="81" t="s">
        <v>145</v>
      </c>
      <c r="D5" s="81" t="s">
        <v>116</v>
      </c>
      <c r="E5" s="24" t="s">
        <v>144</v>
      </c>
      <c r="F5" s="25" t="s">
        <v>7</v>
      </c>
      <c r="G5" s="26" t="s">
        <v>260</v>
      </c>
      <c r="H5" s="27"/>
      <c r="I5" s="28"/>
      <c r="J5" s="29">
        <v>1</v>
      </c>
      <c r="K5" s="25" t="s">
        <v>368</v>
      </c>
      <c r="L5" s="25" t="s">
        <v>131</v>
      </c>
      <c r="M5" s="79">
        <v>46149</v>
      </c>
    </row>
    <row r="6" spans="1:13" x14ac:dyDescent="0.25">
      <c r="A6" s="81" t="s">
        <v>148</v>
      </c>
      <c r="B6" s="81" t="s">
        <v>144</v>
      </c>
      <c r="C6" s="81" t="s">
        <v>145</v>
      </c>
      <c r="D6" s="81" t="s">
        <v>118</v>
      </c>
      <c r="E6" s="24" t="s">
        <v>144</v>
      </c>
      <c r="F6" s="25" t="s">
        <v>7</v>
      </c>
      <c r="G6" s="26" t="s">
        <v>261</v>
      </c>
      <c r="H6" s="27"/>
      <c r="I6" s="28"/>
      <c r="J6" s="29">
        <v>1</v>
      </c>
      <c r="K6" s="25" t="s">
        <v>368</v>
      </c>
      <c r="L6" s="25" t="s">
        <v>131</v>
      </c>
      <c r="M6" s="79">
        <v>46149</v>
      </c>
    </row>
    <row r="7" spans="1:13" x14ac:dyDescent="0.25">
      <c r="A7" s="81" t="s">
        <v>149</v>
      </c>
      <c r="B7" s="81" t="s">
        <v>144</v>
      </c>
      <c r="C7" s="81" t="s">
        <v>7</v>
      </c>
      <c r="D7" s="81" t="s">
        <v>131</v>
      </c>
      <c r="E7" s="24" t="s">
        <v>144</v>
      </c>
      <c r="F7" s="25" t="s">
        <v>145</v>
      </c>
      <c r="G7" s="26" t="s">
        <v>370</v>
      </c>
      <c r="H7" s="27"/>
      <c r="I7" s="28"/>
      <c r="J7" s="29">
        <v>1</v>
      </c>
      <c r="K7" s="25" t="s">
        <v>310</v>
      </c>
      <c r="L7" s="25" t="s">
        <v>116</v>
      </c>
      <c r="M7" s="79">
        <v>46150</v>
      </c>
    </row>
    <row r="8" spans="1:13" x14ac:dyDescent="0.25">
      <c r="A8" s="81" t="s">
        <v>150</v>
      </c>
      <c r="B8" s="81" t="s">
        <v>144</v>
      </c>
      <c r="C8" s="81" t="s">
        <v>7</v>
      </c>
      <c r="D8" s="81" t="s">
        <v>403</v>
      </c>
      <c r="E8" s="24" t="s">
        <v>144</v>
      </c>
      <c r="F8" s="25" t="s">
        <v>7</v>
      </c>
      <c r="G8" s="26" t="s">
        <v>149</v>
      </c>
      <c r="H8" s="27"/>
      <c r="I8" s="28"/>
      <c r="J8" s="29">
        <v>1</v>
      </c>
      <c r="K8" s="25" t="s">
        <v>310</v>
      </c>
      <c r="L8" s="25" t="s">
        <v>117</v>
      </c>
      <c r="M8" s="79">
        <v>46150</v>
      </c>
    </row>
    <row r="9" spans="1:13" x14ac:dyDescent="0.25">
      <c r="A9" s="81" t="s">
        <v>151</v>
      </c>
      <c r="B9" s="81" t="s">
        <v>144</v>
      </c>
      <c r="C9" s="81" t="s">
        <v>7</v>
      </c>
      <c r="D9" s="81"/>
      <c r="E9" s="24" t="s">
        <v>144</v>
      </c>
      <c r="F9" s="25" t="s">
        <v>7</v>
      </c>
      <c r="G9" s="26" t="s">
        <v>150</v>
      </c>
      <c r="H9" s="27"/>
      <c r="I9" s="28"/>
      <c r="J9" s="29">
        <v>250</v>
      </c>
      <c r="K9" s="25" t="s">
        <v>310</v>
      </c>
      <c r="L9" s="25" t="s">
        <v>117</v>
      </c>
      <c r="M9" s="79">
        <v>46150</v>
      </c>
    </row>
    <row r="10" spans="1:13" x14ac:dyDescent="0.25">
      <c r="A10" s="81" t="s">
        <v>152</v>
      </c>
      <c r="B10" s="81" t="s">
        <v>144</v>
      </c>
      <c r="C10" s="81" t="s">
        <v>7</v>
      </c>
      <c r="D10" s="81"/>
      <c r="E10" s="24" t="s">
        <v>144</v>
      </c>
      <c r="F10" s="25" t="s">
        <v>7</v>
      </c>
      <c r="G10" s="26" t="s">
        <v>181</v>
      </c>
      <c r="H10" s="27"/>
      <c r="I10" s="28"/>
      <c r="J10" s="29">
        <v>2</v>
      </c>
      <c r="K10" s="25" t="s">
        <v>130</v>
      </c>
      <c r="L10" s="25" t="s">
        <v>117</v>
      </c>
      <c r="M10" s="79">
        <v>46150</v>
      </c>
    </row>
    <row r="11" spans="1:13" x14ac:dyDescent="0.25">
      <c r="A11" s="81" t="s">
        <v>153</v>
      </c>
      <c r="B11" s="81" t="s">
        <v>144</v>
      </c>
      <c r="C11" s="81" t="s">
        <v>7</v>
      </c>
      <c r="D11" s="81"/>
      <c r="E11" s="24" t="s">
        <v>144</v>
      </c>
      <c r="F11" s="25" t="s">
        <v>7</v>
      </c>
      <c r="G11" s="26" t="s">
        <v>181</v>
      </c>
      <c r="H11" s="27"/>
      <c r="I11" s="28"/>
      <c r="J11" s="29">
        <v>2</v>
      </c>
      <c r="K11" s="25" t="s">
        <v>130</v>
      </c>
      <c r="L11" s="25" t="s">
        <v>117</v>
      </c>
      <c r="M11" s="79">
        <v>46150</v>
      </c>
    </row>
    <row r="12" spans="1:13" x14ac:dyDescent="0.25">
      <c r="A12" s="81" t="s">
        <v>154</v>
      </c>
      <c r="B12" s="81" t="s">
        <v>144</v>
      </c>
      <c r="C12" s="81" t="s">
        <v>7</v>
      </c>
      <c r="D12" s="81"/>
      <c r="E12" s="24" t="s">
        <v>144</v>
      </c>
      <c r="F12" s="25" t="s">
        <v>145</v>
      </c>
      <c r="G12" s="26" t="s">
        <v>148</v>
      </c>
      <c r="H12" s="27"/>
      <c r="I12" s="28"/>
      <c r="J12" s="29">
        <v>1</v>
      </c>
      <c r="K12" s="25" t="s">
        <v>319</v>
      </c>
      <c r="L12" s="25" t="s">
        <v>115</v>
      </c>
      <c r="M12" s="79">
        <v>46146</v>
      </c>
    </row>
    <row r="13" spans="1:13" x14ac:dyDescent="0.25">
      <c r="A13" s="81" t="s">
        <v>155</v>
      </c>
      <c r="B13" s="81" t="s">
        <v>144</v>
      </c>
      <c r="C13" s="81" t="s">
        <v>7</v>
      </c>
      <c r="D13" s="81"/>
      <c r="E13" s="24" t="s">
        <v>144</v>
      </c>
      <c r="F13" s="25" t="s">
        <v>163</v>
      </c>
      <c r="G13" s="26" t="s">
        <v>149</v>
      </c>
      <c r="H13" s="27"/>
      <c r="I13" s="28"/>
      <c r="J13" s="29">
        <v>1</v>
      </c>
      <c r="K13" s="25" t="s">
        <v>379</v>
      </c>
      <c r="L13" s="25" t="s">
        <v>117</v>
      </c>
      <c r="M13" s="79">
        <v>46146</v>
      </c>
    </row>
    <row r="14" spans="1:13" x14ac:dyDescent="0.25">
      <c r="A14" s="81" t="s">
        <v>156</v>
      </c>
      <c r="B14" s="81" t="s">
        <v>144</v>
      </c>
      <c r="C14" s="81" t="s">
        <v>7</v>
      </c>
      <c r="D14" s="81"/>
      <c r="E14" s="24" t="s">
        <v>144</v>
      </c>
      <c r="F14" s="25" t="s">
        <v>7</v>
      </c>
      <c r="G14" s="26" t="s">
        <v>268</v>
      </c>
      <c r="H14" s="27"/>
      <c r="I14" s="28"/>
      <c r="J14" s="29">
        <v>3</v>
      </c>
      <c r="K14" s="25" t="s">
        <v>380</v>
      </c>
      <c r="L14" s="25" t="s">
        <v>116</v>
      </c>
      <c r="M14" s="79">
        <v>46154</v>
      </c>
    </row>
    <row r="15" spans="1:13" x14ac:dyDescent="0.25">
      <c r="A15" s="81" t="s">
        <v>157</v>
      </c>
      <c r="B15" s="81" t="s">
        <v>144</v>
      </c>
      <c r="C15" s="81" t="s">
        <v>7</v>
      </c>
      <c r="D15" s="81"/>
      <c r="E15" s="24" t="s">
        <v>144</v>
      </c>
      <c r="F15" s="25" t="s">
        <v>7</v>
      </c>
      <c r="G15" s="26" t="s">
        <v>273</v>
      </c>
      <c r="H15" s="27"/>
      <c r="I15" s="28"/>
      <c r="J15" s="29">
        <v>2</v>
      </c>
      <c r="K15" s="25" t="s">
        <v>380</v>
      </c>
      <c r="L15" s="25" t="s">
        <v>116</v>
      </c>
      <c r="M15" s="79">
        <v>46154</v>
      </c>
    </row>
    <row r="16" spans="1:13" x14ac:dyDescent="0.25">
      <c r="A16" s="81" t="s">
        <v>158</v>
      </c>
      <c r="B16" s="81" t="s">
        <v>144</v>
      </c>
      <c r="C16" s="81" t="s">
        <v>7</v>
      </c>
      <c r="D16" s="81"/>
      <c r="E16" s="24" t="s">
        <v>144</v>
      </c>
      <c r="F16" s="25" t="s">
        <v>7</v>
      </c>
      <c r="G16" s="26" t="s">
        <v>150</v>
      </c>
      <c r="H16" s="27"/>
      <c r="I16" s="28"/>
      <c r="J16" s="29">
        <v>250</v>
      </c>
      <c r="K16" s="25" t="s">
        <v>380</v>
      </c>
      <c r="L16" s="25" t="s">
        <v>116</v>
      </c>
      <c r="M16" s="79">
        <v>46154</v>
      </c>
    </row>
    <row r="17" spans="1:13" x14ac:dyDescent="0.25">
      <c r="A17" s="81" t="s">
        <v>159</v>
      </c>
      <c r="B17" s="81" t="s">
        <v>144</v>
      </c>
      <c r="C17" s="81" t="s">
        <v>7</v>
      </c>
      <c r="D17" s="81"/>
      <c r="E17" s="24" t="s">
        <v>144</v>
      </c>
      <c r="F17" s="25" t="s">
        <v>7</v>
      </c>
      <c r="G17" s="26" t="s">
        <v>210</v>
      </c>
      <c r="H17" s="27"/>
      <c r="I17" s="28"/>
      <c r="J17" s="29">
        <v>2</v>
      </c>
      <c r="K17" s="25" t="s">
        <v>380</v>
      </c>
      <c r="L17" s="25" t="s">
        <v>116</v>
      </c>
      <c r="M17" s="79">
        <v>46155</v>
      </c>
    </row>
    <row r="18" spans="1:13" x14ac:dyDescent="0.25">
      <c r="A18" s="81" t="s">
        <v>160</v>
      </c>
      <c r="B18" s="81" t="s">
        <v>144</v>
      </c>
      <c r="C18" s="81" t="s">
        <v>7</v>
      </c>
      <c r="D18" s="81"/>
      <c r="E18" s="24" t="s">
        <v>144</v>
      </c>
      <c r="F18" s="25" t="s">
        <v>7</v>
      </c>
      <c r="G18" s="26" t="s">
        <v>164</v>
      </c>
      <c r="H18" s="27"/>
      <c r="I18" s="28"/>
      <c r="J18" s="29">
        <v>2</v>
      </c>
      <c r="K18" s="25" t="s">
        <v>380</v>
      </c>
      <c r="L18" s="25" t="s">
        <v>116</v>
      </c>
      <c r="M18" s="79">
        <v>46155</v>
      </c>
    </row>
    <row r="19" spans="1:13" x14ac:dyDescent="0.25">
      <c r="A19" s="81" t="s">
        <v>161</v>
      </c>
      <c r="B19" s="81" t="s">
        <v>144</v>
      </c>
      <c r="C19" s="81" t="s">
        <v>7</v>
      </c>
      <c r="D19" s="81"/>
      <c r="E19" s="24" t="s">
        <v>144</v>
      </c>
      <c r="F19" s="25" t="s">
        <v>7</v>
      </c>
      <c r="G19" s="26" t="s">
        <v>170</v>
      </c>
      <c r="H19" s="27"/>
      <c r="I19" s="28"/>
      <c r="J19" s="29">
        <v>2</v>
      </c>
      <c r="K19" s="25" t="s">
        <v>380</v>
      </c>
      <c r="L19" s="25" t="s">
        <v>116</v>
      </c>
      <c r="M19" s="79">
        <v>46155</v>
      </c>
    </row>
    <row r="20" spans="1:13" x14ac:dyDescent="0.25">
      <c r="A20" s="81" t="s">
        <v>162</v>
      </c>
      <c r="B20" s="81" t="s">
        <v>144</v>
      </c>
      <c r="C20" s="81" t="s">
        <v>163</v>
      </c>
      <c r="D20" s="81"/>
      <c r="E20" s="24" t="s">
        <v>144</v>
      </c>
      <c r="F20" s="25" t="s">
        <v>7</v>
      </c>
      <c r="G20" s="26" t="s">
        <v>171</v>
      </c>
      <c r="H20" s="27"/>
      <c r="I20" s="28"/>
      <c r="J20" s="29">
        <v>2</v>
      </c>
      <c r="K20" s="25" t="s">
        <v>380</v>
      </c>
      <c r="L20" s="25" t="s">
        <v>116</v>
      </c>
      <c r="M20" s="79">
        <v>46155</v>
      </c>
    </row>
    <row r="21" spans="1:13" x14ac:dyDescent="0.25">
      <c r="A21" s="81" t="s">
        <v>164</v>
      </c>
      <c r="B21" s="81" t="s">
        <v>144</v>
      </c>
      <c r="C21" s="81" t="s">
        <v>7</v>
      </c>
      <c r="D21" s="81"/>
      <c r="E21" s="24" t="s">
        <v>144</v>
      </c>
      <c r="F21" s="25" t="s">
        <v>7</v>
      </c>
      <c r="G21" s="26" t="s">
        <v>212</v>
      </c>
      <c r="H21" s="27"/>
      <c r="I21" s="28"/>
      <c r="J21" s="29">
        <v>2</v>
      </c>
      <c r="K21" s="25" t="s">
        <v>380</v>
      </c>
      <c r="L21" s="25" t="s">
        <v>116</v>
      </c>
      <c r="M21" s="79">
        <v>46155</v>
      </c>
    </row>
    <row r="22" spans="1:13" x14ac:dyDescent="0.25">
      <c r="A22" s="81" t="s">
        <v>165</v>
      </c>
      <c r="B22" s="81" t="s">
        <v>144</v>
      </c>
      <c r="C22" s="81" t="s">
        <v>7</v>
      </c>
      <c r="D22" s="81"/>
      <c r="E22" s="24" t="s">
        <v>144</v>
      </c>
      <c r="F22" s="25" t="s">
        <v>7</v>
      </c>
      <c r="G22" s="26" t="s">
        <v>246</v>
      </c>
      <c r="H22" s="27"/>
      <c r="I22" s="28"/>
      <c r="J22" s="29">
        <v>2</v>
      </c>
      <c r="K22" s="25" t="s">
        <v>380</v>
      </c>
      <c r="L22" s="25" t="s">
        <v>116</v>
      </c>
      <c r="M22" s="79">
        <v>46155</v>
      </c>
    </row>
    <row r="23" spans="1:13" x14ac:dyDescent="0.25">
      <c r="A23" s="81" t="s">
        <v>166</v>
      </c>
      <c r="B23" s="81" t="s">
        <v>144</v>
      </c>
      <c r="C23" s="81" t="s">
        <v>7</v>
      </c>
      <c r="D23" s="81"/>
      <c r="E23" s="24" t="s">
        <v>144</v>
      </c>
      <c r="F23" s="25" t="s">
        <v>7</v>
      </c>
      <c r="G23" s="26" t="s">
        <v>284</v>
      </c>
      <c r="H23" s="27"/>
      <c r="I23" s="28"/>
      <c r="J23" s="29">
        <v>2</v>
      </c>
      <c r="K23" s="25" t="s">
        <v>380</v>
      </c>
      <c r="L23" s="25" t="s">
        <v>116</v>
      </c>
      <c r="M23" s="79">
        <v>46155</v>
      </c>
    </row>
    <row r="24" spans="1:13" x14ac:dyDescent="0.25">
      <c r="A24" s="81" t="s">
        <v>167</v>
      </c>
      <c r="B24" s="81" t="s">
        <v>144</v>
      </c>
      <c r="C24" s="81" t="s">
        <v>7</v>
      </c>
      <c r="D24" s="81"/>
      <c r="E24" s="24" t="s">
        <v>144</v>
      </c>
      <c r="F24" s="25" t="s">
        <v>163</v>
      </c>
      <c r="G24" s="26" t="s">
        <v>149</v>
      </c>
      <c r="H24" s="27"/>
      <c r="I24" s="28"/>
      <c r="J24" s="29">
        <v>1</v>
      </c>
      <c r="K24" s="25" t="s">
        <v>380</v>
      </c>
      <c r="L24" s="25" t="s">
        <v>116</v>
      </c>
      <c r="M24" s="79">
        <v>46155</v>
      </c>
    </row>
    <row r="25" spans="1:13" x14ac:dyDescent="0.25">
      <c r="A25" s="81" t="s">
        <v>168</v>
      </c>
      <c r="B25" s="81" t="s">
        <v>144</v>
      </c>
      <c r="C25" s="81" t="s">
        <v>7</v>
      </c>
      <c r="D25" s="81"/>
      <c r="E25" s="24" t="s">
        <v>144</v>
      </c>
      <c r="F25" s="25" t="s">
        <v>7</v>
      </c>
      <c r="G25" s="26" t="s">
        <v>277</v>
      </c>
      <c r="H25" s="27"/>
      <c r="I25" s="28"/>
      <c r="J25" s="29">
        <v>3</v>
      </c>
      <c r="K25" s="25" t="s">
        <v>380</v>
      </c>
      <c r="L25" s="25" t="s">
        <v>117</v>
      </c>
      <c r="M25" s="79">
        <v>46156</v>
      </c>
    </row>
    <row r="26" spans="1:13" x14ac:dyDescent="0.25">
      <c r="A26" s="81" t="s">
        <v>169</v>
      </c>
      <c r="B26" s="81" t="s">
        <v>144</v>
      </c>
      <c r="C26" s="81" t="s">
        <v>163</v>
      </c>
      <c r="D26" s="81"/>
      <c r="E26" s="24" t="s">
        <v>144</v>
      </c>
      <c r="F26" s="25" t="s">
        <v>7</v>
      </c>
      <c r="G26" s="26" t="s">
        <v>281</v>
      </c>
      <c r="H26" s="27"/>
      <c r="I26" s="28"/>
      <c r="J26" s="29">
        <v>2</v>
      </c>
      <c r="K26" s="25" t="s">
        <v>380</v>
      </c>
      <c r="L26" s="25" t="s">
        <v>117</v>
      </c>
      <c r="M26" s="79">
        <v>46156</v>
      </c>
    </row>
    <row r="27" spans="1:13" x14ac:dyDescent="0.25">
      <c r="A27" s="81" t="s">
        <v>170</v>
      </c>
      <c r="B27" s="81" t="s">
        <v>144</v>
      </c>
      <c r="C27" s="81" t="s">
        <v>7</v>
      </c>
      <c r="D27" s="81"/>
      <c r="E27" s="24" t="s">
        <v>144</v>
      </c>
      <c r="F27" s="25" t="s">
        <v>7</v>
      </c>
      <c r="G27" s="26" t="s">
        <v>288</v>
      </c>
      <c r="H27" s="27"/>
      <c r="I27" s="28"/>
      <c r="J27" s="29">
        <v>1</v>
      </c>
      <c r="K27" s="25" t="s">
        <v>380</v>
      </c>
      <c r="L27" s="25" t="s">
        <v>117</v>
      </c>
      <c r="M27" s="79">
        <v>46156</v>
      </c>
    </row>
    <row r="28" spans="1:13" x14ac:dyDescent="0.25">
      <c r="A28" s="81" t="s">
        <v>171</v>
      </c>
      <c r="B28" s="81" t="s">
        <v>144</v>
      </c>
      <c r="C28" s="81" t="s">
        <v>163</v>
      </c>
      <c r="D28" s="81"/>
      <c r="E28" s="24" t="s">
        <v>144</v>
      </c>
      <c r="F28" s="25" t="s">
        <v>7</v>
      </c>
      <c r="G28" s="26" t="s">
        <v>271</v>
      </c>
      <c r="H28" s="27"/>
      <c r="I28" s="28"/>
      <c r="J28" s="29">
        <v>1</v>
      </c>
      <c r="K28" s="25" t="s">
        <v>381</v>
      </c>
      <c r="L28" s="25" t="s">
        <v>117</v>
      </c>
      <c r="M28" s="79">
        <v>46144</v>
      </c>
    </row>
    <row r="29" spans="1:13" x14ac:dyDescent="0.25">
      <c r="A29" s="81" t="s">
        <v>172</v>
      </c>
      <c r="B29" s="81" t="s">
        <v>144</v>
      </c>
      <c r="C29" s="81" t="s">
        <v>7</v>
      </c>
      <c r="D29" s="81"/>
      <c r="E29" s="24" t="s">
        <v>144</v>
      </c>
      <c r="F29" s="25" t="s">
        <v>7</v>
      </c>
      <c r="G29" s="26" t="s">
        <v>242</v>
      </c>
      <c r="H29" s="27"/>
      <c r="I29" s="28"/>
      <c r="J29" s="29">
        <v>2</v>
      </c>
      <c r="K29" s="25" t="s">
        <v>381</v>
      </c>
      <c r="L29" s="25" t="s">
        <v>117</v>
      </c>
      <c r="M29" s="79">
        <v>46144</v>
      </c>
    </row>
    <row r="30" spans="1:13" x14ac:dyDescent="0.25">
      <c r="A30" s="81" t="s">
        <v>173</v>
      </c>
      <c r="B30" s="81" t="s">
        <v>144</v>
      </c>
      <c r="C30" s="81" t="s">
        <v>7</v>
      </c>
      <c r="D30" s="81"/>
      <c r="E30" s="24" t="s">
        <v>144</v>
      </c>
      <c r="F30" s="25" t="s">
        <v>7</v>
      </c>
      <c r="G30" s="26" t="s">
        <v>150</v>
      </c>
      <c r="H30" s="27"/>
      <c r="I30" s="28"/>
      <c r="J30" s="29">
        <v>250</v>
      </c>
      <c r="K30" s="25" t="s">
        <v>382</v>
      </c>
      <c r="L30" s="25" t="s">
        <v>131</v>
      </c>
      <c r="M30" s="79">
        <v>46154</v>
      </c>
    </row>
    <row r="31" spans="1:13" x14ac:dyDescent="0.25">
      <c r="A31" s="81" t="s">
        <v>174</v>
      </c>
      <c r="B31" s="81" t="s">
        <v>144</v>
      </c>
      <c r="C31" s="81" t="s">
        <v>7</v>
      </c>
      <c r="D31" s="81"/>
      <c r="E31" s="24" t="s">
        <v>144</v>
      </c>
      <c r="F31" s="25" t="s">
        <v>7</v>
      </c>
      <c r="G31" s="26" t="s">
        <v>149</v>
      </c>
      <c r="H31" s="27"/>
      <c r="I31" s="28"/>
      <c r="J31" s="29">
        <v>1</v>
      </c>
      <c r="K31" s="25" t="s">
        <v>382</v>
      </c>
      <c r="L31" s="25" t="s">
        <v>131</v>
      </c>
      <c r="M31" s="79">
        <v>46155</v>
      </c>
    </row>
    <row r="32" spans="1:13" x14ac:dyDescent="0.25">
      <c r="A32" s="81" t="s">
        <v>175</v>
      </c>
      <c r="B32" s="81" t="s">
        <v>144</v>
      </c>
      <c r="C32" s="81" t="s">
        <v>7</v>
      </c>
      <c r="D32" s="81"/>
      <c r="E32" s="24" t="s">
        <v>144</v>
      </c>
      <c r="F32" s="25" t="s">
        <v>7</v>
      </c>
      <c r="G32" s="26" t="s">
        <v>149</v>
      </c>
      <c r="H32" s="27"/>
      <c r="I32" s="28"/>
      <c r="J32" s="29">
        <v>1</v>
      </c>
      <c r="K32" s="25" t="s">
        <v>114</v>
      </c>
      <c r="L32" s="25" t="s">
        <v>131</v>
      </c>
      <c r="M32" s="79">
        <v>46155</v>
      </c>
    </row>
    <row r="33" spans="1:13" x14ac:dyDescent="0.25">
      <c r="A33" s="81" t="s">
        <v>176</v>
      </c>
      <c r="B33" s="81" t="s">
        <v>144</v>
      </c>
      <c r="C33" s="81" t="s">
        <v>7</v>
      </c>
      <c r="D33" s="81"/>
      <c r="E33" s="24" t="s">
        <v>144</v>
      </c>
      <c r="F33" s="25" t="s">
        <v>7</v>
      </c>
      <c r="G33" s="26" t="s">
        <v>150</v>
      </c>
      <c r="H33" s="27"/>
      <c r="I33" s="28"/>
      <c r="J33" s="29">
        <v>250</v>
      </c>
      <c r="K33" s="25" t="s">
        <v>114</v>
      </c>
      <c r="L33" s="25" t="s">
        <v>131</v>
      </c>
      <c r="M33" s="79">
        <v>46155</v>
      </c>
    </row>
    <row r="34" spans="1:13" x14ac:dyDescent="0.25">
      <c r="A34" s="81" t="s">
        <v>177</v>
      </c>
      <c r="B34" s="81" t="s">
        <v>144</v>
      </c>
      <c r="C34" s="81" t="s">
        <v>7</v>
      </c>
      <c r="D34" s="81"/>
      <c r="E34" s="24" t="s">
        <v>144</v>
      </c>
      <c r="F34" s="25" t="s">
        <v>7</v>
      </c>
      <c r="G34" s="26" t="s">
        <v>162</v>
      </c>
      <c r="H34" s="27"/>
      <c r="I34" s="28"/>
      <c r="J34" s="29">
        <v>1000</v>
      </c>
      <c r="K34" s="25" t="s">
        <v>383</v>
      </c>
      <c r="L34" s="25" t="s">
        <v>131</v>
      </c>
      <c r="M34" s="79">
        <v>46155</v>
      </c>
    </row>
    <row r="35" spans="1:13" x14ac:dyDescent="0.25">
      <c r="A35" s="81" t="s">
        <v>178</v>
      </c>
      <c r="B35" s="81" t="s">
        <v>144</v>
      </c>
      <c r="C35" s="81" t="s">
        <v>7</v>
      </c>
      <c r="D35" s="81"/>
      <c r="E35" s="24" t="s">
        <v>144</v>
      </c>
      <c r="F35" s="25" t="s">
        <v>7</v>
      </c>
      <c r="G35" s="26" t="s">
        <v>162</v>
      </c>
      <c r="H35" s="27"/>
      <c r="I35" s="28"/>
      <c r="J35" s="29">
        <v>400</v>
      </c>
      <c r="K35" s="25" t="s">
        <v>384</v>
      </c>
      <c r="L35" s="25" t="s">
        <v>131</v>
      </c>
      <c r="M35" s="79">
        <v>46155</v>
      </c>
    </row>
    <row r="36" spans="1:13" x14ac:dyDescent="0.25">
      <c r="A36" s="81" t="s">
        <v>179</v>
      </c>
      <c r="B36" s="81" t="s">
        <v>144</v>
      </c>
      <c r="C36" s="81" t="s">
        <v>7</v>
      </c>
      <c r="D36" s="81"/>
      <c r="E36" s="24" t="s">
        <v>144</v>
      </c>
      <c r="F36" s="25" t="s">
        <v>7</v>
      </c>
      <c r="G36" s="26" t="s">
        <v>392</v>
      </c>
      <c r="H36" s="27"/>
      <c r="I36" s="28"/>
      <c r="J36" s="29">
        <v>12</v>
      </c>
      <c r="K36" s="25" t="s">
        <v>396</v>
      </c>
      <c r="L36" s="25" t="s">
        <v>117</v>
      </c>
      <c r="M36" s="79">
        <v>46157</v>
      </c>
    </row>
    <row r="37" spans="1:13" x14ac:dyDescent="0.25">
      <c r="A37" s="81" t="s">
        <v>180</v>
      </c>
      <c r="B37" s="81" t="s">
        <v>144</v>
      </c>
      <c r="C37" s="81" t="s">
        <v>7</v>
      </c>
      <c r="D37" s="81"/>
      <c r="E37" s="24" t="s">
        <v>144</v>
      </c>
      <c r="F37" s="25" t="s">
        <v>7</v>
      </c>
      <c r="G37" s="26" t="s">
        <v>394</v>
      </c>
      <c r="H37" s="27"/>
      <c r="I37" s="28"/>
      <c r="J37" s="29">
        <v>12</v>
      </c>
      <c r="K37" s="25" t="s">
        <v>396</v>
      </c>
      <c r="L37" s="25" t="s">
        <v>117</v>
      </c>
      <c r="M37" s="79">
        <v>46157</v>
      </c>
    </row>
    <row r="38" spans="1:13" x14ac:dyDescent="0.25">
      <c r="A38" s="81" t="s">
        <v>181</v>
      </c>
      <c r="B38" s="81" t="s">
        <v>144</v>
      </c>
      <c r="C38" s="81" t="s">
        <v>7</v>
      </c>
      <c r="D38" s="81"/>
      <c r="E38" s="24" t="s">
        <v>144</v>
      </c>
      <c r="F38" s="25" t="s">
        <v>7</v>
      </c>
      <c r="G38" s="26" t="s">
        <v>392</v>
      </c>
      <c r="H38" s="27"/>
      <c r="I38" s="28"/>
      <c r="J38" s="29">
        <v>12</v>
      </c>
      <c r="K38" s="25" t="s">
        <v>397</v>
      </c>
      <c r="L38" s="25" t="s">
        <v>115</v>
      </c>
      <c r="M38" s="79">
        <v>46159</v>
      </c>
    </row>
    <row r="39" spans="1:13" x14ac:dyDescent="0.25">
      <c r="A39" s="81" t="s">
        <v>182</v>
      </c>
      <c r="B39" s="81" t="s">
        <v>144</v>
      </c>
      <c r="C39" s="81" t="s">
        <v>7</v>
      </c>
      <c r="D39" s="81"/>
      <c r="E39" s="24" t="s">
        <v>144</v>
      </c>
      <c r="F39" s="25" t="s">
        <v>7</v>
      </c>
      <c r="G39" s="26" t="s">
        <v>393</v>
      </c>
      <c r="H39" s="27"/>
      <c r="I39" s="28"/>
      <c r="J39" s="29">
        <v>12</v>
      </c>
      <c r="K39" s="25" t="s">
        <v>397</v>
      </c>
      <c r="L39" s="25" t="s">
        <v>115</v>
      </c>
      <c r="M39" s="79">
        <v>46159</v>
      </c>
    </row>
    <row r="40" spans="1:13" x14ac:dyDescent="0.25">
      <c r="A40" s="81" t="s">
        <v>183</v>
      </c>
      <c r="B40" s="81" t="s">
        <v>144</v>
      </c>
      <c r="C40" s="81" t="s">
        <v>7</v>
      </c>
      <c r="D40" s="81"/>
      <c r="E40" s="24" t="s">
        <v>144</v>
      </c>
      <c r="F40" s="25" t="s">
        <v>7</v>
      </c>
      <c r="G40" s="26" t="s">
        <v>394</v>
      </c>
      <c r="H40" s="27"/>
      <c r="I40" s="28"/>
      <c r="J40" s="29">
        <v>12</v>
      </c>
      <c r="K40" s="25" t="s">
        <v>397</v>
      </c>
      <c r="L40" s="25" t="s">
        <v>115</v>
      </c>
      <c r="M40" s="79">
        <v>46159</v>
      </c>
    </row>
    <row r="41" spans="1:13" x14ac:dyDescent="0.25">
      <c r="A41" s="81" t="s">
        <v>184</v>
      </c>
      <c r="B41" s="81" t="s">
        <v>144</v>
      </c>
      <c r="C41" s="81" t="s">
        <v>7</v>
      </c>
      <c r="D41" s="81"/>
      <c r="E41" s="24" t="s">
        <v>144</v>
      </c>
      <c r="F41" s="25" t="s">
        <v>7</v>
      </c>
      <c r="G41" s="26" t="s">
        <v>292</v>
      </c>
      <c r="H41" s="27"/>
      <c r="I41" s="28"/>
      <c r="J41" s="29">
        <v>3</v>
      </c>
      <c r="K41" s="25" t="s">
        <v>380</v>
      </c>
      <c r="L41" s="25" t="s">
        <v>117</v>
      </c>
      <c r="M41" s="79">
        <v>46161</v>
      </c>
    </row>
    <row r="42" spans="1:13" x14ac:dyDescent="0.25">
      <c r="A42" s="81" t="s">
        <v>185</v>
      </c>
      <c r="B42" s="81" t="s">
        <v>144</v>
      </c>
      <c r="C42" s="81" t="s">
        <v>7</v>
      </c>
      <c r="D42" s="81"/>
      <c r="E42" s="24" t="s">
        <v>144</v>
      </c>
      <c r="F42" s="25" t="s">
        <v>7</v>
      </c>
      <c r="G42" s="26" t="s">
        <v>261</v>
      </c>
      <c r="H42" s="27"/>
      <c r="I42" s="28"/>
      <c r="J42" s="29">
        <v>2</v>
      </c>
      <c r="K42" s="25" t="s">
        <v>380</v>
      </c>
      <c r="L42" s="25" t="s">
        <v>117</v>
      </c>
      <c r="M42" s="79">
        <v>46161</v>
      </c>
    </row>
    <row r="43" spans="1:13" x14ac:dyDescent="0.25">
      <c r="A43" s="81" t="s">
        <v>186</v>
      </c>
      <c r="B43" s="81" t="s">
        <v>144</v>
      </c>
      <c r="C43" s="81" t="s">
        <v>7</v>
      </c>
      <c r="D43" s="81"/>
      <c r="E43" s="24" t="s">
        <v>144</v>
      </c>
      <c r="F43" s="25" t="s">
        <v>7</v>
      </c>
      <c r="G43" s="26" t="s">
        <v>293</v>
      </c>
      <c r="H43" s="27"/>
      <c r="I43" s="28"/>
      <c r="J43" s="29">
        <v>1</v>
      </c>
      <c r="K43" s="25" t="s">
        <v>401</v>
      </c>
      <c r="L43" s="25" t="s">
        <v>131</v>
      </c>
      <c r="M43" s="79">
        <v>46162</v>
      </c>
    </row>
    <row r="44" spans="1:13" x14ac:dyDescent="0.25">
      <c r="A44" s="81" t="s">
        <v>187</v>
      </c>
      <c r="B44" s="81" t="s">
        <v>144</v>
      </c>
      <c r="C44" s="81" t="s">
        <v>7</v>
      </c>
      <c r="D44" s="81"/>
      <c r="E44" s="24" t="s">
        <v>144</v>
      </c>
      <c r="F44" s="25" t="s">
        <v>7</v>
      </c>
      <c r="G44" s="26" t="s">
        <v>250</v>
      </c>
      <c r="H44" s="27"/>
      <c r="I44" s="28"/>
      <c r="J44" s="29">
        <v>1</v>
      </c>
      <c r="K44" s="25" t="s">
        <v>380</v>
      </c>
      <c r="L44" s="25" t="s">
        <v>117</v>
      </c>
      <c r="M44" s="79">
        <v>46162</v>
      </c>
    </row>
    <row r="45" spans="1:13" x14ac:dyDescent="0.25">
      <c r="A45" s="81" t="s">
        <v>188</v>
      </c>
      <c r="B45" s="81" t="s">
        <v>144</v>
      </c>
      <c r="C45" s="81" t="s">
        <v>7</v>
      </c>
      <c r="D45" s="81"/>
      <c r="E45" s="24" t="s">
        <v>144</v>
      </c>
      <c r="F45" s="25" t="s">
        <v>7</v>
      </c>
      <c r="G45" s="26" t="s">
        <v>281</v>
      </c>
      <c r="H45" s="27"/>
      <c r="I45" s="28"/>
      <c r="J45" s="29">
        <v>1</v>
      </c>
      <c r="K45" s="25" t="s">
        <v>380</v>
      </c>
      <c r="L45" s="25" t="s">
        <v>117</v>
      </c>
      <c r="M45" s="79">
        <v>46162</v>
      </c>
    </row>
    <row r="46" spans="1:13" x14ac:dyDescent="0.25">
      <c r="A46" s="81" t="s">
        <v>189</v>
      </c>
      <c r="B46" s="81" t="s">
        <v>144</v>
      </c>
      <c r="C46" s="81" t="s">
        <v>7</v>
      </c>
      <c r="D46" s="81"/>
      <c r="E46" s="24" t="s">
        <v>144</v>
      </c>
      <c r="F46" s="25" t="s">
        <v>7</v>
      </c>
      <c r="G46" s="26" t="s">
        <v>258</v>
      </c>
      <c r="H46" s="27"/>
      <c r="I46" s="28"/>
      <c r="J46" s="29">
        <v>1</v>
      </c>
      <c r="K46" s="25" t="s">
        <v>380</v>
      </c>
      <c r="L46" s="25" t="s">
        <v>117</v>
      </c>
      <c r="M46" s="79">
        <v>46162</v>
      </c>
    </row>
    <row r="47" spans="1:13" x14ac:dyDescent="0.25">
      <c r="A47" s="81" t="s">
        <v>190</v>
      </c>
      <c r="B47" s="81" t="s">
        <v>144</v>
      </c>
      <c r="C47" s="81" t="s">
        <v>7</v>
      </c>
      <c r="D47" s="81"/>
      <c r="E47" s="24" t="s">
        <v>144</v>
      </c>
      <c r="F47" s="25" t="s">
        <v>7</v>
      </c>
      <c r="G47" s="26" t="s">
        <v>249</v>
      </c>
      <c r="H47" s="27"/>
      <c r="I47" s="28"/>
      <c r="J47" s="29">
        <v>1</v>
      </c>
      <c r="K47" s="25" t="s">
        <v>380</v>
      </c>
      <c r="L47" s="25" t="s">
        <v>117</v>
      </c>
      <c r="M47" s="79">
        <v>46162</v>
      </c>
    </row>
    <row r="48" spans="1:13" x14ac:dyDescent="0.25">
      <c r="A48" s="81" t="s">
        <v>191</v>
      </c>
      <c r="B48" s="81" t="s">
        <v>144</v>
      </c>
      <c r="C48" s="81" t="s">
        <v>7</v>
      </c>
      <c r="D48" s="81"/>
      <c r="E48" s="24" t="s">
        <v>144</v>
      </c>
      <c r="F48" s="25" t="s">
        <v>7</v>
      </c>
      <c r="G48" s="26" t="s">
        <v>152</v>
      </c>
      <c r="H48" s="27"/>
      <c r="I48" s="28"/>
      <c r="J48" s="29">
        <v>1</v>
      </c>
      <c r="K48" s="25" t="s">
        <v>380</v>
      </c>
      <c r="L48" s="25" t="s">
        <v>117</v>
      </c>
      <c r="M48" s="79">
        <v>46162</v>
      </c>
    </row>
    <row r="49" spans="1:13" x14ac:dyDescent="0.25">
      <c r="A49" s="81" t="s">
        <v>192</v>
      </c>
      <c r="B49" s="81" t="s">
        <v>144</v>
      </c>
      <c r="C49" s="81" t="s">
        <v>7</v>
      </c>
      <c r="D49" s="81"/>
      <c r="E49" s="24" t="s">
        <v>144</v>
      </c>
      <c r="F49" s="25" t="s">
        <v>7</v>
      </c>
      <c r="G49" s="26" t="s">
        <v>206</v>
      </c>
      <c r="H49" s="27"/>
      <c r="I49" s="28"/>
      <c r="J49" s="29">
        <v>1</v>
      </c>
      <c r="K49" s="25" t="s">
        <v>380</v>
      </c>
      <c r="L49" s="25" t="s">
        <v>117</v>
      </c>
      <c r="M49" s="79">
        <v>46162</v>
      </c>
    </row>
    <row r="50" spans="1:13" x14ac:dyDescent="0.25">
      <c r="A50" s="81" t="s">
        <v>193</v>
      </c>
      <c r="B50" s="81" t="s">
        <v>144</v>
      </c>
      <c r="C50" s="81" t="s">
        <v>7</v>
      </c>
      <c r="D50" s="81"/>
      <c r="E50" s="24" t="s">
        <v>144</v>
      </c>
      <c r="F50" s="25" t="s">
        <v>7</v>
      </c>
      <c r="G50" s="26" t="s">
        <v>256</v>
      </c>
      <c r="H50" s="27"/>
      <c r="I50" s="28"/>
      <c r="J50" s="29">
        <v>1</v>
      </c>
      <c r="K50" s="25" t="s">
        <v>380</v>
      </c>
      <c r="L50" s="25" t="s">
        <v>117</v>
      </c>
      <c r="M50" s="79">
        <v>46162</v>
      </c>
    </row>
    <row r="51" spans="1:13" x14ac:dyDescent="0.25">
      <c r="A51" s="81" t="s">
        <v>194</v>
      </c>
      <c r="B51" s="81" t="s">
        <v>144</v>
      </c>
      <c r="C51" s="81" t="s">
        <v>7</v>
      </c>
      <c r="D51" s="81"/>
      <c r="E51" s="24" t="s">
        <v>144</v>
      </c>
      <c r="F51" s="25" t="s">
        <v>7</v>
      </c>
      <c r="G51" s="26" t="s">
        <v>393</v>
      </c>
      <c r="H51" s="27"/>
      <c r="I51" s="28"/>
      <c r="J51" s="29">
        <v>12</v>
      </c>
      <c r="K51" s="25" t="s">
        <v>401</v>
      </c>
      <c r="L51" s="25" t="s">
        <v>131</v>
      </c>
      <c r="M51" s="79">
        <v>46162</v>
      </c>
    </row>
    <row r="52" spans="1:13" x14ac:dyDescent="0.25">
      <c r="A52" s="81" t="s">
        <v>195</v>
      </c>
      <c r="B52" s="81" t="s">
        <v>144</v>
      </c>
      <c r="C52" s="81" t="s">
        <v>7</v>
      </c>
      <c r="D52" s="81"/>
      <c r="E52" s="24" t="s">
        <v>144</v>
      </c>
      <c r="F52" s="25" t="s">
        <v>7</v>
      </c>
      <c r="G52" s="26" t="s">
        <v>394</v>
      </c>
      <c r="H52" s="27"/>
      <c r="I52" s="28"/>
      <c r="J52" s="29">
        <v>12</v>
      </c>
      <c r="K52" s="25" t="s">
        <v>401</v>
      </c>
      <c r="L52" s="25" t="s">
        <v>131</v>
      </c>
      <c r="M52" s="79">
        <v>46162</v>
      </c>
    </row>
    <row r="53" spans="1:13" x14ac:dyDescent="0.25">
      <c r="A53" s="81" t="s">
        <v>196</v>
      </c>
      <c r="B53" s="81" t="s">
        <v>144</v>
      </c>
      <c r="C53" s="81" t="s">
        <v>7</v>
      </c>
      <c r="D53" s="81"/>
      <c r="E53" s="24" t="s">
        <v>144</v>
      </c>
      <c r="F53" s="25" t="s">
        <v>7</v>
      </c>
      <c r="G53" s="26" t="s">
        <v>393</v>
      </c>
      <c r="H53" s="27"/>
      <c r="I53" s="28"/>
      <c r="J53" s="29">
        <v>12</v>
      </c>
      <c r="K53" s="25" t="s">
        <v>402</v>
      </c>
      <c r="L53" s="25" t="s">
        <v>403</v>
      </c>
      <c r="M53" s="79">
        <v>46163</v>
      </c>
    </row>
    <row r="54" spans="1:13" x14ac:dyDescent="0.25">
      <c r="A54" s="81" t="s">
        <v>197</v>
      </c>
      <c r="B54" s="81" t="s">
        <v>144</v>
      </c>
      <c r="C54" s="81" t="s">
        <v>145</v>
      </c>
      <c r="D54" s="81"/>
      <c r="E54" s="24" t="s">
        <v>144</v>
      </c>
      <c r="F54" s="25" t="s">
        <v>145</v>
      </c>
      <c r="G54" s="26" t="s">
        <v>370</v>
      </c>
      <c r="H54" s="27"/>
      <c r="I54" s="28"/>
      <c r="J54" s="29">
        <v>1</v>
      </c>
      <c r="K54" s="25" t="s">
        <v>310</v>
      </c>
      <c r="L54" s="25" t="s">
        <v>117</v>
      </c>
      <c r="M54" s="79">
        <v>46163</v>
      </c>
    </row>
    <row r="55" spans="1:13" x14ac:dyDescent="0.25">
      <c r="A55" s="81" t="s">
        <v>198</v>
      </c>
      <c r="B55" s="81" t="s">
        <v>144</v>
      </c>
      <c r="C55" s="81" t="s">
        <v>7</v>
      </c>
      <c r="D55" s="81"/>
      <c r="E55" s="24" t="s">
        <v>144</v>
      </c>
      <c r="F55" s="25" t="s">
        <v>7</v>
      </c>
      <c r="G55" s="26" t="s">
        <v>150</v>
      </c>
      <c r="H55" s="27"/>
      <c r="I55" s="28"/>
      <c r="J55" s="29">
        <v>2</v>
      </c>
      <c r="K55" s="25" t="s">
        <v>380</v>
      </c>
      <c r="L55" s="25" t="s">
        <v>117</v>
      </c>
      <c r="M55" s="79">
        <v>46161</v>
      </c>
    </row>
    <row r="56" spans="1:13" x14ac:dyDescent="0.25">
      <c r="A56" s="81" t="s">
        <v>199</v>
      </c>
      <c r="B56" s="81" t="s">
        <v>144</v>
      </c>
      <c r="C56" s="81" t="s">
        <v>7</v>
      </c>
      <c r="D56" s="81"/>
      <c r="E56" s="24" t="s">
        <v>144</v>
      </c>
      <c r="F56" s="25" t="s">
        <v>7</v>
      </c>
      <c r="G56" s="26" t="s">
        <v>151</v>
      </c>
      <c r="H56" s="27"/>
      <c r="I56" s="28"/>
      <c r="J56" s="29">
        <v>4</v>
      </c>
      <c r="K56" s="25" t="s">
        <v>380</v>
      </c>
      <c r="L56" s="25" t="s">
        <v>117</v>
      </c>
      <c r="M56" s="79">
        <v>46161</v>
      </c>
    </row>
    <row r="57" spans="1:13" x14ac:dyDescent="0.25">
      <c r="A57" s="81" t="s">
        <v>200</v>
      </c>
      <c r="B57" s="81" t="s">
        <v>144</v>
      </c>
      <c r="C57" s="81" t="s">
        <v>7</v>
      </c>
      <c r="D57" s="81"/>
      <c r="E57" s="24" t="s">
        <v>144</v>
      </c>
      <c r="F57" s="25" t="s">
        <v>7</v>
      </c>
      <c r="G57" s="26" t="s">
        <v>162</v>
      </c>
      <c r="H57" s="27"/>
      <c r="I57" s="28"/>
      <c r="J57" s="29">
        <v>1000</v>
      </c>
      <c r="K57" s="25" t="s">
        <v>380</v>
      </c>
      <c r="L57" s="25" t="s">
        <v>117</v>
      </c>
      <c r="M57" s="79">
        <v>46161</v>
      </c>
    </row>
    <row r="58" spans="1:13" x14ac:dyDescent="0.25">
      <c r="A58" s="81" t="s">
        <v>201</v>
      </c>
      <c r="B58" s="81" t="s">
        <v>144</v>
      </c>
      <c r="C58" s="81" t="s">
        <v>7</v>
      </c>
      <c r="D58" s="81"/>
      <c r="E58" s="24" t="s">
        <v>144</v>
      </c>
      <c r="F58" s="25" t="s">
        <v>7</v>
      </c>
      <c r="G58" s="27" t="s">
        <v>150</v>
      </c>
      <c r="I58" s="28"/>
      <c r="J58" s="29">
        <v>250</v>
      </c>
      <c r="K58" s="25" t="s">
        <v>405</v>
      </c>
      <c r="L58" s="25" t="s">
        <v>117</v>
      </c>
      <c r="M58" s="79">
        <v>46161</v>
      </c>
    </row>
    <row r="59" spans="1:13" x14ac:dyDescent="0.25">
      <c r="A59" s="81" t="s">
        <v>202</v>
      </c>
      <c r="B59" s="81" t="s">
        <v>144</v>
      </c>
      <c r="C59" s="81" t="s">
        <v>7</v>
      </c>
      <c r="D59" s="81"/>
      <c r="E59" s="24" t="s">
        <v>144</v>
      </c>
      <c r="F59" s="113" t="s">
        <v>7</v>
      </c>
      <c r="G59" s="26" t="s">
        <v>394</v>
      </c>
      <c r="H59" s="27"/>
      <c r="I59" s="28"/>
      <c r="J59" s="29">
        <v>12</v>
      </c>
      <c r="K59" s="25" t="s">
        <v>622</v>
      </c>
      <c r="L59" s="25" t="s">
        <v>117</v>
      </c>
      <c r="M59" s="79">
        <v>46161</v>
      </c>
    </row>
    <row r="60" spans="1:13" x14ac:dyDescent="0.25">
      <c r="A60" s="81" t="s">
        <v>203</v>
      </c>
      <c r="B60" s="81" t="s">
        <v>144</v>
      </c>
      <c r="C60" s="81" t="s">
        <v>7</v>
      </c>
      <c r="D60" s="81"/>
      <c r="E60" s="24" t="s">
        <v>144</v>
      </c>
      <c r="F60" s="113" t="s">
        <v>7</v>
      </c>
      <c r="G60" s="26" t="s">
        <v>393</v>
      </c>
      <c r="H60" s="27"/>
      <c r="I60" s="28"/>
      <c r="J60" s="29">
        <v>12</v>
      </c>
      <c r="K60" s="25" t="s">
        <v>622</v>
      </c>
      <c r="L60" s="25" t="s">
        <v>117</v>
      </c>
      <c r="M60" s="79">
        <v>46161</v>
      </c>
    </row>
    <row r="61" spans="1:13" x14ac:dyDescent="0.25">
      <c r="A61" s="81" t="s">
        <v>204</v>
      </c>
      <c r="B61" s="81" t="s">
        <v>144</v>
      </c>
      <c r="C61" s="81" t="s">
        <v>7</v>
      </c>
      <c r="D61" s="81"/>
      <c r="E61" s="24" t="s">
        <v>144</v>
      </c>
      <c r="F61" s="113" t="s">
        <v>7</v>
      </c>
      <c r="G61" s="26" t="s">
        <v>621</v>
      </c>
      <c r="H61" s="27"/>
      <c r="I61" s="28"/>
      <c r="J61" s="29">
        <v>1</v>
      </c>
      <c r="K61" s="25" t="s">
        <v>622</v>
      </c>
      <c r="L61" s="25" t="s">
        <v>117</v>
      </c>
      <c r="M61" s="79">
        <v>46161</v>
      </c>
    </row>
    <row r="62" spans="1:13" x14ac:dyDescent="0.25">
      <c r="A62" s="81" t="s">
        <v>205</v>
      </c>
      <c r="B62" s="81" t="s">
        <v>144</v>
      </c>
      <c r="C62" s="81" t="s">
        <v>7</v>
      </c>
      <c r="D62" s="81"/>
      <c r="E62" s="24" t="s">
        <v>144</v>
      </c>
      <c r="F62" s="113" t="s">
        <v>7</v>
      </c>
      <c r="G62" s="26" t="s">
        <v>149</v>
      </c>
      <c r="H62" s="27"/>
      <c r="I62" s="28"/>
      <c r="J62" s="29">
        <v>1</v>
      </c>
      <c r="K62" s="25" t="s">
        <v>380</v>
      </c>
      <c r="L62" s="25" t="s">
        <v>116</v>
      </c>
      <c r="M62" s="79">
        <v>46162</v>
      </c>
    </row>
    <row r="63" spans="1:13" x14ac:dyDescent="0.25">
      <c r="A63" s="81" t="s">
        <v>206</v>
      </c>
      <c r="B63" s="81" t="s">
        <v>144</v>
      </c>
      <c r="C63" s="81" t="s">
        <v>7</v>
      </c>
      <c r="D63" s="81"/>
      <c r="E63" s="24" t="s">
        <v>144</v>
      </c>
      <c r="F63" s="113" t="s">
        <v>7</v>
      </c>
      <c r="G63" s="26" t="s">
        <v>265</v>
      </c>
      <c r="H63" s="27"/>
      <c r="I63" s="28"/>
      <c r="J63" s="29">
        <v>2</v>
      </c>
      <c r="K63" s="25" t="s">
        <v>380</v>
      </c>
      <c r="L63" s="25" t="s">
        <v>117</v>
      </c>
      <c r="M63" s="79">
        <v>46162</v>
      </c>
    </row>
    <row r="64" spans="1:13" x14ac:dyDescent="0.25">
      <c r="A64" s="81" t="s">
        <v>207</v>
      </c>
      <c r="B64" s="81" t="s">
        <v>144</v>
      </c>
      <c r="C64" s="81" t="s">
        <v>7</v>
      </c>
      <c r="D64" s="81"/>
      <c r="E64" s="24" t="s">
        <v>144</v>
      </c>
      <c r="F64" s="113" t="s">
        <v>7</v>
      </c>
      <c r="G64" s="26" t="s">
        <v>269</v>
      </c>
      <c r="H64" s="27"/>
      <c r="I64" s="28"/>
      <c r="J64" s="29">
        <v>2</v>
      </c>
      <c r="K64" s="25" t="s">
        <v>380</v>
      </c>
      <c r="L64" s="25" t="s">
        <v>117</v>
      </c>
      <c r="M64" s="79">
        <v>46162</v>
      </c>
    </row>
    <row r="65" spans="1:13" x14ac:dyDescent="0.25">
      <c r="A65" s="81" t="s">
        <v>208</v>
      </c>
      <c r="B65" s="81" t="s">
        <v>144</v>
      </c>
      <c r="C65" s="81" t="s">
        <v>7</v>
      </c>
      <c r="D65" s="81"/>
      <c r="E65" s="24" t="s">
        <v>144</v>
      </c>
      <c r="F65" s="113" t="s">
        <v>7</v>
      </c>
      <c r="G65" s="26" t="s">
        <v>266</v>
      </c>
      <c r="H65" s="27"/>
      <c r="I65" s="28"/>
      <c r="J65" s="29">
        <v>2</v>
      </c>
      <c r="K65" s="25" t="s">
        <v>380</v>
      </c>
      <c r="L65" s="25" t="s">
        <v>117</v>
      </c>
      <c r="M65" s="79">
        <v>46162</v>
      </c>
    </row>
    <row r="66" spans="1:13" x14ac:dyDescent="0.25">
      <c r="A66" s="81" t="s">
        <v>209</v>
      </c>
      <c r="B66" s="81" t="s">
        <v>144</v>
      </c>
      <c r="C66" s="81" t="s">
        <v>7</v>
      </c>
      <c r="D66" s="81"/>
      <c r="E66" s="24" t="s">
        <v>144</v>
      </c>
      <c r="F66" s="113" t="s">
        <v>7</v>
      </c>
      <c r="G66" s="26" t="s">
        <v>152</v>
      </c>
      <c r="H66" s="27"/>
      <c r="I66" s="28"/>
      <c r="J66" s="29">
        <v>2</v>
      </c>
      <c r="K66" s="25" t="s">
        <v>380</v>
      </c>
      <c r="L66" s="25" t="s">
        <v>117</v>
      </c>
      <c r="M66" s="79">
        <v>46162</v>
      </c>
    </row>
    <row r="67" spans="1:13" x14ac:dyDescent="0.25">
      <c r="A67" s="81" t="s">
        <v>210</v>
      </c>
      <c r="B67" s="81" t="s">
        <v>144</v>
      </c>
      <c r="C67" s="81" t="s">
        <v>7</v>
      </c>
      <c r="D67" s="81"/>
      <c r="E67" s="24" t="s">
        <v>144</v>
      </c>
      <c r="F67" s="113" t="s">
        <v>7</v>
      </c>
      <c r="G67" s="26" t="s">
        <v>153</v>
      </c>
      <c r="H67" s="27"/>
      <c r="I67" s="28"/>
      <c r="J67" s="29">
        <v>2</v>
      </c>
      <c r="K67" s="25" t="s">
        <v>380</v>
      </c>
      <c r="L67" s="25" t="s">
        <v>117</v>
      </c>
      <c r="M67" s="79">
        <v>46162</v>
      </c>
    </row>
    <row r="68" spans="1:13" x14ac:dyDescent="0.25">
      <c r="A68" s="81" t="s">
        <v>211</v>
      </c>
      <c r="B68" s="81" t="s">
        <v>144</v>
      </c>
      <c r="C68" s="81" t="s">
        <v>7</v>
      </c>
      <c r="D68" s="81"/>
      <c r="E68" s="24" t="s">
        <v>144</v>
      </c>
      <c r="F68" s="113" t="s">
        <v>7</v>
      </c>
      <c r="G68" s="26" t="s">
        <v>266</v>
      </c>
      <c r="H68" s="27"/>
      <c r="I68" s="28"/>
      <c r="J68" s="29">
        <v>2</v>
      </c>
      <c r="K68" s="25" t="s">
        <v>380</v>
      </c>
      <c r="L68" s="25" t="s">
        <v>117</v>
      </c>
      <c r="M68" s="79">
        <v>46162</v>
      </c>
    </row>
    <row r="69" spans="1:13" x14ac:dyDescent="0.25">
      <c r="A69" s="81" t="s">
        <v>212</v>
      </c>
      <c r="B69" s="81" t="s">
        <v>144</v>
      </c>
      <c r="C69" s="81" t="s">
        <v>7</v>
      </c>
      <c r="D69" s="81"/>
      <c r="E69" s="24" t="s">
        <v>144</v>
      </c>
      <c r="F69" s="113" t="s">
        <v>145</v>
      </c>
      <c r="G69" s="26" t="s">
        <v>370</v>
      </c>
      <c r="H69" s="27"/>
      <c r="I69" s="28"/>
      <c r="J69" s="29">
        <v>1</v>
      </c>
      <c r="K69" s="25" t="s">
        <v>380</v>
      </c>
      <c r="L69" s="25" t="s">
        <v>117</v>
      </c>
      <c r="M69" s="79">
        <v>46162</v>
      </c>
    </row>
    <row r="70" spans="1:13" x14ac:dyDescent="0.25">
      <c r="A70" s="81" t="s">
        <v>213</v>
      </c>
      <c r="B70" s="81" t="s">
        <v>144</v>
      </c>
      <c r="C70" s="81" t="s">
        <v>7</v>
      </c>
      <c r="D70" s="81"/>
      <c r="E70" s="24" t="s">
        <v>144</v>
      </c>
      <c r="F70" s="113" t="s">
        <v>7</v>
      </c>
      <c r="G70" s="114" t="s">
        <v>393</v>
      </c>
      <c r="H70" s="27"/>
      <c r="I70" s="28"/>
      <c r="J70" s="29">
        <v>12</v>
      </c>
      <c r="K70" s="25" t="s">
        <v>311</v>
      </c>
      <c r="L70" s="25" t="s">
        <v>116</v>
      </c>
      <c r="M70" s="79">
        <v>46165</v>
      </c>
    </row>
    <row r="71" spans="1:13" x14ac:dyDescent="0.25">
      <c r="A71" s="81" t="s">
        <v>214</v>
      </c>
      <c r="B71" s="81" t="s">
        <v>144</v>
      </c>
      <c r="C71" s="81" t="s">
        <v>7</v>
      </c>
      <c r="D71" s="81"/>
      <c r="E71" s="24" t="s">
        <v>144</v>
      </c>
      <c r="F71" s="113" t="s">
        <v>7</v>
      </c>
      <c r="G71" s="26" t="s">
        <v>268</v>
      </c>
      <c r="H71" s="27"/>
      <c r="I71" s="28"/>
      <c r="J71" s="29">
        <v>3</v>
      </c>
      <c r="K71" s="25" t="s">
        <v>383</v>
      </c>
      <c r="L71" s="25" t="s">
        <v>117</v>
      </c>
      <c r="M71" s="79">
        <v>46165</v>
      </c>
    </row>
    <row r="72" spans="1:13" x14ac:dyDescent="0.25">
      <c r="A72" s="81" t="s">
        <v>215</v>
      </c>
      <c r="B72" s="81" t="s">
        <v>144</v>
      </c>
      <c r="C72" s="81" t="s">
        <v>7</v>
      </c>
      <c r="D72" s="81"/>
      <c r="E72" s="24" t="s">
        <v>144</v>
      </c>
      <c r="F72" s="113" t="s">
        <v>7</v>
      </c>
      <c r="G72" s="27" t="s">
        <v>364</v>
      </c>
      <c r="I72" s="28"/>
      <c r="J72" s="29">
        <v>1</v>
      </c>
      <c r="K72" s="25" t="s">
        <v>383</v>
      </c>
      <c r="L72" s="25" t="s">
        <v>117</v>
      </c>
      <c r="M72" s="79">
        <v>46167</v>
      </c>
    </row>
    <row r="73" spans="1:13" x14ac:dyDescent="0.25">
      <c r="A73" s="81" t="s">
        <v>216</v>
      </c>
      <c r="B73" s="81" t="s">
        <v>144</v>
      </c>
      <c r="C73" s="81" t="s">
        <v>7</v>
      </c>
      <c r="D73" s="81"/>
      <c r="E73" s="24" t="s">
        <v>144</v>
      </c>
      <c r="F73" s="113" t="s">
        <v>7</v>
      </c>
      <c r="G73" s="26" t="s">
        <v>281</v>
      </c>
      <c r="H73" s="27"/>
      <c r="I73" s="28"/>
      <c r="J73" s="29">
        <v>1</v>
      </c>
      <c r="K73" s="25" t="s">
        <v>110</v>
      </c>
      <c r="L73" s="25" t="s">
        <v>117</v>
      </c>
      <c r="M73" s="79">
        <v>46167</v>
      </c>
    </row>
    <row r="74" spans="1:13" x14ac:dyDescent="0.25">
      <c r="A74" s="81" t="s">
        <v>217</v>
      </c>
      <c r="B74" s="81" t="s">
        <v>144</v>
      </c>
      <c r="C74" s="81" t="s">
        <v>7</v>
      </c>
      <c r="D74" s="81"/>
      <c r="E74" s="24" t="s">
        <v>144</v>
      </c>
      <c r="F74" s="113" t="s">
        <v>7</v>
      </c>
      <c r="G74" s="26" t="s">
        <v>179</v>
      </c>
      <c r="H74" s="27"/>
      <c r="I74" s="28"/>
      <c r="J74" s="29">
        <v>1</v>
      </c>
      <c r="K74" s="25" t="s">
        <v>383</v>
      </c>
      <c r="L74" s="25" t="s">
        <v>117</v>
      </c>
      <c r="M74" s="79">
        <v>46167</v>
      </c>
    </row>
    <row r="75" spans="1:13" x14ac:dyDescent="0.25">
      <c r="A75" s="81" t="s">
        <v>218</v>
      </c>
      <c r="B75" s="81" t="s">
        <v>144</v>
      </c>
      <c r="C75" s="81" t="s">
        <v>7</v>
      </c>
      <c r="D75" s="81"/>
      <c r="E75" s="24" t="s">
        <v>144</v>
      </c>
      <c r="F75" s="113" t="s">
        <v>7</v>
      </c>
      <c r="G75" s="26" t="s">
        <v>277</v>
      </c>
      <c r="H75" s="27"/>
      <c r="I75" s="28"/>
      <c r="J75" s="29">
        <v>1</v>
      </c>
      <c r="K75" s="25" t="s">
        <v>110</v>
      </c>
      <c r="L75" s="25" t="s">
        <v>117</v>
      </c>
      <c r="M75" s="79">
        <v>46167</v>
      </c>
    </row>
    <row r="76" spans="1:13" x14ac:dyDescent="0.25">
      <c r="A76" s="81" t="s">
        <v>219</v>
      </c>
      <c r="B76" s="81" t="s">
        <v>144</v>
      </c>
      <c r="C76" s="81" t="s">
        <v>7</v>
      </c>
      <c r="D76" s="81"/>
      <c r="E76" s="24" t="s">
        <v>144</v>
      </c>
      <c r="F76" s="113" t="s">
        <v>145</v>
      </c>
      <c r="G76" s="27" t="s">
        <v>364</v>
      </c>
      <c r="H76" s="27"/>
      <c r="I76" s="28"/>
      <c r="J76" s="29">
        <v>2</v>
      </c>
      <c r="K76" s="25" t="s">
        <v>110</v>
      </c>
      <c r="L76" s="25" t="s">
        <v>117</v>
      </c>
      <c r="M76" s="79">
        <v>46169</v>
      </c>
    </row>
    <row r="77" spans="1:13" x14ac:dyDescent="0.25">
      <c r="A77" s="81" t="s">
        <v>220</v>
      </c>
      <c r="B77" s="81" t="s">
        <v>144</v>
      </c>
      <c r="C77" s="81" t="s">
        <v>7</v>
      </c>
      <c r="D77" s="81"/>
      <c r="E77" s="24" t="s">
        <v>144</v>
      </c>
      <c r="F77" s="113" t="s">
        <v>7</v>
      </c>
      <c r="G77" s="26" t="s">
        <v>625</v>
      </c>
      <c r="H77" s="27"/>
      <c r="I77" s="28"/>
      <c r="J77" s="29">
        <v>1</v>
      </c>
      <c r="K77" s="25" t="s">
        <v>627</v>
      </c>
      <c r="L77" s="25" t="s">
        <v>117</v>
      </c>
      <c r="M77" s="79">
        <v>46169</v>
      </c>
    </row>
    <row r="78" spans="1:13" x14ac:dyDescent="0.25">
      <c r="A78" s="81" t="s">
        <v>221</v>
      </c>
      <c r="B78" s="81" t="s">
        <v>144</v>
      </c>
      <c r="C78" s="81" t="s">
        <v>7</v>
      </c>
      <c r="D78" s="81"/>
      <c r="E78" s="24" t="s">
        <v>144</v>
      </c>
      <c r="F78" s="113" t="s">
        <v>7</v>
      </c>
      <c r="G78" s="26" t="s">
        <v>626</v>
      </c>
      <c r="H78" s="27"/>
      <c r="I78" s="28"/>
      <c r="J78" s="29">
        <v>1</v>
      </c>
      <c r="K78" s="25" t="s">
        <v>627</v>
      </c>
      <c r="L78" s="25" t="s">
        <v>117</v>
      </c>
      <c r="M78" s="79">
        <v>46169</v>
      </c>
    </row>
    <row r="79" spans="1:13" x14ac:dyDescent="0.25">
      <c r="A79" s="81" t="s">
        <v>222</v>
      </c>
      <c r="B79" s="81" t="s">
        <v>144</v>
      </c>
      <c r="C79" s="81" t="s">
        <v>7</v>
      </c>
      <c r="D79" s="81"/>
      <c r="E79" s="24" t="s">
        <v>144</v>
      </c>
      <c r="F79" s="113" t="s">
        <v>7</v>
      </c>
      <c r="G79" s="26" t="s">
        <v>170</v>
      </c>
      <c r="H79" s="27"/>
      <c r="I79" s="28"/>
      <c r="J79" s="29">
        <v>4</v>
      </c>
      <c r="K79" s="25" t="s">
        <v>627</v>
      </c>
      <c r="L79" s="25" t="s">
        <v>117</v>
      </c>
      <c r="M79" s="79">
        <v>46169</v>
      </c>
    </row>
    <row r="80" spans="1:13" x14ac:dyDescent="0.25">
      <c r="A80" s="81" t="s">
        <v>223</v>
      </c>
      <c r="B80" s="81" t="s">
        <v>144</v>
      </c>
      <c r="C80" s="81" t="s">
        <v>7</v>
      </c>
      <c r="D80" s="81"/>
      <c r="E80" s="24" t="s">
        <v>144</v>
      </c>
      <c r="F80" s="113" t="s">
        <v>145</v>
      </c>
      <c r="G80" s="26" t="s">
        <v>628</v>
      </c>
      <c r="H80" s="27"/>
      <c r="I80" s="28"/>
      <c r="J80" s="29">
        <v>1</v>
      </c>
      <c r="K80" s="25" t="s">
        <v>627</v>
      </c>
      <c r="L80" s="25" t="s">
        <v>117</v>
      </c>
      <c r="M80" s="79">
        <v>46169</v>
      </c>
    </row>
    <row r="81" spans="1:13" x14ac:dyDescent="0.25">
      <c r="A81" s="81" t="s">
        <v>224</v>
      </c>
      <c r="B81" s="81" t="s">
        <v>144</v>
      </c>
      <c r="C81" s="81" t="s">
        <v>7</v>
      </c>
      <c r="D81" s="81"/>
      <c r="E81" s="24" t="s">
        <v>144</v>
      </c>
      <c r="F81" s="25" t="s">
        <v>7</v>
      </c>
      <c r="G81" s="26" t="s">
        <v>268</v>
      </c>
      <c r="H81" s="27"/>
      <c r="I81" s="28"/>
      <c r="J81" s="29">
        <v>3</v>
      </c>
      <c r="K81" s="25" t="s">
        <v>383</v>
      </c>
      <c r="L81" s="25" t="s">
        <v>117</v>
      </c>
      <c r="M81" s="79">
        <v>46170</v>
      </c>
    </row>
    <row r="82" spans="1:13" x14ac:dyDescent="0.25">
      <c r="A82" s="81" t="s">
        <v>225</v>
      </c>
      <c r="B82" s="81" t="s">
        <v>144</v>
      </c>
      <c r="C82" s="81" t="s">
        <v>7</v>
      </c>
      <c r="D82" s="81"/>
      <c r="E82" s="24"/>
      <c r="F82" s="25"/>
      <c r="G82" s="26"/>
      <c r="H82" s="27"/>
      <c r="I82" s="28"/>
      <c r="J82" s="29"/>
      <c r="K82" s="25"/>
      <c r="L82" s="25"/>
      <c r="M82" s="25"/>
    </row>
    <row r="83" spans="1:13" x14ac:dyDescent="0.25">
      <c r="A83" s="81" t="s">
        <v>226</v>
      </c>
      <c r="B83" s="81" t="s">
        <v>144</v>
      </c>
      <c r="C83" s="81" t="s">
        <v>7</v>
      </c>
      <c r="D83" s="81"/>
      <c r="E83" s="24"/>
      <c r="F83" s="25"/>
      <c r="G83" s="26"/>
      <c r="H83" s="27"/>
      <c r="I83" s="28"/>
      <c r="J83" s="29"/>
      <c r="K83" s="25"/>
      <c r="L83" s="25"/>
      <c r="M83" s="25"/>
    </row>
    <row r="84" spans="1:13" x14ac:dyDescent="0.25">
      <c r="A84" s="81" t="s">
        <v>227</v>
      </c>
      <c r="B84" s="81" t="s">
        <v>144</v>
      </c>
      <c r="C84" s="81" t="s">
        <v>7</v>
      </c>
      <c r="D84" s="81"/>
      <c r="E84" s="24"/>
      <c r="F84" s="25"/>
      <c r="G84" s="26"/>
      <c r="H84" s="27"/>
      <c r="I84" s="28"/>
      <c r="J84" s="29"/>
      <c r="K84" s="25"/>
      <c r="L84" s="25"/>
      <c r="M84" s="25"/>
    </row>
    <row r="85" spans="1:13" x14ac:dyDescent="0.25">
      <c r="A85" s="81" t="s">
        <v>228</v>
      </c>
      <c r="B85" s="81" t="s">
        <v>144</v>
      </c>
      <c r="C85" s="81" t="s">
        <v>7</v>
      </c>
      <c r="D85" s="81"/>
      <c r="E85" s="24"/>
      <c r="F85" s="25"/>
      <c r="G85" s="26"/>
      <c r="H85" s="27"/>
      <c r="I85" s="28"/>
      <c r="J85" s="29"/>
      <c r="K85" s="25"/>
      <c r="L85" s="25"/>
      <c r="M85" s="25"/>
    </row>
    <row r="86" spans="1:13" x14ac:dyDescent="0.25">
      <c r="A86" s="81" t="s">
        <v>229</v>
      </c>
      <c r="B86" s="81" t="s">
        <v>144</v>
      </c>
      <c r="C86" s="81" t="s">
        <v>7</v>
      </c>
      <c r="D86" s="81"/>
      <c r="E86" s="24"/>
      <c r="F86" s="25"/>
      <c r="G86" s="26"/>
      <c r="H86" s="27"/>
      <c r="I86" s="28"/>
      <c r="J86" s="29"/>
      <c r="K86" s="25"/>
      <c r="L86" s="25"/>
      <c r="M86" s="25"/>
    </row>
    <row r="87" spans="1:13" x14ac:dyDescent="0.25">
      <c r="A87" s="81" t="s">
        <v>230</v>
      </c>
      <c r="B87" s="81" t="s">
        <v>144</v>
      </c>
      <c r="C87" s="81" t="s">
        <v>7</v>
      </c>
      <c r="D87" s="81"/>
      <c r="E87" s="24"/>
      <c r="F87" s="25"/>
      <c r="G87" s="26"/>
      <c r="H87" s="27"/>
      <c r="I87" s="28"/>
      <c r="J87" s="29"/>
      <c r="K87" s="25"/>
      <c r="L87" s="25"/>
      <c r="M87" s="25"/>
    </row>
    <row r="88" spans="1:13" x14ac:dyDescent="0.25">
      <c r="A88" s="81" t="s">
        <v>231</v>
      </c>
      <c r="B88" s="81" t="s">
        <v>144</v>
      </c>
      <c r="C88" s="81" t="s">
        <v>7</v>
      </c>
      <c r="D88" s="81"/>
      <c r="E88" s="24"/>
      <c r="F88" s="25"/>
      <c r="G88" s="26"/>
      <c r="H88" s="27"/>
      <c r="I88" s="28"/>
      <c r="J88" s="29"/>
      <c r="K88" s="25"/>
      <c r="L88" s="25"/>
      <c r="M88" s="25"/>
    </row>
    <row r="89" spans="1:13" x14ac:dyDescent="0.25">
      <c r="A89" s="81" t="s">
        <v>232</v>
      </c>
      <c r="B89" s="81" t="s">
        <v>144</v>
      </c>
      <c r="C89" s="81" t="s">
        <v>7</v>
      </c>
      <c r="D89" s="81"/>
      <c r="E89" s="24"/>
      <c r="F89" s="25"/>
      <c r="G89" s="26"/>
      <c r="H89" s="27"/>
      <c r="I89" s="28"/>
      <c r="J89" s="29"/>
      <c r="K89" s="25"/>
      <c r="L89" s="25"/>
      <c r="M89" s="25"/>
    </row>
    <row r="90" spans="1:13" x14ac:dyDescent="0.25">
      <c r="A90" s="81" t="s">
        <v>233</v>
      </c>
      <c r="B90" s="81" t="s">
        <v>144</v>
      </c>
      <c r="C90" s="81" t="s">
        <v>7</v>
      </c>
      <c r="D90" s="81"/>
      <c r="E90" s="24"/>
      <c r="F90" s="25"/>
      <c r="G90" s="26"/>
      <c r="H90" s="27"/>
      <c r="I90" s="28"/>
      <c r="J90" s="29"/>
      <c r="K90" s="25"/>
      <c r="L90" s="25"/>
      <c r="M90" s="25"/>
    </row>
    <row r="91" spans="1:13" x14ac:dyDescent="0.25">
      <c r="A91" s="81" t="s">
        <v>234</v>
      </c>
      <c r="B91" s="81" t="s">
        <v>144</v>
      </c>
      <c r="C91" s="81" t="s">
        <v>7</v>
      </c>
      <c r="D91" s="81"/>
      <c r="E91" s="24"/>
      <c r="F91" s="25"/>
      <c r="G91" s="26"/>
      <c r="H91" s="27"/>
      <c r="I91" s="28"/>
      <c r="J91" s="29"/>
      <c r="K91" s="25"/>
      <c r="L91" s="25"/>
      <c r="M91" s="25"/>
    </row>
    <row r="92" spans="1:13" x14ac:dyDescent="0.25">
      <c r="A92" s="81" t="s">
        <v>235</v>
      </c>
      <c r="B92" s="81" t="s">
        <v>144</v>
      </c>
      <c r="C92" s="81" t="s">
        <v>7</v>
      </c>
      <c r="D92" s="81"/>
      <c r="E92" s="24"/>
      <c r="F92" s="25"/>
      <c r="G92" s="26"/>
      <c r="H92" s="27"/>
      <c r="I92" s="28"/>
      <c r="J92" s="29"/>
      <c r="K92" s="25"/>
      <c r="L92" s="25"/>
      <c r="M92" s="25"/>
    </row>
    <row r="93" spans="1:13" x14ac:dyDescent="0.25">
      <c r="A93" s="81" t="s">
        <v>236</v>
      </c>
      <c r="B93" s="81" t="s">
        <v>144</v>
      </c>
      <c r="C93" s="81" t="s">
        <v>7</v>
      </c>
      <c r="D93" s="81"/>
      <c r="E93" s="24"/>
      <c r="F93" s="25"/>
      <c r="G93" s="26"/>
      <c r="H93" s="27"/>
      <c r="I93" s="28"/>
      <c r="J93" s="29"/>
      <c r="K93" s="25"/>
      <c r="L93" s="25"/>
      <c r="M93" s="25"/>
    </row>
    <row r="94" spans="1:13" x14ac:dyDescent="0.25">
      <c r="A94" s="81" t="s">
        <v>237</v>
      </c>
      <c r="B94" s="81" t="s">
        <v>144</v>
      </c>
      <c r="C94" s="81" t="s">
        <v>7</v>
      </c>
      <c r="D94" s="81"/>
      <c r="E94" s="24"/>
      <c r="F94" s="25"/>
      <c r="G94" s="26"/>
      <c r="H94" s="27"/>
      <c r="I94" s="28"/>
      <c r="J94" s="29"/>
      <c r="K94" s="25"/>
      <c r="L94" s="25"/>
      <c r="M94" s="25"/>
    </row>
    <row r="95" spans="1:13" x14ac:dyDescent="0.25">
      <c r="A95" s="81" t="s">
        <v>238</v>
      </c>
      <c r="B95" s="81" t="s">
        <v>144</v>
      </c>
      <c r="C95" s="81" t="s">
        <v>7</v>
      </c>
      <c r="D95" s="81"/>
      <c r="E95" s="24"/>
      <c r="F95" s="25"/>
      <c r="G95" s="26"/>
      <c r="H95" s="27"/>
      <c r="I95" s="28"/>
      <c r="J95" s="29"/>
      <c r="K95" s="25"/>
      <c r="L95" s="25"/>
      <c r="M95" s="25"/>
    </row>
    <row r="96" spans="1:13" x14ac:dyDescent="0.25">
      <c r="A96" s="81" t="s">
        <v>239</v>
      </c>
      <c r="B96" s="81" t="s">
        <v>144</v>
      </c>
      <c r="C96" s="81" t="s">
        <v>7</v>
      </c>
      <c r="D96" s="81"/>
      <c r="E96" s="24"/>
      <c r="F96" s="25"/>
      <c r="G96" s="26"/>
      <c r="H96" s="27"/>
      <c r="I96" s="28"/>
      <c r="J96" s="29"/>
      <c r="K96" s="25"/>
      <c r="L96" s="25"/>
      <c r="M96" s="25"/>
    </row>
    <row r="97" spans="1:13" x14ac:dyDescent="0.25">
      <c r="A97" s="81" t="s">
        <v>240</v>
      </c>
      <c r="B97" s="81" t="s">
        <v>144</v>
      </c>
      <c r="C97" s="81" t="s">
        <v>7</v>
      </c>
      <c r="D97" s="81"/>
      <c r="E97" s="24"/>
      <c r="F97" s="25"/>
      <c r="G97" s="26"/>
      <c r="H97" s="27"/>
      <c r="I97" s="28"/>
      <c r="J97" s="29"/>
      <c r="K97" s="25"/>
      <c r="L97" s="25"/>
      <c r="M97" s="25"/>
    </row>
    <row r="98" spans="1:13" x14ac:dyDescent="0.25">
      <c r="A98" s="81" t="s">
        <v>241</v>
      </c>
      <c r="B98" s="81" t="s">
        <v>144</v>
      </c>
      <c r="C98" s="81" t="s">
        <v>7</v>
      </c>
      <c r="D98" s="81"/>
      <c r="E98" s="24"/>
      <c r="F98" s="25"/>
      <c r="G98" s="26"/>
      <c r="H98" s="27"/>
      <c r="I98" s="28"/>
      <c r="J98" s="29"/>
      <c r="K98" s="25"/>
      <c r="L98" s="25"/>
      <c r="M98" s="25"/>
    </row>
    <row r="99" spans="1:13" x14ac:dyDescent="0.25">
      <c r="A99" s="81" t="s">
        <v>242</v>
      </c>
      <c r="B99" s="81" t="s">
        <v>144</v>
      </c>
      <c r="C99" s="81" t="s">
        <v>7</v>
      </c>
      <c r="D99" s="81"/>
      <c r="E99" s="24"/>
      <c r="F99" s="25"/>
      <c r="G99" s="26"/>
      <c r="H99" s="27"/>
      <c r="I99" s="28"/>
      <c r="J99" s="29"/>
      <c r="K99" s="25"/>
      <c r="L99" s="25"/>
      <c r="M99" s="25"/>
    </row>
    <row r="100" spans="1:13" x14ac:dyDescent="0.25">
      <c r="A100" s="81" t="s">
        <v>243</v>
      </c>
      <c r="B100" s="81" t="s">
        <v>144</v>
      </c>
      <c r="C100" s="81" t="s">
        <v>7</v>
      </c>
      <c r="D100" s="81"/>
      <c r="E100" s="24"/>
      <c r="F100" s="25"/>
      <c r="G100" s="26"/>
      <c r="H100" s="27"/>
      <c r="I100" s="28"/>
      <c r="J100" s="29"/>
      <c r="K100" s="25"/>
      <c r="L100" s="25"/>
      <c r="M100" s="25"/>
    </row>
    <row r="101" spans="1:13" x14ac:dyDescent="0.25">
      <c r="A101" s="81" t="s">
        <v>244</v>
      </c>
      <c r="B101" s="81" t="s">
        <v>144</v>
      </c>
      <c r="C101" s="81" t="s">
        <v>7</v>
      </c>
      <c r="D101" s="81"/>
      <c r="E101" s="24"/>
      <c r="F101" s="25"/>
      <c r="G101" s="26"/>
      <c r="H101" s="27"/>
      <c r="I101" s="28"/>
      <c r="J101" s="29"/>
      <c r="K101" s="25"/>
      <c r="L101" s="25"/>
      <c r="M101" s="25"/>
    </row>
    <row r="102" spans="1:13" x14ac:dyDescent="0.25">
      <c r="A102" s="81" t="s">
        <v>245</v>
      </c>
      <c r="B102" s="81" t="s">
        <v>144</v>
      </c>
      <c r="C102" s="81" t="s">
        <v>7</v>
      </c>
      <c r="D102" s="81"/>
      <c r="E102" s="24"/>
      <c r="F102" s="25"/>
      <c r="G102" s="26"/>
      <c r="H102" s="27"/>
      <c r="I102" s="28"/>
      <c r="J102" s="29"/>
      <c r="K102" s="25"/>
      <c r="L102" s="25"/>
      <c r="M102" s="25"/>
    </row>
    <row r="103" spans="1:13" x14ac:dyDescent="0.25">
      <c r="A103" s="81" t="s">
        <v>246</v>
      </c>
      <c r="B103" s="81" t="s">
        <v>144</v>
      </c>
      <c r="C103" s="81" t="s">
        <v>7</v>
      </c>
      <c r="D103" s="81"/>
      <c r="E103" s="24"/>
      <c r="F103" s="25"/>
      <c r="G103" s="26"/>
      <c r="H103" s="27"/>
      <c r="I103" s="28"/>
      <c r="J103" s="29"/>
      <c r="K103" s="25"/>
      <c r="L103" s="25"/>
      <c r="M103" s="25"/>
    </row>
    <row r="104" spans="1:13" x14ac:dyDescent="0.25">
      <c r="A104" s="81" t="s">
        <v>247</v>
      </c>
      <c r="B104" s="81" t="s">
        <v>144</v>
      </c>
      <c r="C104" s="81" t="s">
        <v>7</v>
      </c>
      <c r="D104" s="81"/>
      <c r="E104" s="24"/>
      <c r="F104" s="25"/>
      <c r="G104" s="26"/>
      <c r="H104" s="27"/>
      <c r="I104" s="28"/>
      <c r="J104" s="29"/>
      <c r="K104" s="25"/>
      <c r="L104" s="25"/>
      <c r="M104" s="25"/>
    </row>
    <row r="105" spans="1:13" x14ac:dyDescent="0.25">
      <c r="A105" s="81" t="s">
        <v>248</v>
      </c>
      <c r="B105" s="81" t="s">
        <v>144</v>
      </c>
      <c r="C105" s="81" t="s">
        <v>7</v>
      </c>
      <c r="D105" s="81"/>
      <c r="E105" s="24"/>
      <c r="F105" s="25"/>
      <c r="G105" s="26"/>
      <c r="H105" s="27"/>
      <c r="I105" s="28"/>
      <c r="J105" s="29"/>
      <c r="K105" s="25"/>
      <c r="L105" s="25"/>
      <c r="M105" s="25"/>
    </row>
    <row r="106" spans="1:13" x14ac:dyDescent="0.25">
      <c r="A106" s="81" t="s">
        <v>249</v>
      </c>
      <c r="B106" s="81" t="s">
        <v>144</v>
      </c>
      <c r="C106" s="81" t="s">
        <v>7</v>
      </c>
      <c r="D106" s="81"/>
      <c r="E106" s="24"/>
      <c r="F106" s="25"/>
      <c r="G106" s="26"/>
      <c r="H106" s="27"/>
      <c r="I106" s="28"/>
      <c r="J106" s="29"/>
      <c r="K106" s="25"/>
      <c r="L106" s="25"/>
      <c r="M106" s="25"/>
    </row>
    <row r="107" spans="1:13" x14ac:dyDescent="0.25">
      <c r="A107" s="81" t="s">
        <v>250</v>
      </c>
      <c r="B107" s="81" t="s">
        <v>144</v>
      </c>
      <c r="C107" s="81" t="s">
        <v>7</v>
      </c>
      <c r="D107" s="81"/>
      <c r="E107" s="24"/>
      <c r="F107" s="25"/>
      <c r="G107" s="26"/>
      <c r="H107" s="27"/>
      <c r="I107" s="28"/>
      <c r="J107" s="29"/>
      <c r="K107" s="25"/>
      <c r="L107" s="25"/>
      <c r="M107" s="25"/>
    </row>
    <row r="108" spans="1:13" x14ac:dyDescent="0.25">
      <c r="A108" s="81" t="s">
        <v>251</v>
      </c>
      <c r="B108" s="81" t="s">
        <v>144</v>
      </c>
      <c r="C108" s="81" t="s">
        <v>7</v>
      </c>
      <c r="D108" s="81"/>
      <c r="E108" s="24"/>
      <c r="F108" s="25"/>
      <c r="G108" s="26"/>
      <c r="H108" s="27"/>
      <c r="I108" s="28"/>
      <c r="J108" s="29"/>
      <c r="K108" s="25"/>
      <c r="L108" s="25"/>
      <c r="M108" s="25"/>
    </row>
    <row r="109" spans="1:13" x14ac:dyDescent="0.25">
      <c r="A109" s="81" t="s">
        <v>252</v>
      </c>
      <c r="B109" s="81" t="s">
        <v>144</v>
      </c>
      <c r="C109" s="81" t="s">
        <v>7</v>
      </c>
      <c r="D109" s="81"/>
      <c r="E109" s="24"/>
      <c r="F109" s="25"/>
      <c r="G109" s="26"/>
      <c r="H109" s="27"/>
      <c r="I109" s="28"/>
      <c r="J109" s="29"/>
      <c r="K109" s="25"/>
      <c r="L109" s="25"/>
      <c r="M109" s="25"/>
    </row>
    <row r="110" spans="1:13" x14ac:dyDescent="0.25">
      <c r="A110" s="81" t="s">
        <v>253</v>
      </c>
      <c r="B110" s="81" t="s">
        <v>144</v>
      </c>
      <c r="C110" s="81" t="s">
        <v>7</v>
      </c>
      <c r="D110" s="81"/>
      <c r="E110" s="24"/>
      <c r="F110" s="25"/>
      <c r="G110" s="26"/>
      <c r="H110" s="27"/>
      <c r="I110" s="28"/>
      <c r="J110" s="29"/>
      <c r="K110" s="25"/>
      <c r="L110" s="25"/>
      <c r="M110" s="25"/>
    </row>
    <row r="111" spans="1:13" x14ac:dyDescent="0.25">
      <c r="A111" s="81" t="s">
        <v>254</v>
      </c>
      <c r="B111" s="81" t="s">
        <v>144</v>
      </c>
      <c r="C111" s="81" t="s">
        <v>7</v>
      </c>
      <c r="D111" s="81"/>
      <c r="E111" s="24"/>
      <c r="F111" s="25"/>
      <c r="G111" s="26"/>
      <c r="H111" s="27"/>
      <c r="I111" s="28"/>
      <c r="J111" s="29"/>
      <c r="K111" s="25"/>
      <c r="L111" s="25"/>
      <c r="M111" s="25"/>
    </row>
    <row r="112" spans="1:13" x14ac:dyDescent="0.25">
      <c r="A112" s="81" t="s">
        <v>255</v>
      </c>
      <c r="B112" s="81" t="s">
        <v>144</v>
      </c>
      <c r="C112" s="81" t="s">
        <v>7</v>
      </c>
      <c r="D112" s="81"/>
      <c r="E112" s="24"/>
      <c r="F112" s="25"/>
      <c r="G112" s="26"/>
      <c r="H112" s="27"/>
      <c r="I112" s="28"/>
      <c r="J112" s="29"/>
      <c r="K112" s="25"/>
      <c r="L112" s="25"/>
      <c r="M112" s="25"/>
    </row>
    <row r="113" spans="1:13" x14ac:dyDescent="0.25">
      <c r="A113" s="81" t="s">
        <v>256</v>
      </c>
      <c r="B113" s="81" t="s">
        <v>144</v>
      </c>
      <c r="C113" s="81" t="s">
        <v>7</v>
      </c>
      <c r="D113" s="81"/>
      <c r="E113" s="24"/>
      <c r="F113" s="25"/>
      <c r="G113" s="26"/>
      <c r="H113" s="27"/>
      <c r="I113" s="28"/>
      <c r="J113" s="29"/>
      <c r="K113" s="25"/>
      <c r="L113" s="25"/>
      <c r="M113" s="25"/>
    </row>
    <row r="114" spans="1:13" x14ac:dyDescent="0.25">
      <c r="A114" s="81" t="s">
        <v>257</v>
      </c>
      <c r="B114" s="81" t="s">
        <v>144</v>
      </c>
      <c r="C114" s="81" t="s">
        <v>7</v>
      </c>
      <c r="D114" s="81"/>
      <c r="E114" s="24"/>
      <c r="F114" s="25"/>
      <c r="G114" s="26"/>
      <c r="H114" s="27"/>
      <c r="I114" s="28"/>
      <c r="J114" s="29"/>
      <c r="K114" s="25"/>
      <c r="L114" s="25"/>
      <c r="M114" s="25"/>
    </row>
    <row r="115" spans="1:13" x14ac:dyDescent="0.25">
      <c r="A115" s="81" t="s">
        <v>258</v>
      </c>
      <c r="B115" s="81" t="s">
        <v>144</v>
      </c>
      <c r="C115" s="81" t="s">
        <v>7</v>
      </c>
      <c r="D115" s="81"/>
      <c r="E115" s="24"/>
      <c r="F115" s="25"/>
      <c r="G115" s="26"/>
      <c r="H115" s="27"/>
      <c r="I115" s="28"/>
      <c r="J115" s="29"/>
      <c r="K115" s="25"/>
      <c r="L115" s="25"/>
      <c r="M115" s="25"/>
    </row>
    <row r="116" spans="1:13" x14ac:dyDescent="0.25">
      <c r="A116" s="81" t="s">
        <v>259</v>
      </c>
      <c r="B116" s="81" t="s">
        <v>144</v>
      </c>
      <c r="C116" s="81" t="s">
        <v>7</v>
      </c>
      <c r="D116" s="81"/>
      <c r="E116" s="24"/>
      <c r="F116" s="25"/>
      <c r="G116" s="26"/>
      <c r="H116" s="27"/>
      <c r="I116" s="28"/>
      <c r="J116" s="29"/>
      <c r="K116" s="25"/>
      <c r="L116" s="25"/>
      <c r="M116" s="25"/>
    </row>
    <row r="117" spans="1:13" x14ac:dyDescent="0.25">
      <c r="A117" s="81" t="s">
        <v>260</v>
      </c>
      <c r="B117" s="81" t="s">
        <v>144</v>
      </c>
      <c r="C117" s="81" t="s">
        <v>7</v>
      </c>
      <c r="D117" s="81"/>
      <c r="E117" s="24"/>
      <c r="F117" s="25"/>
      <c r="G117" s="26"/>
      <c r="H117" s="27"/>
      <c r="I117" s="28"/>
      <c r="J117" s="29"/>
      <c r="K117" s="25"/>
      <c r="L117" s="25"/>
      <c r="M117" s="25"/>
    </row>
    <row r="118" spans="1:13" x14ac:dyDescent="0.25">
      <c r="A118" s="81" t="s">
        <v>261</v>
      </c>
      <c r="B118" s="81" t="s">
        <v>144</v>
      </c>
      <c r="C118" s="81" t="s">
        <v>7</v>
      </c>
      <c r="D118" s="81"/>
      <c r="E118" s="24"/>
      <c r="F118" s="25"/>
      <c r="G118" s="26"/>
      <c r="H118" s="27"/>
      <c r="I118" s="28"/>
      <c r="J118" s="29"/>
      <c r="K118" s="25"/>
      <c r="L118" s="25"/>
      <c r="M118" s="25"/>
    </row>
    <row r="119" spans="1:13" x14ac:dyDescent="0.25">
      <c r="A119" s="81" t="s">
        <v>262</v>
      </c>
      <c r="B119" s="81" t="s">
        <v>144</v>
      </c>
      <c r="C119" s="81" t="s">
        <v>7</v>
      </c>
      <c r="D119" s="81"/>
      <c r="E119" s="24"/>
      <c r="F119" s="25"/>
      <c r="G119" s="26"/>
      <c r="H119" s="27"/>
      <c r="I119" s="28"/>
      <c r="J119" s="29"/>
      <c r="K119" s="25"/>
      <c r="L119" s="25"/>
      <c r="M119" s="25"/>
    </row>
    <row r="120" spans="1:13" x14ac:dyDescent="0.25">
      <c r="A120" s="81" t="s">
        <v>263</v>
      </c>
      <c r="B120" s="81" t="s">
        <v>144</v>
      </c>
      <c r="C120" s="81" t="s">
        <v>7</v>
      </c>
      <c r="D120" s="81"/>
      <c r="E120" s="24"/>
      <c r="F120" s="25"/>
      <c r="G120" s="26"/>
      <c r="H120" s="27"/>
      <c r="I120" s="28"/>
      <c r="J120" s="29"/>
      <c r="K120" s="25"/>
      <c r="L120" s="25"/>
      <c r="M120" s="25"/>
    </row>
    <row r="121" spans="1:13" x14ac:dyDescent="0.25">
      <c r="A121" s="81" t="s">
        <v>264</v>
      </c>
      <c r="B121" s="81" t="s">
        <v>144</v>
      </c>
      <c r="C121" s="81" t="s">
        <v>7</v>
      </c>
      <c r="D121" s="81"/>
      <c r="E121" s="24"/>
      <c r="F121" s="25"/>
      <c r="G121" s="26"/>
      <c r="H121" s="27"/>
      <c r="I121" s="28"/>
      <c r="J121" s="29"/>
      <c r="K121" s="25"/>
      <c r="L121" s="25"/>
      <c r="M121" s="25"/>
    </row>
    <row r="122" spans="1:13" x14ac:dyDescent="0.25">
      <c r="A122" s="81" t="s">
        <v>265</v>
      </c>
      <c r="B122" s="81" t="s">
        <v>144</v>
      </c>
      <c r="C122" s="81" t="s">
        <v>7</v>
      </c>
      <c r="D122" s="81"/>
      <c r="E122" s="24"/>
      <c r="F122" s="25"/>
      <c r="G122" s="26"/>
      <c r="H122" s="27"/>
      <c r="I122" s="28"/>
      <c r="J122" s="29"/>
      <c r="K122" s="25"/>
      <c r="L122" s="25"/>
      <c r="M122" s="25"/>
    </row>
    <row r="123" spans="1:13" x14ac:dyDescent="0.25">
      <c r="A123" s="81" t="s">
        <v>266</v>
      </c>
      <c r="B123" s="81" t="s">
        <v>144</v>
      </c>
      <c r="C123" s="81" t="s">
        <v>7</v>
      </c>
      <c r="D123" s="81"/>
      <c r="E123" s="24"/>
      <c r="F123" s="25"/>
      <c r="G123" s="26"/>
      <c r="H123" s="27"/>
      <c r="I123" s="28"/>
      <c r="J123" s="29"/>
      <c r="K123" s="25"/>
      <c r="L123" s="25"/>
      <c r="M123" s="25"/>
    </row>
    <row r="124" spans="1:13" x14ac:dyDescent="0.25">
      <c r="A124" s="81" t="s">
        <v>267</v>
      </c>
      <c r="B124" s="81" t="s">
        <v>144</v>
      </c>
      <c r="C124" s="81" t="s">
        <v>7</v>
      </c>
      <c r="D124" s="81"/>
      <c r="E124" s="24"/>
      <c r="F124" s="25"/>
      <c r="G124" s="26"/>
      <c r="H124" s="27"/>
      <c r="I124" s="28"/>
      <c r="J124" s="29"/>
      <c r="K124" s="25"/>
      <c r="L124" s="25"/>
      <c r="M124" s="25"/>
    </row>
    <row r="125" spans="1:13" x14ac:dyDescent="0.25">
      <c r="A125" s="81" t="s">
        <v>268</v>
      </c>
      <c r="B125" s="81" t="s">
        <v>144</v>
      </c>
      <c r="C125" s="81" t="s">
        <v>7</v>
      </c>
      <c r="D125" s="81"/>
      <c r="E125" s="24"/>
      <c r="F125" s="25"/>
      <c r="G125" s="26"/>
      <c r="H125" s="27"/>
      <c r="I125" s="28"/>
      <c r="J125" s="29"/>
      <c r="K125" s="25"/>
      <c r="L125" s="25"/>
      <c r="M125" s="25"/>
    </row>
    <row r="126" spans="1:13" x14ac:dyDescent="0.25">
      <c r="A126" s="81" t="s">
        <v>269</v>
      </c>
      <c r="B126" s="81" t="s">
        <v>144</v>
      </c>
      <c r="C126" s="81" t="s">
        <v>7</v>
      </c>
      <c r="D126" s="81"/>
      <c r="E126" s="24"/>
      <c r="F126" s="25"/>
      <c r="G126" s="26"/>
      <c r="H126" s="27"/>
      <c r="I126" s="28"/>
      <c r="J126" s="29"/>
      <c r="K126" s="25"/>
      <c r="L126" s="25"/>
      <c r="M126" s="25"/>
    </row>
    <row r="127" spans="1:13" x14ac:dyDescent="0.25">
      <c r="A127" s="81" t="s">
        <v>270</v>
      </c>
      <c r="B127" s="81" t="s">
        <v>144</v>
      </c>
      <c r="C127" s="81" t="s">
        <v>7</v>
      </c>
      <c r="D127" s="81"/>
      <c r="E127" s="24"/>
      <c r="F127" s="25"/>
      <c r="G127" s="26"/>
      <c r="H127" s="27"/>
      <c r="I127" s="28"/>
      <c r="J127" s="29"/>
      <c r="K127" s="25"/>
      <c r="L127" s="25"/>
      <c r="M127" s="25"/>
    </row>
    <row r="128" spans="1:13" x14ac:dyDescent="0.25">
      <c r="A128" s="81" t="s">
        <v>271</v>
      </c>
      <c r="B128" s="81" t="s">
        <v>144</v>
      </c>
      <c r="C128" s="81" t="s">
        <v>7</v>
      </c>
      <c r="D128" s="81"/>
      <c r="E128" s="24"/>
      <c r="F128" s="25"/>
      <c r="G128" s="26"/>
      <c r="H128" s="27"/>
      <c r="I128" s="28"/>
      <c r="J128" s="29"/>
      <c r="K128" s="25"/>
      <c r="L128" s="25"/>
      <c r="M128" s="25"/>
    </row>
    <row r="129" spans="1:13" x14ac:dyDescent="0.25">
      <c r="A129" s="81" t="s">
        <v>272</v>
      </c>
      <c r="B129" s="81" t="s">
        <v>144</v>
      </c>
      <c r="C129" s="81" t="s">
        <v>7</v>
      </c>
      <c r="D129" s="81"/>
      <c r="E129" s="24"/>
      <c r="F129" s="25"/>
      <c r="G129" s="26"/>
      <c r="H129" s="27"/>
      <c r="I129" s="28"/>
      <c r="J129" s="29"/>
      <c r="K129" s="25"/>
      <c r="L129" s="25"/>
      <c r="M129" s="25"/>
    </row>
    <row r="130" spans="1:13" x14ac:dyDescent="0.25">
      <c r="A130" s="81" t="s">
        <v>273</v>
      </c>
      <c r="B130" s="81" t="s">
        <v>144</v>
      </c>
      <c r="C130" s="81" t="s">
        <v>7</v>
      </c>
      <c r="D130" s="81"/>
      <c r="E130" s="24"/>
      <c r="F130" s="25"/>
      <c r="G130" s="26"/>
      <c r="H130" s="27"/>
      <c r="I130" s="28"/>
      <c r="J130" s="29"/>
      <c r="K130" s="25"/>
      <c r="L130" s="25"/>
      <c r="M130" s="25"/>
    </row>
    <row r="131" spans="1:13" x14ac:dyDescent="0.25">
      <c r="A131" s="81" t="s">
        <v>274</v>
      </c>
      <c r="B131" s="81" t="s">
        <v>144</v>
      </c>
      <c r="C131" s="81" t="s">
        <v>7</v>
      </c>
      <c r="D131" s="81"/>
      <c r="E131" s="24"/>
      <c r="F131" s="25"/>
      <c r="G131" s="26"/>
      <c r="H131" s="27"/>
      <c r="I131" s="28"/>
      <c r="J131" s="29"/>
      <c r="K131" s="25"/>
      <c r="L131" s="25"/>
      <c r="M131" s="25"/>
    </row>
    <row r="132" spans="1:13" x14ac:dyDescent="0.25">
      <c r="A132" s="81" t="s">
        <v>275</v>
      </c>
      <c r="B132" s="81" t="s">
        <v>144</v>
      </c>
      <c r="C132" s="81" t="s">
        <v>7</v>
      </c>
      <c r="D132" s="81"/>
      <c r="E132" s="24"/>
      <c r="F132" s="25"/>
      <c r="G132" s="26"/>
      <c r="H132" s="27"/>
      <c r="I132" s="28"/>
      <c r="J132" s="29"/>
      <c r="K132" s="25"/>
      <c r="L132" s="25"/>
      <c r="M132" s="25"/>
    </row>
    <row r="133" spans="1:13" x14ac:dyDescent="0.25">
      <c r="A133" s="81" t="s">
        <v>276</v>
      </c>
      <c r="B133" s="81" t="s">
        <v>144</v>
      </c>
      <c r="C133" s="81" t="s">
        <v>7</v>
      </c>
      <c r="D133" s="81"/>
      <c r="E133" s="24"/>
      <c r="F133" s="25"/>
      <c r="G133" s="26"/>
      <c r="H133" s="27"/>
      <c r="I133" s="28"/>
      <c r="J133" s="29"/>
      <c r="K133" s="25"/>
      <c r="L133" s="25"/>
      <c r="M133" s="25"/>
    </row>
    <row r="134" spans="1:13" x14ac:dyDescent="0.25">
      <c r="A134" s="81" t="s">
        <v>277</v>
      </c>
      <c r="B134" s="81" t="s">
        <v>144</v>
      </c>
      <c r="C134" s="81" t="s">
        <v>7</v>
      </c>
      <c r="D134" s="81"/>
      <c r="E134" s="24"/>
      <c r="F134" s="25"/>
      <c r="G134" s="26"/>
      <c r="H134" s="27"/>
      <c r="I134" s="28"/>
      <c r="J134" s="29"/>
      <c r="K134" s="25"/>
      <c r="L134" s="25"/>
      <c r="M134" s="25"/>
    </row>
    <row r="135" spans="1:13" x14ac:dyDescent="0.25">
      <c r="A135" s="81" t="s">
        <v>278</v>
      </c>
      <c r="B135" s="81" t="s">
        <v>144</v>
      </c>
      <c r="C135" s="81" t="s">
        <v>7</v>
      </c>
      <c r="D135" s="81"/>
      <c r="E135" s="24"/>
      <c r="F135" s="25"/>
      <c r="G135" s="26"/>
      <c r="H135" s="27"/>
      <c r="I135" s="28"/>
      <c r="J135" s="29"/>
      <c r="K135" s="25"/>
      <c r="L135" s="25"/>
      <c r="M135" s="25"/>
    </row>
    <row r="136" spans="1:13" x14ac:dyDescent="0.25">
      <c r="A136" s="81" t="s">
        <v>279</v>
      </c>
      <c r="B136" s="81" t="s">
        <v>144</v>
      </c>
      <c r="C136" s="81" t="s">
        <v>7</v>
      </c>
      <c r="D136" s="81"/>
      <c r="E136" s="24"/>
      <c r="F136" s="25"/>
      <c r="G136" s="26"/>
      <c r="H136" s="27"/>
      <c r="I136" s="28"/>
      <c r="J136" s="29"/>
      <c r="K136" s="25"/>
      <c r="L136" s="25"/>
      <c r="M136" s="25"/>
    </row>
    <row r="137" spans="1:13" x14ac:dyDescent="0.25">
      <c r="A137" s="81" t="s">
        <v>280</v>
      </c>
      <c r="B137" s="81" t="s">
        <v>144</v>
      </c>
      <c r="C137" s="81" t="s">
        <v>7</v>
      </c>
      <c r="D137" s="81"/>
      <c r="E137" s="24"/>
      <c r="F137" s="25"/>
      <c r="G137" s="26"/>
      <c r="H137" s="27"/>
      <c r="I137" s="28"/>
      <c r="J137" s="29"/>
      <c r="K137" s="25"/>
      <c r="L137" s="25"/>
      <c r="M137" s="25"/>
    </row>
    <row r="138" spans="1:13" x14ac:dyDescent="0.25">
      <c r="A138" s="81" t="s">
        <v>281</v>
      </c>
      <c r="B138" s="81" t="s">
        <v>144</v>
      </c>
      <c r="C138" s="81" t="s">
        <v>7</v>
      </c>
      <c r="D138" s="81"/>
      <c r="E138" s="24"/>
      <c r="F138" s="25"/>
      <c r="G138" s="26"/>
      <c r="H138" s="27"/>
      <c r="I138" s="28"/>
      <c r="J138" s="29"/>
      <c r="K138" s="25"/>
      <c r="L138" s="25"/>
      <c r="M138" s="25"/>
    </row>
    <row r="139" spans="1:13" x14ac:dyDescent="0.25">
      <c r="A139" s="81" t="s">
        <v>282</v>
      </c>
      <c r="B139" s="81" t="s">
        <v>144</v>
      </c>
      <c r="C139" s="81" t="s">
        <v>7</v>
      </c>
      <c r="D139" s="81"/>
      <c r="E139" s="24"/>
      <c r="F139" s="25"/>
      <c r="G139" s="26"/>
      <c r="H139" s="27"/>
      <c r="I139" s="28"/>
      <c r="J139" s="29"/>
      <c r="K139" s="25"/>
      <c r="L139" s="25"/>
      <c r="M139" s="25"/>
    </row>
    <row r="140" spans="1:13" x14ac:dyDescent="0.25">
      <c r="A140" s="81" t="s">
        <v>283</v>
      </c>
      <c r="B140" s="81" t="s">
        <v>144</v>
      </c>
      <c r="C140" s="81" t="s">
        <v>7</v>
      </c>
      <c r="D140" s="81"/>
      <c r="E140" s="24"/>
      <c r="F140" s="25"/>
      <c r="G140" s="26"/>
      <c r="H140" s="27"/>
      <c r="I140" s="28"/>
      <c r="J140" s="29"/>
      <c r="K140" s="25"/>
      <c r="L140" s="25"/>
      <c r="M140" s="25"/>
    </row>
    <row r="141" spans="1:13" x14ac:dyDescent="0.25">
      <c r="A141" s="81" t="s">
        <v>284</v>
      </c>
      <c r="B141" s="81" t="s">
        <v>144</v>
      </c>
      <c r="C141" s="81" t="s">
        <v>7</v>
      </c>
      <c r="D141" s="81"/>
      <c r="E141" s="24"/>
      <c r="F141" s="25"/>
      <c r="G141" s="26"/>
      <c r="H141" s="27"/>
      <c r="I141" s="28"/>
      <c r="J141" s="29"/>
      <c r="K141" s="25"/>
      <c r="L141" s="25"/>
      <c r="M141" s="25"/>
    </row>
    <row r="142" spans="1:13" x14ac:dyDescent="0.25">
      <c r="A142" s="81" t="s">
        <v>285</v>
      </c>
      <c r="B142" s="81" t="s">
        <v>144</v>
      </c>
      <c r="C142" s="81" t="s">
        <v>7</v>
      </c>
      <c r="D142" s="81"/>
      <c r="E142" s="24"/>
      <c r="F142" s="25"/>
      <c r="G142" s="26"/>
      <c r="H142" s="27"/>
      <c r="I142" s="28"/>
      <c r="J142" s="29"/>
      <c r="K142" s="25"/>
      <c r="L142" s="25"/>
      <c r="M142" s="25"/>
    </row>
    <row r="143" spans="1:13" x14ac:dyDescent="0.25">
      <c r="A143" s="81" t="s">
        <v>286</v>
      </c>
      <c r="B143" s="81" t="s">
        <v>144</v>
      </c>
      <c r="C143" s="81" t="s">
        <v>7</v>
      </c>
      <c r="D143" s="81"/>
      <c r="E143" s="24"/>
      <c r="F143" s="25"/>
      <c r="G143" s="26"/>
      <c r="H143" s="27"/>
      <c r="I143" s="28"/>
      <c r="J143" s="29"/>
      <c r="K143" s="25"/>
      <c r="L143" s="25"/>
      <c r="M143" s="25"/>
    </row>
    <row r="144" spans="1:13" x14ac:dyDescent="0.25">
      <c r="A144" s="81" t="s">
        <v>287</v>
      </c>
      <c r="B144" s="81" t="s">
        <v>144</v>
      </c>
      <c r="C144" s="81" t="s">
        <v>7</v>
      </c>
      <c r="D144" s="81"/>
      <c r="E144" s="24"/>
      <c r="F144" s="25"/>
      <c r="G144" s="26"/>
      <c r="H144" s="27"/>
      <c r="I144" s="28"/>
      <c r="J144" s="29"/>
      <c r="K144" s="25"/>
      <c r="L144" s="25"/>
      <c r="M144" s="25"/>
    </row>
    <row r="145" spans="1:13" x14ac:dyDescent="0.25">
      <c r="A145" s="81" t="s">
        <v>288</v>
      </c>
      <c r="B145" s="81" t="s">
        <v>144</v>
      </c>
      <c r="C145" s="81" t="s">
        <v>7</v>
      </c>
      <c r="D145" s="81"/>
      <c r="E145" s="24"/>
      <c r="F145" s="25"/>
      <c r="G145" s="26"/>
      <c r="H145" s="27"/>
      <c r="I145" s="28"/>
      <c r="J145" s="29"/>
      <c r="K145" s="25"/>
      <c r="L145" s="25"/>
      <c r="M145" s="25"/>
    </row>
    <row r="146" spans="1:13" x14ac:dyDescent="0.25">
      <c r="A146" s="81" t="s">
        <v>289</v>
      </c>
      <c r="B146" s="81" t="s">
        <v>144</v>
      </c>
      <c r="C146" s="81" t="s">
        <v>7</v>
      </c>
      <c r="D146" s="81"/>
      <c r="E146" s="24"/>
      <c r="F146" s="25"/>
      <c r="G146" s="26"/>
      <c r="H146" s="27"/>
      <c r="I146" s="28"/>
      <c r="J146" s="29"/>
      <c r="K146" s="25"/>
      <c r="L146" s="25"/>
      <c r="M146" s="25"/>
    </row>
    <row r="147" spans="1:13" x14ac:dyDescent="0.25">
      <c r="A147" s="81" t="s">
        <v>290</v>
      </c>
      <c r="B147" s="81" t="s">
        <v>144</v>
      </c>
      <c r="C147" s="81" t="s">
        <v>7</v>
      </c>
      <c r="D147" s="81"/>
      <c r="E147" s="24"/>
      <c r="F147" s="25"/>
      <c r="G147" s="26"/>
      <c r="H147" s="27"/>
      <c r="I147" s="28"/>
      <c r="J147" s="29"/>
      <c r="K147" s="25"/>
      <c r="L147" s="25"/>
      <c r="M147" s="25"/>
    </row>
    <row r="148" spans="1:13" x14ac:dyDescent="0.25">
      <c r="A148" s="81" t="s">
        <v>291</v>
      </c>
      <c r="B148" s="81" t="s">
        <v>144</v>
      </c>
      <c r="C148" s="81" t="s">
        <v>7</v>
      </c>
      <c r="D148" s="81"/>
      <c r="E148" s="24"/>
      <c r="F148" s="25"/>
      <c r="G148" s="26"/>
      <c r="H148" s="27"/>
      <c r="I148" s="28"/>
      <c r="J148" s="29"/>
      <c r="K148" s="25"/>
      <c r="L148" s="25"/>
      <c r="M148" s="25"/>
    </row>
    <row r="149" spans="1:13" x14ac:dyDescent="0.25">
      <c r="A149" s="81" t="s">
        <v>288</v>
      </c>
      <c r="B149" s="81" t="s">
        <v>144</v>
      </c>
      <c r="C149" s="81" t="s">
        <v>7</v>
      </c>
      <c r="D149" s="81"/>
      <c r="E149" s="24"/>
      <c r="F149" s="25"/>
      <c r="G149" s="26"/>
      <c r="H149" s="27"/>
      <c r="I149" s="28"/>
      <c r="J149" s="29"/>
      <c r="K149" s="25"/>
      <c r="L149" s="25"/>
      <c r="M149" s="25"/>
    </row>
    <row r="150" spans="1:13" x14ac:dyDescent="0.25">
      <c r="A150" s="81" t="s">
        <v>292</v>
      </c>
      <c r="B150" s="81" t="s">
        <v>144</v>
      </c>
      <c r="C150" s="81" t="s">
        <v>7</v>
      </c>
      <c r="D150" s="81"/>
      <c r="E150" s="24"/>
      <c r="F150" s="25"/>
      <c r="G150" s="26"/>
      <c r="H150" s="27"/>
      <c r="I150" s="28"/>
      <c r="J150" s="29"/>
      <c r="K150" s="25"/>
      <c r="L150" s="25"/>
      <c r="M150" s="25"/>
    </row>
    <row r="151" spans="1:13" x14ac:dyDescent="0.25">
      <c r="A151" s="82" t="s">
        <v>293</v>
      </c>
      <c r="B151" s="82" t="s">
        <v>144</v>
      </c>
      <c r="C151" s="82" t="s">
        <v>7</v>
      </c>
      <c r="D151" s="82"/>
      <c r="E151" s="24"/>
      <c r="F151" s="25"/>
      <c r="G151" s="30"/>
      <c r="H151" s="27"/>
      <c r="I151" s="28"/>
      <c r="J151" s="29"/>
      <c r="K151" s="25"/>
      <c r="L151" s="25"/>
      <c r="M151" s="25"/>
    </row>
    <row r="152" spans="1:13" x14ac:dyDescent="0.25">
      <c r="A152" s="82" t="s">
        <v>294</v>
      </c>
      <c r="B152" s="82" t="s">
        <v>144</v>
      </c>
      <c r="C152" s="82" t="s">
        <v>7</v>
      </c>
      <c r="D152" s="82"/>
      <c r="E152" s="31"/>
      <c r="F152" s="32"/>
      <c r="G152" s="30"/>
      <c r="H152" s="33"/>
      <c r="I152" s="34"/>
      <c r="J152" s="35"/>
      <c r="K152" s="32"/>
      <c r="L152" s="32"/>
      <c r="M152" s="32"/>
    </row>
    <row r="153" spans="1:13" x14ac:dyDescent="0.25">
      <c r="A153" s="82" t="s">
        <v>295</v>
      </c>
      <c r="B153" s="82" t="s">
        <v>144</v>
      </c>
      <c r="C153" s="82" t="s">
        <v>7</v>
      </c>
      <c r="D153" s="82"/>
      <c r="E153" s="31"/>
      <c r="F153" s="32"/>
      <c r="G153" s="30"/>
      <c r="H153" s="33"/>
      <c r="I153" s="34"/>
      <c r="J153" s="35"/>
      <c r="K153" s="32"/>
      <c r="L153" s="32"/>
      <c r="M153" s="36"/>
    </row>
    <row r="154" spans="1:13" x14ac:dyDescent="0.25">
      <c r="A154" s="81" t="s">
        <v>364</v>
      </c>
      <c r="B154" s="81" t="s">
        <v>144</v>
      </c>
      <c r="C154" s="81" t="s">
        <v>7</v>
      </c>
      <c r="D154" s="81"/>
      <c r="E154" s="31"/>
      <c r="F154" s="32"/>
      <c r="G154" s="37"/>
      <c r="H154" s="38"/>
      <c r="I154" s="39"/>
      <c r="J154" s="40"/>
      <c r="K154" s="41"/>
      <c r="L154" s="41"/>
      <c r="M154" s="41"/>
    </row>
    <row r="155" spans="1:13" x14ac:dyDescent="0.25">
      <c r="A155" s="80" t="s">
        <v>365</v>
      </c>
      <c r="B155" s="80" t="s">
        <v>144</v>
      </c>
      <c r="C155" s="80" t="s">
        <v>145</v>
      </c>
    </row>
    <row r="156" spans="1:13" x14ac:dyDescent="0.25">
      <c r="A156" s="80" t="s">
        <v>370</v>
      </c>
      <c r="B156" s="80" t="s">
        <v>144</v>
      </c>
      <c r="C156" s="80" t="s">
        <v>145</v>
      </c>
    </row>
    <row r="157" spans="1:13" x14ac:dyDescent="0.25">
      <c r="A157" s="80" t="s">
        <v>371</v>
      </c>
      <c r="B157" s="80" t="s">
        <v>144</v>
      </c>
      <c r="C157" s="80" t="s">
        <v>145</v>
      </c>
    </row>
    <row r="158" spans="1:13" x14ac:dyDescent="0.25">
      <c r="A158" s="80" t="s">
        <v>372</v>
      </c>
      <c r="B158" s="80" t="s">
        <v>144</v>
      </c>
      <c r="C158" s="80" t="s">
        <v>145</v>
      </c>
    </row>
    <row r="159" spans="1:13" x14ac:dyDescent="0.25">
      <c r="A159" s="80" t="s">
        <v>373</v>
      </c>
      <c r="B159" s="80" t="s">
        <v>144</v>
      </c>
      <c r="C159" s="80" t="s">
        <v>145</v>
      </c>
    </row>
    <row r="160" spans="1:13" x14ac:dyDescent="0.25">
      <c r="A160" s="80" t="s">
        <v>293</v>
      </c>
      <c r="B160" s="80" t="s">
        <v>144</v>
      </c>
      <c r="C160" s="80" t="s">
        <v>7</v>
      </c>
    </row>
    <row r="161" spans="1:3" x14ac:dyDescent="0.25">
      <c r="A161" s="80" t="s">
        <v>392</v>
      </c>
      <c r="B161" s="80" t="s">
        <v>144</v>
      </c>
      <c r="C161" s="80" t="s">
        <v>7</v>
      </c>
    </row>
    <row r="162" spans="1:3" x14ac:dyDescent="0.25">
      <c r="A162" s="80" t="s">
        <v>393</v>
      </c>
      <c r="B162" s="80" t="s">
        <v>144</v>
      </c>
      <c r="C162" s="80" t="s">
        <v>7</v>
      </c>
    </row>
    <row r="163" spans="1:3" x14ac:dyDescent="0.25">
      <c r="A163" s="80" t="s">
        <v>394</v>
      </c>
      <c r="B163" s="80" t="s">
        <v>144</v>
      </c>
      <c r="C163" s="80" t="s">
        <v>7</v>
      </c>
    </row>
    <row r="164" spans="1:3" x14ac:dyDescent="0.25">
      <c r="A164" s="80" t="s">
        <v>395</v>
      </c>
      <c r="B164" s="80" t="s">
        <v>144</v>
      </c>
      <c r="C164" s="80" t="s">
        <v>7</v>
      </c>
    </row>
    <row r="165" spans="1:3" x14ac:dyDescent="0.25">
      <c r="A165" s="80" t="s">
        <v>621</v>
      </c>
      <c r="B165" s="80" t="s">
        <v>144</v>
      </c>
      <c r="C165" s="80" t="s">
        <v>134</v>
      </c>
    </row>
    <row r="166" spans="1:3" x14ac:dyDescent="0.25">
      <c r="A166" s="80" t="s">
        <v>625</v>
      </c>
    </row>
    <row r="167" spans="1:3" x14ac:dyDescent="0.25">
      <c r="A167" s="80" t="s">
        <v>626</v>
      </c>
    </row>
    <row r="168" spans="1:3" x14ac:dyDescent="0.25">
      <c r="A168" s="80" t="s">
        <v>628</v>
      </c>
    </row>
  </sheetData>
  <mergeCells count="1">
    <mergeCell ref="G2:H2"/>
  </mergeCells>
  <dataValidations count="4">
    <dataValidation type="list" allowBlank="1" showInputMessage="1" showErrorMessage="1" sqref="L3:L160" xr:uid="{15CCDD2A-D0F7-430E-A96E-E136F2736B97}">
      <formula1>$D$3:$D$9</formula1>
    </dataValidation>
    <dataValidation type="list" allowBlank="1" showInputMessage="1" showErrorMessage="1" sqref="F3:F157" xr:uid="{3599A056-2395-4167-86E5-8A11BF07E5E0}">
      <formula1>$C$3:$C$155</formula1>
    </dataValidation>
    <dataValidation type="list" allowBlank="1" showInputMessage="1" showErrorMessage="1" sqref="G3:H57 G58 G72 G59:H71 G73:H159" xr:uid="{69F7EF61-E37D-43E3-A65E-94B9437C8874}">
      <formula1>$A$3:$A$262</formula1>
    </dataValidation>
    <dataValidation type="list" allowBlank="1" showInputMessage="1" showErrorMessage="1" sqref="E3:E157" xr:uid="{8F380A76-8B3D-4696-BF06-1BF94EF356C3}">
      <formula1>$B$3:$B$159</formula1>
    </dataValidation>
  </dataValidations>
  <pageMargins left="0.7" right="0.7" top="0.75" bottom="0.75" header="0.3" footer="0.3"/>
  <pageSetup paperSize="9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B798-28FD-4C1B-9D00-13825A920839}">
  <sheetPr>
    <pageSetUpPr fitToPage="1"/>
  </sheetPr>
  <dimension ref="A1:Y330"/>
  <sheetViews>
    <sheetView topLeftCell="J48" zoomScale="80" zoomScaleNormal="80" workbookViewId="0">
      <selection activeCell="R15" sqref="R15"/>
    </sheetView>
  </sheetViews>
  <sheetFormatPr defaultColWidth="9.140625" defaultRowHeight="15" x14ac:dyDescent="0.2"/>
  <cols>
    <col min="1" max="1" width="41.85546875" style="3" hidden="1" customWidth="1"/>
    <col min="2" max="2" width="21.85546875" style="76" hidden="1" customWidth="1"/>
    <col min="3" max="3" width="46.5703125" style="3" hidden="1" customWidth="1"/>
    <col min="4" max="4" width="7.42578125" style="3" hidden="1" customWidth="1"/>
    <col min="5" max="5" width="20.28515625" style="3" hidden="1" customWidth="1"/>
    <col min="6" max="6" width="10.5703125" style="3" hidden="1" customWidth="1"/>
    <col min="7" max="7" width="10.28515625" style="3" hidden="1" customWidth="1"/>
    <col min="8" max="8" width="13.5703125" style="3" hidden="1" customWidth="1"/>
    <col min="9" max="9" width="17.7109375" style="3" hidden="1" customWidth="1"/>
    <col min="10" max="10" width="13.42578125" style="3" bestFit="1" customWidth="1"/>
    <col min="11" max="11" width="12.28515625" style="3" customWidth="1"/>
    <col min="12" max="12" width="9.28515625" style="3" customWidth="1"/>
    <col min="13" max="13" width="7.42578125" style="3" customWidth="1"/>
    <col min="14" max="14" width="10.5703125" style="76" customWidth="1"/>
    <col min="15" max="15" width="55.28515625" style="3" bestFit="1" customWidth="1"/>
    <col min="16" max="16" width="16.5703125" style="3" customWidth="1"/>
    <col min="17" max="17" width="9.140625" style="3"/>
    <col min="18" max="18" width="42.140625" style="3" bestFit="1" customWidth="1"/>
    <col min="19" max="19" width="16.85546875" style="3" bestFit="1" customWidth="1"/>
    <col min="20" max="20" width="6.7109375" style="3" bestFit="1" customWidth="1"/>
    <col min="21" max="21" width="11" style="3" bestFit="1" customWidth="1"/>
    <col min="22" max="23" width="6.7109375" style="3" bestFit="1" customWidth="1"/>
    <col min="24" max="24" width="6.7109375" style="3" customWidth="1"/>
    <col min="25" max="25" width="10.5703125" style="3" customWidth="1"/>
    <col min="26" max="16384" width="9.140625" style="3"/>
  </cols>
  <sheetData>
    <row r="1" spans="1:25" ht="16.5" thickBot="1" x14ac:dyDescent="0.3">
      <c r="A1" s="59" t="s">
        <v>72</v>
      </c>
      <c r="B1" s="73"/>
      <c r="C1" s="60"/>
      <c r="D1" s="60"/>
      <c r="J1" s="61" t="s">
        <v>105</v>
      </c>
      <c r="K1" s="62" t="s">
        <v>106</v>
      </c>
      <c r="L1" s="62" t="s">
        <v>325</v>
      </c>
      <c r="M1" s="62" t="s">
        <v>324</v>
      </c>
      <c r="N1" s="83" t="s">
        <v>104</v>
      </c>
      <c r="O1" s="62" t="s">
        <v>2</v>
      </c>
      <c r="P1" s="63" t="s">
        <v>107</v>
      </c>
      <c r="R1" s="42" t="s">
        <v>106</v>
      </c>
      <c r="S1" t="s">
        <v>330</v>
      </c>
      <c r="T1"/>
    </row>
    <row r="2" spans="1:25" ht="15.75" x14ac:dyDescent="0.25">
      <c r="A2" s="64"/>
      <c r="B2" s="74"/>
      <c r="C2" s="65"/>
      <c r="D2" s="65"/>
      <c r="J2" s="66">
        <v>46143</v>
      </c>
      <c r="K2" s="67" t="s">
        <v>320</v>
      </c>
      <c r="L2" s="67" t="s">
        <v>304</v>
      </c>
      <c r="M2" s="67" t="s">
        <v>302</v>
      </c>
      <c r="N2" s="84">
        <v>1</v>
      </c>
      <c r="O2" s="67" t="s">
        <v>101</v>
      </c>
      <c r="P2" s="68" t="s">
        <v>323</v>
      </c>
      <c r="R2"/>
      <c r="S2"/>
      <c r="T2"/>
      <c r="U2"/>
      <c r="V2"/>
      <c r="W2"/>
    </row>
    <row r="3" spans="1:25" ht="16.5" thickBot="1" x14ac:dyDescent="0.3">
      <c r="A3" s="69"/>
      <c r="B3" s="75"/>
      <c r="C3" s="70"/>
      <c r="D3" s="65"/>
      <c r="J3" s="66">
        <v>46143</v>
      </c>
      <c r="K3" s="67" t="s">
        <v>320</v>
      </c>
      <c r="L3" s="67" t="s">
        <v>304</v>
      </c>
      <c r="M3" s="67" t="s">
        <v>302</v>
      </c>
      <c r="N3" s="77">
        <v>1</v>
      </c>
      <c r="O3" s="5" t="s">
        <v>44</v>
      </c>
      <c r="P3" s="68" t="s">
        <v>323</v>
      </c>
      <c r="R3" s="42" t="s">
        <v>326</v>
      </c>
      <c r="S3" s="42" t="s">
        <v>329</v>
      </c>
      <c r="T3"/>
      <c r="U3"/>
      <c r="V3"/>
      <c r="W3"/>
      <c r="X3"/>
      <c r="Y3"/>
    </row>
    <row r="4" spans="1:25" ht="15.75" x14ac:dyDescent="0.25">
      <c r="A4" s="44" t="s">
        <v>0</v>
      </c>
      <c r="B4" s="45" t="s">
        <v>1</v>
      </c>
      <c r="C4" s="46" t="s">
        <v>2</v>
      </c>
      <c r="D4" s="47" t="s">
        <v>3</v>
      </c>
      <c r="E4" s="71" t="s">
        <v>298</v>
      </c>
      <c r="F4" s="71" t="s">
        <v>299</v>
      </c>
      <c r="G4" s="71" t="s">
        <v>300</v>
      </c>
      <c r="H4" s="71" t="s">
        <v>301</v>
      </c>
      <c r="I4" s="71" t="s">
        <v>321</v>
      </c>
      <c r="J4" s="66">
        <v>46143</v>
      </c>
      <c r="K4" s="67" t="s">
        <v>320</v>
      </c>
      <c r="L4" s="67" t="s">
        <v>304</v>
      </c>
      <c r="M4" s="67" t="s">
        <v>302</v>
      </c>
      <c r="N4" s="77">
        <v>1</v>
      </c>
      <c r="O4" s="5" t="s">
        <v>21</v>
      </c>
      <c r="P4" s="68" t="s">
        <v>323</v>
      </c>
      <c r="R4" s="42" t="s">
        <v>327</v>
      </c>
      <c r="S4" t="s">
        <v>304</v>
      </c>
      <c r="T4" t="s">
        <v>308</v>
      </c>
      <c r="U4" t="s">
        <v>328</v>
      </c>
      <c r="V4"/>
      <c r="W4"/>
      <c r="X4"/>
      <c r="Y4"/>
    </row>
    <row r="5" spans="1:25" ht="15.75" x14ac:dyDescent="0.25">
      <c r="A5" s="48"/>
      <c r="B5" s="49"/>
      <c r="C5" s="49"/>
      <c r="D5" s="49"/>
      <c r="E5" s="3" t="s">
        <v>302</v>
      </c>
      <c r="F5" s="3" t="s">
        <v>303</v>
      </c>
      <c r="G5" s="3" t="s">
        <v>304</v>
      </c>
      <c r="H5" s="3" t="s">
        <v>305</v>
      </c>
      <c r="I5" s="3" t="s">
        <v>322</v>
      </c>
      <c r="J5" s="66">
        <v>46144</v>
      </c>
      <c r="K5" s="5" t="s">
        <v>310</v>
      </c>
      <c r="L5" s="5" t="s">
        <v>308</v>
      </c>
      <c r="M5" s="67" t="s">
        <v>302</v>
      </c>
      <c r="N5" s="77">
        <v>10</v>
      </c>
      <c r="O5" s="5" t="s">
        <v>11</v>
      </c>
      <c r="P5" s="7" t="s">
        <v>322</v>
      </c>
      <c r="R5" s="43" t="s">
        <v>11</v>
      </c>
      <c r="S5">
        <v>20</v>
      </c>
      <c r="T5">
        <v>90</v>
      </c>
      <c r="U5">
        <v>110</v>
      </c>
      <c r="V5"/>
      <c r="W5"/>
      <c r="X5"/>
      <c r="Y5"/>
    </row>
    <row r="6" spans="1:25" ht="15.75" x14ac:dyDescent="0.25">
      <c r="A6" s="50" t="s">
        <v>4</v>
      </c>
      <c r="B6" s="51" t="s">
        <v>5</v>
      </c>
      <c r="C6" s="52" t="s">
        <v>6</v>
      </c>
      <c r="D6" s="51" t="s">
        <v>7</v>
      </c>
      <c r="E6" s="3" t="s">
        <v>306</v>
      </c>
      <c r="F6" s="3" t="s">
        <v>307</v>
      </c>
      <c r="G6" s="3" t="s">
        <v>308</v>
      </c>
      <c r="H6" s="3" t="s">
        <v>130</v>
      </c>
      <c r="I6" s="3" t="s">
        <v>323</v>
      </c>
      <c r="J6" s="66">
        <v>46144</v>
      </c>
      <c r="K6" s="5" t="s">
        <v>310</v>
      </c>
      <c r="L6" s="5" t="s">
        <v>308</v>
      </c>
      <c r="M6" s="67" t="s">
        <v>302</v>
      </c>
      <c r="N6" s="77">
        <v>10</v>
      </c>
      <c r="O6" s="5" t="s">
        <v>13</v>
      </c>
      <c r="P6" s="7" t="s">
        <v>322</v>
      </c>
      <c r="R6" s="43" t="s">
        <v>13</v>
      </c>
      <c r="S6"/>
      <c r="T6">
        <v>62</v>
      </c>
      <c r="U6">
        <v>62</v>
      </c>
      <c r="V6"/>
      <c r="W6"/>
      <c r="X6"/>
      <c r="Y6"/>
    </row>
    <row r="7" spans="1:25" ht="15.75" x14ac:dyDescent="0.25">
      <c r="A7" s="50" t="s">
        <v>4</v>
      </c>
      <c r="B7" s="51" t="s">
        <v>96</v>
      </c>
      <c r="C7" s="52" t="s">
        <v>332</v>
      </c>
      <c r="D7" s="51" t="s">
        <v>7</v>
      </c>
      <c r="G7" s="3" t="s">
        <v>400</v>
      </c>
      <c r="H7" s="3" t="s">
        <v>309</v>
      </c>
      <c r="I7" s="3" t="s">
        <v>131</v>
      </c>
      <c r="J7" s="66">
        <v>46145</v>
      </c>
      <c r="K7" s="67" t="s">
        <v>130</v>
      </c>
      <c r="L7" s="5" t="s">
        <v>308</v>
      </c>
      <c r="M7" s="67" t="s">
        <v>306</v>
      </c>
      <c r="N7" s="77">
        <v>10</v>
      </c>
      <c r="O7" s="5" t="s">
        <v>11</v>
      </c>
      <c r="P7" s="7" t="s">
        <v>322</v>
      </c>
      <c r="R7" s="43" t="s">
        <v>17</v>
      </c>
      <c r="S7">
        <v>5</v>
      </c>
      <c r="T7">
        <v>3</v>
      </c>
      <c r="U7">
        <v>8</v>
      </c>
      <c r="V7"/>
      <c r="W7"/>
      <c r="X7"/>
      <c r="Y7"/>
    </row>
    <row r="8" spans="1:25" ht="15.75" x14ac:dyDescent="0.25">
      <c r="A8" s="50" t="s">
        <v>4</v>
      </c>
      <c r="B8" s="51" t="s">
        <v>8</v>
      </c>
      <c r="C8" s="52" t="s">
        <v>9</v>
      </c>
      <c r="D8" s="51" t="s">
        <v>7</v>
      </c>
      <c r="H8" s="3" t="s">
        <v>310</v>
      </c>
      <c r="I8" s="3" t="s">
        <v>398</v>
      </c>
      <c r="J8" s="66">
        <v>46145</v>
      </c>
      <c r="K8" s="67" t="s">
        <v>130</v>
      </c>
      <c r="L8" s="5" t="s">
        <v>308</v>
      </c>
      <c r="M8" s="67" t="s">
        <v>306</v>
      </c>
      <c r="N8" s="77">
        <v>10</v>
      </c>
      <c r="O8" s="5" t="s">
        <v>13</v>
      </c>
      <c r="P8" s="7" t="s">
        <v>322</v>
      </c>
      <c r="R8" s="43" t="s">
        <v>101</v>
      </c>
      <c r="S8">
        <v>5</v>
      </c>
      <c r="T8">
        <v>7</v>
      </c>
      <c r="U8">
        <v>12</v>
      </c>
      <c r="V8"/>
      <c r="W8"/>
      <c r="X8"/>
      <c r="Y8"/>
    </row>
    <row r="9" spans="1:25" ht="15.75" x14ac:dyDescent="0.25">
      <c r="A9" s="50" t="s">
        <v>4</v>
      </c>
      <c r="B9" s="51" t="s">
        <v>97</v>
      </c>
      <c r="C9" s="52" t="s">
        <v>333</v>
      </c>
      <c r="D9" s="51" t="s">
        <v>7</v>
      </c>
      <c r="H9" s="3" t="s">
        <v>311</v>
      </c>
      <c r="I9" s="3" t="s">
        <v>399</v>
      </c>
      <c r="J9" s="66">
        <v>46145</v>
      </c>
      <c r="K9" s="67" t="s">
        <v>320</v>
      </c>
      <c r="L9" s="5" t="s">
        <v>304</v>
      </c>
      <c r="M9" s="67" t="s">
        <v>302</v>
      </c>
      <c r="N9" s="77">
        <v>2</v>
      </c>
      <c r="O9" s="5" t="s">
        <v>101</v>
      </c>
      <c r="P9" s="7" t="s">
        <v>323</v>
      </c>
      <c r="R9" s="43" t="s">
        <v>103</v>
      </c>
      <c r="S9">
        <v>2</v>
      </c>
      <c r="T9"/>
      <c r="U9">
        <v>2</v>
      </c>
      <c r="V9"/>
      <c r="W9"/>
      <c r="X9"/>
      <c r="Y9"/>
    </row>
    <row r="10" spans="1:25" ht="15.75" x14ac:dyDescent="0.25">
      <c r="A10" s="50" t="s">
        <v>4</v>
      </c>
      <c r="B10" s="51" t="s">
        <v>100</v>
      </c>
      <c r="C10" s="52" t="s">
        <v>101</v>
      </c>
      <c r="D10" s="51" t="s">
        <v>7</v>
      </c>
      <c r="H10" s="3" t="s">
        <v>312</v>
      </c>
      <c r="J10" s="66">
        <v>46145</v>
      </c>
      <c r="K10" s="5" t="s">
        <v>320</v>
      </c>
      <c r="L10" s="5" t="s">
        <v>304</v>
      </c>
      <c r="M10" s="5" t="s">
        <v>302</v>
      </c>
      <c r="N10" s="77">
        <v>2</v>
      </c>
      <c r="O10" s="5" t="s">
        <v>103</v>
      </c>
      <c r="P10" s="7" t="s">
        <v>323</v>
      </c>
      <c r="R10" s="43" t="s">
        <v>378</v>
      </c>
      <c r="S10">
        <v>3</v>
      </c>
      <c r="T10">
        <v>7</v>
      </c>
      <c r="U10">
        <v>10</v>
      </c>
      <c r="V10"/>
      <c r="W10"/>
      <c r="X10"/>
      <c r="Y10"/>
    </row>
    <row r="11" spans="1:25" ht="15.75" x14ac:dyDescent="0.25">
      <c r="A11" s="50" t="s">
        <v>4</v>
      </c>
      <c r="B11" s="51" t="s">
        <v>98</v>
      </c>
      <c r="C11" s="52" t="s">
        <v>99</v>
      </c>
      <c r="D11" s="51" t="s">
        <v>7</v>
      </c>
      <c r="H11" s="3" t="s">
        <v>313</v>
      </c>
      <c r="J11" s="66">
        <v>46145</v>
      </c>
      <c r="K11" s="5" t="s">
        <v>130</v>
      </c>
      <c r="L11" s="5" t="s">
        <v>308</v>
      </c>
      <c r="M11" s="5" t="s">
        <v>306</v>
      </c>
      <c r="N11" s="77">
        <v>1</v>
      </c>
      <c r="O11" s="5" t="s">
        <v>44</v>
      </c>
      <c r="P11" s="7" t="s">
        <v>322</v>
      </c>
      <c r="R11" s="43" t="s">
        <v>44</v>
      </c>
      <c r="S11">
        <v>3</v>
      </c>
      <c r="T11">
        <v>7</v>
      </c>
      <c r="U11">
        <v>10</v>
      </c>
      <c r="V11"/>
      <c r="W11"/>
      <c r="X11"/>
      <c r="Y11"/>
    </row>
    <row r="12" spans="1:25" ht="15.75" x14ac:dyDescent="0.25">
      <c r="A12" s="50" t="s">
        <v>4</v>
      </c>
      <c r="B12" s="51" t="s">
        <v>10</v>
      </c>
      <c r="C12" s="52" t="s">
        <v>11</v>
      </c>
      <c r="D12" s="51" t="s">
        <v>7</v>
      </c>
      <c r="H12" s="3" t="s">
        <v>314</v>
      </c>
      <c r="J12" s="66">
        <v>46145</v>
      </c>
      <c r="K12" s="5" t="s">
        <v>320</v>
      </c>
      <c r="L12" s="5" t="s">
        <v>304</v>
      </c>
      <c r="M12" s="5" t="s">
        <v>302</v>
      </c>
      <c r="N12" s="77">
        <v>10</v>
      </c>
      <c r="O12" s="5" t="s">
        <v>99</v>
      </c>
      <c r="P12" s="7" t="s">
        <v>323</v>
      </c>
      <c r="R12" s="43" t="s">
        <v>19</v>
      </c>
      <c r="S12">
        <v>5</v>
      </c>
      <c r="T12">
        <v>7</v>
      </c>
      <c r="U12">
        <v>12</v>
      </c>
      <c r="V12"/>
      <c r="W12"/>
      <c r="X12"/>
      <c r="Y12"/>
    </row>
    <row r="13" spans="1:25" ht="15.75" x14ac:dyDescent="0.25">
      <c r="A13" s="50" t="s">
        <v>4</v>
      </c>
      <c r="B13" s="51" t="s">
        <v>12</v>
      </c>
      <c r="C13" s="52" t="s">
        <v>13</v>
      </c>
      <c r="D13" s="51" t="s">
        <v>7</v>
      </c>
      <c r="H13" s="3" t="s">
        <v>315</v>
      </c>
      <c r="J13" s="66">
        <v>46147</v>
      </c>
      <c r="K13" s="5" t="s">
        <v>109</v>
      </c>
      <c r="L13" s="5" t="s">
        <v>308</v>
      </c>
      <c r="M13" s="5" t="s">
        <v>306</v>
      </c>
      <c r="N13" s="77">
        <v>2</v>
      </c>
      <c r="O13" s="5" t="s">
        <v>13</v>
      </c>
      <c r="P13" s="7" t="s">
        <v>322</v>
      </c>
      <c r="R13" s="43" t="s">
        <v>377</v>
      </c>
      <c r="S13">
        <v>2</v>
      </c>
      <c r="T13">
        <v>4</v>
      </c>
      <c r="U13">
        <v>6</v>
      </c>
      <c r="V13"/>
      <c r="W13"/>
      <c r="X13"/>
      <c r="Y13"/>
    </row>
    <row r="14" spans="1:25" ht="15.75" x14ac:dyDescent="0.25">
      <c r="A14" s="50" t="s">
        <v>4</v>
      </c>
      <c r="B14" s="51" t="s">
        <v>14</v>
      </c>
      <c r="C14" s="52" t="s">
        <v>15</v>
      </c>
      <c r="D14" s="51" t="s">
        <v>7</v>
      </c>
      <c r="H14" s="3" t="s">
        <v>316</v>
      </c>
      <c r="J14" s="66">
        <v>46147</v>
      </c>
      <c r="K14" s="5" t="s">
        <v>320</v>
      </c>
      <c r="L14" s="5" t="s">
        <v>308</v>
      </c>
      <c r="M14" s="5" t="s">
        <v>302</v>
      </c>
      <c r="N14" s="77">
        <v>4</v>
      </c>
      <c r="O14" s="5" t="s">
        <v>19</v>
      </c>
      <c r="P14" s="7" t="s">
        <v>322</v>
      </c>
      <c r="R14" s="43" t="s">
        <v>99</v>
      </c>
      <c r="S14">
        <v>10</v>
      </c>
      <c r="T14">
        <v>50</v>
      </c>
      <c r="U14">
        <v>60</v>
      </c>
      <c r="V14"/>
      <c r="W14"/>
      <c r="X14"/>
      <c r="Y14"/>
    </row>
    <row r="15" spans="1:25" ht="15.75" x14ac:dyDescent="0.25">
      <c r="A15" s="50" t="s">
        <v>4</v>
      </c>
      <c r="B15" s="51" t="s">
        <v>16</v>
      </c>
      <c r="C15" s="52" t="s">
        <v>17</v>
      </c>
      <c r="D15" s="51" t="s">
        <v>7</v>
      </c>
      <c r="H15" s="3" t="s">
        <v>112</v>
      </c>
      <c r="J15" s="66">
        <v>46147</v>
      </c>
      <c r="K15" s="67" t="s">
        <v>130</v>
      </c>
      <c r="L15" s="5" t="s">
        <v>308</v>
      </c>
      <c r="M15" s="5" t="s">
        <v>306</v>
      </c>
      <c r="N15" s="77">
        <v>2</v>
      </c>
      <c r="O15" s="5" t="s">
        <v>21</v>
      </c>
      <c r="P15" s="7" t="s">
        <v>322</v>
      </c>
      <c r="R15" s="43" t="s">
        <v>33</v>
      </c>
      <c r="S15"/>
      <c r="T15">
        <v>4</v>
      </c>
      <c r="U15">
        <v>4</v>
      </c>
      <c r="V15"/>
      <c r="W15"/>
      <c r="X15"/>
      <c r="Y15"/>
    </row>
    <row r="16" spans="1:25" ht="15.75" x14ac:dyDescent="0.25">
      <c r="A16" s="50" t="s">
        <v>4</v>
      </c>
      <c r="B16" s="51" t="s">
        <v>18</v>
      </c>
      <c r="C16" s="52" t="s">
        <v>19</v>
      </c>
      <c r="D16" s="51" t="s">
        <v>7</v>
      </c>
      <c r="H16" s="3" t="s">
        <v>317</v>
      </c>
      <c r="J16" s="66">
        <v>46147</v>
      </c>
      <c r="K16" s="5" t="s">
        <v>109</v>
      </c>
      <c r="L16" s="5" t="s">
        <v>308</v>
      </c>
      <c r="M16" s="5" t="s">
        <v>306</v>
      </c>
      <c r="N16" s="77">
        <v>2</v>
      </c>
      <c r="O16" s="5" t="s">
        <v>33</v>
      </c>
      <c r="P16" s="7" t="s">
        <v>322</v>
      </c>
      <c r="R16" s="43" t="s">
        <v>21</v>
      </c>
      <c r="S16">
        <v>3</v>
      </c>
      <c r="T16">
        <v>24</v>
      </c>
      <c r="U16">
        <v>27</v>
      </c>
      <c r="V16"/>
      <c r="W16"/>
      <c r="X16"/>
      <c r="Y16"/>
    </row>
    <row r="17" spans="1:25" ht="15.75" x14ac:dyDescent="0.25">
      <c r="A17" s="50" t="s">
        <v>4</v>
      </c>
      <c r="B17" s="51" t="s">
        <v>20</v>
      </c>
      <c r="C17" s="52" t="s">
        <v>21</v>
      </c>
      <c r="D17" s="51" t="s">
        <v>7</v>
      </c>
      <c r="H17" s="3" t="s">
        <v>318</v>
      </c>
      <c r="J17" s="6">
        <v>46150</v>
      </c>
      <c r="K17" s="5" t="s">
        <v>130</v>
      </c>
      <c r="L17" s="5" t="s">
        <v>308</v>
      </c>
      <c r="M17" s="5" t="s">
        <v>306</v>
      </c>
      <c r="N17" s="77">
        <v>10</v>
      </c>
      <c r="O17" s="5" t="s">
        <v>11</v>
      </c>
      <c r="P17" s="7" t="s">
        <v>322</v>
      </c>
      <c r="R17" s="43" t="s">
        <v>6</v>
      </c>
      <c r="S17">
        <v>1</v>
      </c>
      <c r="T17"/>
      <c r="U17">
        <v>1</v>
      </c>
      <c r="V17"/>
      <c r="W17"/>
      <c r="X17"/>
      <c r="Y17"/>
    </row>
    <row r="18" spans="1:25" ht="15.75" x14ac:dyDescent="0.25">
      <c r="A18" s="53"/>
      <c r="B18" s="54"/>
      <c r="C18" s="55"/>
      <c r="D18" s="54"/>
      <c r="H18" s="3" t="s">
        <v>319</v>
      </c>
      <c r="J18" s="66">
        <v>46150</v>
      </c>
      <c r="K18" s="67" t="s">
        <v>130</v>
      </c>
      <c r="L18" s="5" t="s">
        <v>308</v>
      </c>
      <c r="M18" s="5" t="s">
        <v>306</v>
      </c>
      <c r="N18" s="77">
        <v>10</v>
      </c>
      <c r="O18" s="5" t="s">
        <v>13</v>
      </c>
      <c r="P18" s="7" t="s">
        <v>323</v>
      </c>
      <c r="R18" s="43" t="s">
        <v>23</v>
      </c>
      <c r="S18"/>
      <c r="T18">
        <v>1</v>
      </c>
      <c r="U18">
        <v>1</v>
      </c>
      <c r="V18"/>
      <c r="W18"/>
      <c r="X18"/>
      <c r="Y18"/>
    </row>
    <row r="19" spans="1:25" ht="15.75" x14ac:dyDescent="0.25">
      <c r="A19" s="50" t="s">
        <v>4</v>
      </c>
      <c r="B19" s="51" t="s">
        <v>22</v>
      </c>
      <c r="C19" s="52" t="s">
        <v>23</v>
      </c>
      <c r="D19" s="51" t="s">
        <v>7</v>
      </c>
      <c r="H19" s="3" t="s">
        <v>123</v>
      </c>
      <c r="J19" s="6">
        <v>46150</v>
      </c>
      <c r="K19" s="5" t="s">
        <v>130</v>
      </c>
      <c r="L19" s="5" t="s">
        <v>308</v>
      </c>
      <c r="M19" s="5" t="s">
        <v>306</v>
      </c>
      <c r="N19" s="77">
        <v>3</v>
      </c>
      <c r="O19" s="5" t="s">
        <v>17</v>
      </c>
      <c r="P19" s="7" t="s">
        <v>323</v>
      </c>
      <c r="R19" s="43" t="s">
        <v>31</v>
      </c>
      <c r="S19"/>
      <c r="T19">
        <v>1</v>
      </c>
      <c r="U19">
        <v>1</v>
      </c>
      <c r="V19"/>
      <c r="W19"/>
      <c r="X19"/>
      <c r="Y19"/>
    </row>
    <row r="20" spans="1:25" ht="15.75" x14ac:dyDescent="0.25">
      <c r="A20" s="50" t="s">
        <v>4</v>
      </c>
      <c r="B20" s="51" t="s">
        <v>24</v>
      </c>
      <c r="C20" s="52" t="s">
        <v>25</v>
      </c>
      <c r="D20" s="51" t="s">
        <v>7</v>
      </c>
      <c r="H20" s="3" t="s">
        <v>320</v>
      </c>
      <c r="J20" s="6">
        <v>46150</v>
      </c>
      <c r="K20" s="5" t="s">
        <v>130</v>
      </c>
      <c r="L20" s="5" t="s">
        <v>308</v>
      </c>
      <c r="M20" s="5" t="s">
        <v>306</v>
      </c>
      <c r="N20" s="77">
        <v>10</v>
      </c>
      <c r="O20" s="5" t="s">
        <v>99</v>
      </c>
      <c r="P20" s="7" t="s">
        <v>323</v>
      </c>
      <c r="R20" s="43" t="s">
        <v>29</v>
      </c>
      <c r="S20">
        <v>1</v>
      </c>
      <c r="T20"/>
      <c r="U20">
        <v>1</v>
      </c>
      <c r="V20"/>
      <c r="W20"/>
      <c r="X20"/>
      <c r="Y20"/>
    </row>
    <row r="21" spans="1:25" ht="15.75" x14ac:dyDescent="0.25">
      <c r="A21" s="50" t="s">
        <v>4</v>
      </c>
      <c r="B21" s="51" t="s">
        <v>26</v>
      </c>
      <c r="C21" s="52" t="s">
        <v>27</v>
      </c>
      <c r="D21" s="51" t="s">
        <v>7</v>
      </c>
      <c r="H21" s="3" t="s">
        <v>109</v>
      </c>
      <c r="J21" s="6">
        <v>46150</v>
      </c>
      <c r="K21" s="5" t="s">
        <v>376</v>
      </c>
      <c r="L21" s="5" t="s">
        <v>308</v>
      </c>
      <c r="M21" s="5" t="s">
        <v>306</v>
      </c>
      <c r="N21" s="77">
        <v>2</v>
      </c>
      <c r="O21" s="5" t="s">
        <v>377</v>
      </c>
      <c r="P21" s="7" t="s">
        <v>323</v>
      </c>
      <c r="R21" s="43" t="s">
        <v>25</v>
      </c>
      <c r="S21">
        <v>1</v>
      </c>
      <c r="T21"/>
      <c r="U21">
        <v>1</v>
      </c>
      <c r="V21"/>
      <c r="W21"/>
      <c r="X21"/>
      <c r="Y21"/>
    </row>
    <row r="22" spans="1:25" ht="15.75" x14ac:dyDescent="0.25">
      <c r="A22" s="50" t="s">
        <v>4</v>
      </c>
      <c r="B22" s="51" t="s">
        <v>28</v>
      </c>
      <c r="C22" s="52" t="s">
        <v>29</v>
      </c>
      <c r="D22" s="51" t="s">
        <v>7</v>
      </c>
      <c r="H22" s="3" t="s">
        <v>376</v>
      </c>
      <c r="J22" s="6">
        <v>46152</v>
      </c>
      <c r="K22" s="5" t="s">
        <v>130</v>
      </c>
      <c r="L22" s="5" t="s">
        <v>308</v>
      </c>
      <c r="M22" s="5" t="s">
        <v>306</v>
      </c>
      <c r="N22" s="77">
        <v>10</v>
      </c>
      <c r="O22" s="5" t="s">
        <v>11</v>
      </c>
      <c r="P22" s="7" t="s">
        <v>323</v>
      </c>
      <c r="R22" s="43" t="s">
        <v>54</v>
      </c>
      <c r="S22">
        <v>4</v>
      </c>
      <c r="T22"/>
      <c r="U22">
        <v>4</v>
      </c>
      <c r="V22"/>
      <c r="W22"/>
      <c r="X22"/>
      <c r="Y22"/>
    </row>
    <row r="23" spans="1:25" ht="15.75" x14ac:dyDescent="0.25">
      <c r="A23" s="50" t="s">
        <v>4</v>
      </c>
      <c r="B23" s="51" t="s">
        <v>30</v>
      </c>
      <c r="C23" s="52" t="s">
        <v>31</v>
      </c>
      <c r="D23" s="51" t="s">
        <v>7</v>
      </c>
      <c r="H23" s="3" t="s">
        <v>385</v>
      </c>
      <c r="J23" s="6">
        <v>46152</v>
      </c>
      <c r="K23" s="5" t="s">
        <v>130</v>
      </c>
      <c r="L23" s="5" t="s">
        <v>308</v>
      </c>
      <c r="M23" s="5" t="s">
        <v>306</v>
      </c>
      <c r="N23" s="77">
        <v>10</v>
      </c>
      <c r="O23" s="5" t="s">
        <v>13</v>
      </c>
      <c r="P23" s="7" t="s">
        <v>323</v>
      </c>
      <c r="R23" s="43" t="s">
        <v>9</v>
      </c>
      <c r="S23">
        <v>5</v>
      </c>
      <c r="T23"/>
      <c r="U23">
        <v>5</v>
      </c>
      <c r="V23"/>
      <c r="W23"/>
      <c r="X23"/>
      <c r="Y23"/>
    </row>
    <row r="24" spans="1:25" ht="15.75" x14ac:dyDescent="0.25">
      <c r="A24" s="50" t="s">
        <v>4</v>
      </c>
      <c r="B24" s="51" t="s">
        <v>32</v>
      </c>
      <c r="C24" s="52" t="s">
        <v>33</v>
      </c>
      <c r="D24" s="51" t="s">
        <v>7</v>
      </c>
      <c r="H24" s="3" t="s">
        <v>381</v>
      </c>
      <c r="J24" s="6">
        <v>46154</v>
      </c>
      <c r="K24" s="5" t="s">
        <v>130</v>
      </c>
      <c r="L24" s="5" t="s">
        <v>304</v>
      </c>
      <c r="M24" s="5" t="s">
        <v>306</v>
      </c>
      <c r="N24" s="77">
        <v>2</v>
      </c>
      <c r="O24" s="5" t="s">
        <v>54</v>
      </c>
      <c r="P24" s="7" t="s">
        <v>323</v>
      </c>
      <c r="R24" s="43" t="s">
        <v>328</v>
      </c>
      <c r="S24">
        <v>70</v>
      </c>
      <c r="T24">
        <v>267</v>
      </c>
      <c r="U24">
        <v>337</v>
      </c>
      <c r="V24"/>
      <c r="W24"/>
      <c r="X24"/>
      <c r="Y24"/>
    </row>
    <row r="25" spans="1:25" ht="15.75" x14ac:dyDescent="0.25">
      <c r="A25" s="50"/>
      <c r="B25" s="51"/>
      <c r="C25" s="52"/>
      <c r="D25" s="51"/>
      <c r="J25" s="6">
        <v>46156</v>
      </c>
      <c r="K25" s="5" t="s">
        <v>112</v>
      </c>
      <c r="L25" s="5" t="s">
        <v>304</v>
      </c>
      <c r="M25" s="5" t="s">
        <v>306</v>
      </c>
      <c r="N25" s="77">
        <v>5</v>
      </c>
      <c r="O25" s="5" t="s">
        <v>19</v>
      </c>
      <c r="P25" s="7" t="s">
        <v>323</v>
      </c>
      <c r="R25" s="43"/>
      <c r="S25"/>
      <c r="T25"/>
      <c r="U25"/>
      <c r="V25"/>
      <c r="W25"/>
      <c r="X25"/>
      <c r="Y25"/>
    </row>
    <row r="26" spans="1:25" ht="15.75" x14ac:dyDescent="0.25">
      <c r="A26" s="50"/>
      <c r="B26" s="51"/>
      <c r="C26" s="52"/>
      <c r="D26" s="51"/>
      <c r="J26" s="6">
        <v>46156</v>
      </c>
      <c r="K26" s="5" t="s">
        <v>130</v>
      </c>
      <c r="L26" s="5" t="s">
        <v>308</v>
      </c>
      <c r="M26" s="5" t="s">
        <v>302</v>
      </c>
      <c r="N26" s="77">
        <v>2</v>
      </c>
      <c r="O26" s="5" t="s">
        <v>378</v>
      </c>
      <c r="P26" s="7" t="s">
        <v>323</v>
      </c>
      <c r="R26" s="43"/>
      <c r="S26"/>
      <c r="T26"/>
      <c r="U26"/>
      <c r="V26"/>
      <c r="W26"/>
      <c r="X26"/>
      <c r="Y26"/>
    </row>
    <row r="27" spans="1:25" ht="15.75" x14ac:dyDescent="0.25">
      <c r="A27" s="50" t="s">
        <v>4</v>
      </c>
      <c r="B27" s="51" t="s">
        <v>34</v>
      </c>
      <c r="C27" s="52" t="s">
        <v>35</v>
      </c>
      <c r="D27" s="51" t="s">
        <v>7</v>
      </c>
      <c r="H27" s="3" t="s">
        <v>386</v>
      </c>
      <c r="J27" s="6">
        <v>46156</v>
      </c>
      <c r="K27" s="5" t="s">
        <v>130</v>
      </c>
      <c r="L27" s="5" t="s">
        <v>308</v>
      </c>
      <c r="M27" s="5" t="s">
        <v>302</v>
      </c>
      <c r="N27" s="77">
        <v>10</v>
      </c>
      <c r="O27" s="5" t="s">
        <v>11</v>
      </c>
      <c r="P27" s="7" t="s">
        <v>323</v>
      </c>
      <c r="R27"/>
      <c r="S27"/>
      <c r="T27"/>
      <c r="U27"/>
      <c r="V27"/>
      <c r="W27"/>
      <c r="X27"/>
      <c r="Y27"/>
    </row>
    <row r="28" spans="1:25" ht="15.75" x14ac:dyDescent="0.25">
      <c r="A28" s="50" t="s">
        <v>4</v>
      </c>
      <c r="B28" s="51" t="s">
        <v>36</v>
      </c>
      <c r="C28" s="52" t="s">
        <v>37</v>
      </c>
      <c r="D28" s="51" t="s">
        <v>7</v>
      </c>
      <c r="H28" s="3" t="s">
        <v>387</v>
      </c>
      <c r="J28" s="6">
        <v>46156</v>
      </c>
      <c r="K28" s="5" t="s">
        <v>311</v>
      </c>
      <c r="L28" s="5" t="s">
        <v>308</v>
      </c>
      <c r="M28" s="5" t="s">
        <v>306</v>
      </c>
      <c r="N28" s="77">
        <v>10</v>
      </c>
      <c r="O28" s="5" t="s">
        <v>99</v>
      </c>
      <c r="P28" s="7" t="s">
        <v>322</v>
      </c>
      <c r="R28"/>
      <c r="S28"/>
      <c r="T28"/>
      <c r="U28"/>
      <c r="V28"/>
      <c r="W28"/>
      <c r="X28"/>
      <c r="Y28"/>
    </row>
    <row r="29" spans="1:25" ht="15.75" x14ac:dyDescent="0.25">
      <c r="A29" s="53"/>
      <c r="B29" s="54"/>
      <c r="C29" s="55"/>
      <c r="D29" s="54"/>
      <c r="H29" s="3" t="s">
        <v>388</v>
      </c>
      <c r="J29" s="6">
        <v>46156</v>
      </c>
      <c r="K29" s="5" t="s">
        <v>311</v>
      </c>
      <c r="L29" s="5" t="s">
        <v>308</v>
      </c>
      <c r="M29" s="5" t="s">
        <v>306</v>
      </c>
      <c r="N29" s="77">
        <v>10</v>
      </c>
      <c r="O29" s="5" t="s">
        <v>13</v>
      </c>
      <c r="P29" s="7" t="s">
        <v>322</v>
      </c>
      <c r="U29"/>
      <c r="V29"/>
      <c r="W29"/>
    </row>
    <row r="30" spans="1:25" ht="15.75" x14ac:dyDescent="0.25">
      <c r="A30" s="50" t="s">
        <v>4</v>
      </c>
      <c r="B30" s="51" t="s">
        <v>38</v>
      </c>
      <c r="C30" s="52" t="s">
        <v>39</v>
      </c>
      <c r="D30" s="51" t="s">
        <v>7</v>
      </c>
      <c r="H30" s="3" t="s">
        <v>389</v>
      </c>
      <c r="J30" s="6">
        <v>46157</v>
      </c>
      <c r="K30" s="5" t="s">
        <v>130</v>
      </c>
      <c r="L30" s="5" t="s">
        <v>304</v>
      </c>
      <c r="M30" s="5" t="s">
        <v>306</v>
      </c>
      <c r="N30" s="77">
        <v>10</v>
      </c>
      <c r="O30" s="5" t="s">
        <v>11</v>
      </c>
      <c r="P30" s="7" t="s">
        <v>322</v>
      </c>
      <c r="U30"/>
      <c r="V30"/>
      <c r="W30"/>
    </row>
    <row r="31" spans="1:25" x14ac:dyDescent="0.2">
      <c r="A31" s="50" t="s">
        <v>4</v>
      </c>
      <c r="B31" s="51" t="s">
        <v>40</v>
      </c>
      <c r="C31" s="52" t="s">
        <v>41</v>
      </c>
      <c r="D31" s="51" t="s">
        <v>7</v>
      </c>
      <c r="H31" s="3" t="s">
        <v>390</v>
      </c>
      <c r="J31" s="6">
        <v>46157</v>
      </c>
      <c r="K31" s="5" t="s">
        <v>311</v>
      </c>
      <c r="L31" s="5" t="s">
        <v>308</v>
      </c>
      <c r="M31" s="5" t="s">
        <v>306</v>
      </c>
      <c r="N31" s="77">
        <v>2</v>
      </c>
      <c r="O31" s="5" t="s">
        <v>101</v>
      </c>
      <c r="P31" s="7" t="s">
        <v>322</v>
      </c>
    </row>
    <row r="32" spans="1:25" ht="15" customHeight="1" x14ac:dyDescent="0.2">
      <c r="A32" s="53"/>
      <c r="B32" s="54"/>
      <c r="C32" s="55"/>
      <c r="D32" s="54"/>
      <c r="H32" s="3" t="s">
        <v>391</v>
      </c>
      <c r="J32" s="6">
        <v>46157</v>
      </c>
      <c r="K32" s="5" t="s">
        <v>311</v>
      </c>
      <c r="L32" s="5" t="s">
        <v>304</v>
      </c>
      <c r="M32" s="5" t="s">
        <v>306</v>
      </c>
      <c r="N32" s="77">
        <v>10</v>
      </c>
      <c r="O32" s="5" t="s">
        <v>11</v>
      </c>
      <c r="P32" s="7" t="s">
        <v>322</v>
      </c>
    </row>
    <row r="33" spans="1:16" ht="15" customHeight="1" x14ac:dyDescent="0.2">
      <c r="A33" s="50" t="s">
        <v>42</v>
      </c>
      <c r="B33" s="51" t="s">
        <v>43</v>
      </c>
      <c r="C33" s="52" t="s">
        <v>44</v>
      </c>
      <c r="D33" s="51" t="s">
        <v>7</v>
      </c>
      <c r="H33" s="3" t="s">
        <v>309</v>
      </c>
      <c r="J33" s="6">
        <v>46157</v>
      </c>
      <c r="K33" s="5" t="s">
        <v>311</v>
      </c>
      <c r="L33" s="5" t="s">
        <v>304</v>
      </c>
      <c r="M33" s="5" t="s">
        <v>306</v>
      </c>
      <c r="N33" s="77">
        <v>5</v>
      </c>
      <c r="O33" s="5" t="s">
        <v>17</v>
      </c>
      <c r="P33" s="7" t="s">
        <v>323</v>
      </c>
    </row>
    <row r="34" spans="1:16" ht="18" customHeight="1" x14ac:dyDescent="0.2">
      <c r="A34" s="50" t="s">
        <v>42</v>
      </c>
      <c r="B34" s="51" t="s">
        <v>45</v>
      </c>
      <c r="C34" s="52" t="s">
        <v>46</v>
      </c>
      <c r="D34" s="51" t="s">
        <v>7</v>
      </c>
      <c r="H34" s="3" t="s">
        <v>409</v>
      </c>
      <c r="J34" s="6">
        <v>46157</v>
      </c>
      <c r="K34" s="5" t="s">
        <v>311</v>
      </c>
      <c r="L34" s="5" t="s">
        <v>308</v>
      </c>
      <c r="M34" s="5" t="s">
        <v>306</v>
      </c>
      <c r="N34" s="77">
        <v>2</v>
      </c>
      <c r="O34" s="5" t="s">
        <v>44</v>
      </c>
      <c r="P34" s="7" t="s">
        <v>323</v>
      </c>
    </row>
    <row r="35" spans="1:16" s="72" customFormat="1" ht="16.5" customHeight="1" x14ac:dyDescent="0.2">
      <c r="A35" s="56"/>
      <c r="B35" s="57"/>
      <c r="C35" s="58"/>
      <c r="D35" s="57"/>
      <c r="E35" s="3"/>
      <c r="F35" s="3"/>
      <c r="G35" s="3"/>
      <c r="H35" s="3"/>
      <c r="I35" s="3"/>
      <c r="J35" s="6">
        <v>46157</v>
      </c>
      <c r="K35" s="5" t="s">
        <v>385</v>
      </c>
      <c r="L35" s="5" t="s">
        <v>400</v>
      </c>
      <c r="M35" s="5" t="s">
        <v>302</v>
      </c>
      <c r="N35" s="77">
        <v>2</v>
      </c>
      <c r="O35" s="5" t="s">
        <v>334</v>
      </c>
      <c r="P35" s="7" t="s">
        <v>322</v>
      </c>
    </row>
    <row r="36" spans="1:16" ht="18.600000000000001" customHeight="1" x14ac:dyDescent="0.2">
      <c r="A36" s="50" t="s">
        <v>47</v>
      </c>
      <c r="B36" s="51" t="s">
        <v>48</v>
      </c>
      <c r="C36" s="52" t="s">
        <v>49</v>
      </c>
      <c r="D36" s="51" t="s">
        <v>7</v>
      </c>
      <c r="J36" s="6">
        <v>46157</v>
      </c>
      <c r="K36" s="5" t="s">
        <v>385</v>
      </c>
      <c r="L36" s="5" t="s">
        <v>400</v>
      </c>
      <c r="M36" s="5" t="s">
        <v>302</v>
      </c>
      <c r="N36" s="77">
        <v>2</v>
      </c>
      <c r="O36" s="5" t="s">
        <v>335</v>
      </c>
      <c r="P36" s="7" t="s">
        <v>322</v>
      </c>
    </row>
    <row r="37" spans="1:16" x14ac:dyDescent="0.2">
      <c r="A37" s="50" t="s">
        <v>47</v>
      </c>
      <c r="B37" s="51" t="s">
        <v>50</v>
      </c>
      <c r="C37" s="52" t="s">
        <v>51</v>
      </c>
      <c r="D37" s="51" t="s">
        <v>7</v>
      </c>
      <c r="J37" s="6">
        <v>46157</v>
      </c>
      <c r="K37" s="5" t="s">
        <v>385</v>
      </c>
      <c r="L37" s="5" t="s">
        <v>400</v>
      </c>
      <c r="M37" s="5" t="s">
        <v>302</v>
      </c>
      <c r="N37" s="77">
        <v>2</v>
      </c>
      <c r="O37" s="5" t="s">
        <v>336</v>
      </c>
      <c r="P37" s="7" t="s">
        <v>399</v>
      </c>
    </row>
    <row r="38" spans="1:16" ht="15" customHeight="1" x14ac:dyDescent="0.2">
      <c r="A38" s="50" t="s">
        <v>4</v>
      </c>
      <c r="B38" s="51">
        <v>33191234</v>
      </c>
      <c r="C38" s="52" t="s">
        <v>52</v>
      </c>
      <c r="D38" s="51" t="s">
        <v>7</v>
      </c>
      <c r="J38" s="6">
        <v>46157</v>
      </c>
      <c r="K38" s="5" t="s">
        <v>385</v>
      </c>
      <c r="L38" s="5" t="s">
        <v>400</v>
      </c>
      <c r="M38" s="5" t="s">
        <v>302</v>
      </c>
      <c r="N38" s="77">
        <v>2</v>
      </c>
      <c r="O38" s="5" t="s">
        <v>337</v>
      </c>
      <c r="P38" s="7" t="s">
        <v>399</v>
      </c>
    </row>
    <row r="39" spans="1:16" ht="16.149999999999999" customHeight="1" x14ac:dyDescent="0.2">
      <c r="A39" s="50" t="s">
        <v>47</v>
      </c>
      <c r="B39" s="51" t="s">
        <v>102</v>
      </c>
      <c r="C39" s="52" t="s">
        <v>103</v>
      </c>
      <c r="D39" s="51" t="s">
        <v>7</v>
      </c>
      <c r="J39" s="6">
        <v>46157</v>
      </c>
      <c r="K39" s="5" t="s">
        <v>385</v>
      </c>
      <c r="L39" s="5" t="s">
        <v>400</v>
      </c>
      <c r="M39" s="5" t="s">
        <v>302</v>
      </c>
      <c r="N39" s="77">
        <v>1</v>
      </c>
      <c r="O39" s="3" t="s">
        <v>342</v>
      </c>
      <c r="P39" s="7" t="s">
        <v>399</v>
      </c>
    </row>
    <row r="40" spans="1:16" ht="15.6" customHeight="1" x14ac:dyDescent="0.2">
      <c r="A40" s="50" t="s">
        <v>47</v>
      </c>
      <c r="B40" s="51" t="s">
        <v>126</v>
      </c>
      <c r="C40" s="52" t="s">
        <v>53</v>
      </c>
      <c r="D40" s="51" t="s">
        <v>7</v>
      </c>
      <c r="J40" s="6">
        <v>46157</v>
      </c>
      <c r="K40" s="5" t="s">
        <v>385</v>
      </c>
      <c r="L40" s="5" t="s">
        <v>400</v>
      </c>
      <c r="M40" s="5" t="s">
        <v>302</v>
      </c>
      <c r="N40" s="77">
        <v>1</v>
      </c>
      <c r="O40" s="3" t="s">
        <v>338</v>
      </c>
      <c r="P40" s="7" t="s">
        <v>399</v>
      </c>
    </row>
    <row r="41" spans="1:16" x14ac:dyDescent="0.2">
      <c r="A41" s="50" t="s">
        <v>4</v>
      </c>
      <c r="B41" s="51">
        <v>33191232</v>
      </c>
      <c r="C41" s="52" t="s">
        <v>53</v>
      </c>
      <c r="D41" s="51" t="s">
        <v>7</v>
      </c>
      <c r="J41" s="6">
        <v>46157</v>
      </c>
      <c r="K41" s="5" t="s">
        <v>385</v>
      </c>
      <c r="L41" s="5" t="s">
        <v>400</v>
      </c>
      <c r="M41" s="5" t="s">
        <v>302</v>
      </c>
      <c r="N41" s="77">
        <v>1</v>
      </c>
      <c r="O41" s="5" t="s">
        <v>339</v>
      </c>
      <c r="P41" s="7" t="s">
        <v>399</v>
      </c>
    </row>
    <row r="42" spans="1:16" x14ac:dyDescent="0.2">
      <c r="A42" s="51" t="s">
        <v>4</v>
      </c>
      <c r="B42" s="51">
        <v>33191231</v>
      </c>
      <c r="C42" s="52" t="s">
        <v>54</v>
      </c>
      <c r="D42" s="5" t="s">
        <v>7</v>
      </c>
      <c r="J42" s="6">
        <v>46157</v>
      </c>
      <c r="K42" s="5" t="s">
        <v>385</v>
      </c>
      <c r="L42" s="5" t="s">
        <v>400</v>
      </c>
      <c r="M42" s="5" t="s">
        <v>302</v>
      </c>
      <c r="N42" s="77">
        <v>1</v>
      </c>
      <c r="O42" s="5" t="s">
        <v>348</v>
      </c>
      <c r="P42" s="7" t="s">
        <v>399</v>
      </c>
    </row>
    <row r="43" spans="1:16" x14ac:dyDescent="0.2">
      <c r="A43" s="51" t="s">
        <v>4</v>
      </c>
      <c r="B43" s="77" t="s">
        <v>349</v>
      </c>
      <c r="C43" s="5" t="s">
        <v>334</v>
      </c>
      <c r="D43" s="5" t="s">
        <v>7</v>
      </c>
      <c r="J43" s="6">
        <v>46158</v>
      </c>
      <c r="K43" s="5" t="s">
        <v>130</v>
      </c>
      <c r="L43" s="5" t="s">
        <v>308</v>
      </c>
      <c r="M43" s="5" t="s">
        <v>302</v>
      </c>
      <c r="N43" s="77">
        <v>10</v>
      </c>
      <c r="O43" s="5" t="s">
        <v>21</v>
      </c>
      <c r="P43" s="7" t="s">
        <v>399</v>
      </c>
    </row>
    <row r="44" spans="1:16" x14ac:dyDescent="0.2">
      <c r="A44" s="51" t="s">
        <v>4</v>
      </c>
      <c r="B44" s="77" t="s">
        <v>350</v>
      </c>
      <c r="C44" s="5" t="s">
        <v>335</v>
      </c>
      <c r="D44" s="5" t="s">
        <v>7</v>
      </c>
      <c r="J44" s="6">
        <v>46159</v>
      </c>
      <c r="K44" s="5" t="s">
        <v>311</v>
      </c>
      <c r="L44" s="5" t="s">
        <v>308</v>
      </c>
      <c r="M44" s="5" t="s">
        <v>306</v>
      </c>
      <c r="N44" s="77">
        <v>5</v>
      </c>
      <c r="O44" s="5" t="s">
        <v>378</v>
      </c>
      <c r="P44" s="7" t="s">
        <v>399</v>
      </c>
    </row>
    <row r="45" spans="1:16" x14ac:dyDescent="0.2">
      <c r="A45" s="51" t="s">
        <v>4</v>
      </c>
      <c r="B45" s="77" t="s">
        <v>351</v>
      </c>
      <c r="C45" s="5" t="s">
        <v>336</v>
      </c>
      <c r="D45" s="5" t="s">
        <v>7</v>
      </c>
      <c r="J45" s="6">
        <v>46159</v>
      </c>
      <c r="K45" s="5" t="s">
        <v>311</v>
      </c>
      <c r="L45" s="5" t="s">
        <v>308</v>
      </c>
      <c r="M45" s="5" t="s">
        <v>306</v>
      </c>
      <c r="N45" s="77">
        <v>10</v>
      </c>
      <c r="O45" s="5" t="s">
        <v>99</v>
      </c>
      <c r="P45" s="7" t="s">
        <v>322</v>
      </c>
    </row>
    <row r="46" spans="1:16" x14ac:dyDescent="0.2">
      <c r="A46" s="51" t="s">
        <v>4</v>
      </c>
      <c r="B46" s="77" t="s">
        <v>352</v>
      </c>
      <c r="C46" s="5" t="s">
        <v>337</v>
      </c>
      <c r="D46" s="5" t="s">
        <v>7</v>
      </c>
      <c r="J46" s="6">
        <v>46159</v>
      </c>
      <c r="K46" s="5" t="s">
        <v>311</v>
      </c>
      <c r="L46" s="5" t="s">
        <v>308</v>
      </c>
      <c r="M46" s="5" t="s">
        <v>306</v>
      </c>
      <c r="N46" s="77">
        <v>20</v>
      </c>
      <c r="O46" s="5" t="s">
        <v>11</v>
      </c>
      <c r="P46" s="7" t="s">
        <v>322</v>
      </c>
    </row>
    <row r="47" spans="1:16" x14ac:dyDescent="0.2">
      <c r="A47" s="51" t="s">
        <v>4</v>
      </c>
      <c r="B47" s="77" t="s">
        <v>353</v>
      </c>
      <c r="C47" s="5" t="s">
        <v>338</v>
      </c>
      <c r="D47" s="5" t="s">
        <v>7</v>
      </c>
      <c r="J47" s="6">
        <v>46159</v>
      </c>
      <c r="K47" s="5" t="s">
        <v>311</v>
      </c>
      <c r="L47" s="5" t="s">
        <v>308</v>
      </c>
      <c r="M47" s="5" t="s">
        <v>306</v>
      </c>
      <c r="N47" s="77">
        <v>10</v>
      </c>
      <c r="O47" s="5" t="s">
        <v>13</v>
      </c>
      <c r="P47" s="7" t="s">
        <v>322</v>
      </c>
    </row>
    <row r="48" spans="1:16" x14ac:dyDescent="0.2">
      <c r="A48" s="51" t="s">
        <v>4</v>
      </c>
      <c r="B48" s="77" t="s">
        <v>354</v>
      </c>
      <c r="C48" s="5" t="s">
        <v>339</v>
      </c>
      <c r="D48" s="5" t="s">
        <v>7</v>
      </c>
      <c r="J48" s="6">
        <v>46159</v>
      </c>
      <c r="K48" s="5" t="s">
        <v>311</v>
      </c>
      <c r="L48" s="5" t="s">
        <v>308</v>
      </c>
      <c r="M48" s="5" t="s">
        <v>306</v>
      </c>
      <c r="N48" s="77">
        <v>3</v>
      </c>
      <c r="O48" s="5" t="s">
        <v>19</v>
      </c>
      <c r="P48" s="7" t="s">
        <v>322</v>
      </c>
    </row>
    <row r="49" spans="1:18" x14ac:dyDescent="0.2">
      <c r="A49" s="51" t="s">
        <v>4</v>
      </c>
      <c r="B49" s="77" t="s">
        <v>355</v>
      </c>
      <c r="C49" s="5" t="s">
        <v>340</v>
      </c>
      <c r="D49" s="5" t="s">
        <v>7</v>
      </c>
      <c r="J49" s="6">
        <v>46162</v>
      </c>
      <c r="K49" s="5" t="s">
        <v>311</v>
      </c>
      <c r="L49" s="5" t="s">
        <v>308</v>
      </c>
      <c r="M49" s="5" t="s">
        <v>306</v>
      </c>
      <c r="N49" s="77">
        <v>2</v>
      </c>
      <c r="O49" s="5" t="s">
        <v>101</v>
      </c>
      <c r="P49" s="7" t="s">
        <v>322</v>
      </c>
    </row>
    <row r="50" spans="1:18" x14ac:dyDescent="0.2">
      <c r="A50" s="51" t="s">
        <v>4</v>
      </c>
      <c r="B50" s="77" t="s">
        <v>356</v>
      </c>
      <c r="C50" s="5" t="s">
        <v>341</v>
      </c>
      <c r="D50" s="5" t="s">
        <v>7</v>
      </c>
      <c r="J50" s="86">
        <v>46162</v>
      </c>
      <c r="K50" s="87" t="s">
        <v>309</v>
      </c>
      <c r="L50" s="87" t="s">
        <v>304</v>
      </c>
      <c r="M50" s="87" t="s">
        <v>306</v>
      </c>
      <c r="N50" s="88">
        <v>1</v>
      </c>
      <c r="O50" s="87" t="s">
        <v>6</v>
      </c>
      <c r="P50" s="7" t="s">
        <v>323</v>
      </c>
    </row>
    <row r="51" spans="1:18" x14ac:dyDescent="0.2">
      <c r="A51" s="51" t="s">
        <v>4</v>
      </c>
      <c r="B51" s="77" t="s">
        <v>357</v>
      </c>
      <c r="C51" s="5" t="s">
        <v>342</v>
      </c>
      <c r="D51" s="5" t="s">
        <v>7</v>
      </c>
      <c r="J51" s="6">
        <v>46163</v>
      </c>
      <c r="K51" s="5" t="s">
        <v>311</v>
      </c>
      <c r="L51" s="5" t="s">
        <v>308</v>
      </c>
      <c r="M51" s="5" t="s">
        <v>302</v>
      </c>
      <c r="N51" s="77">
        <v>5</v>
      </c>
      <c r="O51" s="5" t="s">
        <v>21</v>
      </c>
      <c r="P51" s="89" t="s">
        <v>323</v>
      </c>
      <c r="Q51" s="90"/>
    </row>
    <row r="52" spans="1:18" x14ac:dyDescent="0.2">
      <c r="A52" s="51" t="s">
        <v>4</v>
      </c>
      <c r="B52" s="77" t="s">
        <v>358</v>
      </c>
      <c r="C52" s="5" t="s">
        <v>343</v>
      </c>
      <c r="D52" s="5" t="s">
        <v>7</v>
      </c>
      <c r="J52" s="86">
        <v>46163</v>
      </c>
      <c r="K52" s="87" t="s">
        <v>310</v>
      </c>
      <c r="L52" s="87" t="s">
        <v>308</v>
      </c>
      <c r="M52" s="87" t="s">
        <v>302</v>
      </c>
      <c r="N52" s="88">
        <v>1</v>
      </c>
      <c r="O52" s="87" t="s">
        <v>23</v>
      </c>
      <c r="P52" s="89" t="s">
        <v>322</v>
      </c>
      <c r="Q52" s="90"/>
      <c r="R52" s="3" t="s">
        <v>366</v>
      </c>
    </row>
    <row r="53" spans="1:18" x14ac:dyDescent="0.2">
      <c r="A53" s="51" t="s">
        <v>4</v>
      </c>
      <c r="B53" s="77" t="s">
        <v>359</v>
      </c>
      <c r="C53" s="5" t="s">
        <v>344</v>
      </c>
      <c r="D53" s="5" t="s">
        <v>7</v>
      </c>
      <c r="J53" s="86">
        <v>46163</v>
      </c>
      <c r="K53" s="87" t="s">
        <v>310</v>
      </c>
      <c r="L53" s="87" t="s">
        <v>308</v>
      </c>
      <c r="M53" s="87" t="s">
        <v>302</v>
      </c>
      <c r="N53" s="88">
        <v>1</v>
      </c>
      <c r="O53" s="87" t="s">
        <v>31</v>
      </c>
      <c r="P53" s="89" t="s">
        <v>322</v>
      </c>
      <c r="Q53" s="90"/>
    </row>
    <row r="54" spans="1:18" x14ac:dyDescent="0.2">
      <c r="A54" s="51" t="s">
        <v>4</v>
      </c>
      <c r="B54" s="77" t="s">
        <v>360</v>
      </c>
      <c r="C54" s="5" t="s">
        <v>345</v>
      </c>
      <c r="D54" s="5" t="s">
        <v>7</v>
      </c>
      <c r="J54" s="6">
        <v>46163</v>
      </c>
      <c r="K54" s="5" t="s">
        <v>409</v>
      </c>
      <c r="L54" s="5" t="s">
        <v>304</v>
      </c>
      <c r="M54" s="5" t="s">
        <v>306</v>
      </c>
      <c r="N54" s="77">
        <v>1</v>
      </c>
      <c r="O54" s="5" t="s">
        <v>29</v>
      </c>
      <c r="P54" s="7" t="s">
        <v>323</v>
      </c>
    </row>
    <row r="55" spans="1:18" x14ac:dyDescent="0.2">
      <c r="A55" s="51" t="s">
        <v>4</v>
      </c>
      <c r="B55" s="77" t="s">
        <v>361</v>
      </c>
      <c r="C55" s="5" t="s">
        <v>346</v>
      </c>
      <c r="D55" s="5" t="s">
        <v>7</v>
      </c>
      <c r="J55" s="6">
        <v>46163</v>
      </c>
      <c r="K55" s="5" t="s">
        <v>311</v>
      </c>
      <c r="L55" s="5" t="s">
        <v>308</v>
      </c>
      <c r="M55" s="5" t="s">
        <v>306</v>
      </c>
      <c r="N55" s="77">
        <v>1</v>
      </c>
      <c r="O55" s="5" t="s">
        <v>377</v>
      </c>
      <c r="P55" s="7" t="s">
        <v>323</v>
      </c>
    </row>
    <row r="56" spans="1:18" x14ac:dyDescent="0.2">
      <c r="A56" s="51" t="s">
        <v>4</v>
      </c>
      <c r="B56" s="77" t="s">
        <v>362</v>
      </c>
      <c r="C56" s="5" t="s">
        <v>347</v>
      </c>
      <c r="D56" s="5" t="s">
        <v>7</v>
      </c>
      <c r="J56" s="6">
        <v>46164</v>
      </c>
      <c r="K56" s="5" t="s">
        <v>311</v>
      </c>
      <c r="L56" s="5" t="s">
        <v>308</v>
      </c>
      <c r="M56" s="5" t="s">
        <v>306</v>
      </c>
      <c r="N56" s="77">
        <v>5</v>
      </c>
      <c r="O56" s="5" t="s">
        <v>21</v>
      </c>
      <c r="P56" s="7" t="s">
        <v>322</v>
      </c>
    </row>
    <row r="57" spans="1:18" x14ac:dyDescent="0.2">
      <c r="A57" s="51" t="s">
        <v>4</v>
      </c>
      <c r="B57" s="77" t="s">
        <v>363</v>
      </c>
      <c r="C57" s="5" t="s">
        <v>348</v>
      </c>
      <c r="D57" s="5" t="s">
        <v>7</v>
      </c>
      <c r="J57" s="6">
        <v>46164</v>
      </c>
      <c r="K57" s="5" t="s">
        <v>310</v>
      </c>
      <c r="L57" s="5" t="s">
        <v>304</v>
      </c>
      <c r="M57" s="5" t="s">
        <v>302</v>
      </c>
      <c r="N57" s="77">
        <v>1</v>
      </c>
      <c r="O57" s="5" t="s">
        <v>25</v>
      </c>
      <c r="P57" s="7" t="s">
        <v>323</v>
      </c>
    </row>
    <row r="58" spans="1:18" x14ac:dyDescent="0.2">
      <c r="J58" s="6">
        <v>46164</v>
      </c>
      <c r="K58" s="5" t="s">
        <v>309</v>
      </c>
      <c r="L58" s="5" t="s">
        <v>304</v>
      </c>
      <c r="M58" s="5" t="s">
        <v>306</v>
      </c>
      <c r="N58" s="77">
        <v>2</v>
      </c>
      <c r="O58" s="5" t="s">
        <v>54</v>
      </c>
      <c r="P58" s="7" t="s">
        <v>322</v>
      </c>
    </row>
    <row r="59" spans="1:18" x14ac:dyDescent="0.2">
      <c r="J59" s="6">
        <v>46165</v>
      </c>
      <c r="K59" s="5" t="s">
        <v>311</v>
      </c>
      <c r="L59" s="5" t="s">
        <v>308</v>
      </c>
      <c r="M59" s="5" t="s">
        <v>306</v>
      </c>
      <c r="N59" s="77">
        <v>2</v>
      </c>
      <c r="O59" s="5" t="s">
        <v>101</v>
      </c>
      <c r="P59" s="7" t="s">
        <v>322</v>
      </c>
    </row>
    <row r="60" spans="1:18" x14ac:dyDescent="0.2">
      <c r="J60" s="6">
        <v>46165</v>
      </c>
      <c r="K60" s="5" t="s">
        <v>311</v>
      </c>
      <c r="L60" s="5" t="s">
        <v>308</v>
      </c>
      <c r="M60" s="5" t="s">
        <v>306</v>
      </c>
      <c r="N60" s="77">
        <v>10</v>
      </c>
      <c r="O60" s="5" t="s">
        <v>99</v>
      </c>
      <c r="P60" s="7" t="s">
        <v>322</v>
      </c>
    </row>
    <row r="61" spans="1:18" x14ac:dyDescent="0.2">
      <c r="J61" s="6">
        <v>46165</v>
      </c>
      <c r="K61" s="126" t="s">
        <v>311</v>
      </c>
      <c r="L61" s="126" t="s">
        <v>308</v>
      </c>
      <c r="M61" s="126" t="s">
        <v>306</v>
      </c>
      <c r="N61" s="127">
        <v>2</v>
      </c>
      <c r="O61" s="126" t="s">
        <v>44</v>
      </c>
      <c r="P61" s="7" t="s">
        <v>322</v>
      </c>
    </row>
    <row r="62" spans="1:18" x14ac:dyDescent="0.2">
      <c r="J62" s="6">
        <v>46165</v>
      </c>
      <c r="K62" s="126" t="s">
        <v>109</v>
      </c>
      <c r="L62" s="126" t="s">
        <v>308</v>
      </c>
      <c r="M62" s="126" t="s">
        <v>306</v>
      </c>
      <c r="N62" s="127">
        <v>2</v>
      </c>
      <c r="O62" s="126" t="s">
        <v>33</v>
      </c>
      <c r="P62" s="7" t="s">
        <v>322</v>
      </c>
    </row>
    <row r="63" spans="1:18" x14ac:dyDescent="0.2">
      <c r="J63" s="6">
        <v>46165</v>
      </c>
      <c r="K63" s="126" t="s">
        <v>109</v>
      </c>
      <c r="L63" s="126" t="s">
        <v>308</v>
      </c>
      <c r="M63" s="126" t="s">
        <v>306</v>
      </c>
      <c r="N63" s="127">
        <v>1</v>
      </c>
      <c r="O63" s="126" t="s">
        <v>101</v>
      </c>
      <c r="P63" s="7" t="s">
        <v>322</v>
      </c>
    </row>
    <row r="64" spans="1:18" x14ac:dyDescent="0.2">
      <c r="J64" s="6">
        <v>46165</v>
      </c>
      <c r="K64" s="126" t="s">
        <v>109</v>
      </c>
      <c r="L64" s="126" t="s">
        <v>308</v>
      </c>
      <c r="M64" s="126" t="s">
        <v>306</v>
      </c>
      <c r="N64" s="127">
        <v>1</v>
      </c>
      <c r="O64" s="126" t="s">
        <v>44</v>
      </c>
      <c r="P64" s="7" t="s">
        <v>322</v>
      </c>
    </row>
    <row r="65" spans="10:16" x14ac:dyDescent="0.2">
      <c r="J65" s="6">
        <v>46166</v>
      </c>
      <c r="K65" s="126" t="s">
        <v>310</v>
      </c>
      <c r="L65" s="126" t="s">
        <v>304</v>
      </c>
      <c r="M65" s="126" t="s">
        <v>302</v>
      </c>
      <c r="N65" s="127">
        <v>5</v>
      </c>
      <c r="O65" s="126" t="s">
        <v>9</v>
      </c>
      <c r="P65" s="7" t="s">
        <v>323</v>
      </c>
    </row>
    <row r="66" spans="10:16" x14ac:dyDescent="0.2">
      <c r="J66" s="6">
        <v>46166</v>
      </c>
      <c r="K66" s="126" t="s">
        <v>310</v>
      </c>
      <c r="L66" s="126" t="s">
        <v>304</v>
      </c>
      <c r="M66" s="126" t="s">
        <v>302</v>
      </c>
      <c r="N66" s="127">
        <v>2</v>
      </c>
      <c r="O66" s="126" t="s">
        <v>378</v>
      </c>
      <c r="P66" s="7" t="s">
        <v>323</v>
      </c>
    </row>
    <row r="67" spans="10:16" x14ac:dyDescent="0.2">
      <c r="J67" s="6">
        <v>46166</v>
      </c>
      <c r="K67" s="126" t="s">
        <v>310</v>
      </c>
      <c r="L67" s="126" t="s">
        <v>304</v>
      </c>
      <c r="M67" s="126" t="s">
        <v>302</v>
      </c>
      <c r="N67" s="127">
        <v>2</v>
      </c>
      <c r="O67" s="126" t="s">
        <v>101</v>
      </c>
      <c r="P67" s="7" t="s">
        <v>323</v>
      </c>
    </row>
    <row r="68" spans="10:16" x14ac:dyDescent="0.2">
      <c r="J68" s="6">
        <v>46166</v>
      </c>
      <c r="K68" s="5" t="s">
        <v>310</v>
      </c>
      <c r="L68" s="5" t="s">
        <v>304</v>
      </c>
      <c r="M68" s="5" t="s">
        <v>302</v>
      </c>
      <c r="N68" s="77">
        <v>1</v>
      </c>
      <c r="O68" s="5" t="s">
        <v>44</v>
      </c>
      <c r="P68" s="7" t="s">
        <v>323</v>
      </c>
    </row>
    <row r="69" spans="10:16" x14ac:dyDescent="0.2">
      <c r="J69" s="6">
        <v>46170</v>
      </c>
      <c r="K69" s="5" t="s">
        <v>112</v>
      </c>
      <c r="L69" s="5" t="s">
        <v>304</v>
      </c>
      <c r="M69" s="5" t="s">
        <v>302</v>
      </c>
      <c r="N69" s="77">
        <v>1</v>
      </c>
      <c r="O69" s="5" t="s">
        <v>44</v>
      </c>
      <c r="P69" s="7" t="s">
        <v>323</v>
      </c>
    </row>
    <row r="70" spans="10:16" x14ac:dyDescent="0.2">
      <c r="J70" s="6">
        <v>46170</v>
      </c>
      <c r="K70" s="5" t="s">
        <v>310</v>
      </c>
      <c r="L70" s="5" t="s">
        <v>308</v>
      </c>
      <c r="M70" s="5" t="s">
        <v>306</v>
      </c>
      <c r="N70" s="77">
        <v>10</v>
      </c>
      <c r="O70" s="5" t="s">
        <v>11</v>
      </c>
      <c r="P70" s="7" t="s">
        <v>322</v>
      </c>
    </row>
    <row r="71" spans="10:16" x14ac:dyDescent="0.2">
      <c r="J71" s="6">
        <v>46171</v>
      </c>
      <c r="K71" s="5" t="s">
        <v>112</v>
      </c>
      <c r="L71" s="5" t="s">
        <v>304</v>
      </c>
      <c r="M71" s="5" t="s">
        <v>302</v>
      </c>
      <c r="N71" s="77">
        <v>2</v>
      </c>
      <c r="O71" s="5" t="s">
        <v>377</v>
      </c>
      <c r="P71" s="7" t="s">
        <v>323</v>
      </c>
    </row>
    <row r="72" spans="10:16" x14ac:dyDescent="0.2">
      <c r="J72" s="6">
        <v>46171</v>
      </c>
      <c r="K72" s="5" t="s">
        <v>112</v>
      </c>
      <c r="L72" s="5" t="s">
        <v>304</v>
      </c>
      <c r="M72" s="5" t="s">
        <v>302</v>
      </c>
      <c r="N72" s="77">
        <v>1</v>
      </c>
      <c r="O72" s="5" t="s">
        <v>378</v>
      </c>
      <c r="P72" s="7" t="s">
        <v>323</v>
      </c>
    </row>
    <row r="73" spans="10:16" x14ac:dyDescent="0.2">
      <c r="J73" s="6">
        <v>46171</v>
      </c>
      <c r="K73" s="5" t="s">
        <v>112</v>
      </c>
      <c r="L73" s="5" t="s">
        <v>304</v>
      </c>
      <c r="M73" s="5" t="s">
        <v>302</v>
      </c>
      <c r="N73" s="77">
        <v>2</v>
      </c>
      <c r="O73" s="5" t="s">
        <v>21</v>
      </c>
      <c r="P73" s="7" t="s">
        <v>323</v>
      </c>
    </row>
    <row r="74" spans="10:16" x14ac:dyDescent="0.2">
      <c r="J74" s="6">
        <v>46171</v>
      </c>
      <c r="K74" s="5" t="s">
        <v>112</v>
      </c>
      <c r="L74" s="5" t="s">
        <v>308</v>
      </c>
      <c r="M74" s="5" t="s">
        <v>302</v>
      </c>
      <c r="N74" s="77">
        <v>2</v>
      </c>
      <c r="O74" s="5" t="s">
        <v>21</v>
      </c>
      <c r="P74" s="7" t="s">
        <v>322</v>
      </c>
    </row>
    <row r="75" spans="10:16" x14ac:dyDescent="0.2">
      <c r="J75" s="6">
        <v>46173</v>
      </c>
      <c r="K75" s="5" t="s">
        <v>112</v>
      </c>
      <c r="L75" s="5" t="s">
        <v>308</v>
      </c>
      <c r="M75" s="5" t="s">
        <v>302</v>
      </c>
      <c r="N75" s="77">
        <v>1</v>
      </c>
      <c r="O75" s="5" t="s">
        <v>44</v>
      </c>
      <c r="P75" s="7" t="s">
        <v>322</v>
      </c>
    </row>
    <row r="76" spans="10:16" x14ac:dyDescent="0.2">
      <c r="J76" s="6">
        <v>46173</v>
      </c>
      <c r="K76" s="5" t="s">
        <v>312</v>
      </c>
      <c r="L76" s="5" t="s">
        <v>308</v>
      </c>
      <c r="M76" s="5" t="s">
        <v>306</v>
      </c>
      <c r="N76" s="77">
        <v>1</v>
      </c>
      <c r="O76" s="5" t="s">
        <v>377</v>
      </c>
      <c r="P76" s="7" t="s">
        <v>322</v>
      </c>
    </row>
    <row r="77" spans="10:16" x14ac:dyDescent="0.2">
      <c r="J77" s="6">
        <v>46173</v>
      </c>
      <c r="K77" s="5" t="s">
        <v>312</v>
      </c>
      <c r="L77" s="5" t="s">
        <v>308</v>
      </c>
      <c r="M77" s="5" t="s">
        <v>306</v>
      </c>
      <c r="N77" s="77">
        <v>10</v>
      </c>
      <c r="O77" s="5" t="s">
        <v>99</v>
      </c>
      <c r="P77" s="7" t="s">
        <v>322</v>
      </c>
    </row>
    <row r="78" spans="10:16" x14ac:dyDescent="0.2">
      <c r="J78" s="6">
        <v>46173</v>
      </c>
      <c r="K78" s="5" t="s">
        <v>312</v>
      </c>
      <c r="L78" s="5" t="s">
        <v>308</v>
      </c>
      <c r="M78" s="5" t="s">
        <v>306</v>
      </c>
      <c r="N78" s="77">
        <v>10</v>
      </c>
      <c r="O78" s="5" t="s">
        <v>11</v>
      </c>
      <c r="P78" s="7" t="s">
        <v>322</v>
      </c>
    </row>
    <row r="79" spans="10:16" x14ac:dyDescent="0.2">
      <c r="J79" s="8"/>
      <c r="K79" s="5"/>
      <c r="L79" s="5"/>
      <c r="M79" s="5"/>
      <c r="N79" s="77"/>
      <c r="O79" s="5"/>
      <c r="P79" s="7"/>
    </row>
    <row r="80" spans="10:16" x14ac:dyDescent="0.2">
      <c r="J80" s="8"/>
      <c r="K80" s="5"/>
      <c r="L80" s="5"/>
      <c r="M80" s="5"/>
      <c r="N80" s="77"/>
      <c r="O80" s="5"/>
      <c r="P80" s="7"/>
    </row>
    <row r="81" spans="10:18" x14ac:dyDescent="0.2">
      <c r="J81" s="8"/>
      <c r="K81" s="5"/>
      <c r="L81" s="5"/>
      <c r="M81" s="5"/>
      <c r="N81" s="77"/>
      <c r="O81" s="5"/>
      <c r="P81" s="7"/>
      <c r="R81" s="3">
        <f>2250*6</f>
        <v>13500</v>
      </c>
    </row>
    <row r="82" spans="10:18" x14ac:dyDescent="0.2">
      <c r="J82" s="8"/>
      <c r="K82" s="5"/>
      <c r="L82" s="5"/>
      <c r="M82" s="5"/>
      <c r="N82" s="77"/>
      <c r="O82" s="5"/>
      <c r="P82" s="7"/>
    </row>
    <row r="83" spans="10:18" x14ac:dyDescent="0.2">
      <c r="J83" s="8"/>
      <c r="K83" s="5"/>
      <c r="L83" s="5"/>
      <c r="M83" s="5"/>
      <c r="N83" s="77"/>
      <c r="O83" s="5"/>
      <c r="P83" s="7"/>
    </row>
    <row r="84" spans="10:18" x14ac:dyDescent="0.2">
      <c r="J84" s="8"/>
      <c r="K84" s="5"/>
      <c r="L84" s="5"/>
      <c r="M84" s="5"/>
      <c r="N84" s="77"/>
      <c r="O84" s="5"/>
      <c r="P84" s="7"/>
    </row>
    <row r="85" spans="10:18" x14ac:dyDescent="0.2">
      <c r="J85" s="8"/>
      <c r="K85" s="5"/>
      <c r="L85" s="5"/>
      <c r="M85" s="5"/>
      <c r="N85" s="77"/>
      <c r="O85" s="5"/>
      <c r="P85" s="7"/>
    </row>
    <row r="86" spans="10:18" x14ac:dyDescent="0.2">
      <c r="J86" s="8"/>
      <c r="K86" s="5"/>
      <c r="L86" s="5"/>
      <c r="M86" s="5"/>
      <c r="N86" s="77"/>
      <c r="O86" s="5"/>
      <c r="P86" s="7"/>
    </row>
    <row r="87" spans="10:18" x14ac:dyDescent="0.2">
      <c r="J87" s="8"/>
      <c r="K87" s="5"/>
      <c r="L87" s="5"/>
      <c r="M87" s="5"/>
      <c r="N87" s="77"/>
      <c r="O87" s="5"/>
      <c r="P87" s="7"/>
    </row>
    <row r="88" spans="10:18" x14ac:dyDescent="0.2">
      <c r="J88" s="8"/>
      <c r="K88" s="5"/>
      <c r="L88" s="5"/>
      <c r="M88" s="5"/>
      <c r="N88" s="77"/>
      <c r="O88" s="5"/>
      <c r="P88" s="7"/>
    </row>
    <row r="89" spans="10:18" x14ac:dyDescent="0.2">
      <c r="J89" s="8"/>
      <c r="K89" s="5"/>
      <c r="L89" s="5"/>
      <c r="M89" s="5"/>
      <c r="N89" s="77"/>
      <c r="O89" s="5"/>
      <c r="P89" s="7"/>
    </row>
    <row r="90" spans="10:18" x14ac:dyDescent="0.2">
      <c r="J90" s="8"/>
      <c r="K90" s="5"/>
      <c r="L90" s="5"/>
      <c r="M90" s="5"/>
      <c r="N90" s="77"/>
      <c r="O90" s="5"/>
      <c r="P90" s="7"/>
    </row>
    <row r="91" spans="10:18" x14ac:dyDescent="0.2">
      <c r="J91" s="8"/>
      <c r="K91" s="5"/>
      <c r="L91" s="5"/>
      <c r="M91" s="5"/>
      <c r="N91" s="77"/>
      <c r="O91" s="5"/>
      <c r="P91" s="7"/>
    </row>
    <row r="92" spans="10:18" x14ac:dyDescent="0.2">
      <c r="J92" s="8"/>
      <c r="K92" s="5"/>
      <c r="L92" s="5"/>
      <c r="M92" s="5"/>
      <c r="N92" s="77"/>
      <c r="O92" s="5"/>
      <c r="P92" s="7"/>
    </row>
    <row r="93" spans="10:18" x14ac:dyDescent="0.2">
      <c r="J93" s="8"/>
      <c r="K93" s="5"/>
      <c r="L93" s="5"/>
      <c r="M93" s="5"/>
      <c r="N93" s="77"/>
      <c r="O93" s="5"/>
      <c r="P93" s="7"/>
    </row>
    <row r="94" spans="10:18" x14ac:dyDescent="0.2">
      <c r="J94" s="8"/>
      <c r="K94" s="5"/>
      <c r="L94" s="5"/>
      <c r="M94" s="5"/>
      <c r="N94" s="77"/>
      <c r="O94" s="5"/>
      <c r="P94" s="7"/>
    </row>
    <row r="95" spans="10:18" x14ac:dyDescent="0.2">
      <c r="J95" s="8"/>
      <c r="K95" s="5"/>
      <c r="L95" s="5"/>
      <c r="M95" s="5"/>
      <c r="N95" s="77"/>
      <c r="O95" s="5"/>
      <c r="P95" s="7"/>
    </row>
    <row r="96" spans="10:18" x14ac:dyDescent="0.2">
      <c r="J96" s="8"/>
      <c r="K96" s="5"/>
      <c r="L96" s="5"/>
      <c r="M96" s="5"/>
      <c r="N96" s="77"/>
      <c r="O96" s="5"/>
      <c r="P96" s="7"/>
    </row>
    <row r="97" spans="10:16" x14ac:dyDescent="0.2">
      <c r="J97" s="8"/>
      <c r="K97" s="5"/>
      <c r="L97" s="5"/>
      <c r="M97" s="5"/>
      <c r="N97" s="77"/>
      <c r="O97" s="5"/>
      <c r="P97" s="7"/>
    </row>
    <row r="98" spans="10:16" x14ac:dyDescent="0.2">
      <c r="J98" s="8"/>
      <c r="K98" s="5"/>
      <c r="L98" s="5"/>
      <c r="M98" s="5"/>
      <c r="N98" s="77"/>
      <c r="O98" s="5"/>
      <c r="P98" s="7"/>
    </row>
    <row r="99" spans="10:16" x14ac:dyDescent="0.2">
      <c r="J99" s="8"/>
      <c r="K99" s="5"/>
      <c r="L99" s="5"/>
      <c r="M99" s="5"/>
      <c r="N99" s="77"/>
      <c r="O99" s="5"/>
      <c r="P99" s="7"/>
    </row>
    <row r="100" spans="10:16" x14ac:dyDescent="0.2">
      <c r="J100" s="8"/>
      <c r="K100" s="5"/>
      <c r="L100" s="5"/>
      <c r="M100" s="5"/>
      <c r="N100" s="77"/>
      <c r="O100" s="5"/>
      <c r="P100" s="7"/>
    </row>
    <row r="101" spans="10:16" x14ac:dyDescent="0.2">
      <c r="J101" s="8"/>
      <c r="K101" s="5"/>
      <c r="L101" s="5"/>
      <c r="M101" s="5"/>
      <c r="N101" s="77"/>
      <c r="O101" s="5"/>
      <c r="P101" s="7"/>
    </row>
    <row r="102" spans="10:16" x14ac:dyDescent="0.2">
      <c r="J102" s="8"/>
      <c r="K102" s="5"/>
      <c r="L102" s="5"/>
      <c r="M102" s="5"/>
      <c r="N102" s="77"/>
      <c r="O102" s="5"/>
      <c r="P102" s="7"/>
    </row>
    <row r="103" spans="10:16" x14ac:dyDescent="0.2">
      <c r="J103" s="8"/>
      <c r="K103" s="5"/>
      <c r="L103" s="5"/>
      <c r="M103" s="5"/>
      <c r="N103" s="77"/>
      <c r="O103" s="5"/>
      <c r="P103" s="7"/>
    </row>
    <row r="104" spans="10:16" x14ac:dyDescent="0.2">
      <c r="J104" s="8"/>
      <c r="K104" s="5"/>
      <c r="L104" s="5"/>
      <c r="M104" s="5"/>
      <c r="N104" s="77"/>
      <c r="O104" s="5"/>
      <c r="P104" s="7"/>
    </row>
    <row r="105" spans="10:16" x14ac:dyDescent="0.2">
      <c r="J105" s="8"/>
      <c r="K105" s="5"/>
      <c r="L105" s="5"/>
      <c r="M105" s="5"/>
      <c r="N105" s="77"/>
      <c r="O105" s="5"/>
      <c r="P105" s="7"/>
    </row>
    <row r="106" spans="10:16" x14ac:dyDescent="0.2">
      <c r="J106" s="8"/>
      <c r="K106" s="5"/>
      <c r="L106" s="5"/>
      <c r="M106" s="5"/>
      <c r="N106" s="77"/>
      <c r="O106" s="5"/>
      <c r="P106" s="7"/>
    </row>
    <row r="107" spans="10:16" x14ac:dyDescent="0.2">
      <c r="J107" s="8"/>
      <c r="K107" s="5"/>
      <c r="L107" s="5"/>
      <c r="M107" s="5"/>
      <c r="N107" s="77"/>
      <c r="O107" s="5"/>
      <c r="P107" s="7"/>
    </row>
    <row r="108" spans="10:16" x14ac:dyDescent="0.2">
      <c r="J108" s="8"/>
      <c r="K108" s="5"/>
      <c r="L108" s="5"/>
      <c r="M108" s="5"/>
      <c r="N108" s="77"/>
      <c r="O108" s="5"/>
      <c r="P108" s="7"/>
    </row>
    <row r="109" spans="10:16" x14ac:dyDescent="0.2">
      <c r="J109" s="8"/>
      <c r="K109" s="5"/>
      <c r="L109" s="5"/>
      <c r="M109" s="5"/>
      <c r="N109" s="77"/>
      <c r="O109" s="5"/>
      <c r="P109" s="7"/>
    </row>
    <row r="110" spans="10:16" x14ac:dyDescent="0.2">
      <c r="J110" s="8"/>
      <c r="K110" s="5"/>
      <c r="L110" s="5"/>
      <c r="M110" s="5"/>
      <c r="N110" s="77"/>
      <c r="O110" s="5"/>
      <c r="P110" s="7"/>
    </row>
    <row r="111" spans="10:16" x14ac:dyDescent="0.2">
      <c r="J111" s="8"/>
      <c r="K111" s="5"/>
      <c r="L111" s="5"/>
      <c r="M111" s="5"/>
      <c r="N111" s="77"/>
      <c r="O111" s="5"/>
      <c r="P111" s="7"/>
    </row>
    <row r="112" spans="10:16" x14ac:dyDescent="0.2">
      <c r="J112" s="8"/>
      <c r="K112" s="5"/>
      <c r="L112" s="5"/>
      <c r="M112" s="5"/>
      <c r="N112" s="77"/>
      <c r="O112" s="5"/>
      <c r="P112" s="7"/>
    </row>
    <row r="113" spans="10:16" x14ac:dyDescent="0.2">
      <c r="J113" s="8"/>
      <c r="K113" s="5"/>
      <c r="L113" s="5"/>
      <c r="M113" s="5"/>
      <c r="N113" s="77"/>
      <c r="O113" s="5"/>
      <c r="P113" s="7"/>
    </row>
    <row r="114" spans="10:16" x14ac:dyDescent="0.2">
      <c r="J114" s="8"/>
      <c r="K114" s="5"/>
      <c r="L114" s="5"/>
      <c r="M114" s="5"/>
      <c r="N114" s="77"/>
      <c r="O114" s="5"/>
      <c r="P114" s="7"/>
    </row>
    <row r="115" spans="10:16" x14ac:dyDescent="0.2">
      <c r="J115" s="8"/>
      <c r="K115" s="5"/>
      <c r="L115" s="5"/>
      <c r="M115" s="5"/>
      <c r="N115" s="77"/>
      <c r="O115" s="5"/>
      <c r="P115" s="7"/>
    </row>
    <row r="116" spans="10:16" x14ac:dyDescent="0.2">
      <c r="J116" s="8"/>
      <c r="K116" s="5"/>
      <c r="L116" s="5"/>
      <c r="M116" s="5"/>
      <c r="N116" s="77"/>
      <c r="O116" s="5"/>
      <c r="P116" s="7"/>
    </row>
    <row r="117" spans="10:16" x14ac:dyDescent="0.2">
      <c r="J117" s="8"/>
      <c r="K117" s="5"/>
      <c r="L117" s="5"/>
      <c r="M117" s="5"/>
      <c r="N117" s="77"/>
      <c r="O117" s="5"/>
      <c r="P117" s="7"/>
    </row>
    <row r="118" spans="10:16" x14ac:dyDescent="0.2">
      <c r="J118" s="8"/>
      <c r="K118" s="5"/>
      <c r="L118" s="5"/>
      <c r="M118" s="5"/>
      <c r="N118" s="77"/>
      <c r="O118" s="5"/>
      <c r="P118" s="7"/>
    </row>
    <row r="119" spans="10:16" x14ac:dyDescent="0.2">
      <c r="J119" s="8"/>
      <c r="K119" s="5"/>
      <c r="L119" s="5"/>
      <c r="M119" s="5"/>
      <c r="N119" s="77"/>
      <c r="O119" s="5"/>
      <c r="P119" s="7"/>
    </row>
    <row r="120" spans="10:16" x14ac:dyDescent="0.2">
      <c r="J120" s="8"/>
      <c r="K120" s="5"/>
      <c r="L120" s="5"/>
      <c r="M120" s="5"/>
      <c r="N120" s="77"/>
      <c r="O120" s="5"/>
      <c r="P120" s="7"/>
    </row>
    <row r="121" spans="10:16" x14ac:dyDescent="0.2">
      <c r="J121" s="8"/>
      <c r="K121" s="5"/>
      <c r="L121" s="5"/>
      <c r="M121" s="5"/>
      <c r="N121" s="77"/>
      <c r="O121" s="5"/>
      <c r="P121" s="7"/>
    </row>
    <row r="122" spans="10:16" x14ac:dyDescent="0.2">
      <c r="J122" s="8"/>
      <c r="K122" s="5"/>
      <c r="L122" s="5"/>
      <c r="M122" s="5"/>
      <c r="N122" s="77"/>
      <c r="O122" s="5"/>
      <c r="P122" s="7"/>
    </row>
    <row r="123" spans="10:16" x14ac:dyDescent="0.2">
      <c r="J123" s="8"/>
      <c r="K123" s="5"/>
      <c r="L123" s="5"/>
      <c r="M123" s="5"/>
      <c r="N123" s="77"/>
      <c r="O123" s="5"/>
      <c r="P123" s="7"/>
    </row>
    <row r="124" spans="10:16" x14ac:dyDescent="0.2">
      <c r="J124" s="8"/>
      <c r="K124" s="5"/>
      <c r="L124" s="5"/>
      <c r="M124" s="5"/>
      <c r="N124" s="77"/>
      <c r="O124" s="5"/>
      <c r="P124" s="7"/>
    </row>
    <row r="125" spans="10:16" x14ac:dyDescent="0.2">
      <c r="J125" s="8"/>
      <c r="K125" s="5"/>
      <c r="L125" s="5"/>
      <c r="M125" s="5"/>
      <c r="N125" s="77"/>
      <c r="O125" s="5"/>
      <c r="P125" s="7"/>
    </row>
    <row r="126" spans="10:16" x14ac:dyDescent="0.2">
      <c r="J126" s="8"/>
      <c r="K126" s="5"/>
      <c r="L126" s="5"/>
      <c r="M126" s="5"/>
      <c r="N126" s="77"/>
      <c r="O126" s="5"/>
      <c r="P126" s="7"/>
    </row>
    <row r="127" spans="10:16" x14ac:dyDescent="0.2">
      <c r="J127" s="8"/>
      <c r="K127" s="5"/>
      <c r="L127" s="5"/>
      <c r="M127" s="5"/>
      <c r="N127" s="77"/>
      <c r="O127" s="5"/>
      <c r="P127" s="7"/>
    </row>
    <row r="128" spans="10:16" x14ac:dyDescent="0.2">
      <c r="J128" s="8"/>
      <c r="K128" s="5"/>
      <c r="L128" s="5"/>
      <c r="M128" s="5"/>
      <c r="N128" s="77"/>
      <c r="O128" s="5"/>
      <c r="P128" s="7"/>
    </row>
    <row r="129" spans="10:16" x14ac:dyDescent="0.2">
      <c r="J129" s="8"/>
      <c r="K129" s="5"/>
      <c r="L129" s="5"/>
      <c r="M129" s="5"/>
      <c r="N129" s="77"/>
      <c r="O129" s="5"/>
      <c r="P129" s="7"/>
    </row>
    <row r="130" spans="10:16" x14ac:dyDescent="0.2">
      <c r="J130" s="8"/>
      <c r="K130" s="5"/>
      <c r="L130" s="5"/>
      <c r="M130" s="5"/>
      <c r="N130" s="77"/>
      <c r="O130" s="5"/>
      <c r="P130" s="7"/>
    </row>
    <row r="131" spans="10:16" x14ac:dyDescent="0.2">
      <c r="J131" s="8"/>
      <c r="K131" s="5"/>
      <c r="L131" s="5"/>
      <c r="M131" s="5"/>
      <c r="N131" s="77"/>
      <c r="O131" s="5"/>
      <c r="P131" s="7"/>
    </row>
    <row r="132" spans="10:16" x14ac:dyDescent="0.2">
      <c r="J132" s="8"/>
      <c r="K132" s="5"/>
      <c r="L132" s="5"/>
      <c r="M132" s="5"/>
      <c r="N132" s="77"/>
      <c r="O132" s="5"/>
      <c r="P132" s="7"/>
    </row>
    <row r="133" spans="10:16" x14ac:dyDescent="0.2">
      <c r="J133" s="8"/>
      <c r="K133" s="5"/>
      <c r="L133" s="5"/>
      <c r="M133" s="5"/>
      <c r="N133" s="77"/>
      <c r="O133" s="5"/>
      <c r="P133" s="7"/>
    </row>
    <row r="134" spans="10:16" x14ac:dyDescent="0.2">
      <c r="J134" s="8"/>
      <c r="K134" s="5"/>
      <c r="L134" s="5"/>
      <c r="M134" s="5"/>
      <c r="N134" s="77"/>
      <c r="O134" s="5"/>
      <c r="P134" s="7"/>
    </row>
    <row r="135" spans="10:16" x14ac:dyDescent="0.2">
      <c r="J135" s="8"/>
      <c r="K135" s="5"/>
      <c r="L135" s="5"/>
      <c r="M135" s="5"/>
      <c r="N135" s="77"/>
      <c r="O135" s="5"/>
      <c r="P135" s="7"/>
    </row>
    <row r="136" spans="10:16" x14ac:dyDescent="0.2">
      <c r="J136" s="8"/>
      <c r="K136" s="5"/>
      <c r="L136" s="5"/>
      <c r="M136" s="5"/>
      <c r="N136" s="77"/>
      <c r="O136" s="5"/>
      <c r="P136" s="7"/>
    </row>
    <row r="137" spans="10:16" x14ac:dyDescent="0.2">
      <c r="J137" s="8"/>
      <c r="K137" s="5"/>
      <c r="L137" s="5"/>
      <c r="M137" s="5"/>
      <c r="N137" s="77"/>
      <c r="O137" s="5"/>
      <c r="P137" s="7"/>
    </row>
    <row r="138" spans="10:16" x14ac:dyDescent="0.2">
      <c r="J138" s="8"/>
      <c r="K138" s="5"/>
      <c r="L138" s="5"/>
      <c r="M138" s="5"/>
      <c r="N138" s="77"/>
      <c r="O138" s="5"/>
      <c r="P138" s="7"/>
    </row>
    <row r="139" spans="10:16" x14ac:dyDescent="0.2">
      <c r="J139" s="8"/>
      <c r="K139" s="5"/>
      <c r="L139" s="5"/>
      <c r="M139" s="5"/>
      <c r="N139" s="77"/>
      <c r="O139" s="5"/>
      <c r="P139" s="7"/>
    </row>
    <row r="140" spans="10:16" x14ac:dyDescent="0.2">
      <c r="J140" s="8"/>
      <c r="K140" s="5"/>
      <c r="L140" s="5"/>
      <c r="M140" s="5"/>
      <c r="N140" s="77"/>
      <c r="O140" s="5"/>
      <c r="P140" s="7"/>
    </row>
    <row r="141" spans="10:16" x14ac:dyDescent="0.2">
      <c r="J141" s="8"/>
      <c r="K141" s="5"/>
      <c r="L141" s="5"/>
      <c r="M141" s="5"/>
      <c r="N141" s="77"/>
      <c r="O141" s="5"/>
      <c r="P141" s="7"/>
    </row>
    <row r="142" spans="10:16" x14ac:dyDescent="0.2">
      <c r="J142" s="8"/>
      <c r="K142" s="5"/>
      <c r="L142" s="5"/>
      <c r="M142" s="5"/>
      <c r="N142" s="77"/>
      <c r="O142" s="5"/>
      <c r="P142" s="7"/>
    </row>
    <row r="143" spans="10:16" x14ac:dyDescent="0.2">
      <c r="J143" s="8"/>
      <c r="K143" s="5"/>
      <c r="L143" s="5"/>
      <c r="M143" s="5"/>
      <c r="N143" s="77"/>
      <c r="O143" s="5"/>
      <c r="P143" s="7"/>
    </row>
    <row r="144" spans="10:16" x14ac:dyDescent="0.2">
      <c r="J144" s="8"/>
      <c r="K144" s="5"/>
      <c r="L144" s="5"/>
      <c r="M144" s="5"/>
      <c r="N144" s="77"/>
      <c r="O144" s="5"/>
      <c r="P144" s="7"/>
    </row>
    <row r="145" spans="10:16" x14ac:dyDescent="0.2">
      <c r="J145" s="8"/>
      <c r="K145" s="5"/>
      <c r="L145" s="5"/>
      <c r="M145" s="5"/>
      <c r="N145" s="77"/>
      <c r="O145" s="5"/>
      <c r="P145" s="7"/>
    </row>
    <row r="146" spans="10:16" x14ac:dyDescent="0.2">
      <c r="J146" s="8"/>
      <c r="K146" s="5"/>
      <c r="L146" s="5"/>
      <c r="M146" s="5"/>
      <c r="N146" s="77"/>
      <c r="O146" s="5"/>
      <c r="P146" s="7"/>
    </row>
    <row r="147" spans="10:16" x14ac:dyDescent="0.2">
      <c r="J147" s="8"/>
      <c r="K147" s="5"/>
      <c r="L147" s="5"/>
      <c r="M147" s="5"/>
      <c r="N147" s="77"/>
      <c r="O147" s="5"/>
      <c r="P147" s="7"/>
    </row>
    <row r="148" spans="10:16" x14ac:dyDescent="0.2">
      <c r="J148" s="8"/>
      <c r="K148" s="5"/>
      <c r="L148" s="5"/>
      <c r="M148" s="5"/>
      <c r="N148" s="77"/>
      <c r="O148" s="5"/>
      <c r="P148" s="7"/>
    </row>
    <row r="149" spans="10:16" x14ac:dyDescent="0.2">
      <c r="J149" s="8"/>
      <c r="K149" s="5"/>
      <c r="L149" s="5"/>
      <c r="M149" s="5"/>
      <c r="N149" s="77"/>
      <c r="O149" s="5"/>
      <c r="P149" s="7"/>
    </row>
    <row r="150" spans="10:16" x14ac:dyDescent="0.2">
      <c r="J150" s="8"/>
      <c r="K150" s="5"/>
      <c r="L150" s="5"/>
      <c r="M150" s="5"/>
      <c r="N150" s="77"/>
      <c r="O150" s="5"/>
      <c r="P150" s="7"/>
    </row>
    <row r="151" spans="10:16" x14ac:dyDescent="0.2">
      <c r="J151" s="8"/>
      <c r="K151" s="5"/>
      <c r="L151" s="5"/>
      <c r="M151" s="5"/>
      <c r="N151" s="77"/>
      <c r="O151" s="5"/>
      <c r="P151" s="7"/>
    </row>
    <row r="152" spans="10:16" x14ac:dyDescent="0.2">
      <c r="J152" s="8"/>
      <c r="K152" s="5"/>
      <c r="L152" s="5"/>
      <c r="M152" s="5"/>
      <c r="N152" s="77"/>
      <c r="O152" s="5"/>
      <c r="P152" s="7"/>
    </row>
    <row r="153" spans="10:16" x14ac:dyDescent="0.2">
      <c r="J153" s="8"/>
      <c r="K153" s="5"/>
      <c r="L153" s="5"/>
      <c r="M153" s="5"/>
      <c r="N153" s="77"/>
      <c r="O153" s="5"/>
      <c r="P153" s="7"/>
    </row>
    <row r="154" spans="10:16" x14ac:dyDescent="0.2">
      <c r="J154" s="8"/>
      <c r="K154" s="5"/>
      <c r="L154" s="5"/>
      <c r="M154" s="5"/>
      <c r="N154" s="77"/>
      <c r="O154" s="5"/>
      <c r="P154" s="7"/>
    </row>
    <row r="155" spans="10:16" x14ac:dyDescent="0.2">
      <c r="J155" s="8"/>
      <c r="K155" s="5"/>
      <c r="L155" s="5"/>
      <c r="M155" s="5"/>
      <c r="N155" s="77"/>
      <c r="O155" s="5"/>
      <c r="P155" s="7"/>
    </row>
    <row r="156" spans="10:16" x14ac:dyDescent="0.2">
      <c r="J156" s="8"/>
      <c r="K156" s="5"/>
      <c r="L156" s="5"/>
      <c r="M156" s="5"/>
      <c r="N156" s="77"/>
      <c r="O156" s="5"/>
      <c r="P156" s="7"/>
    </row>
    <row r="157" spans="10:16" x14ac:dyDescent="0.2">
      <c r="J157" s="8"/>
      <c r="K157" s="5"/>
      <c r="L157" s="5"/>
      <c r="M157" s="5"/>
      <c r="N157" s="77"/>
      <c r="O157" s="5"/>
      <c r="P157" s="7"/>
    </row>
    <row r="158" spans="10:16" x14ac:dyDescent="0.2">
      <c r="J158" s="8"/>
      <c r="K158" s="5"/>
      <c r="L158" s="5"/>
      <c r="M158" s="5"/>
      <c r="N158" s="77"/>
      <c r="O158" s="5"/>
      <c r="P158" s="7"/>
    </row>
    <row r="159" spans="10:16" x14ac:dyDescent="0.2">
      <c r="J159" s="8"/>
      <c r="K159" s="5"/>
      <c r="L159" s="5"/>
      <c r="M159" s="5"/>
      <c r="N159" s="77"/>
      <c r="O159" s="5"/>
      <c r="P159" s="7"/>
    </row>
    <row r="160" spans="10:16" x14ac:dyDescent="0.2">
      <c r="J160" s="8"/>
      <c r="K160" s="5"/>
      <c r="L160" s="5"/>
      <c r="M160" s="5"/>
      <c r="N160" s="77"/>
      <c r="O160" s="5"/>
      <c r="P160" s="7"/>
    </row>
    <row r="161" spans="10:16" x14ac:dyDescent="0.2">
      <c r="J161" s="8"/>
      <c r="K161" s="5"/>
      <c r="L161" s="5"/>
      <c r="M161" s="5"/>
      <c r="N161" s="77"/>
      <c r="O161" s="5"/>
      <c r="P161" s="7"/>
    </row>
    <row r="162" spans="10:16" x14ac:dyDescent="0.2">
      <c r="J162" s="8"/>
      <c r="K162" s="5"/>
      <c r="L162" s="5"/>
      <c r="M162" s="5"/>
      <c r="N162" s="77"/>
      <c r="O162" s="5"/>
      <c r="P162" s="7"/>
    </row>
    <row r="163" spans="10:16" x14ac:dyDescent="0.2">
      <c r="J163" s="8"/>
      <c r="K163" s="5"/>
      <c r="L163" s="5"/>
      <c r="M163" s="5"/>
      <c r="N163" s="77"/>
      <c r="O163" s="5"/>
      <c r="P163" s="7"/>
    </row>
    <row r="164" spans="10:16" x14ac:dyDescent="0.2">
      <c r="J164" s="8"/>
      <c r="K164" s="5"/>
      <c r="L164" s="5"/>
      <c r="M164" s="5"/>
      <c r="N164" s="77"/>
      <c r="O164" s="5"/>
      <c r="P164" s="7"/>
    </row>
    <row r="165" spans="10:16" x14ac:dyDescent="0.2">
      <c r="J165" s="8"/>
      <c r="K165" s="5"/>
      <c r="L165" s="5"/>
      <c r="M165" s="5"/>
      <c r="N165" s="77"/>
      <c r="O165" s="5"/>
      <c r="P165" s="7"/>
    </row>
    <row r="166" spans="10:16" x14ac:dyDescent="0.2">
      <c r="J166" s="8"/>
      <c r="K166" s="5"/>
      <c r="L166" s="5"/>
      <c r="M166" s="5"/>
      <c r="N166" s="77"/>
      <c r="O166" s="5"/>
      <c r="P166" s="7"/>
    </row>
    <row r="167" spans="10:16" x14ac:dyDescent="0.2">
      <c r="J167" s="8"/>
      <c r="K167" s="5"/>
      <c r="L167" s="5"/>
      <c r="M167" s="5"/>
      <c r="N167" s="77"/>
      <c r="O167" s="5"/>
      <c r="P167" s="7"/>
    </row>
    <row r="168" spans="10:16" x14ac:dyDescent="0.2">
      <c r="J168" s="8"/>
      <c r="K168" s="5"/>
      <c r="L168" s="5"/>
      <c r="M168" s="5"/>
      <c r="N168" s="77"/>
      <c r="O168" s="5"/>
      <c r="P168" s="7"/>
    </row>
    <row r="169" spans="10:16" x14ac:dyDescent="0.2">
      <c r="J169" s="8"/>
      <c r="K169" s="5"/>
      <c r="L169" s="5"/>
      <c r="M169" s="5"/>
      <c r="N169" s="77"/>
      <c r="O169" s="5"/>
      <c r="P169" s="7"/>
    </row>
    <row r="170" spans="10:16" x14ac:dyDescent="0.2">
      <c r="J170" s="8"/>
      <c r="K170" s="5"/>
      <c r="L170" s="5"/>
      <c r="M170" s="5"/>
      <c r="N170" s="77"/>
      <c r="O170" s="5"/>
      <c r="P170" s="7"/>
    </row>
    <row r="171" spans="10:16" x14ac:dyDescent="0.2">
      <c r="J171" s="8"/>
      <c r="K171" s="5"/>
      <c r="L171" s="5"/>
      <c r="M171" s="5"/>
      <c r="N171" s="77"/>
      <c r="O171" s="5"/>
      <c r="P171" s="7"/>
    </row>
    <row r="172" spans="10:16" x14ac:dyDescent="0.2">
      <c r="J172" s="8"/>
      <c r="K172" s="5"/>
      <c r="L172" s="5"/>
      <c r="M172" s="5"/>
      <c r="N172" s="77"/>
      <c r="O172" s="5"/>
      <c r="P172" s="7"/>
    </row>
    <row r="173" spans="10:16" x14ac:dyDescent="0.2">
      <c r="J173" s="8"/>
      <c r="K173" s="5"/>
      <c r="L173" s="5"/>
      <c r="M173" s="5"/>
      <c r="N173" s="77"/>
      <c r="O173" s="5"/>
      <c r="P173" s="7"/>
    </row>
    <row r="174" spans="10:16" x14ac:dyDescent="0.2">
      <c r="J174" s="8"/>
      <c r="K174" s="5"/>
      <c r="L174" s="5"/>
      <c r="M174" s="5"/>
      <c r="N174" s="77"/>
      <c r="O174" s="5"/>
      <c r="P174" s="7"/>
    </row>
    <row r="175" spans="10:16" x14ac:dyDescent="0.2">
      <c r="J175" s="8"/>
      <c r="K175" s="5"/>
      <c r="L175" s="5"/>
      <c r="M175" s="5"/>
      <c r="N175" s="77"/>
      <c r="O175" s="5"/>
      <c r="P175" s="7"/>
    </row>
    <row r="176" spans="10:16" x14ac:dyDescent="0.2">
      <c r="J176" s="8"/>
      <c r="K176" s="5"/>
      <c r="L176" s="5"/>
      <c r="M176" s="5"/>
      <c r="N176" s="77"/>
      <c r="O176" s="5"/>
      <c r="P176" s="7"/>
    </row>
    <row r="177" spans="10:16" x14ac:dyDescent="0.2">
      <c r="J177" s="8"/>
      <c r="K177" s="5"/>
      <c r="L177" s="5"/>
      <c r="M177" s="5"/>
      <c r="N177" s="77"/>
      <c r="O177" s="5"/>
      <c r="P177" s="7"/>
    </row>
    <row r="178" spans="10:16" x14ac:dyDescent="0.2">
      <c r="J178" s="8"/>
      <c r="K178" s="5"/>
      <c r="L178" s="5"/>
      <c r="M178" s="5"/>
      <c r="N178" s="77"/>
      <c r="O178" s="5"/>
      <c r="P178" s="7"/>
    </row>
    <row r="179" spans="10:16" x14ac:dyDescent="0.2">
      <c r="J179" s="8"/>
      <c r="K179" s="5"/>
      <c r="L179" s="5"/>
      <c r="M179" s="5"/>
      <c r="N179" s="77"/>
      <c r="O179" s="5"/>
      <c r="P179" s="7"/>
    </row>
    <row r="180" spans="10:16" x14ac:dyDescent="0.2">
      <c r="J180" s="8"/>
      <c r="K180" s="5"/>
      <c r="L180" s="5"/>
      <c r="M180" s="5"/>
      <c r="N180" s="77"/>
      <c r="O180" s="5"/>
      <c r="P180" s="7"/>
    </row>
    <row r="181" spans="10:16" x14ac:dyDescent="0.2">
      <c r="J181" s="8"/>
      <c r="K181" s="5"/>
      <c r="L181" s="5"/>
      <c r="M181" s="5"/>
      <c r="N181" s="77"/>
      <c r="O181" s="5"/>
      <c r="P181" s="7"/>
    </row>
    <row r="182" spans="10:16" x14ac:dyDescent="0.2">
      <c r="J182" s="8"/>
      <c r="K182" s="5"/>
      <c r="L182" s="5"/>
      <c r="M182" s="5"/>
      <c r="N182" s="77"/>
      <c r="O182" s="5"/>
      <c r="P182" s="7"/>
    </row>
    <row r="183" spans="10:16" x14ac:dyDescent="0.2">
      <c r="J183" s="8"/>
      <c r="K183" s="5"/>
      <c r="L183" s="5"/>
      <c r="M183" s="5"/>
      <c r="N183" s="77"/>
      <c r="O183" s="5"/>
      <c r="P183" s="7"/>
    </row>
    <row r="184" spans="10:16" x14ac:dyDescent="0.2">
      <c r="J184" s="8"/>
      <c r="K184" s="5"/>
      <c r="L184" s="5"/>
      <c r="M184" s="5"/>
      <c r="N184" s="77"/>
      <c r="O184" s="5"/>
      <c r="P184" s="7"/>
    </row>
    <row r="185" spans="10:16" x14ac:dyDescent="0.2">
      <c r="J185" s="8"/>
      <c r="K185" s="5"/>
      <c r="L185" s="5"/>
      <c r="M185" s="5"/>
      <c r="N185" s="77"/>
      <c r="O185" s="5"/>
      <c r="P185" s="7"/>
    </row>
    <row r="186" spans="10:16" x14ac:dyDescent="0.2">
      <c r="J186" s="8"/>
      <c r="K186" s="5"/>
      <c r="L186" s="5"/>
      <c r="M186" s="5"/>
      <c r="N186" s="77"/>
      <c r="O186" s="5"/>
      <c r="P186" s="7"/>
    </row>
    <row r="187" spans="10:16" x14ac:dyDescent="0.2">
      <c r="J187" s="8"/>
      <c r="K187" s="5"/>
      <c r="L187" s="5"/>
      <c r="M187" s="5"/>
      <c r="N187" s="77"/>
      <c r="O187" s="5"/>
      <c r="P187" s="7"/>
    </row>
    <row r="188" spans="10:16" x14ac:dyDescent="0.2">
      <c r="J188" s="8"/>
      <c r="K188" s="5"/>
      <c r="L188" s="5"/>
      <c r="M188" s="5"/>
      <c r="N188" s="77"/>
      <c r="O188" s="5"/>
      <c r="P188" s="7"/>
    </row>
    <row r="189" spans="10:16" x14ac:dyDescent="0.2">
      <c r="J189" s="8"/>
      <c r="K189" s="5"/>
      <c r="L189" s="5"/>
      <c r="M189" s="5"/>
      <c r="N189" s="77"/>
      <c r="O189" s="5"/>
      <c r="P189" s="7"/>
    </row>
    <row r="190" spans="10:16" x14ac:dyDescent="0.2">
      <c r="J190" s="8"/>
      <c r="K190" s="5"/>
      <c r="L190" s="5"/>
      <c r="M190" s="5"/>
      <c r="N190" s="77"/>
      <c r="O190" s="5"/>
      <c r="P190" s="7"/>
    </row>
    <row r="191" spans="10:16" x14ac:dyDescent="0.2">
      <c r="J191" s="8"/>
      <c r="K191" s="5"/>
      <c r="L191" s="5"/>
      <c r="M191" s="5"/>
      <c r="N191" s="77"/>
      <c r="O191" s="5"/>
      <c r="P191" s="7"/>
    </row>
    <row r="192" spans="10:16" x14ac:dyDescent="0.2">
      <c r="J192" s="8"/>
      <c r="K192" s="5"/>
      <c r="L192" s="5"/>
      <c r="M192" s="5"/>
      <c r="N192" s="77"/>
      <c r="O192" s="5"/>
      <c r="P192" s="7"/>
    </row>
    <row r="193" spans="10:16" x14ac:dyDescent="0.2">
      <c r="J193" s="8"/>
      <c r="K193" s="5"/>
      <c r="L193" s="5"/>
      <c r="M193" s="5"/>
      <c r="N193" s="77"/>
      <c r="O193" s="5"/>
      <c r="P193" s="7"/>
    </row>
    <row r="194" spans="10:16" x14ac:dyDescent="0.2">
      <c r="J194" s="8"/>
      <c r="K194" s="5"/>
      <c r="L194" s="5"/>
      <c r="M194" s="5"/>
      <c r="N194" s="77"/>
      <c r="O194" s="5"/>
      <c r="P194" s="7"/>
    </row>
    <row r="195" spans="10:16" x14ac:dyDescent="0.2">
      <c r="J195" s="8"/>
      <c r="K195" s="5"/>
      <c r="L195" s="5"/>
      <c r="M195" s="5"/>
      <c r="N195" s="77"/>
      <c r="O195" s="5"/>
      <c r="P195" s="7"/>
    </row>
    <row r="196" spans="10:16" x14ac:dyDescent="0.2">
      <c r="J196" s="8"/>
      <c r="K196" s="5"/>
      <c r="L196" s="5"/>
      <c r="M196" s="5"/>
      <c r="N196" s="77"/>
      <c r="O196" s="5"/>
      <c r="P196" s="7"/>
    </row>
    <row r="197" spans="10:16" x14ac:dyDescent="0.2">
      <c r="J197" s="8"/>
      <c r="K197" s="5"/>
      <c r="L197" s="5"/>
      <c r="M197" s="5"/>
      <c r="N197" s="77"/>
      <c r="O197" s="5"/>
      <c r="P197" s="7"/>
    </row>
    <row r="198" spans="10:16" x14ac:dyDescent="0.2">
      <c r="J198" s="8"/>
      <c r="K198" s="5"/>
      <c r="L198" s="5"/>
      <c r="M198" s="5"/>
      <c r="N198" s="77"/>
      <c r="O198" s="5"/>
      <c r="P198" s="7"/>
    </row>
    <row r="199" spans="10:16" x14ac:dyDescent="0.2">
      <c r="J199" s="8"/>
      <c r="K199" s="5"/>
      <c r="L199" s="5"/>
      <c r="M199" s="5"/>
      <c r="N199" s="77"/>
      <c r="O199" s="5"/>
      <c r="P199" s="7"/>
    </row>
    <row r="200" spans="10:16" x14ac:dyDescent="0.2">
      <c r="J200" s="8"/>
      <c r="K200" s="5"/>
      <c r="L200" s="5"/>
      <c r="M200" s="5"/>
      <c r="N200" s="77"/>
      <c r="O200" s="5"/>
      <c r="P200" s="7"/>
    </row>
    <row r="201" spans="10:16" x14ac:dyDescent="0.2">
      <c r="J201" s="8"/>
      <c r="K201" s="5"/>
      <c r="L201" s="5"/>
      <c r="M201" s="5"/>
      <c r="N201" s="77"/>
      <c r="O201" s="5"/>
      <c r="P201" s="7"/>
    </row>
    <row r="202" spans="10:16" x14ac:dyDescent="0.2">
      <c r="J202" s="8"/>
      <c r="K202" s="5"/>
      <c r="L202" s="5"/>
      <c r="M202" s="5"/>
      <c r="N202" s="77"/>
      <c r="O202" s="5"/>
      <c r="P202" s="7"/>
    </row>
    <row r="203" spans="10:16" x14ac:dyDescent="0.2">
      <c r="J203" s="8"/>
      <c r="K203" s="5"/>
      <c r="L203" s="5"/>
      <c r="M203" s="5"/>
      <c r="N203" s="77"/>
      <c r="O203" s="5"/>
      <c r="P203" s="7"/>
    </row>
    <row r="204" spans="10:16" x14ac:dyDescent="0.2">
      <c r="J204" s="8"/>
      <c r="K204" s="5"/>
      <c r="L204" s="5"/>
      <c r="M204" s="5"/>
      <c r="N204" s="77"/>
      <c r="O204" s="5"/>
      <c r="P204" s="7"/>
    </row>
    <row r="205" spans="10:16" x14ac:dyDescent="0.2">
      <c r="J205" s="8"/>
      <c r="K205" s="5"/>
      <c r="L205" s="5"/>
      <c r="M205" s="5"/>
      <c r="N205" s="77"/>
      <c r="O205" s="5"/>
      <c r="P205" s="7"/>
    </row>
    <row r="206" spans="10:16" x14ac:dyDescent="0.2">
      <c r="J206" s="8"/>
      <c r="K206" s="5"/>
      <c r="L206" s="5"/>
      <c r="M206" s="5"/>
      <c r="N206" s="77"/>
      <c r="O206" s="5"/>
      <c r="P206" s="7"/>
    </row>
    <row r="207" spans="10:16" x14ac:dyDescent="0.2">
      <c r="J207" s="8"/>
      <c r="K207" s="5"/>
      <c r="L207" s="5"/>
      <c r="M207" s="5"/>
      <c r="N207" s="77"/>
      <c r="O207" s="5"/>
      <c r="P207" s="7"/>
    </row>
    <row r="208" spans="10:16" x14ac:dyDescent="0.2">
      <c r="J208" s="8"/>
      <c r="K208" s="5"/>
      <c r="L208" s="5"/>
      <c r="M208" s="5"/>
      <c r="N208" s="77"/>
      <c r="O208" s="5"/>
      <c r="P208" s="7"/>
    </row>
    <row r="209" spans="10:16" x14ac:dyDescent="0.2">
      <c r="J209" s="8"/>
      <c r="K209" s="5"/>
      <c r="L209" s="5"/>
      <c r="M209" s="5"/>
      <c r="N209" s="77"/>
      <c r="O209" s="5"/>
      <c r="P209" s="7"/>
    </row>
    <row r="210" spans="10:16" x14ac:dyDescent="0.2">
      <c r="J210" s="8"/>
      <c r="K210" s="5"/>
      <c r="L210" s="5"/>
      <c r="M210" s="5"/>
      <c r="N210" s="77"/>
      <c r="O210" s="5"/>
      <c r="P210" s="7"/>
    </row>
    <row r="211" spans="10:16" x14ac:dyDescent="0.2">
      <c r="J211" s="8"/>
      <c r="K211" s="5"/>
      <c r="L211" s="5"/>
      <c r="M211" s="5"/>
      <c r="N211" s="77"/>
      <c r="O211" s="5"/>
      <c r="P211" s="7"/>
    </row>
    <row r="212" spans="10:16" x14ac:dyDescent="0.2">
      <c r="J212" s="8"/>
      <c r="K212" s="5"/>
      <c r="L212" s="5"/>
      <c r="M212" s="5"/>
      <c r="N212" s="77"/>
      <c r="O212" s="5"/>
      <c r="P212" s="7"/>
    </row>
    <row r="213" spans="10:16" x14ac:dyDescent="0.2">
      <c r="J213" s="8"/>
      <c r="K213" s="5"/>
      <c r="L213" s="5"/>
      <c r="M213" s="5"/>
      <c r="N213" s="77"/>
      <c r="O213" s="5"/>
      <c r="P213" s="7"/>
    </row>
    <row r="214" spans="10:16" x14ac:dyDescent="0.2">
      <c r="J214" s="8"/>
      <c r="K214" s="5"/>
      <c r="L214" s="5"/>
      <c r="M214" s="5"/>
      <c r="N214" s="77"/>
      <c r="O214" s="5"/>
      <c r="P214" s="7"/>
    </row>
    <row r="215" spans="10:16" x14ac:dyDescent="0.2">
      <c r="J215" s="8"/>
      <c r="K215" s="5"/>
      <c r="L215" s="5"/>
      <c r="M215" s="5"/>
      <c r="N215" s="77"/>
      <c r="O215" s="5"/>
      <c r="P215" s="7"/>
    </row>
    <row r="216" spans="10:16" x14ac:dyDescent="0.2">
      <c r="J216" s="8"/>
      <c r="K216" s="5"/>
      <c r="L216" s="5"/>
      <c r="M216" s="5"/>
      <c r="N216" s="77"/>
      <c r="O216" s="5"/>
      <c r="P216" s="7"/>
    </row>
    <row r="217" spans="10:16" x14ac:dyDescent="0.2">
      <c r="J217" s="8"/>
      <c r="K217" s="5"/>
      <c r="L217" s="5"/>
      <c r="M217" s="5"/>
      <c r="N217" s="77"/>
      <c r="O217" s="5"/>
      <c r="P217" s="7"/>
    </row>
    <row r="218" spans="10:16" x14ac:dyDescent="0.2">
      <c r="J218" s="8"/>
      <c r="K218" s="5"/>
      <c r="L218" s="5"/>
      <c r="M218" s="5"/>
      <c r="N218" s="77"/>
      <c r="O218" s="5"/>
      <c r="P218" s="7"/>
    </row>
    <row r="219" spans="10:16" x14ac:dyDescent="0.2">
      <c r="J219" s="8"/>
      <c r="K219" s="5"/>
      <c r="L219" s="5"/>
      <c r="M219" s="5"/>
      <c r="N219" s="77"/>
      <c r="O219" s="5"/>
      <c r="P219" s="7"/>
    </row>
    <row r="220" spans="10:16" x14ac:dyDescent="0.2">
      <c r="J220" s="8"/>
      <c r="K220" s="5"/>
      <c r="L220" s="5"/>
      <c r="M220" s="5"/>
      <c r="N220" s="77"/>
      <c r="O220" s="5"/>
      <c r="P220" s="7"/>
    </row>
    <row r="221" spans="10:16" x14ac:dyDescent="0.2">
      <c r="J221" s="8"/>
      <c r="K221" s="5"/>
      <c r="L221" s="5"/>
      <c r="M221" s="5"/>
      <c r="N221" s="77"/>
      <c r="O221" s="5"/>
      <c r="P221" s="7"/>
    </row>
    <row r="222" spans="10:16" x14ac:dyDescent="0.2">
      <c r="J222" s="8"/>
      <c r="K222" s="5"/>
      <c r="L222" s="5"/>
      <c r="M222" s="5"/>
      <c r="N222" s="77"/>
      <c r="O222" s="5"/>
      <c r="P222" s="7"/>
    </row>
    <row r="223" spans="10:16" x14ac:dyDescent="0.2">
      <c r="J223" s="8"/>
      <c r="K223" s="5"/>
      <c r="L223" s="5"/>
      <c r="M223" s="5"/>
      <c r="N223" s="77"/>
      <c r="O223" s="5"/>
      <c r="P223" s="7"/>
    </row>
    <row r="224" spans="10:16" x14ac:dyDescent="0.2">
      <c r="J224" s="8"/>
      <c r="K224" s="5"/>
      <c r="L224" s="5"/>
      <c r="M224" s="5"/>
      <c r="N224" s="77"/>
      <c r="O224" s="5"/>
      <c r="P224" s="7"/>
    </row>
    <row r="225" spans="10:16" x14ac:dyDescent="0.2">
      <c r="J225" s="8"/>
      <c r="K225" s="5"/>
      <c r="L225" s="5"/>
      <c r="M225" s="5"/>
      <c r="N225" s="77"/>
      <c r="O225" s="5"/>
      <c r="P225" s="7"/>
    </row>
    <row r="226" spans="10:16" x14ac:dyDescent="0.2">
      <c r="J226" s="8"/>
      <c r="K226" s="5"/>
      <c r="L226" s="5"/>
      <c r="M226" s="5"/>
      <c r="N226" s="77"/>
      <c r="O226" s="5"/>
      <c r="P226" s="7"/>
    </row>
    <row r="227" spans="10:16" x14ac:dyDescent="0.2">
      <c r="J227" s="8"/>
      <c r="K227" s="5"/>
      <c r="L227" s="5"/>
      <c r="M227" s="5"/>
      <c r="N227" s="77"/>
      <c r="O227" s="5"/>
      <c r="P227" s="7"/>
    </row>
    <row r="228" spans="10:16" x14ac:dyDescent="0.2">
      <c r="J228" s="8"/>
      <c r="K228" s="5"/>
      <c r="L228" s="5"/>
      <c r="M228" s="5"/>
      <c r="N228" s="77"/>
      <c r="O228" s="5"/>
      <c r="P228" s="7"/>
    </row>
    <row r="229" spans="10:16" x14ac:dyDescent="0.2">
      <c r="J229" s="8"/>
      <c r="K229" s="5"/>
      <c r="L229" s="5"/>
      <c r="M229" s="5"/>
      <c r="N229" s="77"/>
      <c r="O229" s="5"/>
      <c r="P229" s="7"/>
    </row>
    <row r="230" spans="10:16" x14ac:dyDescent="0.2">
      <c r="J230" s="8"/>
      <c r="K230" s="5"/>
      <c r="L230" s="5"/>
      <c r="M230" s="5"/>
      <c r="N230" s="77"/>
      <c r="O230" s="5"/>
      <c r="P230" s="7"/>
    </row>
    <row r="231" spans="10:16" x14ac:dyDescent="0.2">
      <c r="J231" s="8"/>
      <c r="K231" s="5"/>
      <c r="L231" s="5"/>
      <c r="M231" s="5"/>
      <c r="N231" s="77"/>
      <c r="O231" s="5"/>
      <c r="P231" s="7"/>
    </row>
    <row r="232" spans="10:16" x14ac:dyDescent="0.2">
      <c r="J232" s="8"/>
      <c r="K232" s="5"/>
      <c r="L232" s="5"/>
      <c r="M232" s="5"/>
      <c r="N232" s="77"/>
      <c r="O232" s="5"/>
      <c r="P232" s="7"/>
    </row>
    <row r="233" spans="10:16" x14ac:dyDescent="0.2">
      <c r="J233" s="8"/>
      <c r="K233" s="5"/>
      <c r="L233" s="5"/>
      <c r="M233" s="5"/>
      <c r="N233" s="77"/>
      <c r="O233" s="5"/>
      <c r="P233" s="7"/>
    </row>
    <row r="234" spans="10:16" x14ac:dyDescent="0.2">
      <c r="J234" s="8"/>
      <c r="K234" s="5"/>
      <c r="L234" s="5"/>
      <c r="M234" s="5"/>
      <c r="N234" s="77"/>
      <c r="O234" s="5"/>
      <c r="P234" s="7"/>
    </row>
    <row r="235" spans="10:16" x14ac:dyDescent="0.2">
      <c r="J235" s="8"/>
      <c r="K235" s="5"/>
      <c r="L235" s="5"/>
      <c r="M235" s="5"/>
      <c r="N235" s="77"/>
      <c r="O235" s="5"/>
      <c r="P235" s="7"/>
    </row>
    <row r="236" spans="10:16" x14ac:dyDescent="0.2">
      <c r="J236" s="8"/>
      <c r="K236" s="5"/>
      <c r="L236" s="5"/>
      <c r="M236" s="5"/>
      <c r="N236" s="77"/>
      <c r="O236" s="5"/>
      <c r="P236" s="7"/>
    </row>
    <row r="237" spans="10:16" x14ac:dyDescent="0.2">
      <c r="J237" s="8"/>
      <c r="K237" s="5"/>
      <c r="L237" s="5"/>
      <c r="M237" s="5"/>
      <c r="N237" s="77"/>
      <c r="O237" s="5"/>
      <c r="P237" s="7"/>
    </row>
    <row r="238" spans="10:16" x14ac:dyDescent="0.2">
      <c r="J238" s="8"/>
      <c r="K238" s="5"/>
      <c r="L238" s="5"/>
      <c r="M238" s="5"/>
      <c r="N238" s="77"/>
      <c r="O238" s="5"/>
      <c r="P238" s="7"/>
    </row>
    <row r="239" spans="10:16" x14ac:dyDescent="0.2">
      <c r="J239" s="8"/>
      <c r="K239" s="5"/>
      <c r="L239" s="5"/>
      <c r="M239" s="5"/>
      <c r="N239" s="77"/>
      <c r="O239" s="5"/>
      <c r="P239" s="7"/>
    </row>
    <row r="240" spans="10:16" x14ac:dyDescent="0.2">
      <c r="J240" s="8"/>
      <c r="K240" s="5"/>
      <c r="L240" s="5"/>
      <c r="M240" s="5"/>
      <c r="N240" s="77"/>
      <c r="O240" s="5"/>
      <c r="P240" s="7"/>
    </row>
    <row r="241" spans="10:16" x14ac:dyDescent="0.2">
      <c r="J241" s="8"/>
      <c r="K241" s="5"/>
      <c r="L241" s="5"/>
      <c r="M241" s="5"/>
      <c r="N241" s="77"/>
      <c r="O241" s="5"/>
      <c r="P241" s="7"/>
    </row>
    <row r="242" spans="10:16" x14ac:dyDescent="0.2">
      <c r="J242" s="8"/>
      <c r="K242" s="5"/>
      <c r="L242" s="5"/>
      <c r="M242" s="5"/>
      <c r="N242" s="77"/>
      <c r="O242" s="5"/>
      <c r="P242" s="7"/>
    </row>
    <row r="243" spans="10:16" x14ac:dyDescent="0.2">
      <c r="J243" s="8"/>
      <c r="K243" s="5"/>
      <c r="L243" s="5"/>
      <c r="M243" s="5"/>
      <c r="N243" s="77"/>
      <c r="O243" s="5"/>
      <c r="P243" s="7"/>
    </row>
    <row r="244" spans="10:16" x14ac:dyDescent="0.2">
      <c r="J244" s="8"/>
      <c r="K244" s="5"/>
      <c r="L244" s="5"/>
      <c r="M244" s="5"/>
      <c r="N244" s="77"/>
      <c r="O244" s="5"/>
      <c r="P244" s="7"/>
    </row>
    <row r="245" spans="10:16" x14ac:dyDescent="0.2">
      <c r="J245" s="8"/>
      <c r="K245" s="5"/>
      <c r="L245" s="5"/>
      <c r="M245" s="5"/>
      <c r="N245" s="77"/>
      <c r="O245" s="5"/>
      <c r="P245" s="7"/>
    </row>
    <row r="246" spans="10:16" x14ac:dyDescent="0.2">
      <c r="J246" s="8"/>
      <c r="K246" s="5"/>
      <c r="L246" s="5"/>
      <c r="M246" s="5"/>
      <c r="N246" s="77"/>
      <c r="O246" s="5"/>
      <c r="P246" s="7"/>
    </row>
    <row r="247" spans="10:16" x14ac:dyDescent="0.2">
      <c r="J247" s="8"/>
      <c r="K247" s="5"/>
      <c r="L247" s="5"/>
      <c r="M247" s="5"/>
      <c r="N247" s="77"/>
      <c r="O247" s="5"/>
      <c r="P247" s="7"/>
    </row>
    <row r="248" spans="10:16" x14ac:dyDescent="0.2">
      <c r="J248" s="8"/>
      <c r="K248" s="5"/>
      <c r="L248" s="5"/>
      <c r="M248" s="5"/>
      <c r="N248" s="77"/>
      <c r="O248" s="5"/>
      <c r="P248" s="7"/>
    </row>
    <row r="249" spans="10:16" x14ac:dyDescent="0.2">
      <c r="J249" s="8"/>
      <c r="K249" s="5"/>
      <c r="L249" s="5"/>
      <c r="M249" s="5"/>
      <c r="N249" s="77"/>
      <c r="O249" s="5"/>
      <c r="P249" s="7"/>
    </row>
    <row r="250" spans="10:16" x14ac:dyDescent="0.2">
      <c r="J250" s="8"/>
      <c r="K250" s="5"/>
      <c r="L250" s="5"/>
      <c r="M250" s="5"/>
      <c r="N250" s="77"/>
      <c r="O250" s="5"/>
      <c r="P250" s="7"/>
    </row>
    <row r="251" spans="10:16" x14ac:dyDescent="0.2">
      <c r="J251" s="8"/>
      <c r="K251" s="5"/>
      <c r="L251" s="5"/>
      <c r="M251" s="5"/>
      <c r="N251" s="77"/>
      <c r="O251" s="5"/>
      <c r="P251" s="7"/>
    </row>
    <row r="252" spans="10:16" x14ac:dyDescent="0.2">
      <c r="J252" s="8"/>
      <c r="K252" s="5"/>
      <c r="L252" s="5"/>
      <c r="M252" s="5"/>
      <c r="N252" s="77"/>
      <c r="O252" s="5"/>
      <c r="P252" s="7"/>
    </row>
    <row r="253" spans="10:16" x14ac:dyDescent="0.2">
      <c r="J253" s="8"/>
      <c r="K253" s="5"/>
      <c r="L253" s="5"/>
      <c r="M253" s="5"/>
      <c r="N253" s="77"/>
      <c r="O253" s="5"/>
      <c r="P253" s="7"/>
    </row>
    <row r="254" spans="10:16" x14ac:dyDescent="0.2">
      <c r="J254" s="8"/>
      <c r="K254" s="5"/>
      <c r="L254" s="5"/>
      <c r="M254" s="5"/>
      <c r="N254" s="77"/>
      <c r="O254" s="5"/>
      <c r="P254" s="7"/>
    </row>
    <row r="255" spans="10:16" x14ac:dyDescent="0.2">
      <c r="J255" s="8"/>
      <c r="K255" s="5"/>
      <c r="L255" s="5"/>
      <c r="M255" s="5"/>
      <c r="N255" s="77"/>
      <c r="O255" s="5"/>
      <c r="P255" s="7"/>
    </row>
    <row r="256" spans="10:16" x14ac:dyDescent="0.2">
      <c r="J256" s="8"/>
      <c r="K256" s="5"/>
      <c r="L256" s="5"/>
      <c r="M256" s="5"/>
      <c r="N256" s="77"/>
      <c r="O256" s="5"/>
      <c r="P256" s="7"/>
    </row>
    <row r="257" spans="10:16" x14ac:dyDescent="0.2">
      <c r="J257" s="8"/>
      <c r="K257" s="5"/>
      <c r="L257" s="5"/>
      <c r="M257" s="5"/>
      <c r="N257" s="77"/>
      <c r="O257" s="5"/>
      <c r="P257" s="7"/>
    </row>
    <row r="258" spans="10:16" x14ac:dyDescent="0.2">
      <c r="J258" s="8"/>
      <c r="K258" s="5"/>
      <c r="L258" s="5"/>
      <c r="M258" s="5"/>
      <c r="N258" s="77"/>
      <c r="O258" s="5"/>
      <c r="P258" s="7"/>
    </row>
    <row r="259" spans="10:16" x14ac:dyDescent="0.2">
      <c r="J259" s="8"/>
      <c r="K259" s="5"/>
      <c r="L259" s="5"/>
      <c r="M259" s="5"/>
      <c r="N259" s="77"/>
      <c r="O259" s="5"/>
      <c r="P259" s="7"/>
    </row>
    <row r="260" spans="10:16" x14ac:dyDescent="0.2">
      <c r="J260" s="8"/>
      <c r="K260" s="5"/>
      <c r="L260" s="5"/>
      <c r="M260" s="5"/>
      <c r="N260" s="77"/>
      <c r="O260" s="5"/>
      <c r="P260" s="7"/>
    </row>
    <row r="261" spans="10:16" x14ac:dyDescent="0.2">
      <c r="J261" s="8"/>
      <c r="K261" s="5"/>
      <c r="L261" s="5"/>
      <c r="M261" s="5"/>
      <c r="N261" s="77"/>
      <c r="O261" s="5"/>
      <c r="P261" s="7"/>
    </row>
    <row r="262" spans="10:16" x14ac:dyDescent="0.2">
      <c r="J262" s="8"/>
      <c r="K262" s="5"/>
      <c r="L262" s="5"/>
      <c r="M262" s="5"/>
      <c r="N262" s="77"/>
      <c r="O262" s="5"/>
      <c r="P262" s="7"/>
    </row>
    <row r="263" spans="10:16" x14ac:dyDescent="0.2">
      <c r="J263" s="8"/>
      <c r="K263" s="5"/>
      <c r="L263" s="5"/>
      <c r="M263" s="5"/>
      <c r="N263" s="77"/>
      <c r="O263" s="5"/>
      <c r="P263" s="7"/>
    </row>
    <row r="264" spans="10:16" x14ac:dyDescent="0.2">
      <c r="J264" s="8"/>
      <c r="K264" s="5"/>
      <c r="L264" s="5"/>
      <c r="M264" s="5"/>
      <c r="N264" s="77"/>
      <c r="O264" s="5"/>
      <c r="P264" s="7"/>
    </row>
    <row r="265" spans="10:16" x14ac:dyDescent="0.2">
      <c r="J265" s="8"/>
      <c r="K265" s="5"/>
      <c r="L265" s="5"/>
      <c r="M265" s="5"/>
      <c r="N265" s="77"/>
      <c r="O265" s="5"/>
      <c r="P265" s="7"/>
    </row>
    <row r="266" spans="10:16" x14ac:dyDescent="0.2">
      <c r="J266" s="8"/>
      <c r="K266" s="5"/>
      <c r="L266" s="5"/>
      <c r="M266" s="5"/>
      <c r="N266" s="77"/>
      <c r="O266" s="5"/>
      <c r="P266" s="7"/>
    </row>
    <row r="267" spans="10:16" x14ac:dyDescent="0.2">
      <c r="J267" s="8"/>
      <c r="K267" s="5"/>
      <c r="L267" s="5"/>
      <c r="M267" s="5"/>
      <c r="N267" s="77"/>
      <c r="O267" s="5"/>
      <c r="P267" s="7"/>
    </row>
    <row r="268" spans="10:16" x14ac:dyDescent="0.2">
      <c r="J268" s="8"/>
      <c r="K268" s="5"/>
      <c r="L268" s="5"/>
      <c r="M268" s="5"/>
      <c r="N268" s="77"/>
      <c r="O268" s="5"/>
      <c r="P268" s="7"/>
    </row>
    <row r="269" spans="10:16" x14ac:dyDescent="0.2">
      <c r="J269" s="8"/>
      <c r="K269" s="5"/>
      <c r="L269" s="5"/>
      <c r="M269" s="5"/>
      <c r="N269" s="77"/>
      <c r="O269" s="5"/>
      <c r="P269" s="7"/>
    </row>
    <row r="270" spans="10:16" x14ac:dyDescent="0.2">
      <c r="J270" s="8"/>
      <c r="K270" s="5"/>
      <c r="L270" s="5"/>
      <c r="M270" s="5"/>
      <c r="N270" s="77"/>
      <c r="O270" s="5"/>
      <c r="P270" s="7"/>
    </row>
    <row r="271" spans="10:16" x14ac:dyDescent="0.2">
      <c r="J271" s="8"/>
      <c r="K271" s="5"/>
      <c r="L271" s="5"/>
      <c r="M271" s="5"/>
      <c r="N271" s="77"/>
      <c r="O271" s="5"/>
      <c r="P271" s="7"/>
    </row>
    <row r="272" spans="10:16" x14ac:dyDescent="0.2">
      <c r="J272" s="8"/>
      <c r="K272" s="5"/>
      <c r="L272" s="5"/>
      <c r="M272" s="5"/>
      <c r="N272" s="77"/>
      <c r="O272" s="5"/>
      <c r="P272" s="7"/>
    </row>
    <row r="273" spans="10:16" x14ac:dyDescent="0.2">
      <c r="J273" s="8"/>
      <c r="K273" s="5"/>
      <c r="L273" s="5"/>
      <c r="M273" s="5"/>
      <c r="N273" s="77"/>
      <c r="O273" s="5"/>
      <c r="P273" s="7"/>
    </row>
    <row r="274" spans="10:16" x14ac:dyDescent="0.2">
      <c r="J274" s="8"/>
      <c r="K274" s="5"/>
      <c r="L274" s="5"/>
      <c r="M274" s="5"/>
      <c r="N274" s="77"/>
      <c r="O274" s="5"/>
      <c r="P274" s="7"/>
    </row>
    <row r="275" spans="10:16" x14ac:dyDescent="0.2">
      <c r="J275" s="8"/>
      <c r="K275" s="5"/>
      <c r="L275" s="5"/>
      <c r="M275" s="5"/>
      <c r="N275" s="77"/>
      <c r="O275" s="5"/>
      <c r="P275" s="7"/>
    </row>
    <row r="276" spans="10:16" x14ac:dyDescent="0.2">
      <c r="J276" s="8"/>
      <c r="K276" s="5"/>
      <c r="L276" s="5"/>
      <c r="M276" s="5"/>
      <c r="N276" s="77"/>
      <c r="O276" s="5"/>
      <c r="P276" s="7"/>
    </row>
    <row r="277" spans="10:16" x14ac:dyDescent="0.2">
      <c r="J277" s="8"/>
      <c r="K277" s="5"/>
      <c r="L277" s="5"/>
      <c r="M277" s="5"/>
      <c r="N277" s="77"/>
      <c r="O277" s="5"/>
      <c r="P277" s="7"/>
    </row>
    <row r="278" spans="10:16" x14ac:dyDescent="0.2">
      <c r="J278" s="8"/>
      <c r="K278" s="5"/>
      <c r="L278" s="5"/>
      <c r="M278" s="5"/>
      <c r="N278" s="77"/>
      <c r="O278" s="5"/>
      <c r="P278" s="7"/>
    </row>
    <row r="279" spans="10:16" x14ac:dyDescent="0.2">
      <c r="J279" s="8"/>
      <c r="K279" s="5"/>
      <c r="L279" s="5"/>
      <c r="M279" s="5"/>
      <c r="N279" s="77"/>
      <c r="O279" s="5"/>
      <c r="P279" s="7"/>
    </row>
    <row r="280" spans="10:16" x14ac:dyDescent="0.2">
      <c r="J280" s="8"/>
      <c r="K280" s="5"/>
      <c r="L280" s="5"/>
      <c r="M280" s="5"/>
      <c r="N280" s="77"/>
      <c r="O280" s="5"/>
      <c r="P280" s="7"/>
    </row>
    <row r="281" spans="10:16" x14ac:dyDescent="0.2">
      <c r="J281" s="8"/>
      <c r="K281" s="5"/>
      <c r="L281" s="5"/>
      <c r="M281" s="5"/>
      <c r="N281" s="77"/>
      <c r="O281" s="5"/>
      <c r="P281" s="7"/>
    </row>
    <row r="282" spans="10:16" x14ac:dyDescent="0.2">
      <c r="J282" s="8"/>
      <c r="K282" s="5"/>
      <c r="L282" s="5"/>
      <c r="M282" s="5"/>
      <c r="N282" s="77"/>
      <c r="O282" s="5"/>
      <c r="P282" s="7"/>
    </row>
    <row r="283" spans="10:16" x14ac:dyDescent="0.2">
      <c r="J283" s="8"/>
      <c r="K283" s="5"/>
      <c r="L283" s="5"/>
      <c r="M283" s="5"/>
      <c r="N283" s="77"/>
      <c r="O283" s="5"/>
      <c r="P283" s="7"/>
    </row>
    <row r="284" spans="10:16" x14ac:dyDescent="0.2">
      <c r="J284" s="8"/>
      <c r="K284" s="5"/>
      <c r="L284" s="5"/>
      <c r="M284" s="5"/>
      <c r="N284" s="77"/>
      <c r="O284" s="5"/>
      <c r="P284" s="7"/>
    </row>
    <row r="285" spans="10:16" x14ac:dyDescent="0.2">
      <c r="J285" s="8"/>
      <c r="K285" s="5"/>
      <c r="L285" s="5"/>
      <c r="M285" s="5"/>
      <c r="N285" s="77"/>
      <c r="O285" s="5"/>
      <c r="P285" s="7"/>
    </row>
    <row r="286" spans="10:16" x14ac:dyDescent="0.2">
      <c r="J286" s="8"/>
      <c r="K286" s="5"/>
      <c r="L286" s="5"/>
      <c r="M286" s="5"/>
      <c r="N286" s="77"/>
      <c r="O286" s="5"/>
      <c r="P286" s="7"/>
    </row>
    <row r="287" spans="10:16" x14ac:dyDescent="0.2">
      <c r="J287" s="8"/>
      <c r="K287" s="5"/>
      <c r="L287" s="5"/>
      <c r="M287" s="5"/>
      <c r="N287" s="77"/>
      <c r="O287" s="5"/>
      <c r="P287" s="7"/>
    </row>
    <row r="288" spans="10:16" x14ac:dyDescent="0.2">
      <c r="J288" s="8"/>
      <c r="K288" s="5"/>
      <c r="L288" s="5"/>
      <c r="M288" s="5"/>
      <c r="N288" s="77"/>
      <c r="O288" s="5"/>
      <c r="P288" s="7"/>
    </row>
    <row r="289" spans="10:16" x14ac:dyDescent="0.2">
      <c r="J289" s="8"/>
      <c r="K289" s="5"/>
      <c r="L289" s="5"/>
      <c r="M289" s="5"/>
      <c r="N289" s="77"/>
      <c r="O289" s="5"/>
      <c r="P289" s="7"/>
    </row>
    <row r="290" spans="10:16" x14ac:dyDescent="0.2">
      <c r="J290" s="8"/>
      <c r="K290" s="5"/>
      <c r="L290" s="5"/>
      <c r="M290" s="5"/>
      <c r="N290" s="77"/>
      <c r="O290" s="5"/>
      <c r="P290" s="7"/>
    </row>
    <row r="291" spans="10:16" x14ac:dyDescent="0.2">
      <c r="J291" s="8"/>
      <c r="K291" s="5"/>
      <c r="L291" s="5"/>
      <c r="M291" s="5"/>
      <c r="N291" s="77"/>
      <c r="O291" s="5"/>
      <c r="P291" s="7"/>
    </row>
    <row r="292" spans="10:16" x14ac:dyDescent="0.2">
      <c r="J292" s="8"/>
      <c r="K292" s="5"/>
      <c r="L292" s="5"/>
      <c r="M292" s="5"/>
      <c r="N292" s="77"/>
      <c r="O292" s="5"/>
      <c r="P292" s="7"/>
    </row>
    <row r="293" spans="10:16" x14ac:dyDescent="0.2">
      <c r="J293" s="8"/>
      <c r="K293" s="5"/>
      <c r="L293" s="5"/>
      <c r="M293" s="5"/>
      <c r="N293" s="77"/>
      <c r="O293" s="5"/>
      <c r="P293" s="7"/>
    </row>
    <row r="294" spans="10:16" x14ac:dyDescent="0.2">
      <c r="J294" s="8"/>
      <c r="K294" s="5"/>
      <c r="L294" s="5"/>
      <c r="M294" s="5"/>
      <c r="N294" s="77"/>
      <c r="O294" s="5"/>
      <c r="P294" s="7"/>
    </row>
    <row r="295" spans="10:16" x14ac:dyDescent="0.2">
      <c r="J295" s="8"/>
      <c r="K295" s="5"/>
      <c r="L295" s="5"/>
      <c r="M295" s="5"/>
      <c r="N295" s="77"/>
      <c r="O295" s="5"/>
      <c r="P295" s="7"/>
    </row>
    <row r="296" spans="10:16" x14ac:dyDescent="0.2">
      <c r="J296" s="8"/>
      <c r="K296" s="5"/>
      <c r="L296" s="5"/>
      <c r="M296" s="5"/>
      <c r="N296" s="77"/>
      <c r="O296" s="5"/>
      <c r="P296" s="7"/>
    </row>
    <row r="297" spans="10:16" x14ac:dyDescent="0.2">
      <c r="J297" s="8"/>
      <c r="K297" s="5"/>
      <c r="L297" s="5"/>
      <c r="M297" s="5"/>
      <c r="N297" s="77"/>
      <c r="O297" s="5"/>
      <c r="P297" s="7"/>
    </row>
    <row r="298" spans="10:16" x14ac:dyDescent="0.2">
      <c r="J298" s="8"/>
      <c r="K298" s="5"/>
      <c r="L298" s="5"/>
      <c r="M298" s="5"/>
      <c r="N298" s="77"/>
      <c r="O298" s="5"/>
      <c r="P298" s="7"/>
    </row>
    <row r="299" spans="10:16" x14ac:dyDescent="0.2">
      <c r="J299" s="8"/>
      <c r="K299" s="5"/>
      <c r="L299" s="5"/>
      <c r="M299" s="5"/>
      <c r="N299" s="77"/>
      <c r="O299" s="5"/>
      <c r="P299" s="7"/>
    </row>
    <row r="300" spans="10:16" x14ac:dyDescent="0.2">
      <c r="J300" s="8"/>
      <c r="K300" s="5"/>
      <c r="L300" s="5"/>
      <c r="M300" s="5"/>
      <c r="N300" s="77"/>
      <c r="O300" s="5"/>
      <c r="P300" s="7"/>
    </row>
    <row r="301" spans="10:16" x14ac:dyDescent="0.2">
      <c r="J301" s="8"/>
      <c r="K301" s="5"/>
      <c r="L301" s="5"/>
      <c r="M301" s="5"/>
      <c r="N301" s="77"/>
      <c r="O301" s="5"/>
      <c r="P301" s="7"/>
    </row>
    <row r="302" spans="10:16" x14ac:dyDescent="0.2">
      <c r="J302" s="8"/>
      <c r="K302" s="5"/>
      <c r="L302" s="5"/>
      <c r="M302" s="5"/>
      <c r="N302" s="77"/>
      <c r="O302" s="5"/>
      <c r="P302" s="7"/>
    </row>
    <row r="303" spans="10:16" x14ac:dyDescent="0.2">
      <c r="J303" s="8"/>
      <c r="K303" s="5"/>
      <c r="L303" s="5"/>
      <c r="M303" s="5"/>
      <c r="N303" s="77"/>
      <c r="O303" s="5"/>
      <c r="P303" s="7"/>
    </row>
    <row r="304" spans="10:16" x14ac:dyDescent="0.2">
      <c r="J304" s="8"/>
      <c r="K304" s="5"/>
      <c r="L304" s="5"/>
      <c r="M304" s="5"/>
      <c r="N304" s="77"/>
      <c r="O304" s="5"/>
      <c r="P304" s="7"/>
    </row>
    <row r="305" spans="10:16" x14ac:dyDescent="0.2">
      <c r="J305" s="8"/>
      <c r="K305" s="5"/>
      <c r="L305" s="5"/>
      <c r="M305" s="5"/>
      <c r="N305" s="77"/>
      <c r="O305" s="5"/>
      <c r="P305" s="7"/>
    </row>
    <row r="306" spans="10:16" x14ac:dyDescent="0.2">
      <c r="J306" s="8"/>
      <c r="K306" s="5"/>
      <c r="L306" s="5"/>
      <c r="M306" s="5"/>
      <c r="N306" s="77"/>
      <c r="O306" s="5"/>
      <c r="P306" s="7"/>
    </row>
    <row r="307" spans="10:16" x14ac:dyDescent="0.2">
      <c r="J307" s="8"/>
      <c r="K307" s="5"/>
      <c r="L307" s="5"/>
      <c r="M307" s="5"/>
      <c r="N307" s="77"/>
      <c r="O307" s="5"/>
      <c r="P307" s="7"/>
    </row>
    <row r="308" spans="10:16" x14ac:dyDescent="0.2">
      <c r="J308" s="8"/>
      <c r="K308" s="5"/>
      <c r="L308" s="5"/>
      <c r="M308" s="5"/>
      <c r="N308" s="77"/>
      <c r="O308" s="5"/>
      <c r="P308" s="7"/>
    </row>
    <row r="309" spans="10:16" x14ac:dyDescent="0.2">
      <c r="J309" s="8"/>
      <c r="K309" s="5"/>
      <c r="L309" s="5"/>
      <c r="M309" s="5"/>
      <c r="N309" s="77"/>
      <c r="O309" s="5"/>
      <c r="P309" s="7"/>
    </row>
    <row r="310" spans="10:16" x14ac:dyDescent="0.2">
      <c r="J310" s="8"/>
      <c r="K310" s="5"/>
      <c r="L310" s="5"/>
      <c r="M310" s="5"/>
      <c r="N310" s="77"/>
      <c r="O310" s="5"/>
      <c r="P310" s="7"/>
    </row>
    <row r="311" spans="10:16" x14ac:dyDescent="0.2">
      <c r="J311" s="8"/>
      <c r="K311" s="5"/>
      <c r="L311" s="5"/>
      <c r="M311" s="5"/>
      <c r="N311" s="77"/>
      <c r="O311" s="5"/>
      <c r="P311" s="7"/>
    </row>
    <row r="312" spans="10:16" x14ac:dyDescent="0.2">
      <c r="J312" s="8"/>
      <c r="K312" s="5"/>
      <c r="L312" s="5"/>
      <c r="M312" s="5"/>
      <c r="N312" s="77"/>
      <c r="O312" s="5"/>
      <c r="P312" s="7"/>
    </row>
    <row r="313" spans="10:16" x14ac:dyDescent="0.2">
      <c r="J313" s="8"/>
      <c r="K313" s="5"/>
      <c r="L313" s="5"/>
      <c r="M313" s="5"/>
      <c r="N313" s="77"/>
      <c r="O313" s="5"/>
      <c r="P313" s="7"/>
    </row>
    <row r="314" spans="10:16" x14ac:dyDescent="0.2">
      <c r="J314" s="8"/>
      <c r="K314" s="5"/>
      <c r="L314" s="5"/>
      <c r="M314" s="5"/>
      <c r="N314" s="77"/>
      <c r="O314" s="5"/>
      <c r="P314" s="7"/>
    </row>
    <row r="315" spans="10:16" x14ac:dyDescent="0.2">
      <c r="J315" s="8"/>
      <c r="K315" s="5"/>
      <c r="L315" s="5"/>
      <c r="M315" s="5"/>
      <c r="N315" s="77"/>
      <c r="O315" s="5"/>
      <c r="P315" s="7"/>
    </row>
    <row r="316" spans="10:16" x14ac:dyDescent="0.2">
      <c r="J316" s="8"/>
      <c r="K316" s="5"/>
      <c r="L316" s="5"/>
      <c r="M316" s="5"/>
      <c r="N316" s="77"/>
      <c r="O316" s="5"/>
      <c r="P316" s="7"/>
    </row>
    <row r="317" spans="10:16" x14ac:dyDescent="0.2">
      <c r="J317" s="8"/>
      <c r="K317" s="5"/>
      <c r="L317" s="5"/>
      <c r="M317" s="5"/>
      <c r="N317" s="77"/>
      <c r="O317" s="5"/>
      <c r="P317" s="7"/>
    </row>
    <row r="318" spans="10:16" x14ac:dyDescent="0.2">
      <c r="J318" s="8"/>
      <c r="K318" s="5"/>
      <c r="L318" s="5"/>
      <c r="M318" s="5"/>
      <c r="N318" s="77"/>
      <c r="O318" s="5"/>
      <c r="P318" s="7"/>
    </row>
    <row r="319" spans="10:16" x14ac:dyDescent="0.2">
      <c r="J319" s="8"/>
      <c r="K319" s="5"/>
      <c r="L319" s="5"/>
      <c r="M319" s="5"/>
      <c r="N319" s="77"/>
      <c r="O319" s="5"/>
      <c r="P319" s="7"/>
    </row>
    <row r="320" spans="10:16" x14ac:dyDescent="0.2">
      <c r="J320" s="8"/>
      <c r="K320" s="5"/>
      <c r="L320" s="5"/>
      <c r="M320" s="5"/>
      <c r="N320" s="77"/>
      <c r="O320" s="5"/>
      <c r="P320" s="7"/>
    </row>
    <row r="321" spans="10:16" x14ac:dyDescent="0.2">
      <c r="J321" s="8"/>
      <c r="K321" s="5"/>
      <c r="L321" s="5"/>
      <c r="M321" s="5"/>
      <c r="N321" s="77"/>
      <c r="O321" s="5"/>
      <c r="P321" s="7"/>
    </row>
    <row r="322" spans="10:16" x14ac:dyDescent="0.2">
      <c r="J322" s="8"/>
      <c r="K322" s="5"/>
      <c r="L322" s="5"/>
      <c r="M322" s="5"/>
      <c r="N322" s="77"/>
      <c r="O322" s="5"/>
      <c r="P322" s="7"/>
    </row>
    <row r="323" spans="10:16" x14ac:dyDescent="0.2">
      <c r="J323" s="8"/>
      <c r="K323" s="5"/>
      <c r="L323" s="5"/>
      <c r="M323" s="5"/>
      <c r="N323" s="77"/>
      <c r="O323" s="5"/>
      <c r="P323" s="7"/>
    </row>
    <row r="324" spans="10:16" x14ac:dyDescent="0.2">
      <c r="J324" s="8"/>
      <c r="K324" s="5"/>
      <c r="L324" s="5"/>
      <c r="M324" s="5"/>
      <c r="N324" s="77"/>
      <c r="O324" s="5"/>
      <c r="P324" s="7"/>
    </row>
    <row r="325" spans="10:16" x14ac:dyDescent="0.2">
      <c r="J325" s="8"/>
      <c r="K325" s="5"/>
      <c r="L325" s="5"/>
      <c r="M325" s="5"/>
      <c r="N325" s="77"/>
      <c r="O325" s="5"/>
      <c r="P325" s="7"/>
    </row>
    <row r="326" spans="10:16" x14ac:dyDescent="0.2">
      <c r="J326" s="8"/>
      <c r="K326" s="5"/>
      <c r="L326" s="5"/>
      <c r="M326" s="5"/>
      <c r="N326" s="77"/>
      <c r="O326" s="5"/>
      <c r="P326" s="7"/>
    </row>
    <row r="327" spans="10:16" x14ac:dyDescent="0.2">
      <c r="J327" s="8"/>
      <c r="K327" s="5"/>
      <c r="L327" s="5"/>
      <c r="M327" s="5"/>
      <c r="N327" s="77"/>
      <c r="O327" s="5"/>
      <c r="P327" s="7"/>
    </row>
    <row r="328" spans="10:16" x14ac:dyDescent="0.2">
      <c r="J328" s="8"/>
      <c r="K328" s="5"/>
      <c r="L328" s="5"/>
      <c r="M328" s="5"/>
      <c r="N328" s="77"/>
      <c r="O328" s="5"/>
      <c r="P328" s="7"/>
    </row>
    <row r="329" spans="10:16" x14ac:dyDescent="0.2">
      <c r="J329" s="8"/>
      <c r="K329" s="5"/>
      <c r="L329" s="5"/>
      <c r="M329" s="5"/>
      <c r="N329" s="77"/>
      <c r="O329" s="5"/>
      <c r="P329" s="7"/>
    </row>
    <row r="330" spans="10:16" ht="15.75" thickBot="1" x14ac:dyDescent="0.25">
      <c r="J330" s="9"/>
      <c r="K330" s="10"/>
      <c r="L330" s="10"/>
      <c r="M330" s="10"/>
      <c r="N330" s="85"/>
      <c r="O330" s="10"/>
      <c r="P330" s="11"/>
    </row>
  </sheetData>
  <autoFilter ref="J1:O74" xr:uid="{551CB798-28FD-4C1B-9D00-13825A920839}">
    <sortState xmlns:xlrd2="http://schemas.microsoft.com/office/spreadsheetml/2017/richdata2" ref="J2:O74">
      <sortCondition ref="J1:J74"/>
    </sortState>
  </autoFilter>
  <sortState xmlns:xlrd2="http://schemas.microsoft.com/office/spreadsheetml/2017/richdata2" ref="J2:P24">
    <sortCondition ref="J2:J24"/>
  </sortState>
  <phoneticPr fontId="2" type="noConversion"/>
  <conditionalFormatting sqref="C29:C30">
    <cfRule type="duplicateValues" dxfId="5" priority="3"/>
  </conditionalFormatting>
  <conditionalFormatting sqref="C32:C33">
    <cfRule type="duplicateValues" dxfId="4" priority="2"/>
  </conditionalFormatting>
  <conditionalFormatting sqref="C35">
    <cfRule type="duplicateValues" dxfId="3" priority="4"/>
  </conditionalFormatting>
  <conditionalFormatting sqref="C36 C31 C34 C6:C28">
    <cfRule type="duplicateValues" dxfId="2" priority="6"/>
  </conditionalFormatting>
  <conditionalFormatting sqref="C37:C38 C40:C42">
    <cfRule type="duplicateValues" dxfId="1" priority="7"/>
  </conditionalFormatting>
  <conditionalFormatting sqref="C39">
    <cfRule type="duplicateValues" dxfId="0" priority="1"/>
  </conditionalFormatting>
  <dataValidations count="5">
    <dataValidation type="list" allowBlank="1" showInputMessage="1" showErrorMessage="1" sqref="K2:K330" xr:uid="{49991FCE-2409-4BDE-8D81-AEB75538ED6C}">
      <formula1>$H$5:$H$43</formula1>
    </dataValidation>
    <dataValidation type="list" allowBlank="1" showInputMessage="1" showErrorMessage="1" sqref="M2:M330" xr:uid="{CC8D32B1-0027-4794-BD8D-6D8E4BFAF92D}">
      <formula1>$E$5:$E$6</formula1>
    </dataValidation>
    <dataValidation type="list" allowBlank="1" showInputMessage="1" showErrorMessage="1" sqref="P2:P330" xr:uid="{88E22C72-92BE-460E-8002-2A788533BFB8}">
      <formula1>$I$5:$I$22</formula1>
    </dataValidation>
    <dataValidation type="list" allowBlank="1" showInputMessage="1" showErrorMessage="1" sqref="L2:L330" xr:uid="{548B82D8-EDDF-45E0-91C7-D4C34FECDA55}">
      <formula1>$G$5:$G$17</formula1>
    </dataValidation>
    <dataValidation type="list" allowBlank="1" showInputMessage="1" showErrorMessage="1" sqref="O2:O330" xr:uid="{91662AFF-2009-4585-9048-292ED8559AED}">
      <formula1>$C$6:$C$57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Width="0" orientation="landscape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A0FC-7ABA-4CAE-8074-0EAE78BA4C55}">
  <dimension ref="A1:G58"/>
  <sheetViews>
    <sheetView topLeftCell="B1" workbookViewId="0">
      <selection activeCell="I29" sqref="I29"/>
    </sheetView>
  </sheetViews>
  <sheetFormatPr defaultRowHeight="15" x14ac:dyDescent="0.25"/>
  <cols>
    <col min="1" max="1" width="8.85546875" style="18"/>
    <col min="2" max="2" width="43.5703125" style="18" customWidth="1"/>
    <col min="3" max="3" width="16.7109375" style="18" customWidth="1"/>
    <col min="4" max="4" width="16.42578125" style="18" bestFit="1" customWidth="1"/>
    <col min="5" max="5" width="10.42578125" style="104" bestFit="1" customWidth="1"/>
    <col min="6" max="7" width="10.42578125" bestFit="1" customWidth="1"/>
    <col min="10" max="10" width="17.42578125" bestFit="1" customWidth="1"/>
    <col min="11" max="11" width="31.28515625" bestFit="1" customWidth="1"/>
  </cols>
  <sheetData>
    <row r="1" spans="1:7" x14ac:dyDescent="0.25">
      <c r="A1" s="110"/>
      <c r="B1" s="111" t="s">
        <v>620</v>
      </c>
      <c r="C1" s="111" t="s">
        <v>619</v>
      </c>
      <c r="D1" s="111" t="s">
        <v>618</v>
      </c>
      <c r="E1" s="112">
        <v>45799</v>
      </c>
      <c r="F1" s="112">
        <v>45800</v>
      </c>
      <c r="G1" s="112">
        <v>45801</v>
      </c>
    </row>
    <row r="2" spans="1:7" x14ac:dyDescent="0.25">
      <c r="A2" s="111">
        <v>1</v>
      </c>
      <c r="B2" s="110" t="s">
        <v>617</v>
      </c>
      <c r="C2" s="110">
        <v>15</v>
      </c>
      <c r="D2" s="110">
        <f t="shared" ref="D2:D33" si="0">C2-(E2+F2)</f>
        <v>15</v>
      </c>
      <c r="E2" s="109"/>
      <c r="F2" s="1"/>
      <c r="G2" s="1"/>
    </row>
    <row r="3" spans="1:7" x14ac:dyDescent="0.25">
      <c r="A3" s="111">
        <v>2</v>
      </c>
      <c r="B3" s="110" t="s">
        <v>616</v>
      </c>
      <c r="C3" s="110">
        <v>5</v>
      </c>
      <c r="D3" s="110">
        <f t="shared" si="0"/>
        <v>3</v>
      </c>
      <c r="E3" s="109">
        <v>1</v>
      </c>
      <c r="F3" s="1">
        <v>1</v>
      </c>
      <c r="G3" s="1"/>
    </row>
    <row r="4" spans="1:7" x14ac:dyDescent="0.25">
      <c r="A4" s="111">
        <v>3</v>
      </c>
      <c r="B4" s="110" t="s">
        <v>615</v>
      </c>
      <c r="C4" s="110">
        <v>9</v>
      </c>
      <c r="D4" s="110">
        <f t="shared" si="0"/>
        <v>7</v>
      </c>
      <c r="E4" s="109">
        <v>1</v>
      </c>
      <c r="F4" s="1">
        <v>1</v>
      </c>
      <c r="G4" s="1"/>
    </row>
    <row r="5" spans="1:7" x14ac:dyDescent="0.25">
      <c r="A5" s="111">
        <v>4</v>
      </c>
      <c r="B5" s="110" t="s">
        <v>614</v>
      </c>
      <c r="C5" s="110">
        <v>13</v>
      </c>
      <c r="D5" s="110">
        <f t="shared" si="0"/>
        <v>9</v>
      </c>
      <c r="E5" s="109">
        <v>3</v>
      </c>
      <c r="F5" s="1">
        <v>1</v>
      </c>
      <c r="G5" s="1">
        <v>2</v>
      </c>
    </row>
    <row r="6" spans="1:7" x14ac:dyDescent="0.25">
      <c r="A6" s="111">
        <v>5</v>
      </c>
      <c r="B6" s="110" t="s">
        <v>613</v>
      </c>
      <c r="C6" s="110">
        <v>15</v>
      </c>
      <c r="D6" s="110">
        <f t="shared" si="0"/>
        <v>8</v>
      </c>
      <c r="E6" s="109">
        <v>6</v>
      </c>
      <c r="F6" s="1">
        <v>1</v>
      </c>
      <c r="G6" s="1"/>
    </row>
    <row r="7" spans="1:7" x14ac:dyDescent="0.25">
      <c r="A7" s="111">
        <v>6</v>
      </c>
      <c r="B7" s="110" t="s">
        <v>612</v>
      </c>
      <c r="C7" s="110">
        <v>17</v>
      </c>
      <c r="D7" s="110">
        <f t="shared" si="0"/>
        <v>17</v>
      </c>
      <c r="E7" s="109"/>
      <c r="F7" s="1"/>
      <c r="G7" s="1"/>
    </row>
    <row r="8" spans="1:7" x14ac:dyDescent="0.25">
      <c r="A8" s="111">
        <v>7</v>
      </c>
      <c r="B8" s="110" t="s">
        <v>611</v>
      </c>
      <c r="C8" s="110">
        <v>4</v>
      </c>
      <c r="D8" s="110">
        <f t="shared" si="0"/>
        <v>4</v>
      </c>
      <c r="E8" s="109"/>
      <c r="F8" s="1"/>
      <c r="G8" s="1"/>
    </row>
    <row r="9" spans="1:7" x14ac:dyDescent="0.25">
      <c r="A9" s="111">
        <v>8</v>
      </c>
      <c r="B9" s="110" t="s">
        <v>610</v>
      </c>
      <c r="C9" s="110">
        <v>6</v>
      </c>
      <c r="D9" s="110">
        <f t="shared" si="0"/>
        <v>6</v>
      </c>
      <c r="E9" s="109"/>
      <c r="F9" s="1"/>
      <c r="G9" s="1"/>
    </row>
    <row r="10" spans="1:7" x14ac:dyDescent="0.25">
      <c r="A10" s="111">
        <v>9</v>
      </c>
      <c r="B10" s="110" t="s">
        <v>609</v>
      </c>
      <c r="C10" s="110">
        <v>9</v>
      </c>
      <c r="D10" s="110">
        <f t="shared" si="0"/>
        <v>9</v>
      </c>
      <c r="E10" s="109"/>
      <c r="F10" s="1"/>
      <c r="G10" s="1"/>
    </row>
    <row r="11" spans="1:7" x14ac:dyDescent="0.25">
      <c r="A11" s="111">
        <v>10</v>
      </c>
      <c r="B11" s="110" t="s">
        <v>608</v>
      </c>
      <c r="C11" s="110">
        <v>15</v>
      </c>
      <c r="D11" s="110">
        <f t="shared" si="0"/>
        <v>15</v>
      </c>
      <c r="E11" s="109"/>
      <c r="F11" s="1"/>
      <c r="G11" s="1"/>
    </row>
    <row r="12" spans="1:7" x14ac:dyDescent="0.25">
      <c r="A12" s="111">
        <v>11</v>
      </c>
      <c r="B12" s="110" t="s">
        <v>607</v>
      </c>
      <c r="C12" s="110">
        <v>10</v>
      </c>
      <c r="D12" s="110">
        <f t="shared" si="0"/>
        <v>10</v>
      </c>
      <c r="E12" s="109"/>
      <c r="F12" s="1"/>
      <c r="G12" s="1"/>
    </row>
    <row r="13" spans="1:7" x14ac:dyDescent="0.25">
      <c r="A13" s="111">
        <v>12</v>
      </c>
      <c r="B13" s="110" t="s">
        <v>606</v>
      </c>
      <c r="C13" s="110">
        <v>17</v>
      </c>
      <c r="D13" s="110">
        <f t="shared" si="0"/>
        <v>17</v>
      </c>
      <c r="E13" s="109"/>
      <c r="F13" s="1"/>
      <c r="G13" s="1"/>
    </row>
    <row r="14" spans="1:7" x14ac:dyDescent="0.25">
      <c r="A14" s="111">
        <v>13</v>
      </c>
      <c r="B14" s="110" t="s">
        <v>605</v>
      </c>
      <c r="C14" s="110">
        <v>4</v>
      </c>
      <c r="D14" s="110">
        <f t="shared" si="0"/>
        <v>4</v>
      </c>
      <c r="E14" s="109"/>
      <c r="F14" s="1"/>
      <c r="G14" s="1"/>
    </row>
    <row r="15" spans="1:7" x14ac:dyDescent="0.25">
      <c r="A15" s="111">
        <v>14</v>
      </c>
      <c r="B15" s="110" t="s">
        <v>604</v>
      </c>
      <c r="C15" s="110">
        <v>5</v>
      </c>
      <c r="D15" s="110">
        <f t="shared" si="0"/>
        <v>4</v>
      </c>
      <c r="E15" s="109">
        <v>1</v>
      </c>
      <c r="F15" s="1"/>
      <c r="G15" s="1"/>
    </row>
    <row r="16" spans="1:7" x14ac:dyDescent="0.25">
      <c r="A16" s="111">
        <v>15</v>
      </c>
      <c r="B16" s="110" t="s">
        <v>603</v>
      </c>
      <c r="C16" s="110">
        <v>5</v>
      </c>
      <c r="D16" s="110">
        <f t="shared" si="0"/>
        <v>5</v>
      </c>
      <c r="E16" s="109"/>
      <c r="F16" s="1"/>
      <c r="G16" s="1"/>
    </row>
    <row r="17" spans="1:7" x14ac:dyDescent="0.25">
      <c r="A17" s="111">
        <v>16</v>
      </c>
      <c r="B17" s="110" t="s">
        <v>602</v>
      </c>
      <c r="C17" s="110">
        <v>9</v>
      </c>
      <c r="D17" s="110">
        <f t="shared" si="0"/>
        <v>8</v>
      </c>
      <c r="E17" s="109"/>
      <c r="F17" s="1">
        <v>1</v>
      </c>
      <c r="G17" s="1"/>
    </row>
    <row r="18" spans="1:7" x14ac:dyDescent="0.25">
      <c r="A18" s="111">
        <v>17</v>
      </c>
      <c r="B18" s="110" t="s">
        <v>601</v>
      </c>
      <c r="C18" s="110">
        <v>2</v>
      </c>
      <c r="D18" s="110">
        <f t="shared" si="0"/>
        <v>1</v>
      </c>
      <c r="E18" s="109">
        <v>1</v>
      </c>
      <c r="F18" s="1"/>
      <c r="G18" s="1"/>
    </row>
    <row r="19" spans="1:7" x14ac:dyDescent="0.25">
      <c r="A19" s="111">
        <v>18</v>
      </c>
      <c r="B19" s="110" t="s">
        <v>600</v>
      </c>
      <c r="C19" s="110">
        <v>10</v>
      </c>
      <c r="D19" s="110">
        <f t="shared" si="0"/>
        <v>10</v>
      </c>
      <c r="E19" s="109"/>
      <c r="F19" s="1"/>
      <c r="G19" s="1"/>
    </row>
    <row r="20" spans="1:7" x14ac:dyDescent="0.25">
      <c r="A20" s="111">
        <v>19</v>
      </c>
      <c r="B20" s="110" t="s">
        <v>599</v>
      </c>
      <c r="C20" s="110">
        <v>50</v>
      </c>
      <c r="D20" s="110">
        <f t="shared" si="0"/>
        <v>50</v>
      </c>
      <c r="E20" s="109"/>
      <c r="F20" s="1"/>
      <c r="G20" s="1"/>
    </row>
    <row r="21" spans="1:7" x14ac:dyDescent="0.25">
      <c r="A21" s="111">
        <v>20</v>
      </c>
      <c r="B21" s="110" t="s">
        <v>598</v>
      </c>
      <c r="C21" s="110">
        <v>13</v>
      </c>
      <c r="D21" s="110">
        <f t="shared" si="0"/>
        <v>11</v>
      </c>
      <c r="E21" s="109">
        <v>2</v>
      </c>
      <c r="F21" s="1"/>
      <c r="G21" s="1"/>
    </row>
    <row r="22" spans="1:7" x14ac:dyDescent="0.25">
      <c r="A22" s="111">
        <v>21</v>
      </c>
      <c r="B22" s="110" t="s">
        <v>597</v>
      </c>
      <c r="C22" s="110">
        <v>20</v>
      </c>
      <c r="D22" s="110">
        <f t="shared" si="0"/>
        <v>20</v>
      </c>
      <c r="E22" s="109"/>
      <c r="F22" s="1"/>
      <c r="G22" s="1"/>
    </row>
    <row r="23" spans="1:7" x14ac:dyDescent="0.25">
      <c r="A23" s="111">
        <v>22</v>
      </c>
      <c r="B23" s="110" t="s">
        <v>596</v>
      </c>
      <c r="C23" s="110">
        <v>6</v>
      </c>
      <c r="D23" s="110">
        <f t="shared" si="0"/>
        <v>6</v>
      </c>
      <c r="E23" s="109"/>
      <c r="F23" s="1"/>
      <c r="G23" s="1"/>
    </row>
    <row r="24" spans="1:7" x14ac:dyDescent="0.25">
      <c r="A24" s="111">
        <v>23</v>
      </c>
      <c r="B24" s="110" t="s">
        <v>595</v>
      </c>
      <c r="C24" s="110">
        <v>15</v>
      </c>
      <c r="D24" s="110">
        <f t="shared" si="0"/>
        <v>15</v>
      </c>
      <c r="E24" s="109"/>
      <c r="F24" s="1"/>
      <c r="G24" s="1"/>
    </row>
    <row r="25" spans="1:7" x14ac:dyDescent="0.25">
      <c r="A25" s="111">
        <v>24</v>
      </c>
      <c r="B25" s="110" t="s">
        <v>594</v>
      </c>
      <c r="C25" s="110">
        <v>0</v>
      </c>
      <c r="D25" s="110">
        <f t="shared" si="0"/>
        <v>0</v>
      </c>
      <c r="E25" s="109"/>
      <c r="F25" s="1"/>
      <c r="G25" s="1"/>
    </row>
    <row r="26" spans="1:7" x14ac:dyDescent="0.25">
      <c r="A26" s="111">
        <v>25</v>
      </c>
      <c r="B26" s="110" t="s">
        <v>593</v>
      </c>
      <c r="C26" s="110">
        <v>0</v>
      </c>
      <c r="D26" s="110">
        <f t="shared" si="0"/>
        <v>0</v>
      </c>
      <c r="E26" s="109"/>
      <c r="F26" s="1"/>
      <c r="G26" s="1"/>
    </row>
    <row r="27" spans="1:7" x14ac:dyDescent="0.25">
      <c r="A27" s="111">
        <v>26</v>
      </c>
      <c r="B27" s="110" t="s">
        <v>592</v>
      </c>
      <c r="C27" s="110">
        <v>0</v>
      </c>
      <c r="D27" s="110">
        <f t="shared" si="0"/>
        <v>0</v>
      </c>
      <c r="E27" s="109"/>
      <c r="F27" s="1"/>
      <c r="G27" s="1"/>
    </row>
    <row r="28" spans="1:7" x14ac:dyDescent="0.25">
      <c r="A28" s="111">
        <v>27</v>
      </c>
      <c r="B28" s="110" t="s">
        <v>591</v>
      </c>
      <c r="C28" s="110">
        <v>2</v>
      </c>
      <c r="D28" s="110">
        <f t="shared" si="0"/>
        <v>2</v>
      </c>
      <c r="E28" s="109"/>
      <c r="F28" s="1"/>
      <c r="G28" s="1"/>
    </row>
    <row r="29" spans="1:7" x14ac:dyDescent="0.25">
      <c r="A29" s="111">
        <v>28</v>
      </c>
      <c r="B29" s="110" t="s">
        <v>590</v>
      </c>
      <c r="C29" s="110">
        <v>20</v>
      </c>
      <c r="D29" s="110">
        <f t="shared" si="0"/>
        <v>20</v>
      </c>
      <c r="E29" s="109"/>
      <c r="F29" s="1"/>
      <c r="G29" s="1"/>
    </row>
    <row r="30" spans="1:7" x14ac:dyDescent="0.25">
      <c r="A30" s="111">
        <v>29</v>
      </c>
      <c r="B30" s="110" t="s">
        <v>589</v>
      </c>
      <c r="C30" s="110">
        <v>20</v>
      </c>
      <c r="D30" s="110">
        <f t="shared" si="0"/>
        <v>20</v>
      </c>
      <c r="E30" s="109"/>
      <c r="F30" s="1"/>
      <c r="G30" s="1"/>
    </row>
    <row r="31" spans="1:7" x14ac:dyDescent="0.25">
      <c r="A31" s="111">
        <v>30</v>
      </c>
      <c r="B31" s="110" t="s">
        <v>588</v>
      </c>
      <c r="C31" s="110">
        <v>20</v>
      </c>
      <c r="D31" s="110">
        <f t="shared" si="0"/>
        <v>20</v>
      </c>
      <c r="E31" s="109"/>
      <c r="F31" s="1"/>
      <c r="G31" s="1"/>
    </row>
    <row r="32" spans="1:7" x14ac:dyDescent="0.25">
      <c r="A32" s="111">
        <v>31</v>
      </c>
      <c r="B32" s="110" t="s">
        <v>587</v>
      </c>
      <c r="C32" s="110">
        <v>7</v>
      </c>
      <c r="D32" s="110">
        <f t="shared" si="0"/>
        <v>7</v>
      </c>
      <c r="E32" s="109"/>
      <c r="F32" s="1"/>
      <c r="G32" s="1"/>
    </row>
    <row r="33" spans="1:7" x14ac:dyDescent="0.25">
      <c r="A33" s="111">
        <v>32</v>
      </c>
      <c r="B33" s="110" t="s">
        <v>586</v>
      </c>
      <c r="C33" s="110">
        <v>37</v>
      </c>
      <c r="D33" s="110">
        <f t="shared" si="0"/>
        <v>37</v>
      </c>
      <c r="E33" s="109"/>
      <c r="F33" s="1"/>
      <c r="G33" s="1"/>
    </row>
    <row r="34" spans="1:7" x14ac:dyDescent="0.25">
      <c r="A34" s="111">
        <v>33</v>
      </c>
      <c r="B34" s="110" t="s">
        <v>585</v>
      </c>
      <c r="C34" s="110">
        <v>10</v>
      </c>
      <c r="D34" s="110">
        <f t="shared" ref="D34:D54" si="1">C34-(E34+F34)</f>
        <v>10</v>
      </c>
      <c r="E34" s="109"/>
      <c r="F34" s="1"/>
      <c r="G34" s="1"/>
    </row>
    <row r="35" spans="1:7" x14ac:dyDescent="0.25">
      <c r="A35" s="111">
        <v>34</v>
      </c>
      <c r="B35" s="110" t="s">
        <v>584</v>
      </c>
      <c r="C35" s="110">
        <v>22</v>
      </c>
      <c r="D35" s="110">
        <f t="shared" si="1"/>
        <v>22</v>
      </c>
      <c r="E35" s="109"/>
      <c r="F35" s="1"/>
      <c r="G35" s="1"/>
    </row>
    <row r="36" spans="1:7" x14ac:dyDescent="0.25">
      <c r="A36" s="111">
        <v>35</v>
      </c>
      <c r="B36" s="110" t="s">
        <v>583</v>
      </c>
      <c r="C36" s="110">
        <v>12</v>
      </c>
      <c r="D36" s="110">
        <f t="shared" si="1"/>
        <v>10</v>
      </c>
      <c r="E36" s="109">
        <v>2</v>
      </c>
      <c r="F36" s="1"/>
      <c r="G36" s="1"/>
    </row>
    <row r="37" spans="1:7" x14ac:dyDescent="0.25">
      <c r="A37" s="111">
        <v>36</v>
      </c>
      <c r="B37" s="110" t="s">
        <v>582</v>
      </c>
      <c r="C37" s="110">
        <v>11</v>
      </c>
      <c r="D37" s="110">
        <f t="shared" si="1"/>
        <v>6</v>
      </c>
      <c r="E37" s="109">
        <v>4</v>
      </c>
      <c r="F37" s="1">
        <v>1</v>
      </c>
      <c r="G37" s="1"/>
    </row>
    <row r="38" spans="1:7" x14ac:dyDescent="0.25">
      <c r="A38" s="111">
        <v>37</v>
      </c>
      <c r="B38" s="110" t="s">
        <v>581</v>
      </c>
      <c r="C38" s="110">
        <v>6</v>
      </c>
      <c r="D38" s="110">
        <f t="shared" si="1"/>
        <v>5</v>
      </c>
      <c r="E38" s="109">
        <v>1</v>
      </c>
      <c r="F38" s="1"/>
      <c r="G38" s="1"/>
    </row>
    <row r="39" spans="1:7" x14ac:dyDescent="0.25">
      <c r="A39" s="111">
        <v>38</v>
      </c>
      <c r="B39" s="110" t="s">
        <v>580</v>
      </c>
      <c r="C39" s="110">
        <v>4</v>
      </c>
      <c r="D39" s="110">
        <f t="shared" si="1"/>
        <v>4</v>
      </c>
      <c r="E39" s="109"/>
      <c r="F39" s="1"/>
      <c r="G39" s="1">
        <v>1</v>
      </c>
    </row>
    <row r="40" spans="1:7" x14ac:dyDescent="0.25">
      <c r="A40" s="111">
        <v>39</v>
      </c>
      <c r="B40" s="110" t="s">
        <v>579</v>
      </c>
      <c r="C40" s="110">
        <v>3</v>
      </c>
      <c r="D40" s="110">
        <f t="shared" si="1"/>
        <v>3</v>
      </c>
      <c r="E40" s="109"/>
      <c r="F40" s="1"/>
      <c r="G40" s="1"/>
    </row>
    <row r="41" spans="1:7" x14ac:dyDescent="0.25">
      <c r="A41" s="111">
        <v>40</v>
      </c>
      <c r="B41" s="110" t="s">
        <v>578</v>
      </c>
      <c r="C41" s="110">
        <v>10</v>
      </c>
      <c r="D41" s="110">
        <f t="shared" si="1"/>
        <v>10</v>
      </c>
      <c r="E41" s="109"/>
      <c r="F41" s="1"/>
      <c r="G41" s="1"/>
    </row>
    <row r="42" spans="1:7" x14ac:dyDescent="0.25">
      <c r="A42" s="111">
        <v>41</v>
      </c>
      <c r="B42" s="110" t="s">
        <v>577</v>
      </c>
      <c r="C42" s="110">
        <v>17</v>
      </c>
      <c r="D42" s="110">
        <f t="shared" si="1"/>
        <v>13</v>
      </c>
      <c r="E42" s="109">
        <v>3</v>
      </c>
      <c r="F42" s="1">
        <v>1</v>
      </c>
      <c r="G42" s="1"/>
    </row>
    <row r="43" spans="1:7" x14ac:dyDescent="0.25">
      <c r="A43" s="111">
        <v>42</v>
      </c>
      <c r="B43" s="110" t="s">
        <v>576</v>
      </c>
      <c r="C43" s="110">
        <v>4</v>
      </c>
      <c r="D43" s="110">
        <f t="shared" si="1"/>
        <v>4</v>
      </c>
      <c r="E43" s="109"/>
      <c r="F43" s="1"/>
      <c r="G43" s="1"/>
    </row>
    <row r="44" spans="1:7" x14ac:dyDescent="0.25">
      <c r="A44" s="111">
        <v>43</v>
      </c>
      <c r="B44" s="110" t="s">
        <v>575</v>
      </c>
      <c r="C44" s="110">
        <v>10</v>
      </c>
      <c r="D44" s="110">
        <f t="shared" si="1"/>
        <v>10</v>
      </c>
      <c r="E44" s="109"/>
      <c r="F44" s="1"/>
      <c r="G44" s="1"/>
    </row>
    <row r="45" spans="1:7" x14ac:dyDescent="0.25">
      <c r="A45" s="108">
        <v>44</v>
      </c>
      <c r="B45" s="107" t="s">
        <v>574</v>
      </c>
      <c r="C45" s="107">
        <v>3</v>
      </c>
      <c r="D45" s="107">
        <f t="shared" si="1"/>
        <v>3</v>
      </c>
      <c r="E45" s="106"/>
      <c r="F45" s="105"/>
      <c r="G45" s="105"/>
    </row>
    <row r="46" spans="1:7" x14ac:dyDescent="0.25">
      <c r="A46" s="108">
        <f t="shared" ref="A46:A54" si="2">A45+1</f>
        <v>45</v>
      </c>
      <c r="B46" s="107" t="s">
        <v>573</v>
      </c>
      <c r="C46" s="107">
        <v>6</v>
      </c>
      <c r="D46" s="107">
        <f t="shared" si="1"/>
        <v>6</v>
      </c>
      <c r="E46" s="106"/>
      <c r="F46" s="105"/>
      <c r="G46" s="105"/>
    </row>
    <row r="47" spans="1:7" x14ac:dyDescent="0.25">
      <c r="A47" s="108">
        <f t="shared" si="2"/>
        <v>46</v>
      </c>
      <c r="B47" s="107" t="s">
        <v>572</v>
      </c>
      <c r="C47" s="107">
        <v>6</v>
      </c>
      <c r="D47" s="107">
        <f t="shared" si="1"/>
        <v>6</v>
      </c>
      <c r="E47" s="106"/>
      <c r="F47" s="105"/>
      <c r="G47" s="105"/>
    </row>
    <row r="48" spans="1:7" x14ac:dyDescent="0.25">
      <c r="A48" s="108">
        <f t="shared" si="2"/>
        <v>47</v>
      </c>
      <c r="B48" s="107" t="s">
        <v>571</v>
      </c>
      <c r="C48" s="107">
        <v>6</v>
      </c>
      <c r="D48" s="107">
        <f t="shared" si="1"/>
        <v>6</v>
      </c>
      <c r="E48" s="106"/>
      <c r="F48" s="105"/>
      <c r="G48" s="105"/>
    </row>
    <row r="49" spans="1:7" x14ac:dyDescent="0.25">
      <c r="A49" s="108">
        <f t="shared" si="2"/>
        <v>48</v>
      </c>
      <c r="B49" s="107" t="s">
        <v>570</v>
      </c>
      <c r="C49" s="107">
        <v>5</v>
      </c>
      <c r="D49" s="107">
        <f t="shared" si="1"/>
        <v>5</v>
      </c>
      <c r="E49" s="106"/>
      <c r="F49" s="105"/>
      <c r="G49" s="105"/>
    </row>
    <row r="50" spans="1:7" x14ac:dyDescent="0.25">
      <c r="A50" s="108">
        <f t="shared" si="2"/>
        <v>49</v>
      </c>
      <c r="B50" s="107" t="s">
        <v>569</v>
      </c>
      <c r="C50" s="107">
        <v>5</v>
      </c>
      <c r="D50" s="107">
        <f t="shared" si="1"/>
        <v>5</v>
      </c>
      <c r="E50" s="106"/>
      <c r="F50" s="105"/>
      <c r="G50" s="105"/>
    </row>
    <row r="51" spans="1:7" x14ac:dyDescent="0.25">
      <c r="A51" s="108">
        <f t="shared" si="2"/>
        <v>50</v>
      </c>
      <c r="B51" s="107" t="s">
        <v>568</v>
      </c>
      <c r="C51" s="107">
        <v>5</v>
      </c>
      <c r="D51" s="107">
        <f t="shared" si="1"/>
        <v>5</v>
      </c>
      <c r="E51" s="106"/>
      <c r="F51" s="105"/>
      <c r="G51" s="105"/>
    </row>
    <row r="52" spans="1:7" x14ac:dyDescent="0.25">
      <c r="A52" s="108">
        <f t="shared" si="2"/>
        <v>51</v>
      </c>
      <c r="B52" s="107" t="s">
        <v>567</v>
      </c>
      <c r="C52" s="107">
        <v>5</v>
      </c>
      <c r="D52" s="107">
        <f t="shared" si="1"/>
        <v>5</v>
      </c>
      <c r="E52" s="106"/>
      <c r="F52" s="105"/>
      <c r="G52" s="105"/>
    </row>
    <row r="53" spans="1:7" x14ac:dyDescent="0.25">
      <c r="A53" s="108">
        <f t="shared" si="2"/>
        <v>52</v>
      </c>
      <c r="B53" s="107" t="s">
        <v>566</v>
      </c>
      <c r="C53" s="107">
        <v>5</v>
      </c>
      <c r="D53" s="107">
        <f t="shared" si="1"/>
        <v>5</v>
      </c>
      <c r="E53" s="106"/>
      <c r="F53" s="105"/>
      <c r="G53" s="105"/>
    </row>
    <row r="54" spans="1:7" x14ac:dyDescent="0.25">
      <c r="A54" s="108">
        <f t="shared" si="2"/>
        <v>53</v>
      </c>
      <c r="B54" s="107" t="s">
        <v>565</v>
      </c>
      <c r="C54" s="107">
        <v>30</v>
      </c>
      <c r="D54" s="107">
        <f t="shared" si="1"/>
        <v>30</v>
      </c>
      <c r="E54" s="106"/>
      <c r="F54" s="105"/>
      <c r="G54" s="105"/>
    </row>
    <row r="58" spans="1:7" x14ac:dyDescent="0.25">
      <c r="G58" t="s">
        <v>623</v>
      </c>
    </row>
  </sheetData>
  <autoFilter ref="B1:G54" xr:uid="{C8D3A0FC-7ABA-4CAE-8074-0EAE78BA4C55}"/>
  <printOptions horizontalCentered="1"/>
  <pageMargins left="0.31496062992125984" right="0.31496062992125984" top="0.55118110236220474" bottom="0.55118110236220474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2595-76E8-4208-A560-8DD64FD1D721}">
  <dimension ref="B1:XFC94"/>
  <sheetViews>
    <sheetView tabSelected="1" topLeftCell="A2" workbookViewId="0">
      <selection activeCell="O22" sqref="O22"/>
    </sheetView>
  </sheetViews>
  <sheetFormatPr defaultRowHeight="15" x14ac:dyDescent="0.25"/>
  <cols>
    <col min="2" max="2" width="17.140625" style="18" bestFit="1" customWidth="1"/>
    <col min="3" max="3" width="34.140625" customWidth="1"/>
    <col min="4" max="4" width="11" bestFit="1" customWidth="1"/>
    <col min="8" max="8" width="10.28515625" bestFit="1" customWidth="1"/>
    <col min="9" max="9" width="11.85546875" bestFit="1" customWidth="1"/>
    <col min="10" max="12" width="10.42578125" bestFit="1" customWidth="1"/>
  </cols>
  <sheetData>
    <row r="1" spans="2:1023 1025:2047 2049:3071 3073:4095 4097:5119 5121:6143 6145:7167 7169:8191 8193:9215 9217:10239 10241:11263 11265:12287 12289:13311 13313:14335 14337:15359 15361:16383" x14ac:dyDescent="0.25">
      <c r="B1"/>
      <c r="C1" s="101"/>
      <c r="D1" s="100"/>
      <c r="E1" s="102"/>
      <c r="I1" s="101"/>
      <c r="J1" s="100"/>
      <c r="K1" s="100"/>
      <c r="L1" s="100"/>
      <c r="M1" s="101"/>
      <c r="N1" s="100"/>
      <c r="O1" s="102"/>
      <c r="Q1" s="101"/>
      <c r="R1" s="100"/>
      <c r="S1" s="102"/>
      <c r="U1" s="101"/>
      <c r="V1" s="100"/>
      <c r="W1" s="102"/>
      <c r="Y1" s="101"/>
      <c r="Z1" s="100"/>
      <c r="AA1" s="102"/>
      <c r="AC1" s="101"/>
      <c r="AD1" s="100"/>
      <c r="AE1" s="102"/>
      <c r="AG1" s="101"/>
      <c r="AH1" s="100"/>
      <c r="AI1" s="102"/>
      <c r="AK1" s="101"/>
      <c r="AL1" s="100"/>
      <c r="AM1" s="102"/>
      <c r="AO1" s="101"/>
      <c r="AP1" s="100"/>
      <c r="AQ1" s="102"/>
      <c r="AS1" s="101"/>
      <c r="AT1" s="100"/>
      <c r="AU1" s="102"/>
      <c r="AW1" s="101"/>
      <c r="AX1" s="100"/>
      <c r="AY1" s="102"/>
      <c r="BA1" s="101"/>
      <c r="BB1" s="100"/>
      <c r="BC1" s="102"/>
      <c r="BE1" s="101"/>
      <c r="BF1" s="100"/>
      <c r="BG1" s="102"/>
      <c r="BI1" s="101"/>
      <c r="BJ1" s="100"/>
      <c r="BK1" s="102"/>
      <c r="BM1" s="101"/>
      <c r="BN1" s="100"/>
      <c r="BO1" s="102"/>
      <c r="BQ1" s="101"/>
      <c r="BR1" s="100"/>
      <c r="BS1" s="102"/>
      <c r="BU1" s="101"/>
      <c r="BV1" s="100"/>
      <c r="BW1" s="102"/>
      <c r="BY1" s="101"/>
      <c r="BZ1" s="100"/>
      <c r="CA1" s="102"/>
      <c r="CC1" s="101"/>
      <c r="CD1" s="100"/>
      <c r="CE1" s="102"/>
      <c r="CG1" s="101"/>
      <c r="CH1" s="100"/>
      <c r="CI1" s="102"/>
      <c r="CK1" s="101"/>
      <c r="CL1" s="100"/>
      <c r="CM1" s="102"/>
      <c r="CO1" s="101"/>
      <c r="CP1" s="100"/>
      <c r="CQ1" s="102"/>
      <c r="CS1" s="101"/>
      <c r="CT1" s="100"/>
      <c r="CU1" s="102"/>
      <c r="CW1" s="101"/>
      <c r="CX1" s="100"/>
      <c r="CY1" s="102"/>
      <c r="DA1" s="101"/>
      <c r="DB1" s="100"/>
      <c r="DC1" s="102"/>
      <c r="DE1" s="101"/>
      <c r="DF1" s="100"/>
      <c r="DG1" s="102"/>
      <c r="DI1" s="101"/>
      <c r="DJ1" s="100"/>
      <c r="DK1" s="102"/>
      <c r="DM1" s="101"/>
      <c r="DN1" s="100"/>
      <c r="DO1" s="102"/>
      <c r="DQ1" s="101"/>
      <c r="DR1" s="100"/>
      <c r="DS1" s="102"/>
      <c r="DU1" s="101"/>
      <c r="DV1" s="100"/>
      <c r="DW1" s="102"/>
      <c r="DY1" s="101"/>
      <c r="DZ1" s="100"/>
      <c r="EA1" s="102"/>
      <c r="EC1" s="101"/>
      <c r="ED1" s="100"/>
      <c r="EE1" s="102"/>
      <c r="EG1" s="101"/>
      <c r="EH1" s="100"/>
      <c r="EI1" s="102"/>
      <c r="EK1" s="101"/>
      <c r="EL1" s="100"/>
      <c r="EM1" s="102"/>
      <c r="EO1" s="101"/>
      <c r="EP1" s="100"/>
      <c r="EQ1" s="102"/>
      <c r="ES1" s="101"/>
      <c r="ET1" s="100"/>
      <c r="EU1" s="102"/>
      <c r="EW1" s="101"/>
      <c r="EX1" s="100"/>
      <c r="EY1" s="102"/>
      <c r="FA1" s="101"/>
      <c r="FB1" s="100"/>
      <c r="FC1" s="102"/>
      <c r="FE1" s="101"/>
      <c r="FF1" s="100"/>
      <c r="FG1" s="102"/>
      <c r="FI1" s="101"/>
      <c r="FJ1" s="100"/>
      <c r="FK1" s="102"/>
      <c r="FM1" s="101"/>
      <c r="FN1" s="100"/>
      <c r="FO1" s="102"/>
      <c r="FQ1" s="101"/>
      <c r="FR1" s="100"/>
      <c r="FS1" s="102"/>
      <c r="FU1" s="101"/>
      <c r="FV1" s="100"/>
      <c r="FW1" s="102"/>
      <c r="FY1" s="101"/>
      <c r="FZ1" s="100"/>
      <c r="GA1" s="102"/>
      <c r="GC1" s="101"/>
      <c r="GD1" s="100"/>
      <c r="GE1" s="102"/>
      <c r="GG1" s="101"/>
      <c r="GH1" s="100"/>
      <c r="GI1" s="102"/>
      <c r="GK1" s="101"/>
      <c r="GL1" s="100"/>
      <c r="GM1" s="102"/>
      <c r="GO1" s="101"/>
      <c r="GP1" s="100"/>
      <c r="GQ1" s="102"/>
      <c r="GS1" s="101"/>
      <c r="GT1" s="100"/>
      <c r="GU1" s="102"/>
      <c r="GW1" s="101"/>
      <c r="GX1" s="100"/>
      <c r="GY1" s="102"/>
      <c r="HA1" s="101"/>
      <c r="HB1" s="100"/>
      <c r="HC1" s="102"/>
      <c r="HE1" s="101"/>
      <c r="HF1" s="100"/>
      <c r="HG1" s="102"/>
      <c r="HI1" s="101"/>
      <c r="HJ1" s="100"/>
      <c r="HK1" s="102"/>
      <c r="HM1" s="101"/>
      <c r="HN1" s="100"/>
      <c r="HO1" s="102"/>
      <c r="HQ1" s="101"/>
      <c r="HR1" s="100"/>
      <c r="HS1" s="102"/>
      <c r="HU1" s="101"/>
      <c r="HV1" s="100"/>
      <c r="HW1" s="102"/>
      <c r="HY1" s="101"/>
      <c r="HZ1" s="100"/>
      <c r="IA1" s="102"/>
      <c r="IC1" s="101"/>
      <c r="ID1" s="100"/>
      <c r="IE1" s="102"/>
      <c r="IG1" s="101"/>
      <c r="IH1" s="100"/>
      <c r="II1" s="102"/>
      <c r="IK1" s="101"/>
      <c r="IL1" s="100"/>
      <c r="IM1" s="102"/>
      <c r="IO1" s="101"/>
      <c r="IP1" s="100"/>
      <c r="IQ1" s="102"/>
      <c r="IS1" s="101"/>
      <c r="IT1" s="100"/>
      <c r="IU1" s="102"/>
      <c r="IW1" s="101"/>
      <c r="IX1" s="100"/>
      <c r="IY1" s="102"/>
      <c r="JA1" s="101"/>
      <c r="JB1" s="100"/>
      <c r="JC1" s="102"/>
      <c r="JE1" s="101"/>
      <c r="JF1" s="100"/>
      <c r="JG1" s="102"/>
      <c r="JI1" s="101"/>
      <c r="JJ1" s="100"/>
      <c r="JK1" s="102"/>
      <c r="JM1" s="101"/>
      <c r="JN1" s="100"/>
      <c r="JO1" s="102"/>
      <c r="JQ1" s="101"/>
      <c r="JR1" s="100"/>
      <c r="JS1" s="102"/>
      <c r="JU1" s="101"/>
      <c r="JV1" s="100"/>
      <c r="JW1" s="102"/>
      <c r="JY1" s="101"/>
      <c r="JZ1" s="100"/>
      <c r="KA1" s="102"/>
      <c r="KC1" s="101"/>
      <c r="KD1" s="100"/>
      <c r="KE1" s="102"/>
      <c r="KG1" s="101"/>
      <c r="KH1" s="100"/>
      <c r="KI1" s="102"/>
      <c r="KK1" s="101"/>
      <c r="KL1" s="100"/>
      <c r="KM1" s="102"/>
      <c r="KO1" s="101"/>
      <c r="KP1" s="100"/>
      <c r="KQ1" s="102"/>
      <c r="KS1" s="101"/>
      <c r="KT1" s="100"/>
      <c r="KU1" s="102"/>
      <c r="KW1" s="101"/>
      <c r="KX1" s="100"/>
      <c r="KY1" s="102"/>
      <c r="LA1" s="101"/>
      <c r="LB1" s="100"/>
      <c r="LC1" s="102"/>
      <c r="LE1" s="101"/>
      <c r="LF1" s="100"/>
      <c r="LG1" s="102"/>
      <c r="LI1" s="101"/>
      <c r="LJ1" s="100"/>
      <c r="LK1" s="102"/>
      <c r="LM1" s="101"/>
      <c r="LN1" s="100"/>
      <c r="LO1" s="102"/>
      <c r="LQ1" s="101"/>
      <c r="LR1" s="100"/>
      <c r="LS1" s="102"/>
      <c r="LU1" s="101"/>
      <c r="LV1" s="100"/>
      <c r="LW1" s="102"/>
      <c r="LY1" s="101"/>
      <c r="LZ1" s="100"/>
      <c r="MA1" s="102"/>
      <c r="MC1" s="101"/>
      <c r="MD1" s="100"/>
      <c r="ME1" s="102"/>
      <c r="MG1" s="101"/>
      <c r="MH1" s="100"/>
      <c r="MI1" s="102"/>
      <c r="MK1" s="101"/>
      <c r="ML1" s="100"/>
      <c r="MM1" s="102"/>
      <c r="MO1" s="101"/>
      <c r="MP1" s="100"/>
      <c r="MQ1" s="102"/>
      <c r="MS1" s="101"/>
      <c r="MT1" s="100"/>
      <c r="MU1" s="102"/>
      <c r="MW1" s="101"/>
      <c r="MX1" s="100"/>
      <c r="MY1" s="102"/>
      <c r="NA1" s="101"/>
      <c r="NB1" s="100"/>
      <c r="NC1" s="102"/>
      <c r="NE1" s="101"/>
      <c r="NF1" s="100"/>
      <c r="NG1" s="102"/>
      <c r="NI1" s="101"/>
      <c r="NJ1" s="100"/>
      <c r="NK1" s="102"/>
      <c r="NM1" s="101"/>
      <c r="NN1" s="100"/>
      <c r="NO1" s="102"/>
      <c r="NQ1" s="101"/>
      <c r="NR1" s="100"/>
      <c r="NS1" s="102"/>
      <c r="NU1" s="101"/>
      <c r="NV1" s="100"/>
      <c r="NW1" s="102"/>
      <c r="NY1" s="101"/>
      <c r="NZ1" s="100"/>
      <c r="OA1" s="102"/>
      <c r="OC1" s="101"/>
      <c r="OD1" s="100"/>
      <c r="OE1" s="102"/>
      <c r="OG1" s="101"/>
      <c r="OH1" s="100"/>
      <c r="OI1" s="102"/>
      <c r="OK1" s="101"/>
      <c r="OL1" s="100"/>
      <c r="OM1" s="102"/>
      <c r="OO1" s="101"/>
      <c r="OP1" s="100"/>
      <c r="OQ1" s="102"/>
      <c r="OS1" s="101"/>
      <c r="OT1" s="100"/>
      <c r="OU1" s="102"/>
      <c r="OW1" s="101"/>
      <c r="OX1" s="100"/>
      <c r="OY1" s="102"/>
      <c r="PA1" s="101"/>
      <c r="PB1" s="100"/>
      <c r="PC1" s="102"/>
      <c r="PE1" s="101"/>
      <c r="PF1" s="100"/>
      <c r="PG1" s="102"/>
      <c r="PI1" s="101"/>
      <c r="PJ1" s="100"/>
      <c r="PK1" s="102"/>
      <c r="PM1" s="101"/>
      <c r="PN1" s="100"/>
      <c r="PO1" s="102"/>
      <c r="PQ1" s="101"/>
      <c r="PR1" s="100"/>
      <c r="PS1" s="102"/>
      <c r="PU1" s="101"/>
      <c r="PV1" s="100"/>
      <c r="PW1" s="102"/>
      <c r="PY1" s="101"/>
      <c r="PZ1" s="100"/>
      <c r="QA1" s="102"/>
      <c r="QC1" s="101"/>
      <c r="QD1" s="100"/>
      <c r="QE1" s="102"/>
      <c r="QG1" s="101"/>
      <c r="QH1" s="100"/>
      <c r="QI1" s="102"/>
      <c r="QK1" s="101"/>
      <c r="QL1" s="100"/>
      <c r="QM1" s="102"/>
      <c r="QO1" s="101"/>
      <c r="QP1" s="100"/>
      <c r="QQ1" s="102"/>
      <c r="QS1" s="101"/>
      <c r="QT1" s="100"/>
      <c r="QU1" s="102"/>
      <c r="QW1" s="101"/>
      <c r="QX1" s="100"/>
      <c r="QY1" s="102"/>
      <c r="RA1" s="101"/>
      <c r="RB1" s="100"/>
      <c r="RC1" s="102"/>
      <c r="RE1" s="101"/>
      <c r="RF1" s="100"/>
      <c r="RG1" s="102"/>
      <c r="RI1" s="101"/>
      <c r="RJ1" s="100"/>
      <c r="RK1" s="102"/>
      <c r="RM1" s="101"/>
      <c r="RN1" s="100"/>
      <c r="RO1" s="102"/>
      <c r="RQ1" s="101"/>
      <c r="RR1" s="100"/>
      <c r="RS1" s="102"/>
      <c r="RU1" s="101"/>
      <c r="RV1" s="100"/>
      <c r="RW1" s="102"/>
      <c r="RY1" s="101"/>
      <c r="RZ1" s="100"/>
      <c r="SA1" s="102"/>
      <c r="SC1" s="101"/>
      <c r="SD1" s="100"/>
      <c r="SE1" s="102"/>
      <c r="SG1" s="101"/>
      <c r="SH1" s="100"/>
      <c r="SI1" s="102"/>
      <c r="SK1" s="101"/>
      <c r="SL1" s="100"/>
      <c r="SM1" s="102"/>
      <c r="SO1" s="101"/>
      <c r="SP1" s="100"/>
      <c r="SQ1" s="102"/>
      <c r="SS1" s="101"/>
      <c r="ST1" s="100"/>
      <c r="SU1" s="102"/>
      <c r="SW1" s="101"/>
      <c r="SX1" s="100"/>
      <c r="SY1" s="102"/>
      <c r="TA1" s="101"/>
      <c r="TB1" s="100"/>
      <c r="TC1" s="102"/>
      <c r="TE1" s="101"/>
      <c r="TF1" s="100"/>
      <c r="TG1" s="102"/>
      <c r="TI1" s="101"/>
      <c r="TJ1" s="100"/>
      <c r="TK1" s="102"/>
      <c r="TM1" s="101"/>
      <c r="TN1" s="100"/>
      <c r="TO1" s="102"/>
      <c r="TQ1" s="101"/>
      <c r="TR1" s="100"/>
      <c r="TS1" s="102"/>
      <c r="TU1" s="101"/>
      <c r="TV1" s="100"/>
      <c r="TW1" s="102"/>
      <c r="TY1" s="101"/>
      <c r="TZ1" s="100"/>
      <c r="UA1" s="102"/>
      <c r="UC1" s="101"/>
      <c r="UD1" s="100"/>
      <c r="UE1" s="102"/>
      <c r="UG1" s="101"/>
      <c r="UH1" s="100"/>
      <c r="UI1" s="102"/>
      <c r="UK1" s="101"/>
      <c r="UL1" s="100"/>
      <c r="UM1" s="102"/>
      <c r="UO1" s="101"/>
      <c r="UP1" s="100"/>
      <c r="UQ1" s="102"/>
      <c r="US1" s="101"/>
      <c r="UT1" s="100"/>
      <c r="UU1" s="102"/>
      <c r="UW1" s="101"/>
      <c r="UX1" s="100"/>
      <c r="UY1" s="102"/>
      <c r="VA1" s="101"/>
      <c r="VB1" s="100"/>
      <c r="VC1" s="102"/>
      <c r="VE1" s="101"/>
      <c r="VF1" s="100"/>
      <c r="VG1" s="102"/>
      <c r="VI1" s="101"/>
      <c r="VJ1" s="100"/>
      <c r="VK1" s="102"/>
      <c r="VM1" s="101"/>
      <c r="VN1" s="100"/>
      <c r="VO1" s="102"/>
      <c r="VQ1" s="101"/>
      <c r="VR1" s="100"/>
      <c r="VS1" s="102"/>
      <c r="VU1" s="101"/>
      <c r="VV1" s="100"/>
      <c r="VW1" s="102"/>
      <c r="VY1" s="101"/>
      <c r="VZ1" s="100"/>
      <c r="WA1" s="102"/>
      <c r="WC1" s="101"/>
      <c r="WD1" s="100"/>
      <c r="WE1" s="102"/>
      <c r="WG1" s="101"/>
      <c r="WH1" s="100"/>
      <c r="WI1" s="102"/>
      <c r="WK1" s="101"/>
      <c r="WL1" s="100"/>
      <c r="WM1" s="102"/>
      <c r="WO1" s="101"/>
      <c r="WP1" s="100"/>
      <c r="WQ1" s="102"/>
      <c r="WS1" s="101"/>
      <c r="WT1" s="100"/>
      <c r="WU1" s="102"/>
      <c r="WW1" s="101"/>
      <c r="WX1" s="100"/>
      <c r="WY1" s="102"/>
      <c r="XA1" s="101"/>
      <c r="XB1" s="100"/>
      <c r="XC1" s="102"/>
      <c r="XE1" s="101"/>
      <c r="XF1" s="100"/>
      <c r="XG1" s="102"/>
      <c r="XI1" s="101"/>
      <c r="XJ1" s="100"/>
      <c r="XK1" s="102"/>
      <c r="XM1" s="101"/>
      <c r="XN1" s="100"/>
      <c r="XO1" s="102"/>
      <c r="XQ1" s="101"/>
      <c r="XR1" s="100"/>
      <c r="XS1" s="102"/>
      <c r="XU1" s="101"/>
      <c r="XV1" s="100"/>
      <c r="XW1" s="102"/>
      <c r="XY1" s="101"/>
      <c r="XZ1" s="100"/>
      <c r="YA1" s="102"/>
      <c r="YC1" s="101"/>
      <c r="YD1" s="100"/>
      <c r="YE1" s="102"/>
      <c r="YG1" s="101"/>
      <c r="YH1" s="100"/>
      <c r="YI1" s="102"/>
      <c r="YK1" s="101"/>
      <c r="YL1" s="100"/>
      <c r="YM1" s="102"/>
      <c r="YO1" s="101"/>
      <c r="YP1" s="100"/>
      <c r="YQ1" s="102"/>
      <c r="YS1" s="101"/>
      <c r="YT1" s="100"/>
      <c r="YU1" s="102"/>
      <c r="YW1" s="101"/>
      <c r="YX1" s="100"/>
      <c r="YY1" s="102"/>
      <c r="ZA1" s="101"/>
      <c r="ZB1" s="100"/>
      <c r="ZC1" s="102"/>
      <c r="ZE1" s="101"/>
      <c r="ZF1" s="100"/>
      <c r="ZG1" s="102"/>
      <c r="ZI1" s="101"/>
      <c r="ZJ1" s="100"/>
      <c r="ZK1" s="102"/>
      <c r="ZM1" s="101"/>
      <c r="ZN1" s="100"/>
      <c r="ZO1" s="102"/>
      <c r="ZQ1" s="101"/>
      <c r="ZR1" s="100"/>
      <c r="ZS1" s="102"/>
      <c r="ZU1" s="101"/>
      <c r="ZV1" s="100"/>
      <c r="ZW1" s="102"/>
      <c r="ZY1" s="101"/>
      <c r="ZZ1" s="100"/>
      <c r="AAA1" s="102"/>
      <c r="AAC1" s="101"/>
      <c r="AAD1" s="100"/>
      <c r="AAE1" s="102"/>
      <c r="AAG1" s="101"/>
      <c r="AAH1" s="100"/>
      <c r="AAI1" s="102"/>
      <c r="AAK1" s="101"/>
      <c r="AAL1" s="100"/>
      <c r="AAM1" s="102"/>
      <c r="AAO1" s="101"/>
      <c r="AAP1" s="100"/>
      <c r="AAQ1" s="102"/>
      <c r="AAS1" s="101"/>
      <c r="AAT1" s="100"/>
      <c r="AAU1" s="102"/>
      <c r="AAW1" s="101"/>
      <c r="AAX1" s="100"/>
      <c r="AAY1" s="102"/>
      <c r="ABA1" s="101"/>
      <c r="ABB1" s="100"/>
      <c r="ABC1" s="102"/>
      <c r="ABE1" s="101"/>
      <c r="ABF1" s="100"/>
      <c r="ABG1" s="102"/>
      <c r="ABI1" s="101"/>
      <c r="ABJ1" s="100"/>
      <c r="ABK1" s="102"/>
      <c r="ABM1" s="101"/>
      <c r="ABN1" s="100"/>
      <c r="ABO1" s="102"/>
      <c r="ABQ1" s="101"/>
      <c r="ABR1" s="100"/>
      <c r="ABS1" s="102"/>
      <c r="ABU1" s="101"/>
      <c r="ABV1" s="100"/>
      <c r="ABW1" s="102"/>
      <c r="ABY1" s="101"/>
      <c r="ABZ1" s="100"/>
      <c r="ACA1" s="102"/>
      <c r="ACC1" s="101"/>
      <c r="ACD1" s="100"/>
      <c r="ACE1" s="102"/>
      <c r="ACG1" s="101"/>
      <c r="ACH1" s="100"/>
      <c r="ACI1" s="102"/>
      <c r="ACK1" s="101"/>
      <c r="ACL1" s="100"/>
      <c r="ACM1" s="102"/>
      <c r="ACO1" s="101"/>
      <c r="ACP1" s="100"/>
      <c r="ACQ1" s="102"/>
      <c r="ACS1" s="101"/>
      <c r="ACT1" s="100"/>
      <c r="ACU1" s="102"/>
      <c r="ACW1" s="101"/>
      <c r="ACX1" s="100"/>
      <c r="ACY1" s="102"/>
      <c r="ADA1" s="101"/>
      <c r="ADB1" s="100"/>
      <c r="ADC1" s="102"/>
      <c r="ADE1" s="101"/>
      <c r="ADF1" s="100"/>
      <c r="ADG1" s="102"/>
      <c r="ADI1" s="101"/>
      <c r="ADJ1" s="100"/>
      <c r="ADK1" s="102"/>
      <c r="ADM1" s="101"/>
      <c r="ADN1" s="100"/>
      <c r="ADO1" s="102"/>
      <c r="ADQ1" s="101"/>
      <c r="ADR1" s="100"/>
      <c r="ADS1" s="102"/>
      <c r="ADU1" s="101"/>
      <c r="ADV1" s="100"/>
      <c r="ADW1" s="102"/>
      <c r="ADY1" s="101"/>
      <c r="ADZ1" s="100"/>
      <c r="AEA1" s="102"/>
      <c r="AEC1" s="101"/>
      <c r="AED1" s="100"/>
      <c r="AEE1" s="102"/>
      <c r="AEG1" s="101"/>
      <c r="AEH1" s="100"/>
      <c r="AEI1" s="102"/>
      <c r="AEK1" s="101"/>
      <c r="AEL1" s="100"/>
      <c r="AEM1" s="102"/>
      <c r="AEO1" s="101"/>
      <c r="AEP1" s="100"/>
      <c r="AEQ1" s="102"/>
      <c r="AES1" s="101"/>
      <c r="AET1" s="100"/>
      <c r="AEU1" s="102"/>
      <c r="AEW1" s="101"/>
      <c r="AEX1" s="100"/>
      <c r="AEY1" s="102"/>
      <c r="AFA1" s="101"/>
      <c r="AFB1" s="100"/>
      <c r="AFC1" s="102"/>
      <c r="AFE1" s="101"/>
      <c r="AFF1" s="100"/>
      <c r="AFG1" s="102"/>
      <c r="AFI1" s="101"/>
      <c r="AFJ1" s="100"/>
      <c r="AFK1" s="102"/>
      <c r="AFM1" s="101"/>
      <c r="AFN1" s="100"/>
      <c r="AFO1" s="102"/>
      <c r="AFQ1" s="101"/>
      <c r="AFR1" s="100"/>
      <c r="AFS1" s="102"/>
      <c r="AFU1" s="101"/>
      <c r="AFV1" s="100"/>
      <c r="AFW1" s="102"/>
      <c r="AFY1" s="101"/>
      <c r="AFZ1" s="100"/>
      <c r="AGA1" s="102"/>
      <c r="AGC1" s="101"/>
      <c r="AGD1" s="100"/>
      <c r="AGE1" s="102"/>
      <c r="AGG1" s="101"/>
      <c r="AGH1" s="100"/>
      <c r="AGI1" s="102"/>
      <c r="AGK1" s="101"/>
      <c r="AGL1" s="100"/>
      <c r="AGM1" s="102"/>
      <c r="AGO1" s="101"/>
      <c r="AGP1" s="100"/>
      <c r="AGQ1" s="102"/>
      <c r="AGS1" s="101"/>
      <c r="AGT1" s="100"/>
      <c r="AGU1" s="102"/>
      <c r="AGW1" s="101"/>
      <c r="AGX1" s="100"/>
      <c r="AGY1" s="102"/>
      <c r="AHA1" s="101"/>
      <c r="AHB1" s="100"/>
      <c r="AHC1" s="102"/>
      <c r="AHE1" s="101"/>
      <c r="AHF1" s="100"/>
      <c r="AHG1" s="102"/>
      <c r="AHI1" s="101"/>
      <c r="AHJ1" s="100"/>
      <c r="AHK1" s="102"/>
      <c r="AHM1" s="101"/>
      <c r="AHN1" s="100"/>
      <c r="AHO1" s="102"/>
      <c r="AHQ1" s="101"/>
      <c r="AHR1" s="100"/>
      <c r="AHS1" s="102"/>
      <c r="AHU1" s="101"/>
      <c r="AHV1" s="100"/>
      <c r="AHW1" s="102"/>
      <c r="AHY1" s="101"/>
      <c r="AHZ1" s="100"/>
      <c r="AIA1" s="102"/>
      <c r="AIC1" s="101"/>
      <c r="AID1" s="100"/>
      <c r="AIE1" s="102"/>
      <c r="AIG1" s="101"/>
      <c r="AIH1" s="100"/>
      <c r="AII1" s="102"/>
      <c r="AIK1" s="101"/>
      <c r="AIL1" s="100"/>
      <c r="AIM1" s="102"/>
      <c r="AIO1" s="101"/>
      <c r="AIP1" s="100"/>
      <c r="AIQ1" s="102"/>
      <c r="AIS1" s="101"/>
      <c r="AIT1" s="100"/>
      <c r="AIU1" s="102"/>
      <c r="AIW1" s="101"/>
      <c r="AIX1" s="100"/>
      <c r="AIY1" s="102"/>
      <c r="AJA1" s="101"/>
      <c r="AJB1" s="100"/>
      <c r="AJC1" s="102"/>
      <c r="AJE1" s="101"/>
      <c r="AJF1" s="100"/>
      <c r="AJG1" s="102"/>
      <c r="AJI1" s="101"/>
      <c r="AJJ1" s="100"/>
      <c r="AJK1" s="102"/>
      <c r="AJM1" s="101"/>
      <c r="AJN1" s="100"/>
      <c r="AJO1" s="102"/>
      <c r="AJQ1" s="101"/>
      <c r="AJR1" s="100"/>
      <c r="AJS1" s="102"/>
      <c r="AJU1" s="101"/>
      <c r="AJV1" s="100"/>
      <c r="AJW1" s="102"/>
      <c r="AJY1" s="101"/>
      <c r="AJZ1" s="100"/>
      <c r="AKA1" s="102"/>
      <c r="AKC1" s="101"/>
      <c r="AKD1" s="100"/>
      <c r="AKE1" s="102"/>
      <c r="AKG1" s="101"/>
      <c r="AKH1" s="100"/>
      <c r="AKI1" s="102"/>
      <c r="AKK1" s="101"/>
      <c r="AKL1" s="100"/>
      <c r="AKM1" s="102"/>
      <c r="AKO1" s="101"/>
      <c r="AKP1" s="100"/>
      <c r="AKQ1" s="102"/>
      <c r="AKS1" s="101"/>
      <c r="AKT1" s="100"/>
      <c r="AKU1" s="102"/>
      <c r="AKW1" s="101"/>
      <c r="AKX1" s="100"/>
      <c r="AKY1" s="102"/>
      <c r="ALA1" s="101"/>
      <c r="ALB1" s="100"/>
      <c r="ALC1" s="102"/>
      <c r="ALE1" s="101"/>
      <c r="ALF1" s="100"/>
      <c r="ALG1" s="102"/>
      <c r="ALI1" s="101"/>
      <c r="ALJ1" s="100"/>
      <c r="ALK1" s="102"/>
      <c r="ALM1" s="101"/>
      <c r="ALN1" s="100"/>
      <c r="ALO1" s="102"/>
      <c r="ALQ1" s="101"/>
      <c r="ALR1" s="100"/>
      <c r="ALS1" s="102"/>
      <c r="ALU1" s="101"/>
      <c r="ALV1" s="100"/>
      <c r="ALW1" s="102"/>
      <c r="ALY1" s="101"/>
      <c r="ALZ1" s="100"/>
      <c r="AMA1" s="102"/>
      <c r="AMC1" s="101"/>
      <c r="AMD1" s="100"/>
      <c r="AME1" s="102"/>
      <c r="AMG1" s="101"/>
      <c r="AMH1" s="100"/>
      <c r="AMI1" s="102"/>
      <c r="AMK1" s="101"/>
      <c r="AML1" s="100"/>
      <c r="AMM1" s="102"/>
      <c r="AMO1" s="101"/>
      <c r="AMP1" s="100"/>
      <c r="AMQ1" s="102"/>
      <c r="AMS1" s="101"/>
      <c r="AMT1" s="100"/>
      <c r="AMU1" s="102"/>
      <c r="AMW1" s="101"/>
      <c r="AMX1" s="100"/>
      <c r="AMY1" s="102"/>
      <c r="ANA1" s="101"/>
      <c r="ANB1" s="100"/>
      <c r="ANC1" s="102"/>
      <c r="ANE1" s="101"/>
      <c r="ANF1" s="100"/>
      <c r="ANG1" s="102"/>
      <c r="ANI1" s="101"/>
      <c r="ANJ1" s="100"/>
      <c r="ANK1" s="102"/>
      <c r="ANM1" s="101"/>
      <c r="ANN1" s="100"/>
      <c r="ANO1" s="102"/>
      <c r="ANQ1" s="101"/>
      <c r="ANR1" s="100"/>
      <c r="ANS1" s="102"/>
      <c r="ANU1" s="101"/>
      <c r="ANV1" s="100"/>
      <c r="ANW1" s="102"/>
      <c r="ANY1" s="101"/>
      <c r="ANZ1" s="100"/>
      <c r="AOA1" s="102"/>
      <c r="AOC1" s="101"/>
      <c r="AOD1" s="100"/>
      <c r="AOE1" s="102"/>
      <c r="AOG1" s="101"/>
      <c r="AOH1" s="100"/>
      <c r="AOI1" s="102"/>
      <c r="AOK1" s="101"/>
      <c r="AOL1" s="100"/>
      <c r="AOM1" s="102"/>
      <c r="AOO1" s="101"/>
      <c r="AOP1" s="100"/>
      <c r="AOQ1" s="102"/>
      <c r="AOS1" s="101"/>
      <c r="AOT1" s="100"/>
      <c r="AOU1" s="102"/>
      <c r="AOW1" s="101"/>
      <c r="AOX1" s="100"/>
      <c r="AOY1" s="102"/>
      <c r="APA1" s="101"/>
      <c r="APB1" s="100"/>
      <c r="APC1" s="102"/>
      <c r="APE1" s="101"/>
      <c r="APF1" s="100"/>
      <c r="APG1" s="102"/>
      <c r="API1" s="101"/>
      <c r="APJ1" s="100"/>
      <c r="APK1" s="102"/>
      <c r="APM1" s="101"/>
      <c r="APN1" s="100"/>
      <c r="APO1" s="102"/>
      <c r="APQ1" s="101"/>
      <c r="APR1" s="100"/>
      <c r="APS1" s="102"/>
      <c r="APU1" s="101"/>
      <c r="APV1" s="100"/>
      <c r="APW1" s="102"/>
      <c r="APY1" s="101"/>
      <c r="APZ1" s="100"/>
      <c r="AQA1" s="102"/>
      <c r="AQC1" s="101"/>
      <c r="AQD1" s="100"/>
      <c r="AQE1" s="102"/>
      <c r="AQG1" s="101"/>
      <c r="AQH1" s="100"/>
      <c r="AQI1" s="102"/>
      <c r="AQK1" s="101"/>
      <c r="AQL1" s="100"/>
      <c r="AQM1" s="102"/>
      <c r="AQO1" s="101"/>
      <c r="AQP1" s="100"/>
      <c r="AQQ1" s="102"/>
      <c r="AQS1" s="101"/>
      <c r="AQT1" s="100"/>
      <c r="AQU1" s="102"/>
      <c r="AQW1" s="101"/>
      <c r="AQX1" s="100"/>
      <c r="AQY1" s="102"/>
      <c r="ARA1" s="101"/>
      <c r="ARB1" s="100"/>
      <c r="ARC1" s="102"/>
      <c r="ARE1" s="101"/>
      <c r="ARF1" s="100"/>
      <c r="ARG1" s="102"/>
      <c r="ARI1" s="101"/>
      <c r="ARJ1" s="100"/>
      <c r="ARK1" s="102"/>
      <c r="ARM1" s="101"/>
      <c r="ARN1" s="100"/>
      <c r="ARO1" s="102"/>
      <c r="ARQ1" s="101"/>
      <c r="ARR1" s="100"/>
      <c r="ARS1" s="102"/>
      <c r="ARU1" s="101"/>
      <c r="ARV1" s="100"/>
      <c r="ARW1" s="102"/>
      <c r="ARY1" s="101"/>
      <c r="ARZ1" s="100"/>
      <c r="ASA1" s="102"/>
      <c r="ASC1" s="101"/>
      <c r="ASD1" s="100"/>
      <c r="ASE1" s="102"/>
      <c r="ASG1" s="101"/>
      <c r="ASH1" s="100"/>
      <c r="ASI1" s="102"/>
      <c r="ASK1" s="101"/>
      <c r="ASL1" s="100"/>
      <c r="ASM1" s="102"/>
      <c r="ASO1" s="101"/>
      <c r="ASP1" s="100"/>
      <c r="ASQ1" s="102"/>
      <c r="ASS1" s="101"/>
      <c r="AST1" s="100"/>
      <c r="ASU1" s="102"/>
      <c r="ASW1" s="101"/>
      <c r="ASX1" s="100"/>
      <c r="ASY1" s="102"/>
      <c r="ATA1" s="101"/>
      <c r="ATB1" s="100"/>
      <c r="ATC1" s="102"/>
      <c r="ATE1" s="101"/>
      <c r="ATF1" s="100"/>
      <c r="ATG1" s="102"/>
      <c r="ATI1" s="101"/>
      <c r="ATJ1" s="100"/>
      <c r="ATK1" s="102"/>
      <c r="ATM1" s="101"/>
      <c r="ATN1" s="100"/>
      <c r="ATO1" s="102"/>
      <c r="ATQ1" s="101"/>
      <c r="ATR1" s="100"/>
      <c r="ATS1" s="102"/>
      <c r="ATU1" s="101"/>
      <c r="ATV1" s="100"/>
      <c r="ATW1" s="102"/>
      <c r="ATY1" s="101"/>
      <c r="ATZ1" s="100"/>
      <c r="AUA1" s="102"/>
      <c r="AUC1" s="101"/>
      <c r="AUD1" s="100"/>
      <c r="AUE1" s="102"/>
      <c r="AUG1" s="101"/>
      <c r="AUH1" s="100"/>
      <c r="AUI1" s="102"/>
      <c r="AUK1" s="101"/>
      <c r="AUL1" s="100"/>
      <c r="AUM1" s="102"/>
      <c r="AUO1" s="101"/>
      <c r="AUP1" s="100"/>
      <c r="AUQ1" s="102"/>
      <c r="AUS1" s="101"/>
      <c r="AUT1" s="100"/>
      <c r="AUU1" s="102"/>
      <c r="AUW1" s="101"/>
      <c r="AUX1" s="100"/>
      <c r="AUY1" s="102"/>
      <c r="AVA1" s="101"/>
      <c r="AVB1" s="100"/>
      <c r="AVC1" s="102"/>
      <c r="AVE1" s="101"/>
      <c r="AVF1" s="100"/>
      <c r="AVG1" s="102"/>
      <c r="AVI1" s="101"/>
      <c r="AVJ1" s="100"/>
      <c r="AVK1" s="102"/>
      <c r="AVM1" s="101"/>
      <c r="AVN1" s="100"/>
      <c r="AVO1" s="102"/>
      <c r="AVQ1" s="101"/>
      <c r="AVR1" s="100"/>
      <c r="AVS1" s="102"/>
      <c r="AVU1" s="101"/>
      <c r="AVV1" s="100"/>
      <c r="AVW1" s="102"/>
      <c r="AVY1" s="101"/>
      <c r="AVZ1" s="100"/>
      <c r="AWA1" s="102"/>
      <c r="AWC1" s="101"/>
      <c r="AWD1" s="100"/>
      <c r="AWE1" s="102"/>
      <c r="AWG1" s="101"/>
      <c r="AWH1" s="100"/>
      <c r="AWI1" s="102"/>
      <c r="AWK1" s="101"/>
      <c r="AWL1" s="100"/>
      <c r="AWM1" s="102"/>
      <c r="AWO1" s="101"/>
      <c r="AWP1" s="100"/>
      <c r="AWQ1" s="102"/>
      <c r="AWS1" s="101"/>
      <c r="AWT1" s="100"/>
      <c r="AWU1" s="102"/>
      <c r="AWW1" s="101"/>
      <c r="AWX1" s="100"/>
      <c r="AWY1" s="102"/>
      <c r="AXA1" s="101"/>
      <c r="AXB1" s="100"/>
      <c r="AXC1" s="102"/>
      <c r="AXE1" s="101"/>
      <c r="AXF1" s="100"/>
      <c r="AXG1" s="102"/>
      <c r="AXI1" s="101"/>
      <c r="AXJ1" s="100"/>
      <c r="AXK1" s="102"/>
      <c r="AXM1" s="101"/>
      <c r="AXN1" s="100"/>
      <c r="AXO1" s="102"/>
      <c r="AXQ1" s="101"/>
      <c r="AXR1" s="100"/>
      <c r="AXS1" s="102"/>
      <c r="AXU1" s="101"/>
      <c r="AXV1" s="100"/>
      <c r="AXW1" s="102"/>
      <c r="AXY1" s="101"/>
      <c r="AXZ1" s="100"/>
      <c r="AYA1" s="102"/>
      <c r="AYC1" s="101"/>
      <c r="AYD1" s="100"/>
      <c r="AYE1" s="102"/>
      <c r="AYG1" s="101"/>
      <c r="AYH1" s="100"/>
      <c r="AYI1" s="102"/>
      <c r="AYK1" s="101"/>
      <c r="AYL1" s="100"/>
      <c r="AYM1" s="102"/>
      <c r="AYO1" s="101"/>
      <c r="AYP1" s="100"/>
      <c r="AYQ1" s="102"/>
      <c r="AYS1" s="101"/>
      <c r="AYT1" s="100"/>
      <c r="AYU1" s="102"/>
      <c r="AYW1" s="101"/>
      <c r="AYX1" s="100"/>
      <c r="AYY1" s="102"/>
      <c r="AZA1" s="101"/>
      <c r="AZB1" s="100"/>
      <c r="AZC1" s="102"/>
      <c r="AZE1" s="101"/>
      <c r="AZF1" s="100"/>
      <c r="AZG1" s="102"/>
      <c r="AZI1" s="101"/>
      <c r="AZJ1" s="100"/>
      <c r="AZK1" s="102"/>
      <c r="AZM1" s="101"/>
      <c r="AZN1" s="100"/>
      <c r="AZO1" s="102"/>
      <c r="AZQ1" s="101"/>
      <c r="AZR1" s="100"/>
      <c r="AZS1" s="102"/>
      <c r="AZU1" s="101"/>
      <c r="AZV1" s="100"/>
      <c r="AZW1" s="102"/>
      <c r="AZY1" s="101"/>
      <c r="AZZ1" s="100"/>
      <c r="BAA1" s="102"/>
      <c r="BAC1" s="101"/>
      <c r="BAD1" s="100"/>
      <c r="BAE1" s="102"/>
      <c r="BAG1" s="101"/>
      <c r="BAH1" s="100"/>
      <c r="BAI1" s="102"/>
      <c r="BAK1" s="101"/>
      <c r="BAL1" s="100"/>
      <c r="BAM1" s="102"/>
      <c r="BAO1" s="101"/>
      <c r="BAP1" s="100"/>
      <c r="BAQ1" s="102"/>
      <c r="BAS1" s="101"/>
      <c r="BAT1" s="100"/>
      <c r="BAU1" s="102"/>
      <c r="BAW1" s="101"/>
      <c r="BAX1" s="100"/>
      <c r="BAY1" s="102"/>
      <c r="BBA1" s="101"/>
      <c r="BBB1" s="100"/>
      <c r="BBC1" s="102"/>
      <c r="BBE1" s="101"/>
      <c r="BBF1" s="100"/>
      <c r="BBG1" s="102"/>
      <c r="BBI1" s="101"/>
      <c r="BBJ1" s="100"/>
      <c r="BBK1" s="102"/>
      <c r="BBM1" s="101"/>
      <c r="BBN1" s="100"/>
      <c r="BBO1" s="102"/>
      <c r="BBQ1" s="101"/>
      <c r="BBR1" s="100"/>
      <c r="BBS1" s="102"/>
      <c r="BBU1" s="101"/>
      <c r="BBV1" s="100"/>
      <c r="BBW1" s="102"/>
      <c r="BBY1" s="101"/>
      <c r="BBZ1" s="100"/>
      <c r="BCA1" s="102"/>
      <c r="BCC1" s="101"/>
      <c r="BCD1" s="100"/>
      <c r="BCE1" s="102"/>
      <c r="BCG1" s="101"/>
      <c r="BCH1" s="100"/>
      <c r="BCI1" s="102"/>
      <c r="BCK1" s="101"/>
      <c r="BCL1" s="100"/>
      <c r="BCM1" s="102"/>
      <c r="BCO1" s="101"/>
      <c r="BCP1" s="100"/>
      <c r="BCQ1" s="102"/>
      <c r="BCS1" s="101"/>
      <c r="BCT1" s="100"/>
      <c r="BCU1" s="102"/>
      <c r="BCW1" s="101"/>
      <c r="BCX1" s="100"/>
      <c r="BCY1" s="102"/>
      <c r="BDA1" s="101"/>
      <c r="BDB1" s="100"/>
      <c r="BDC1" s="102"/>
      <c r="BDE1" s="101"/>
      <c r="BDF1" s="100"/>
      <c r="BDG1" s="102"/>
      <c r="BDI1" s="101"/>
      <c r="BDJ1" s="100"/>
      <c r="BDK1" s="102"/>
      <c r="BDM1" s="101"/>
      <c r="BDN1" s="100"/>
      <c r="BDO1" s="102"/>
      <c r="BDQ1" s="101"/>
      <c r="BDR1" s="100"/>
      <c r="BDS1" s="102"/>
      <c r="BDU1" s="101"/>
      <c r="BDV1" s="100"/>
      <c r="BDW1" s="102"/>
      <c r="BDY1" s="101"/>
      <c r="BDZ1" s="100"/>
      <c r="BEA1" s="102"/>
      <c r="BEC1" s="101"/>
      <c r="BED1" s="100"/>
      <c r="BEE1" s="102"/>
      <c r="BEG1" s="101"/>
      <c r="BEH1" s="100"/>
      <c r="BEI1" s="102"/>
      <c r="BEK1" s="101"/>
      <c r="BEL1" s="100"/>
      <c r="BEM1" s="102"/>
      <c r="BEO1" s="101"/>
      <c r="BEP1" s="100"/>
      <c r="BEQ1" s="102"/>
      <c r="BES1" s="101"/>
      <c r="BET1" s="100"/>
      <c r="BEU1" s="102"/>
      <c r="BEW1" s="101"/>
      <c r="BEX1" s="100"/>
      <c r="BEY1" s="102"/>
      <c r="BFA1" s="101"/>
      <c r="BFB1" s="100"/>
      <c r="BFC1" s="102"/>
      <c r="BFE1" s="101"/>
      <c r="BFF1" s="100"/>
      <c r="BFG1" s="102"/>
      <c r="BFI1" s="101"/>
      <c r="BFJ1" s="100"/>
      <c r="BFK1" s="102"/>
      <c r="BFM1" s="101"/>
      <c r="BFN1" s="100"/>
      <c r="BFO1" s="102"/>
      <c r="BFQ1" s="101"/>
      <c r="BFR1" s="100"/>
      <c r="BFS1" s="102"/>
      <c r="BFU1" s="101"/>
      <c r="BFV1" s="100"/>
      <c r="BFW1" s="102"/>
      <c r="BFY1" s="101"/>
      <c r="BFZ1" s="100"/>
      <c r="BGA1" s="102"/>
      <c r="BGC1" s="101"/>
      <c r="BGD1" s="100"/>
      <c r="BGE1" s="102"/>
      <c r="BGG1" s="101"/>
      <c r="BGH1" s="100"/>
      <c r="BGI1" s="102"/>
      <c r="BGK1" s="101"/>
      <c r="BGL1" s="100"/>
      <c r="BGM1" s="102"/>
      <c r="BGO1" s="101"/>
      <c r="BGP1" s="100"/>
      <c r="BGQ1" s="102"/>
      <c r="BGS1" s="101"/>
      <c r="BGT1" s="100"/>
      <c r="BGU1" s="102"/>
      <c r="BGW1" s="101"/>
      <c r="BGX1" s="100"/>
      <c r="BGY1" s="102"/>
      <c r="BHA1" s="101"/>
      <c r="BHB1" s="100"/>
      <c r="BHC1" s="102"/>
      <c r="BHE1" s="101"/>
      <c r="BHF1" s="100"/>
      <c r="BHG1" s="102"/>
      <c r="BHI1" s="101"/>
      <c r="BHJ1" s="100"/>
      <c r="BHK1" s="102"/>
      <c r="BHM1" s="101"/>
      <c r="BHN1" s="100"/>
      <c r="BHO1" s="102"/>
      <c r="BHQ1" s="101"/>
      <c r="BHR1" s="100"/>
      <c r="BHS1" s="102"/>
      <c r="BHU1" s="101"/>
      <c r="BHV1" s="100"/>
      <c r="BHW1" s="102"/>
      <c r="BHY1" s="101"/>
      <c r="BHZ1" s="100"/>
      <c r="BIA1" s="102"/>
      <c r="BIC1" s="101"/>
      <c r="BID1" s="100"/>
      <c r="BIE1" s="102"/>
      <c r="BIG1" s="101"/>
      <c r="BIH1" s="100"/>
      <c r="BII1" s="102"/>
      <c r="BIK1" s="101"/>
      <c r="BIL1" s="100"/>
      <c r="BIM1" s="102"/>
      <c r="BIO1" s="101"/>
      <c r="BIP1" s="100"/>
      <c r="BIQ1" s="102"/>
      <c r="BIS1" s="101"/>
      <c r="BIT1" s="100"/>
      <c r="BIU1" s="102"/>
      <c r="BIW1" s="101"/>
      <c r="BIX1" s="100"/>
      <c r="BIY1" s="102"/>
      <c r="BJA1" s="101"/>
      <c r="BJB1" s="100"/>
      <c r="BJC1" s="102"/>
      <c r="BJE1" s="101"/>
      <c r="BJF1" s="100"/>
      <c r="BJG1" s="102"/>
      <c r="BJI1" s="101"/>
      <c r="BJJ1" s="100"/>
      <c r="BJK1" s="102"/>
      <c r="BJM1" s="101"/>
      <c r="BJN1" s="100"/>
      <c r="BJO1" s="102"/>
      <c r="BJQ1" s="101"/>
      <c r="BJR1" s="100"/>
      <c r="BJS1" s="102"/>
      <c r="BJU1" s="101"/>
      <c r="BJV1" s="100"/>
      <c r="BJW1" s="102"/>
      <c r="BJY1" s="101"/>
      <c r="BJZ1" s="100"/>
      <c r="BKA1" s="102"/>
      <c r="BKC1" s="101"/>
      <c r="BKD1" s="100"/>
      <c r="BKE1" s="102"/>
      <c r="BKG1" s="101"/>
      <c r="BKH1" s="100"/>
      <c r="BKI1" s="102"/>
      <c r="BKK1" s="101"/>
      <c r="BKL1" s="100"/>
      <c r="BKM1" s="102"/>
      <c r="BKO1" s="101"/>
      <c r="BKP1" s="100"/>
      <c r="BKQ1" s="102"/>
      <c r="BKS1" s="101"/>
      <c r="BKT1" s="100"/>
      <c r="BKU1" s="102"/>
      <c r="BKW1" s="101"/>
      <c r="BKX1" s="100"/>
      <c r="BKY1" s="102"/>
      <c r="BLA1" s="101"/>
      <c r="BLB1" s="100"/>
      <c r="BLC1" s="102"/>
      <c r="BLE1" s="101"/>
      <c r="BLF1" s="100"/>
      <c r="BLG1" s="102"/>
      <c r="BLI1" s="101"/>
      <c r="BLJ1" s="100"/>
      <c r="BLK1" s="102"/>
      <c r="BLM1" s="101"/>
      <c r="BLN1" s="100"/>
      <c r="BLO1" s="102"/>
      <c r="BLQ1" s="101"/>
      <c r="BLR1" s="100"/>
      <c r="BLS1" s="102"/>
      <c r="BLU1" s="101"/>
      <c r="BLV1" s="100"/>
      <c r="BLW1" s="102"/>
      <c r="BLY1" s="101"/>
      <c r="BLZ1" s="100"/>
      <c r="BMA1" s="102"/>
      <c r="BMC1" s="101"/>
      <c r="BMD1" s="100"/>
      <c r="BME1" s="102"/>
      <c r="BMG1" s="101"/>
      <c r="BMH1" s="100"/>
      <c r="BMI1" s="102"/>
      <c r="BMK1" s="101"/>
      <c r="BML1" s="100"/>
      <c r="BMM1" s="102"/>
      <c r="BMO1" s="101"/>
      <c r="BMP1" s="100"/>
      <c r="BMQ1" s="102"/>
      <c r="BMS1" s="101"/>
      <c r="BMT1" s="100"/>
      <c r="BMU1" s="102"/>
      <c r="BMW1" s="101"/>
      <c r="BMX1" s="100"/>
      <c r="BMY1" s="102"/>
      <c r="BNA1" s="101"/>
      <c r="BNB1" s="100"/>
      <c r="BNC1" s="102"/>
      <c r="BNE1" s="101"/>
      <c r="BNF1" s="100"/>
      <c r="BNG1" s="102"/>
      <c r="BNI1" s="101"/>
      <c r="BNJ1" s="100"/>
      <c r="BNK1" s="102"/>
      <c r="BNM1" s="101"/>
      <c r="BNN1" s="100"/>
      <c r="BNO1" s="102"/>
      <c r="BNQ1" s="101"/>
      <c r="BNR1" s="100"/>
      <c r="BNS1" s="102"/>
      <c r="BNU1" s="101"/>
      <c r="BNV1" s="100"/>
      <c r="BNW1" s="102"/>
      <c r="BNY1" s="101"/>
      <c r="BNZ1" s="100"/>
      <c r="BOA1" s="102"/>
      <c r="BOC1" s="101"/>
      <c r="BOD1" s="100"/>
      <c r="BOE1" s="102"/>
      <c r="BOG1" s="101"/>
      <c r="BOH1" s="100"/>
      <c r="BOI1" s="102"/>
      <c r="BOK1" s="101"/>
      <c r="BOL1" s="100"/>
      <c r="BOM1" s="102"/>
      <c r="BOO1" s="101"/>
      <c r="BOP1" s="100"/>
      <c r="BOQ1" s="102"/>
      <c r="BOS1" s="101"/>
      <c r="BOT1" s="100"/>
      <c r="BOU1" s="102"/>
      <c r="BOW1" s="101"/>
      <c r="BOX1" s="100"/>
      <c r="BOY1" s="102"/>
      <c r="BPA1" s="101"/>
      <c r="BPB1" s="100"/>
      <c r="BPC1" s="102"/>
      <c r="BPE1" s="101"/>
      <c r="BPF1" s="100"/>
      <c r="BPG1" s="102"/>
      <c r="BPI1" s="101"/>
      <c r="BPJ1" s="100"/>
      <c r="BPK1" s="102"/>
      <c r="BPM1" s="101"/>
      <c r="BPN1" s="100"/>
      <c r="BPO1" s="102"/>
      <c r="BPQ1" s="101"/>
      <c r="BPR1" s="100"/>
      <c r="BPS1" s="102"/>
      <c r="BPU1" s="101"/>
      <c r="BPV1" s="100"/>
      <c r="BPW1" s="102"/>
      <c r="BPY1" s="101"/>
      <c r="BPZ1" s="100"/>
      <c r="BQA1" s="102"/>
      <c r="BQC1" s="101"/>
      <c r="BQD1" s="100"/>
      <c r="BQE1" s="102"/>
      <c r="BQG1" s="101"/>
      <c r="BQH1" s="100"/>
      <c r="BQI1" s="102"/>
      <c r="BQK1" s="101"/>
      <c r="BQL1" s="100"/>
      <c r="BQM1" s="102"/>
      <c r="BQO1" s="101"/>
      <c r="BQP1" s="100"/>
      <c r="BQQ1" s="102"/>
      <c r="BQS1" s="101"/>
      <c r="BQT1" s="100"/>
      <c r="BQU1" s="102"/>
      <c r="BQW1" s="101"/>
      <c r="BQX1" s="100"/>
      <c r="BQY1" s="102"/>
      <c r="BRA1" s="101"/>
      <c r="BRB1" s="100"/>
      <c r="BRC1" s="102"/>
      <c r="BRE1" s="101"/>
      <c r="BRF1" s="100"/>
      <c r="BRG1" s="102"/>
      <c r="BRI1" s="101"/>
      <c r="BRJ1" s="100"/>
      <c r="BRK1" s="102"/>
      <c r="BRM1" s="101"/>
      <c r="BRN1" s="100"/>
      <c r="BRO1" s="102"/>
      <c r="BRQ1" s="101"/>
      <c r="BRR1" s="100"/>
      <c r="BRS1" s="102"/>
      <c r="BRU1" s="101"/>
      <c r="BRV1" s="100"/>
      <c r="BRW1" s="102"/>
      <c r="BRY1" s="101"/>
      <c r="BRZ1" s="100"/>
      <c r="BSA1" s="102"/>
      <c r="BSC1" s="101"/>
      <c r="BSD1" s="100"/>
      <c r="BSE1" s="102"/>
      <c r="BSG1" s="101"/>
      <c r="BSH1" s="100"/>
      <c r="BSI1" s="102"/>
      <c r="BSK1" s="101"/>
      <c r="BSL1" s="100"/>
      <c r="BSM1" s="102"/>
      <c r="BSO1" s="101"/>
      <c r="BSP1" s="100"/>
      <c r="BSQ1" s="102"/>
      <c r="BSS1" s="101"/>
      <c r="BST1" s="100"/>
      <c r="BSU1" s="102"/>
      <c r="BSW1" s="101"/>
      <c r="BSX1" s="100"/>
      <c r="BSY1" s="102"/>
      <c r="BTA1" s="101"/>
      <c r="BTB1" s="100"/>
      <c r="BTC1" s="102"/>
      <c r="BTE1" s="101"/>
      <c r="BTF1" s="100"/>
      <c r="BTG1" s="102"/>
      <c r="BTI1" s="101"/>
      <c r="BTJ1" s="100"/>
      <c r="BTK1" s="102"/>
      <c r="BTM1" s="101"/>
      <c r="BTN1" s="100"/>
      <c r="BTO1" s="102"/>
      <c r="BTQ1" s="101"/>
      <c r="BTR1" s="100"/>
      <c r="BTS1" s="102"/>
      <c r="BTU1" s="101"/>
      <c r="BTV1" s="100"/>
      <c r="BTW1" s="102"/>
      <c r="BTY1" s="101"/>
      <c r="BTZ1" s="100"/>
      <c r="BUA1" s="102"/>
      <c r="BUC1" s="101"/>
      <c r="BUD1" s="100"/>
      <c r="BUE1" s="102"/>
      <c r="BUG1" s="101"/>
      <c r="BUH1" s="100"/>
      <c r="BUI1" s="102"/>
      <c r="BUK1" s="101"/>
      <c r="BUL1" s="100"/>
      <c r="BUM1" s="102"/>
      <c r="BUO1" s="101"/>
      <c r="BUP1" s="100"/>
      <c r="BUQ1" s="102"/>
      <c r="BUS1" s="101"/>
      <c r="BUT1" s="100"/>
      <c r="BUU1" s="102"/>
      <c r="BUW1" s="101"/>
      <c r="BUX1" s="100"/>
      <c r="BUY1" s="102"/>
      <c r="BVA1" s="101"/>
      <c r="BVB1" s="100"/>
      <c r="BVC1" s="102"/>
      <c r="BVE1" s="101"/>
      <c r="BVF1" s="100"/>
      <c r="BVG1" s="102"/>
      <c r="BVI1" s="101"/>
      <c r="BVJ1" s="100"/>
      <c r="BVK1" s="102"/>
      <c r="BVM1" s="101"/>
      <c r="BVN1" s="100"/>
      <c r="BVO1" s="102"/>
      <c r="BVQ1" s="101"/>
      <c r="BVR1" s="100"/>
      <c r="BVS1" s="102"/>
      <c r="BVU1" s="101"/>
      <c r="BVV1" s="100"/>
      <c r="BVW1" s="102"/>
      <c r="BVY1" s="101"/>
      <c r="BVZ1" s="100"/>
      <c r="BWA1" s="102"/>
      <c r="BWC1" s="101"/>
      <c r="BWD1" s="100"/>
      <c r="BWE1" s="102"/>
      <c r="BWG1" s="101"/>
      <c r="BWH1" s="100"/>
      <c r="BWI1" s="102"/>
      <c r="BWK1" s="101"/>
      <c r="BWL1" s="100"/>
      <c r="BWM1" s="102"/>
      <c r="BWO1" s="101"/>
      <c r="BWP1" s="100"/>
      <c r="BWQ1" s="102"/>
      <c r="BWS1" s="101"/>
      <c r="BWT1" s="100"/>
      <c r="BWU1" s="102"/>
      <c r="BWW1" s="101"/>
      <c r="BWX1" s="100"/>
      <c r="BWY1" s="102"/>
      <c r="BXA1" s="101"/>
      <c r="BXB1" s="100"/>
      <c r="BXC1" s="102"/>
      <c r="BXE1" s="101"/>
      <c r="BXF1" s="100"/>
      <c r="BXG1" s="102"/>
      <c r="BXI1" s="101"/>
      <c r="BXJ1" s="100"/>
      <c r="BXK1" s="102"/>
      <c r="BXM1" s="101"/>
      <c r="BXN1" s="100"/>
      <c r="BXO1" s="102"/>
      <c r="BXQ1" s="101"/>
      <c r="BXR1" s="100"/>
      <c r="BXS1" s="102"/>
      <c r="BXU1" s="101"/>
      <c r="BXV1" s="100"/>
      <c r="BXW1" s="102"/>
      <c r="BXY1" s="101"/>
      <c r="BXZ1" s="100"/>
      <c r="BYA1" s="102"/>
      <c r="BYC1" s="101"/>
      <c r="BYD1" s="100"/>
      <c r="BYE1" s="102"/>
      <c r="BYG1" s="101"/>
      <c r="BYH1" s="100"/>
      <c r="BYI1" s="102"/>
      <c r="BYK1" s="101"/>
      <c r="BYL1" s="100"/>
      <c r="BYM1" s="102"/>
      <c r="BYO1" s="101"/>
      <c r="BYP1" s="100"/>
      <c r="BYQ1" s="102"/>
      <c r="BYS1" s="101"/>
      <c r="BYT1" s="100"/>
      <c r="BYU1" s="102"/>
      <c r="BYW1" s="101"/>
      <c r="BYX1" s="100"/>
      <c r="BYY1" s="102"/>
      <c r="BZA1" s="101"/>
      <c r="BZB1" s="100"/>
      <c r="BZC1" s="102"/>
      <c r="BZE1" s="101"/>
      <c r="BZF1" s="100"/>
      <c r="BZG1" s="102"/>
      <c r="BZI1" s="101"/>
      <c r="BZJ1" s="100"/>
      <c r="BZK1" s="102"/>
      <c r="BZM1" s="101"/>
      <c r="BZN1" s="100"/>
      <c r="BZO1" s="102"/>
      <c r="BZQ1" s="101"/>
      <c r="BZR1" s="100"/>
      <c r="BZS1" s="102"/>
      <c r="BZU1" s="101"/>
      <c r="BZV1" s="100"/>
      <c r="BZW1" s="102"/>
      <c r="BZY1" s="101"/>
      <c r="BZZ1" s="100"/>
      <c r="CAA1" s="102"/>
      <c r="CAC1" s="101"/>
      <c r="CAD1" s="100"/>
      <c r="CAE1" s="102"/>
      <c r="CAG1" s="101"/>
      <c r="CAH1" s="100"/>
      <c r="CAI1" s="102"/>
      <c r="CAK1" s="101"/>
      <c r="CAL1" s="100"/>
      <c r="CAM1" s="102"/>
      <c r="CAO1" s="101"/>
      <c r="CAP1" s="100"/>
      <c r="CAQ1" s="102"/>
      <c r="CAS1" s="101"/>
      <c r="CAT1" s="100"/>
      <c r="CAU1" s="102"/>
      <c r="CAW1" s="101"/>
      <c r="CAX1" s="100"/>
      <c r="CAY1" s="102"/>
      <c r="CBA1" s="101"/>
      <c r="CBB1" s="100"/>
      <c r="CBC1" s="102"/>
      <c r="CBE1" s="101"/>
      <c r="CBF1" s="100"/>
      <c r="CBG1" s="102"/>
      <c r="CBI1" s="101"/>
      <c r="CBJ1" s="100"/>
      <c r="CBK1" s="102"/>
      <c r="CBM1" s="101"/>
      <c r="CBN1" s="100"/>
      <c r="CBO1" s="102"/>
      <c r="CBQ1" s="101"/>
      <c r="CBR1" s="100"/>
      <c r="CBS1" s="102"/>
      <c r="CBU1" s="101"/>
      <c r="CBV1" s="100"/>
      <c r="CBW1" s="102"/>
      <c r="CBY1" s="101"/>
      <c r="CBZ1" s="100"/>
      <c r="CCA1" s="102"/>
      <c r="CCC1" s="101"/>
      <c r="CCD1" s="100"/>
      <c r="CCE1" s="102"/>
      <c r="CCG1" s="101"/>
      <c r="CCH1" s="100"/>
      <c r="CCI1" s="102"/>
      <c r="CCK1" s="101"/>
      <c r="CCL1" s="100"/>
      <c r="CCM1" s="102"/>
      <c r="CCO1" s="101"/>
      <c r="CCP1" s="100"/>
      <c r="CCQ1" s="102"/>
      <c r="CCS1" s="101"/>
      <c r="CCT1" s="100"/>
      <c r="CCU1" s="102"/>
      <c r="CCW1" s="101"/>
      <c r="CCX1" s="100"/>
      <c r="CCY1" s="102"/>
      <c r="CDA1" s="101"/>
      <c r="CDB1" s="100"/>
      <c r="CDC1" s="102"/>
      <c r="CDE1" s="101"/>
      <c r="CDF1" s="100"/>
      <c r="CDG1" s="102"/>
      <c r="CDI1" s="101"/>
      <c r="CDJ1" s="100"/>
      <c r="CDK1" s="102"/>
      <c r="CDM1" s="101"/>
      <c r="CDN1" s="100"/>
      <c r="CDO1" s="102"/>
      <c r="CDQ1" s="101"/>
      <c r="CDR1" s="100"/>
      <c r="CDS1" s="102"/>
      <c r="CDU1" s="101"/>
      <c r="CDV1" s="100"/>
      <c r="CDW1" s="102"/>
      <c r="CDY1" s="101"/>
      <c r="CDZ1" s="100"/>
      <c r="CEA1" s="102"/>
      <c r="CEC1" s="101"/>
      <c r="CED1" s="100"/>
      <c r="CEE1" s="102"/>
      <c r="CEG1" s="101"/>
      <c r="CEH1" s="100"/>
      <c r="CEI1" s="102"/>
      <c r="CEK1" s="101"/>
      <c r="CEL1" s="100"/>
      <c r="CEM1" s="102"/>
      <c r="CEO1" s="101"/>
      <c r="CEP1" s="100"/>
      <c r="CEQ1" s="102"/>
      <c r="CES1" s="101"/>
      <c r="CET1" s="100"/>
      <c r="CEU1" s="102"/>
      <c r="CEW1" s="101"/>
      <c r="CEX1" s="100"/>
      <c r="CEY1" s="102"/>
      <c r="CFA1" s="101"/>
      <c r="CFB1" s="100"/>
      <c r="CFC1" s="102"/>
      <c r="CFE1" s="101"/>
      <c r="CFF1" s="100"/>
      <c r="CFG1" s="102"/>
      <c r="CFI1" s="101"/>
      <c r="CFJ1" s="100"/>
      <c r="CFK1" s="102"/>
      <c r="CFM1" s="101"/>
      <c r="CFN1" s="100"/>
      <c r="CFO1" s="102"/>
      <c r="CFQ1" s="101"/>
      <c r="CFR1" s="100"/>
      <c r="CFS1" s="102"/>
      <c r="CFU1" s="101"/>
      <c r="CFV1" s="100"/>
      <c r="CFW1" s="102"/>
      <c r="CFY1" s="101"/>
      <c r="CFZ1" s="100"/>
      <c r="CGA1" s="102"/>
      <c r="CGC1" s="101"/>
      <c r="CGD1" s="100"/>
      <c r="CGE1" s="102"/>
      <c r="CGG1" s="101"/>
      <c r="CGH1" s="100"/>
      <c r="CGI1" s="102"/>
      <c r="CGK1" s="101"/>
      <c r="CGL1" s="100"/>
      <c r="CGM1" s="102"/>
      <c r="CGO1" s="101"/>
      <c r="CGP1" s="100"/>
      <c r="CGQ1" s="102"/>
      <c r="CGS1" s="101"/>
      <c r="CGT1" s="100"/>
      <c r="CGU1" s="102"/>
      <c r="CGW1" s="101"/>
      <c r="CGX1" s="100"/>
      <c r="CGY1" s="102"/>
      <c r="CHA1" s="101"/>
      <c r="CHB1" s="100"/>
      <c r="CHC1" s="102"/>
      <c r="CHE1" s="101"/>
      <c r="CHF1" s="100"/>
      <c r="CHG1" s="102"/>
      <c r="CHI1" s="101"/>
      <c r="CHJ1" s="100"/>
      <c r="CHK1" s="102"/>
      <c r="CHM1" s="101"/>
      <c r="CHN1" s="100"/>
      <c r="CHO1" s="102"/>
      <c r="CHQ1" s="101"/>
      <c r="CHR1" s="100"/>
      <c r="CHS1" s="102"/>
      <c r="CHU1" s="101"/>
      <c r="CHV1" s="100"/>
      <c r="CHW1" s="102"/>
      <c r="CHY1" s="101"/>
      <c r="CHZ1" s="100"/>
      <c r="CIA1" s="102"/>
      <c r="CIC1" s="101"/>
      <c r="CID1" s="100"/>
      <c r="CIE1" s="102"/>
      <c r="CIG1" s="101"/>
      <c r="CIH1" s="100"/>
      <c r="CII1" s="102"/>
      <c r="CIK1" s="101"/>
      <c r="CIL1" s="100"/>
      <c r="CIM1" s="102"/>
      <c r="CIO1" s="101"/>
      <c r="CIP1" s="100"/>
      <c r="CIQ1" s="102"/>
      <c r="CIS1" s="101"/>
      <c r="CIT1" s="100"/>
      <c r="CIU1" s="102"/>
      <c r="CIW1" s="101"/>
      <c r="CIX1" s="100"/>
      <c r="CIY1" s="102"/>
      <c r="CJA1" s="101"/>
      <c r="CJB1" s="100"/>
      <c r="CJC1" s="102"/>
      <c r="CJE1" s="101"/>
      <c r="CJF1" s="100"/>
      <c r="CJG1" s="102"/>
      <c r="CJI1" s="101"/>
      <c r="CJJ1" s="100"/>
      <c r="CJK1" s="102"/>
      <c r="CJM1" s="101"/>
      <c r="CJN1" s="100"/>
      <c r="CJO1" s="102"/>
      <c r="CJQ1" s="101"/>
      <c r="CJR1" s="100"/>
      <c r="CJS1" s="102"/>
      <c r="CJU1" s="101"/>
      <c r="CJV1" s="100"/>
      <c r="CJW1" s="102"/>
      <c r="CJY1" s="101"/>
      <c r="CJZ1" s="100"/>
      <c r="CKA1" s="102"/>
      <c r="CKC1" s="101"/>
      <c r="CKD1" s="100"/>
      <c r="CKE1" s="102"/>
      <c r="CKG1" s="101"/>
      <c r="CKH1" s="100"/>
      <c r="CKI1" s="102"/>
      <c r="CKK1" s="101"/>
      <c r="CKL1" s="100"/>
      <c r="CKM1" s="102"/>
      <c r="CKO1" s="101"/>
      <c r="CKP1" s="100"/>
      <c r="CKQ1" s="102"/>
      <c r="CKS1" s="101"/>
      <c r="CKT1" s="100"/>
      <c r="CKU1" s="102"/>
      <c r="CKW1" s="101"/>
      <c r="CKX1" s="100"/>
      <c r="CKY1" s="102"/>
      <c r="CLA1" s="101"/>
      <c r="CLB1" s="100"/>
      <c r="CLC1" s="102"/>
      <c r="CLE1" s="101"/>
      <c r="CLF1" s="100"/>
      <c r="CLG1" s="102"/>
      <c r="CLI1" s="101"/>
      <c r="CLJ1" s="100"/>
      <c r="CLK1" s="102"/>
      <c r="CLM1" s="101"/>
      <c r="CLN1" s="100"/>
      <c r="CLO1" s="102"/>
      <c r="CLQ1" s="101"/>
      <c r="CLR1" s="100"/>
      <c r="CLS1" s="102"/>
      <c r="CLU1" s="101"/>
      <c r="CLV1" s="100"/>
      <c r="CLW1" s="102"/>
      <c r="CLY1" s="101"/>
      <c r="CLZ1" s="100"/>
      <c r="CMA1" s="102"/>
      <c r="CMC1" s="101"/>
      <c r="CMD1" s="100"/>
      <c r="CME1" s="102"/>
      <c r="CMG1" s="101"/>
      <c r="CMH1" s="100"/>
      <c r="CMI1" s="102"/>
      <c r="CMK1" s="101"/>
      <c r="CML1" s="100"/>
      <c r="CMM1" s="102"/>
      <c r="CMO1" s="101"/>
      <c r="CMP1" s="100"/>
      <c r="CMQ1" s="102"/>
      <c r="CMS1" s="101"/>
      <c r="CMT1" s="100"/>
      <c r="CMU1" s="102"/>
      <c r="CMW1" s="101"/>
      <c r="CMX1" s="100"/>
      <c r="CMY1" s="102"/>
      <c r="CNA1" s="101"/>
      <c r="CNB1" s="100"/>
      <c r="CNC1" s="102"/>
      <c r="CNE1" s="101"/>
      <c r="CNF1" s="100"/>
      <c r="CNG1" s="102"/>
      <c r="CNI1" s="101"/>
      <c r="CNJ1" s="100"/>
      <c r="CNK1" s="102"/>
      <c r="CNM1" s="101"/>
      <c r="CNN1" s="100"/>
      <c r="CNO1" s="102"/>
      <c r="CNQ1" s="101"/>
      <c r="CNR1" s="100"/>
      <c r="CNS1" s="102"/>
      <c r="CNU1" s="101"/>
      <c r="CNV1" s="100"/>
      <c r="CNW1" s="102"/>
      <c r="CNY1" s="101"/>
      <c r="CNZ1" s="100"/>
      <c r="COA1" s="102"/>
      <c r="COC1" s="101"/>
      <c r="COD1" s="100"/>
      <c r="COE1" s="102"/>
      <c r="COG1" s="101"/>
      <c r="COH1" s="100"/>
      <c r="COI1" s="102"/>
      <c r="COK1" s="101"/>
      <c r="COL1" s="100"/>
      <c r="COM1" s="102"/>
      <c r="COO1" s="101"/>
      <c r="COP1" s="100"/>
      <c r="COQ1" s="102"/>
      <c r="COS1" s="101"/>
      <c r="COT1" s="100"/>
      <c r="COU1" s="102"/>
      <c r="COW1" s="101"/>
      <c r="COX1" s="100"/>
      <c r="COY1" s="102"/>
      <c r="CPA1" s="101"/>
      <c r="CPB1" s="100"/>
      <c r="CPC1" s="102"/>
      <c r="CPE1" s="101"/>
      <c r="CPF1" s="100"/>
      <c r="CPG1" s="102"/>
      <c r="CPI1" s="101"/>
      <c r="CPJ1" s="100"/>
      <c r="CPK1" s="102"/>
      <c r="CPM1" s="101"/>
      <c r="CPN1" s="100"/>
      <c r="CPO1" s="102"/>
      <c r="CPQ1" s="101"/>
      <c r="CPR1" s="100"/>
      <c r="CPS1" s="102"/>
      <c r="CPU1" s="101"/>
      <c r="CPV1" s="100"/>
      <c r="CPW1" s="102"/>
      <c r="CPY1" s="101"/>
      <c r="CPZ1" s="100"/>
      <c r="CQA1" s="102"/>
      <c r="CQC1" s="101"/>
      <c r="CQD1" s="100"/>
      <c r="CQE1" s="102"/>
      <c r="CQG1" s="101"/>
      <c r="CQH1" s="100"/>
      <c r="CQI1" s="102"/>
      <c r="CQK1" s="101"/>
      <c r="CQL1" s="100"/>
      <c r="CQM1" s="102"/>
      <c r="CQO1" s="101"/>
      <c r="CQP1" s="100"/>
      <c r="CQQ1" s="102"/>
      <c r="CQS1" s="101"/>
      <c r="CQT1" s="100"/>
      <c r="CQU1" s="102"/>
      <c r="CQW1" s="101"/>
      <c r="CQX1" s="100"/>
      <c r="CQY1" s="102"/>
      <c r="CRA1" s="101"/>
      <c r="CRB1" s="100"/>
      <c r="CRC1" s="102"/>
      <c r="CRE1" s="101"/>
      <c r="CRF1" s="100"/>
      <c r="CRG1" s="102"/>
      <c r="CRI1" s="101"/>
      <c r="CRJ1" s="100"/>
      <c r="CRK1" s="102"/>
      <c r="CRM1" s="101"/>
      <c r="CRN1" s="100"/>
      <c r="CRO1" s="102"/>
      <c r="CRQ1" s="101"/>
      <c r="CRR1" s="100"/>
      <c r="CRS1" s="102"/>
      <c r="CRU1" s="101"/>
      <c r="CRV1" s="100"/>
      <c r="CRW1" s="102"/>
      <c r="CRY1" s="101"/>
      <c r="CRZ1" s="100"/>
      <c r="CSA1" s="102"/>
      <c r="CSC1" s="101"/>
      <c r="CSD1" s="100"/>
      <c r="CSE1" s="102"/>
      <c r="CSG1" s="101"/>
      <c r="CSH1" s="100"/>
      <c r="CSI1" s="102"/>
      <c r="CSK1" s="101"/>
      <c r="CSL1" s="100"/>
      <c r="CSM1" s="102"/>
      <c r="CSO1" s="101"/>
      <c r="CSP1" s="100"/>
      <c r="CSQ1" s="102"/>
      <c r="CSS1" s="101"/>
      <c r="CST1" s="100"/>
      <c r="CSU1" s="102"/>
      <c r="CSW1" s="101"/>
      <c r="CSX1" s="100"/>
      <c r="CSY1" s="102"/>
      <c r="CTA1" s="101"/>
      <c r="CTB1" s="100"/>
      <c r="CTC1" s="102"/>
      <c r="CTE1" s="101"/>
      <c r="CTF1" s="100"/>
      <c r="CTG1" s="102"/>
      <c r="CTI1" s="101"/>
      <c r="CTJ1" s="100"/>
      <c r="CTK1" s="102"/>
      <c r="CTM1" s="101"/>
      <c r="CTN1" s="100"/>
      <c r="CTO1" s="102"/>
      <c r="CTQ1" s="101"/>
      <c r="CTR1" s="100"/>
      <c r="CTS1" s="102"/>
      <c r="CTU1" s="101"/>
      <c r="CTV1" s="100"/>
      <c r="CTW1" s="102"/>
      <c r="CTY1" s="101"/>
      <c r="CTZ1" s="100"/>
      <c r="CUA1" s="102"/>
      <c r="CUC1" s="101"/>
      <c r="CUD1" s="100"/>
      <c r="CUE1" s="102"/>
      <c r="CUG1" s="101"/>
      <c r="CUH1" s="100"/>
      <c r="CUI1" s="102"/>
      <c r="CUK1" s="101"/>
      <c r="CUL1" s="100"/>
      <c r="CUM1" s="102"/>
      <c r="CUO1" s="101"/>
      <c r="CUP1" s="100"/>
      <c r="CUQ1" s="102"/>
      <c r="CUS1" s="101"/>
      <c r="CUT1" s="100"/>
      <c r="CUU1" s="102"/>
      <c r="CUW1" s="101"/>
      <c r="CUX1" s="100"/>
      <c r="CUY1" s="102"/>
      <c r="CVA1" s="101"/>
      <c r="CVB1" s="100"/>
      <c r="CVC1" s="102"/>
      <c r="CVE1" s="101"/>
      <c r="CVF1" s="100"/>
      <c r="CVG1" s="102"/>
      <c r="CVI1" s="101"/>
      <c r="CVJ1" s="100"/>
      <c r="CVK1" s="102"/>
      <c r="CVM1" s="101"/>
      <c r="CVN1" s="100"/>
      <c r="CVO1" s="102"/>
      <c r="CVQ1" s="101"/>
      <c r="CVR1" s="100"/>
      <c r="CVS1" s="102"/>
      <c r="CVU1" s="101"/>
      <c r="CVV1" s="100"/>
      <c r="CVW1" s="102"/>
      <c r="CVY1" s="101"/>
      <c r="CVZ1" s="100"/>
      <c r="CWA1" s="102"/>
      <c r="CWC1" s="101"/>
      <c r="CWD1" s="100"/>
      <c r="CWE1" s="102"/>
      <c r="CWG1" s="101"/>
      <c r="CWH1" s="100"/>
      <c r="CWI1" s="102"/>
      <c r="CWK1" s="101"/>
      <c r="CWL1" s="100"/>
      <c r="CWM1" s="102"/>
      <c r="CWO1" s="101"/>
      <c r="CWP1" s="100"/>
      <c r="CWQ1" s="102"/>
      <c r="CWS1" s="101"/>
      <c r="CWT1" s="100"/>
      <c r="CWU1" s="102"/>
      <c r="CWW1" s="101"/>
      <c r="CWX1" s="100"/>
      <c r="CWY1" s="102"/>
      <c r="CXA1" s="101"/>
      <c r="CXB1" s="100"/>
      <c r="CXC1" s="102"/>
      <c r="CXE1" s="101"/>
      <c r="CXF1" s="100"/>
      <c r="CXG1" s="102"/>
      <c r="CXI1" s="101"/>
      <c r="CXJ1" s="100"/>
      <c r="CXK1" s="102"/>
      <c r="CXM1" s="101"/>
      <c r="CXN1" s="100"/>
      <c r="CXO1" s="102"/>
      <c r="CXQ1" s="101"/>
      <c r="CXR1" s="100"/>
      <c r="CXS1" s="102"/>
      <c r="CXU1" s="101"/>
      <c r="CXV1" s="100"/>
      <c r="CXW1" s="102"/>
      <c r="CXY1" s="101"/>
      <c r="CXZ1" s="100"/>
      <c r="CYA1" s="102"/>
      <c r="CYC1" s="101"/>
      <c r="CYD1" s="100"/>
      <c r="CYE1" s="102"/>
      <c r="CYG1" s="101"/>
      <c r="CYH1" s="100"/>
      <c r="CYI1" s="102"/>
      <c r="CYK1" s="101"/>
      <c r="CYL1" s="100"/>
      <c r="CYM1" s="102"/>
      <c r="CYO1" s="101"/>
      <c r="CYP1" s="100"/>
      <c r="CYQ1" s="102"/>
      <c r="CYS1" s="101"/>
      <c r="CYT1" s="100"/>
      <c r="CYU1" s="102"/>
      <c r="CYW1" s="101"/>
      <c r="CYX1" s="100"/>
      <c r="CYY1" s="102"/>
      <c r="CZA1" s="101"/>
      <c r="CZB1" s="100"/>
      <c r="CZC1" s="102"/>
      <c r="CZE1" s="101"/>
      <c r="CZF1" s="100"/>
      <c r="CZG1" s="102"/>
      <c r="CZI1" s="101"/>
      <c r="CZJ1" s="100"/>
      <c r="CZK1" s="102"/>
      <c r="CZM1" s="101"/>
      <c r="CZN1" s="100"/>
      <c r="CZO1" s="102"/>
      <c r="CZQ1" s="101"/>
      <c r="CZR1" s="100"/>
      <c r="CZS1" s="102"/>
      <c r="CZU1" s="101"/>
      <c r="CZV1" s="100"/>
      <c r="CZW1" s="102"/>
      <c r="CZY1" s="101"/>
      <c r="CZZ1" s="100"/>
      <c r="DAA1" s="102"/>
      <c r="DAC1" s="101"/>
      <c r="DAD1" s="100"/>
      <c r="DAE1" s="102"/>
      <c r="DAG1" s="101"/>
      <c r="DAH1" s="100"/>
      <c r="DAI1" s="102"/>
      <c r="DAK1" s="101"/>
      <c r="DAL1" s="100"/>
      <c r="DAM1" s="102"/>
      <c r="DAO1" s="101"/>
      <c r="DAP1" s="100"/>
      <c r="DAQ1" s="102"/>
      <c r="DAS1" s="101"/>
      <c r="DAT1" s="100"/>
      <c r="DAU1" s="102"/>
      <c r="DAW1" s="101"/>
      <c r="DAX1" s="100"/>
      <c r="DAY1" s="102"/>
      <c r="DBA1" s="101"/>
      <c r="DBB1" s="100"/>
      <c r="DBC1" s="102"/>
      <c r="DBE1" s="101"/>
      <c r="DBF1" s="100"/>
      <c r="DBG1" s="102"/>
      <c r="DBI1" s="101"/>
      <c r="DBJ1" s="100"/>
      <c r="DBK1" s="102"/>
      <c r="DBM1" s="101"/>
      <c r="DBN1" s="100"/>
      <c r="DBO1" s="102"/>
      <c r="DBQ1" s="101"/>
      <c r="DBR1" s="100"/>
      <c r="DBS1" s="102"/>
      <c r="DBU1" s="101"/>
      <c r="DBV1" s="100"/>
      <c r="DBW1" s="102"/>
      <c r="DBY1" s="101"/>
      <c r="DBZ1" s="100"/>
      <c r="DCA1" s="102"/>
      <c r="DCC1" s="101"/>
      <c r="DCD1" s="100"/>
      <c r="DCE1" s="102"/>
      <c r="DCG1" s="101"/>
      <c r="DCH1" s="100"/>
      <c r="DCI1" s="102"/>
      <c r="DCK1" s="101"/>
      <c r="DCL1" s="100"/>
      <c r="DCM1" s="102"/>
      <c r="DCO1" s="101"/>
      <c r="DCP1" s="100"/>
      <c r="DCQ1" s="102"/>
      <c r="DCS1" s="101"/>
      <c r="DCT1" s="100"/>
      <c r="DCU1" s="102"/>
      <c r="DCW1" s="101"/>
      <c r="DCX1" s="100"/>
      <c r="DCY1" s="102"/>
      <c r="DDA1" s="101"/>
      <c r="DDB1" s="100"/>
      <c r="DDC1" s="102"/>
      <c r="DDE1" s="101"/>
      <c r="DDF1" s="100"/>
      <c r="DDG1" s="102"/>
      <c r="DDI1" s="101"/>
      <c r="DDJ1" s="100"/>
      <c r="DDK1" s="102"/>
      <c r="DDM1" s="101"/>
      <c r="DDN1" s="100"/>
      <c r="DDO1" s="102"/>
      <c r="DDQ1" s="101"/>
      <c r="DDR1" s="100"/>
      <c r="DDS1" s="102"/>
      <c r="DDU1" s="101"/>
      <c r="DDV1" s="100"/>
      <c r="DDW1" s="102"/>
      <c r="DDY1" s="101"/>
      <c r="DDZ1" s="100"/>
      <c r="DEA1" s="102"/>
      <c r="DEC1" s="101"/>
      <c r="DED1" s="100"/>
      <c r="DEE1" s="102"/>
      <c r="DEG1" s="101"/>
      <c r="DEH1" s="100"/>
      <c r="DEI1" s="102"/>
      <c r="DEK1" s="101"/>
      <c r="DEL1" s="100"/>
      <c r="DEM1" s="102"/>
      <c r="DEO1" s="101"/>
      <c r="DEP1" s="100"/>
      <c r="DEQ1" s="102"/>
      <c r="DES1" s="101"/>
      <c r="DET1" s="100"/>
      <c r="DEU1" s="102"/>
      <c r="DEW1" s="101"/>
      <c r="DEX1" s="100"/>
      <c r="DEY1" s="102"/>
      <c r="DFA1" s="101"/>
      <c r="DFB1" s="100"/>
      <c r="DFC1" s="102"/>
      <c r="DFE1" s="101"/>
      <c r="DFF1" s="100"/>
      <c r="DFG1" s="102"/>
      <c r="DFI1" s="101"/>
      <c r="DFJ1" s="100"/>
      <c r="DFK1" s="102"/>
      <c r="DFM1" s="101"/>
      <c r="DFN1" s="100"/>
      <c r="DFO1" s="102"/>
      <c r="DFQ1" s="101"/>
      <c r="DFR1" s="100"/>
      <c r="DFS1" s="102"/>
      <c r="DFU1" s="101"/>
      <c r="DFV1" s="100"/>
      <c r="DFW1" s="102"/>
      <c r="DFY1" s="101"/>
      <c r="DFZ1" s="100"/>
      <c r="DGA1" s="102"/>
      <c r="DGC1" s="101"/>
      <c r="DGD1" s="100"/>
      <c r="DGE1" s="102"/>
      <c r="DGG1" s="101"/>
      <c r="DGH1" s="100"/>
      <c r="DGI1" s="102"/>
      <c r="DGK1" s="101"/>
      <c r="DGL1" s="100"/>
      <c r="DGM1" s="102"/>
      <c r="DGO1" s="101"/>
      <c r="DGP1" s="100"/>
      <c r="DGQ1" s="102"/>
      <c r="DGS1" s="101"/>
      <c r="DGT1" s="100"/>
      <c r="DGU1" s="102"/>
      <c r="DGW1" s="101"/>
      <c r="DGX1" s="100"/>
      <c r="DGY1" s="102"/>
      <c r="DHA1" s="101"/>
      <c r="DHB1" s="100"/>
      <c r="DHC1" s="102"/>
      <c r="DHE1" s="101"/>
      <c r="DHF1" s="100"/>
      <c r="DHG1" s="102"/>
      <c r="DHI1" s="101"/>
      <c r="DHJ1" s="100"/>
      <c r="DHK1" s="102"/>
      <c r="DHM1" s="101"/>
      <c r="DHN1" s="100"/>
      <c r="DHO1" s="102"/>
      <c r="DHQ1" s="101"/>
      <c r="DHR1" s="100"/>
      <c r="DHS1" s="102"/>
      <c r="DHU1" s="101"/>
      <c r="DHV1" s="100"/>
      <c r="DHW1" s="102"/>
      <c r="DHY1" s="101"/>
      <c r="DHZ1" s="100"/>
      <c r="DIA1" s="102"/>
      <c r="DIC1" s="101"/>
      <c r="DID1" s="100"/>
      <c r="DIE1" s="102"/>
      <c r="DIG1" s="101"/>
      <c r="DIH1" s="100"/>
      <c r="DII1" s="102"/>
      <c r="DIK1" s="101"/>
      <c r="DIL1" s="100"/>
      <c r="DIM1" s="102"/>
      <c r="DIO1" s="101"/>
      <c r="DIP1" s="100"/>
      <c r="DIQ1" s="102"/>
      <c r="DIS1" s="101"/>
      <c r="DIT1" s="100"/>
      <c r="DIU1" s="102"/>
      <c r="DIW1" s="101"/>
      <c r="DIX1" s="100"/>
      <c r="DIY1" s="102"/>
      <c r="DJA1" s="101"/>
      <c r="DJB1" s="100"/>
      <c r="DJC1" s="102"/>
      <c r="DJE1" s="101"/>
      <c r="DJF1" s="100"/>
      <c r="DJG1" s="102"/>
      <c r="DJI1" s="101"/>
      <c r="DJJ1" s="100"/>
      <c r="DJK1" s="102"/>
      <c r="DJM1" s="101"/>
      <c r="DJN1" s="100"/>
      <c r="DJO1" s="102"/>
      <c r="DJQ1" s="101"/>
      <c r="DJR1" s="100"/>
      <c r="DJS1" s="102"/>
      <c r="DJU1" s="101"/>
      <c r="DJV1" s="100"/>
      <c r="DJW1" s="102"/>
      <c r="DJY1" s="101"/>
      <c r="DJZ1" s="100"/>
      <c r="DKA1" s="102"/>
      <c r="DKC1" s="101"/>
      <c r="DKD1" s="100"/>
      <c r="DKE1" s="102"/>
      <c r="DKG1" s="101"/>
      <c r="DKH1" s="100"/>
      <c r="DKI1" s="102"/>
      <c r="DKK1" s="101"/>
      <c r="DKL1" s="100"/>
      <c r="DKM1" s="102"/>
      <c r="DKO1" s="101"/>
      <c r="DKP1" s="100"/>
      <c r="DKQ1" s="102"/>
      <c r="DKS1" s="101"/>
      <c r="DKT1" s="100"/>
      <c r="DKU1" s="102"/>
      <c r="DKW1" s="101"/>
      <c r="DKX1" s="100"/>
      <c r="DKY1" s="102"/>
      <c r="DLA1" s="101"/>
      <c r="DLB1" s="100"/>
      <c r="DLC1" s="102"/>
      <c r="DLE1" s="101"/>
      <c r="DLF1" s="100"/>
      <c r="DLG1" s="102"/>
      <c r="DLI1" s="101"/>
      <c r="DLJ1" s="100"/>
      <c r="DLK1" s="102"/>
      <c r="DLM1" s="101"/>
      <c r="DLN1" s="100"/>
      <c r="DLO1" s="102"/>
      <c r="DLQ1" s="101"/>
      <c r="DLR1" s="100"/>
      <c r="DLS1" s="102"/>
      <c r="DLU1" s="101"/>
      <c r="DLV1" s="100"/>
      <c r="DLW1" s="102"/>
      <c r="DLY1" s="101"/>
      <c r="DLZ1" s="100"/>
      <c r="DMA1" s="102"/>
      <c r="DMC1" s="101"/>
      <c r="DMD1" s="100"/>
      <c r="DME1" s="102"/>
      <c r="DMG1" s="101"/>
      <c r="DMH1" s="100"/>
      <c r="DMI1" s="102"/>
      <c r="DMK1" s="101"/>
      <c r="DML1" s="100"/>
      <c r="DMM1" s="102"/>
      <c r="DMO1" s="101"/>
      <c r="DMP1" s="100"/>
      <c r="DMQ1" s="102"/>
      <c r="DMS1" s="101"/>
      <c r="DMT1" s="100"/>
      <c r="DMU1" s="102"/>
      <c r="DMW1" s="101"/>
      <c r="DMX1" s="100"/>
      <c r="DMY1" s="102"/>
      <c r="DNA1" s="101"/>
      <c r="DNB1" s="100"/>
      <c r="DNC1" s="102"/>
      <c r="DNE1" s="101"/>
      <c r="DNF1" s="100"/>
      <c r="DNG1" s="102"/>
      <c r="DNI1" s="101"/>
      <c r="DNJ1" s="100"/>
      <c r="DNK1" s="102"/>
      <c r="DNM1" s="101"/>
      <c r="DNN1" s="100"/>
      <c r="DNO1" s="102"/>
      <c r="DNQ1" s="101"/>
      <c r="DNR1" s="100"/>
      <c r="DNS1" s="102"/>
      <c r="DNU1" s="101"/>
      <c r="DNV1" s="100"/>
      <c r="DNW1" s="102"/>
      <c r="DNY1" s="101"/>
      <c r="DNZ1" s="100"/>
      <c r="DOA1" s="102"/>
      <c r="DOC1" s="101"/>
      <c r="DOD1" s="100"/>
      <c r="DOE1" s="102"/>
      <c r="DOG1" s="101"/>
      <c r="DOH1" s="100"/>
      <c r="DOI1" s="102"/>
      <c r="DOK1" s="101"/>
      <c r="DOL1" s="100"/>
      <c r="DOM1" s="102"/>
      <c r="DOO1" s="101"/>
      <c r="DOP1" s="100"/>
      <c r="DOQ1" s="102"/>
      <c r="DOS1" s="101"/>
      <c r="DOT1" s="100"/>
      <c r="DOU1" s="102"/>
      <c r="DOW1" s="101"/>
      <c r="DOX1" s="100"/>
      <c r="DOY1" s="102"/>
      <c r="DPA1" s="101"/>
      <c r="DPB1" s="100"/>
      <c r="DPC1" s="102"/>
      <c r="DPE1" s="101"/>
      <c r="DPF1" s="100"/>
      <c r="DPG1" s="102"/>
      <c r="DPI1" s="101"/>
      <c r="DPJ1" s="100"/>
      <c r="DPK1" s="102"/>
      <c r="DPM1" s="101"/>
      <c r="DPN1" s="100"/>
      <c r="DPO1" s="102"/>
      <c r="DPQ1" s="101"/>
      <c r="DPR1" s="100"/>
      <c r="DPS1" s="102"/>
      <c r="DPU1" s="101"/>
      <c r="DPV1" s="100"/>
      <c r="DPW1" s="102"/>
      <c r="DPY1" s="101"/>
      <c r="DPZ1" s="100"/>
      <c r="DQA1" s="102"/>
      <c r="DQC1" s="101"/>
      <c r="DQD1" s="100"/>
      <c r="DQE1" s="102"/>
      <c r="DQG1" s="101"/>
      <c r="DQH1" s="100"/>
      <c r="DQI1" s="102"/>
      <c r="DQK1" s="101"/>
      <c r="DQL1" s="100"/>
      <c r="DQM1" s="102"/>
      <c r="DQO1" s="101"/>
      <c r="DQP1" s="100"/>
      <c r="DQQ1" s="102"/>
      <c r="DQS1" s="101"/>
      <c r="DQT1" s="100"/>
      <c r="DQU1" s="102"/>
      <c r="DQW1" s="101"/>
      <c r="DQX1" s="100"/>
      <c r="DQY1" s="102"/>
      <c r="DRA1" s="101"/>
      <c r="DRB1" s="100"/>
      <c r="DRC1" s="102"/>
      <c r="DRE1" s="101"/>
      <c r="DRF1" s="100"/>
      <c r="DRG1" s="102"/>
      <c r="DRI1" s="101"/>
      <c r="DRJ1" s="100"/>
      <c r="DRK1" s="102"/>
      <c r="DRM1" s="101"/>
      <c r="DRN1" s="100"/>
      <c r="DRO1" s="102"/>
      <c r="DRQ1" s="101"/>
      <c r="DRR1" s="100"/>
      <c r="DRS1" s="102"/>
      <c r="DRU1" s="101"/>
      <c r="DRV1" s="100"/>
      <c r="DRW1" s="102"/>
      <c r="DRY1" s="101"/>
      <c r="DRZ1" s="100"/>
      <c r="DSA1" s="102"/>
      <c r="DSC1" s="101"/>
      <c r="DSD1" s="100"/>
      <c r="DSE1" s="102"/>
      <c r="DSG1" s="101"/>
      <c r="DSH1" s="100"/>
      <c r="DSI1" s="102"/>
      <c r="DSK1" s="101"/>
      <c r="DSL1" s="100"/>
      <c r="DSM1" s="102"/>
      <c r="DSO1" s="101"/>
      <c r="DSP1" s="100"/>
      <c r="DSQ1" s="102"/>
      <c r="DSS1" s="101"/>
      <c r="DST1" s="100"/>
      <c r="DSU1" s="102"/>
      <c r="DSW1" s="101"/>
      <c r="DSX1" s="100"/>
      <c r="DSY1" s="102"/>
      <c r="DTA1" s="101"/>
      <c r="DTB1" s="100"/>
      <c r="DTC1" s="102"/>
      <c r="DTE1" s="101"/>
      <c r="DTF1" s="100"/>
      <c r="DTG1" s="102"/>
      <c r="DTI1" s="101"/>
      <c r="DTJ1" s="100"/>
      <c r="DTK1" s="102"/>
      <c r="DTM1" s="101"/>
      <c r="DTN1" s="100"/>
      <c r="DTO1" s="102"/>
      <c r="DTQ1" s="101"/>
      <c r="DTR1" s="100"/>
      <c r="DTS1" s="102"/>
      <c r="DTU1" s="101"/>
      <c r="DTV1" s="100"/>
      <c r="DTW1" s="102"/>
      <c r="DTY1" s="101"/>
      <c r="DTZ1" s="100"/>
      <c r="DUA1" s="102"/>
      <c r="DUC1" s="101"/>
      <c r="DUD1" s="100"/>
      <c r="DUE1" s="102"/>
      <c r="DUG1" s="101"/>
      <c r="DUH1" s="100"/>
      <c r="DUI1" s="102"/>
      <c r="DUK1" s="101"/>
      <c r="DUL1" s="100"/>
      <c r="DUM1" s="102"/>
      <c r="DUO1" s="101"/>
      <c r="DUP1" s="100"/>
      <c r="DUQ1" s="102"/>
      <c r="DUS1" s="101"/>
      <c r="DUT1" s="100"/>
      <c r="DUU1" s="102"/>
      <c r="DUW1" s="101"/>
      <c r="DUX1" s="100"/>
      <c r="DUY1" s="102"/>
      <c r="DVA1" s="101"/>
      <c r="DVB1" s="100"/>
      <c r="DVC1" s="102"/>
      <c r="DVE1" s="101"/>
      <c r="DVF1" s="100"/>
      <c r="DVG1" s="102"/>
      <c r="DVI1" s="101"/>
      <c r="DVJ1" s="100"/>
      <c r="DVK1" s="102"/>
      <c r="DVM1" s="101"/>
      <c r="DVN1" s="100"/>
      <c r="DVO1" s="102"/>
      <c r="DVQ1" s="101"/>
      <c r="DVR1" s="100"/>
      <c r="DVS1" s="102"/>
      <c r="DVU1" s="101"/>
      <c r="DVV1" s="100"/>
      <c r="DVW1" s="102"/>
      <c r="DVY1" s="101"/>
      <c r="DVZ1" s="100"/>
      <c r="DWA1" s="102"/>
      <c r="DWC1" s="101"/>
      <c r="DWD1" s="100"/>
      <c r="DWE1" s="102"/>
      <c r="DWG1" s="101"/>
      <c r="DWH1" s="100"/>
      <c r="DWI1" s="102"/>
      <c r="DWK1" s="101"/>
      <c r="DWL1" s="100"/>
      <c r="DWM1" s="102"/>
      <c r="DWO1" s="101"/>
      <c r="DWP1" s="100"/>
      <c r="DWQ1" s="102"/>
      <c r="DWS1" s="101"/>
      <c r="DWT1" s="100"/>
      <c r="DWU1" s="102"/>
      <c r="DWW1" s="101"/>
      <c r="DWX1" s="100"/>
      <c r="DWY1" s="102"/>
      <c r="DXA1" s="101"/>
      <c r="DXB1" s="100"/>
      <c r="DXC1" s="102"/>
      <c r="DXE1" s="101"/>
      <c r="DXF1" s="100"/>
      <c r="DXG1" s="102"/>
      <c r="DXI1" s="101"/>
      <c r="DXJ1" s="100"/>
      <c r="DXK1" s="102"/>
      <c r="DXM1" s="101"/>
      <c r="DXN1" s="100"/>
      <c r="DXO1" s="102"/>
      <c r="DXQ1" s="101"/>
      <c r="DXR1" s="100"/>
      <c r="DXS1" s="102"/>
      <c r="DXU1" s="101"/>
      <c r="DXV1" s="100"/>
      <c r="DXW1" s="102"/>
      <c r="DXY1" s="101"/>
      <c r="DXZ1" s="100"/>
      <c r="DYA1" s="102"/>
      <c r="DYC1" s="101"/>
      <c r="DYD1" s="100"/>
      <c r="DYE1" s="102"/>
      <c r="DYG1" s="101"/>
      <c r="DYH1" s="100"/>
      <c r="DYI1" s="102"/>
      <c r="DYK1" s="101"/>
      <c r="DYL1" s="100"/>
      <c r="DYM1" s="102"/>
      <c r="DYO1" s="101"/>
      <c r="DYP1" s="100"/>
      <c r="DYQ1" s="102"/>
      <c r="DYS1" s="101"/>
      <c r="DYT1" s="100"/>
      <c r="DYU1" s="102"/>
      <c r="DYW1" s="101"/>
      <c r="DYX1" s="100"/>
      <c r="DYY1" s="102"/>
      <c r="DZA1" s="101"/>
      <c r="DZB1" s="100"/>
      <c r="DZC1" s="102"/>
      <c r="DZE1" s="101"/>
      <c r="DZF1" s="100"/>
      <c r="DZG1" s="102"/>
      <c r="DZI1" s="101"/>
      <c r="DZJ1" s="100"/>
      <c r="DZK1" s="102"/>
      <c r="DZM1" s="101"/>
      <c r="DZN1" s="100"/>
      <c r="DZO1" s="102"/>
      <c r="DZQ1" s="101"/>
      <c r="DZR1" s="100"/>
      <c r="DZS1" s="102"/>
      <c r="DZU1" s="101"/>
      <c r="DZV1" s="100"/>
      <c r="DZW1" s="102"/>
      <c r="DZY1" s="101"/>
      <c r="DZZ1" s="100"/>
      <c r="EAA1" s="102"/>
      <c r="EAC1" s="101"/>
      <c r="EAD1" s="100"/>
      <c r="EAE1" s="102"/>
      <c r="EAG1" s="101"/>
      <c r="EAH1" s="100"/>
      <c r="EAI1" s="102"/>
      <c r="EAK1" s="101"/>
      <c r="EAL1" s="100"/>
      <c r="EAM1" s="102"/>
      <c r="EAO1" s="101"/>
      <c r="EAP1" s="100"/>
      <c r="EAQ1" s="102"/>
      <c r="EAS1" s="101"/>
      <c r="EAT1" s="100"/>
      <c r="EAU1" s="102"/>
      <c r="EAW1" s="101"/>
      <c r="EAX1" s="100"/>
      <c r="EAY1" s="102"/>
      <c r="EBA1" s="101"/>
      <c r="EBB1" s="100"/>
      <c r="EBC1" s="102"/>
      <c r="EBE1" s="101"/>
      <c r="EBF1" s="100"/>
      <c r="EBG1" s="102"/>
      <c r="EBI1" s="101"/>
      <c r="EBJ1" s="100"/>
      <c r="EBK1" s="102"/>
      <c r="EBM1" s="101"/>
      <c r="EBN1" s="100"/>
      <c r="EBO1" s="102"/>
      <c r="EBQ1" s="101"/>
      <c r="EBR1" s="100"/>
      <c r="EBS1" s="102"/>
      <c r="EBU1" s="101"/>
      <c r="EBV1" s="100"/>
      <c r="EBW1" s="102"/>
      <c r="EBY1" s="101"/>
      <c r="EBZ1" s="100"/>
      <c r="ECA1" s="102"/>
      <c r="ECC1" s="101"/>
      <c r="ECD1" s="100"/>
      <c r="ECE1" s="102"/>
      <c r="ECG1" s="101"/>
      <c r="ECH1" s="100"/>
      <c r="ECI1" s="102"/>
      <c r="ECK1" s="101"/>
      <c r="ECL1" s="100"/>
      <c r="ECM1" s="102"/>
      <c r="ECO1" s="101"/>
      <c r="ECP1" s="100"/>
      <c r="ECQ1" s="102"/>
      <c r="ECS1" s="101"/>
      <c r="ECT1" s="100"/>
      <c r="ECU1" s="102"/>
      <c r="ECW1" s="101"/>
      <c r="ECX1" s="100"/>
      <c r="ECY1" s="102"/>
      <c r="EDA1" s="101"/>
      <c r="EDB1" s="100"/>
      <c r="EDC1" s="102"/>
      <c r="EDE1" s="101"/>
      <c r="EDF1" s="100"/>
      <c r="EDG1" s="102"/>
      <c r="EDI1" s="101"/>
      <c r="EDJ1" s="100"/>
      <c r="EDK1" s="102"/>
      <c r="EDM1" s="101"/>
      <c r="EDN1" s="100"/>
      <c r="EDO1" s="102"/>
      <c r="EDQ1" s="101"/>
      <c r="EDR1" s="100"/>
      <c r="EDS1" s="102"/>
      <c r="EDU1" s="101"/>
      <c r="EDV1" s="100"/>
      <c r="EDW1" s="102"/>
      <c r="EDY1" s="101"/>
      <c r="EDZ1" s="100"/>
      <c r="EEA1" s="102"/>
      <c r="EEC1" s="101"/>
      <c r="EED1" s="100"/>
      <c r="EEE1" s="102"/>
      <c r="EEG1" s="101"/>
      <c r="EEH1" s="100"/>
      <c r="EEI1" s="102"/>
      <c r="EEK1" s="101"/>
      <c r="EEL1" s="100"/>
      <c r="EEM1" s="102"/>
      <c r="EEO1" s="101"/>
      <c r="EEP1" s="100"/>
      <c r="EEQ1" s="102"/>
      <c r="EES1" s="101"/>
      <c r="EET1" s="100"/>
      <c r="EEU1" s="102"/>
      <c r="EEW1" s="101"/>
      <c r="EEX1" s="100"/>
      <c r="EEY1" s="102"/>
      <c r="EFA1" s="101"/>
      <c r="EFB1" s="100"/>
      <c r="EFC1" s="102"/>
      <c r="EFE1" s="101"/>
      <c r="EFF1" s="100"/>
      <c r="EFG1" s="102"/>
      <c r="EFI1" s="101"/>
      <c r="EFJ1" s="100"/>
      <c r="EFK1" s="102"/>
      <c r="EFM1" s="101"/>
      <c r="EFN1" s="100"/>
      <c r="EFO1" s="102"/>
      <c r="EFQ1" s="101"/>
      <c r="EFR1" s="100"/>
      <c r="EFS1" s="102"/>
      <c r="EFU1" s="101"/>
      <c r="EFV1" s="100"/>
      <c r="EFW1" s="102"/>
      <c r="EFY1" s="101"/>
      <c r="EFZ1" s="100"/>
      <c r="EGA1" s="102"/>
      <c r="EGC1" s="101"/>
      <c r="EGD1" s="100"/>
      <c r="EGE1" s="102"/>
      <c r="EGG1" s="101"/>
      <c r="EGH1" s="100"/>
      <c r="EGI1" s="102"/>
      <c r="EGK1" s="101"/>
      <c r="EGL1" s="100"/>
      <c r="EGM1" s="102"/>
      <c r="EGO1" s="101"/>
      <c r="EGP1" s="100"/>
      <c r="EGQ1" s="102"/>
      <c r="EGS1" s="101"/>
      <c r="EGT1" s="100"/>
      <c r="EGU1" s="102"/>
      <c r="EGW1" s="101"/>
      <c r="EGX1" s="100"/>
      <c r="EGY1" s="102"/>
      <c r="EHA1" s="101"/>
      <c r="EHB1" s="100"/>
      <c r="EHC1" s="102"/>
      <c r="EHE1" s="101"/>
      <c r="EHF1" s="100"/>
      <c r="EHG1" s="102"/>
      <c r="EHI1" s="101"/>
      <c r="EHJ1" s="100"/>
      <c r="EHK1" s="102"/>
      <c r="EHM1" s="101"/>
      <c r="EHN1" s="100"/>
      <c r="EHO1" s="102"/>
      <c r="EHQ1" s="101"/>
      <c r="EHR1" s="100"/>
      <c r="EHS1" s="102"/>
      <c r="EHU1" s="101"/>
      <c r="EHV1" s="100"/>
      <c r="EHW1" s="102"/>
      <c r="EHY1" s="101"/>
      <c r="EHZ1" s="100"/>
      <c r="EIA1" s="102"/>
      <c r="EIC1" s="101"/>
      <c r="EID1" s="100"/>
      <c r="EIE1" s="102"/>
      <c r="EIG1" s="101"/>
      <c r="EIH1" s="100"/>
      <c r="EII1" s="102"/>
      <c r="EIK1" s="101"/>
      <c r="EIL1" s="100"/>
      <c r="EIM1" s="102"/>
      <c r="EIO1" s="101"/>
      <c r="EIP1" s="100"/>
      <c r="EIQ1" s="102"/>
      <c r="EIS1" s="101"/>
      <c r="EIT1" s="100"/>
      <c r="EIU1" s="102"/>
      <c r="EIW1" s="101"/>
      <c r="EIX1" s="100"/>
      <c r="EIY1" s="102"/>
      <c r="EJA1" s="101"/>
      <c r="EJB1" s="100"/>
      <c r="EJC1" s="102"/>
      <c r="EJE1" s="101"/>
      <c r="EJF1" s="100"/>
      <c r="EJG1" s="102"/>
      <c r="EJI1" s="101"/>
      <c r="EJJ1" s="100"/>
      <c r="EJK1" s="102"/>
      <c r="EJM1" s="101"/>
      <c r="EJN1" s="100"/>
      <c r="EJO1" s="102"/>
      <c r="EJQ1" s="101"/>
      <c r="EJR1" s="100"/>
      <c r="EJS1" s="102"/>
      <c r="EJU1" s="101"/>
      <c r="EJV1" s="100"/>
      <c r="EJW1" s="102"/>
      <c r="EJY1" s="101"/>
      <c r="EJZ1" s="100"/>
      <c r="EKA1" s="102"/>
      <c r="EKC1" s="101"/>
      <c r="EKD1" s="100"/>
      <c r="EKE1" s="102"/>
      <c r="EKG1" s="101"/>
      <c r="EKH1" s="100"/>
      <c r="EKI1" s="102"/>
      <c r="EKK1" s="101"/>
      <c r="EKL1" s="100"/>
      <c r="EKM1" s="102"/>
      <c r="EKO1" s="101"/>
      <c r="EKP1" s="100"/>
      <c r="EKQ1" s="102"/>
      <c r="EKS1" s="101"/>
      <c r="EKT1" s="100"/>
      <c r="EKU1" s="102"/>
      <c r="EKW1" s="101"/>
      <c r="EKX1" s="100"/>
      <c r="EKY1" s="102"/>
      <c r="ELA1" s="101"/>
      <c r="ELB1" s="100"/>
      <c r="ELC1" s="102"/>
      <c r="ELE1" s="101"/>
      <c r="ELF1" s="100"/>
      <c r="ELG1" s="102"/>
      <c r="ELI1" s="101"/>
      <c r="ELJ1" s="100"/>
      <c r="ELK1" s="102"/>
      <c r="ELM1" s="101"/>
      <c r="ELN1" s="100"/>
      <c r="ELO1" s="102"/>
      <c r="ELQ1" s="101"/>
      <c r="ELR1" s="100"/>
      <c r="ELS1" s="102"/>
      <c r="ELU1" s="101"/>
      <c r="ELV1" s="100"/>
      <c r="ELW1" s="102"/>
      <c r="ELY1" s="101"/>
      <c r="ELZ1" s="100"/>
      <c r="EMA1" s="102"/>
      <c r="EMC1" s="101"/>
      <c r="EMD1" s="100"/>
      <c r="EME1" s="102"/>
      <c r="EMG1" s="101"/>
      <c r="EMH1" s="100"/>
      <c r="EMI1" s="102"/>
      <c r="EMK1" s="101"/>
      <c r="EML1" s="100"/>
      <c r="EMM1" s="102"/>
      <c r="EMO1" s="101"/>
      <c r="EMP1" s="100"/>
      <c r="EMQ1" s="102"/>
      <c r="EMS1" s="101"/>
      <c r="EMT1" s="100"/>
      <c r="EMU1" s="102"/>
      <c r="EMW1" s="101"/>
      <c r="EMX1" s="100"/>
      <c r="EMY1" s="102"/>
      <c r="ENA1" s="101"/>
      <c r="ENB1" s="100"/>
      <c r="ENC1" s="102"/>
      <c r="ENE1" s="101"/>
      <c r="ENF1" s="100"/>
      <c r="ENG1" s="102"/>
      <c r="ENI1" s="101"/>
      <c r="ENJ1" s="100"/>
      <c r="ENK1" s="102"/>
      <c r="ENM1" s="101"/>
      <c r="ENN1" s="100"/>
      <c r="ENO1" s="102"/>
      <c r="ENQ1" s="101"/>
      <c r="ENR1" s="100"/>
      <c r="ENS1" s="102"/>
      <c r="ENU1" s="101"/>
      <c r="ENV1" s="100"/>
      <c r="ENW1" s="102"/>
      <c r="ENY1" s="101"/>
      <c r="ENZ1" s="100"/>
      <c r="EOA1" s="102"/>
      <c r="EOC1" s="101"/>
      <c r="EOD1" s="100"/>
      <c r="EOE1" s="102"/>
      <c r="EOG1" s="101"/>
      <c r="EOH1" s="100"/>
      <c r="EOI1" s="102"/>
      <c r="EOK1" s="101"/>
      <c r="EOL1" s="100"/>
      <c r="EOM1" s="102"/>
      <c r="EOO1" s="101"/>
      <c r="EOP1" s="100"/>
      <c r="EOQ1" s="102"/>
      <c r="EOS1" s="101"/>
      <c r="EOT1" s="100"/>
      <c r="EOU1" s="102"/>
      <c r="EOW1" s="101"/>
      <c r="EOX1" s="100"/>
      <c r="EOY1" s="102"/>
      <c r="EPA1" s="101"/>
      <c r="EPB1" s="100"/>
      <c r="EPC1" s="102"/>
      <c r="EPE1" s="101"/>
      <c r="EPF1" s="100"/>
      <c r="EPG1" s="102"/>
      <c r="EPI1" s="101"/>
      <c r="EPJ1" s="100"/>
      <c r="EPK1" s="102"/>
      <c r="EPM1" s="101"/>
      <c r="EPN1" s="100"/>
      <c r="EPO1" s="102"/>
      <c r="EPQ1" s="101"/>
      <c r="EPR1" s="100"/>
      <c r="EPS1" s="102"/>
      <c r="EPU1" s="101"/>
      <c r="EPV1" s="100"/>
      <c r="EPW1" s="102"/>
      <c r="EPY1" s="101"/>
      <c r="EPZ1" s="100"/>
      <c r="EQA1" s="102"/>
      <c r="EQC1" s="101"/>
      <c r="EQD1" s="100"/>
      <c r="EQE1" s="102"/>
      <c r="EQG1" s="101"/>
      <c r="EQH1" s="100"/>
      <c r="EQI1" s="102"/>
      <c r="EQK1" s="101"/>
      <c r="EQL1" s="100"/>
      <c r="EQM1" s="102"/>
      <c r="EQO1" s="101"/>
      <c r="EQP1" s="100"/>
      <c r="EQQ1" s="102"/>
      <c r="EQS1" s="101"/>
      <c r="EQT1" s="100"/>
      <c r="EQU1" s="102"/>
      <c r="EQW1" s="101"/>
      <c r="EQX1" s="100"/>
      <c r="EQY1" s="102"/>
      <c r="ERA1" s="101"/>
      <c r="ERB1" s="100"/>
      <c r="ERC1" s="102"/>
      <c r="ERE1" s="101"/>
      <c r="ERF1" s="100"/>
      <c r="ERG1" s="102"/>
      <c r="ERI1" s="101"/>
      <c r="ERJ1" s="100"/>
      <c r="ERK1" s="102"/>
      <c r="ERM1" s="101"/>
      <c r="ERN1" s="100"/>
      <c r="ERO1" s="102"/>
      <c r="ERQ1" s="101"/>
      <c r="ERR1" s="100"/>
      <c r="ERS1" s="102"/>
      <c r="ERU1" s="101"/>
      <c r="ERV1" s="100"/>
      <c r="ERW1" s="102"/>
      <c r="ERY1" s="101"/>
      <c r="ERZ1" s="100"/>
      <c r="ESA1" s="102"/>
      <c r="ESC1" s="101"/>
      <c r="ESD1" s="100"/>
      <c r="ESE1" s="102"/>
      <c r="ESG1" s="101"/>
      <c r="ESH1" s="100"/>
      <c r="ESI1" s="102"/>
      <c r="ESK1" s="101"/>
      <c r="ESL1" s="100"/>
      <c r="ESM1" s="102"/>
      <c r="ESO1" s="101"/>
      <c r="ESP1" s="100"/>
      <c r="ESQ1" s="102"/>
      <c r="ESS1" s="101"/>
      <c r="EST1" s="100"/>
      <c r="ESU1" s="102"/>
      <c r="ESW1" s="101"/>
      <c r="ESX1" s="100"/>
      <c r="ESY1" s="102"/>
      <c r="ETA1" s="101"/>
      <c r="ETB1" s="100"/>
      <c r="ETC1" s="102"/>
      <c r="ETE1" s="101"/>
      <c r="ETF1" s="100"/>
      <c r="ETG1" s="102"/>
      <c r="ETI1" s="101"/>
      <c r="ETJ1" s="100"/>
      <c r="ETK1" s="102"/>
      <c r="ETM1" s="101"/>
      <c r="ETN1" s="100"/>
      <c r="ETO1" s="102"/>
      <c r="ETQ1" s="101"/>
      <c r="ETR1" s="100"/>
      <c r="ETS1" s="102"/>
      <c r="ETU1" s="101"/>
      <c r="ETV1" s="100"/>
      <c r="ETW1" s="102"/>
      <c r="ETY1" s="101"/>
      <c r="ETZ1" s="100"/>
      <c r="EUA1" s="102"/>
      <c r="EUC1" s="101"/>
      <c r="EUD1" s="100"/>
      <c r="EUE1" s="102"/>
      <c r="EUG1" s="101"/>
      <c r="EUH1" s="100"/>
      <c r="EUI1" s="102"/>
      <c r="EUK1" s="101"/>
      <c r="EUL1" s="100"/>
      <c r="EUM1" s="102"/>
      <c r="EUO1" s="101"/>
      <c r="EUP1" s="100"/>
      <c r="EUQ1" s="102"/>
      <c r="EUS1" s="101"/>
      <c r="EUT1" s="100"/>
      <c r="EUU1" s="102"/>
      <c r="EUW1" s="101"/>
      <c r="EUX1" s="100"/>
      <c r="EUY1" s="102"/>
      <c r="EVA1" s="101"/>
      <c r="EVB1" s="100"/>
      <c r="EVC1" s="102"/>
      <c r="EVE1" s="101"/>
      <c r="EVF1" s="100"/>
      <c r="EVG1" s="102"/>
      <c r="EVI1" s="101"/>
      <c r="EVJ1" s="100"/>
      <c r="EVK1" s="102"/>
      <c r="EVM1" s="101"/>
      <c r="EVN1" s="100"/>
      <c r="EVO1" s="102"/>
      <c r="EVQ1" s="101"/>
      <c r="EVR1" s="100"/>
      <c r="EVS1" s="102"/>
      <c r="EVU1" s="101"/>
      <c r="EVV1" s="100"/>
      <c r="EVW1" s="102"/>
      <c r="EVY1" s="101"/>
      <c r="EVZ1" s="100"/>
      <c r="EWA1" s="102"/>
      <c r="EWC1" s="101"/>
      <c r="EWD1" s="100"/>
      <c r="EWE1" s="102"/>
      <c r="EWG1" s="101"/>
      <c r="EWH1" s="100"/>
      <c r="EWI1" s="102"/>
      <c r="EWK1" s="101"/>
      <c r="EWL1" s="100"/>
      <c r="EWM1" s="102"/>
      <c r="EWO1" s="101"/>
      <c r="EWP1" s="100"/>
      <c r="EWQ1" s="102"/>
      <c r="EWS1" s="101"/>
      <c r="EWT1" s="100"/>
      <c r="EWU1" s="102"/>
      <c r="EWW1" s="101"/>
      <c r="EWX1" s="100"/>
      <c r="EWY1" s="102"/>
      <c r="EXA1" s="101"/>
      <c r="EXB1" s="100"/>
      <c r="EXC1" s="102"/>
      <c r="EXE1" s="101"/>
      <c r="EXF1" s="100"/>
      <c r="EXG1" s="102"/>
      <c r="EXI1" s="101"/>
      <c r="EXJ1" s="100"/>
      <c r="EXK1" s="102"/>
      <c r="EXM1" s="101"/>
      <c r="EXN1" s="100"/>
      <c r="EXO1" s="102"/>
      <c r="EXQ1" s="101"/>
      <c r="EXR1" s="100"/>
      <c r="EXS1" s="102"/>
      <c r="EXU1" s="101"/>
      <c r="EXV1" s="100"/>
      <c r="EXW1" s="102"/>
      <c r="EXY1" s="101"/>
      <c r="EXZ1" s="100"/>
      <c r="EYA1" s="102"/>
      <c r="EYC1" s="101"/>
      <c r="EYD1" s="100"/>
      <c r="EYE1" s="102"/>
      <c r="EYG1" s="101"/>
      <c r="EYH1" s="100"/>
      <c r="EYI1" s="102"/>
      <c r="EYK1" s="101"/>
      <c r="EYL1" s="100"/>
      <c r="EYM1" s="102"/>
      <c r="EYO1" s="101"/>
      <c r="EYP1" s="100"/>
      <c r="EYQ1" s="102"/>
      <c r="EYS1" s="101"/>
      <c r="EYT1" s="100"/>
      <c r="EYU1" s="102"/>
      <c r="EYW1" s="101"/>
      <c r="EYX1" s="100"/>
      <c r="EYY1" s="102"/>
      <c r="EZA1" s="101"/>
      <c r="EZB1" s="100"/>
      <c r="EZC1" s="102"/>
      <c r="EZE1" s="101"/>
      <c r="EZF1" s="100"/>
      <c r="EZG1" s="102"/>
      <c r="EZI1" s="101"/>
      <c r="EZJ1" s="100"/>
      <c r="EZK1" s="102"/>
      <c r="EZM1" s="101"/>
      <c r="EZN1" s="100"/>
      <c r="EZO1" s="102"/>
      <c r="EZQ1" s="101"/>
      <c r="EZR1" s="100"/>
      <c r="EZS1" s="102"/>
      <c r="EZU1" s="101"/>
      <c r="EZV1" s="100"/>
      <c r="EZW1" s="102"/>
      <c r="EZY1" s="101"/>
      <c r="EZZ1" s="100"/>
      <c r="FAA1" s="102"/>
      <c r="FAC1" s="101"/>
      <c r="FAD1" s="100"/>
      <c r="FAE1" s="102"/>
      <c r="FAG1" s="101"/>
      <c r="FAH1" s="100"/>
      <c r="FAI1" s="102"/>
      <c r="FAK1" s="101"/>
      <c r="FAL1" s="100"/>
      <c r="FAM1" s="102"/>
      <c r="FAO1" s="101"/>
      <c r="FAP1" s="100"/>
      <c r="FAQ1" s="102"/>
      <c r="FAS1" s="101"/>
      <c r="FAT1" s="100"/>
      <c r="FAU1" s="102"/>
      <c r="FAW1" s="101"/>
      <c r="FAX1" s="100"/>
      <c r="FAY1" s="102"/>
      <c r="FBA1" s="101"/>
      <c r="FBB1" s="100"/>
      <c r="FBC1" s="102"/>
      <c r="FBE1" s="101"/>
      <c r="FBF1" s="100"/>
      <c r="FBG1" s="102"/>
      <c r="FBI1" s="101"/>
      <c r="FBJ1" s="100"/>
      <c r="FBK1" s="102"/>
      <c r="FBM1" s="101"/>
      <c r="FBN1" s="100"/>
      <c r="FBO1" s="102"/>
      <c r="FBQ1" s="101"/>
      <c r="FBR1" s="100"/>
      <c r="FBS1" s="102"/>
      <c r="FBU1" s="101"/>
      <c r="FBV1" s="100"/>
      <c r="FBW1" s="102"/>
      <c r="FBY1" s="101"/>
      <c r="FBZ1" s="100"/>
      <c r="FCA1" s="102"/>
      <c r="FCC1" s="101"/>
      <c r="FCD1" s="100"/>
      <c r="FCE1" s="102"/>
      <c r="FCG1" s="101"/>
      <c r="FCH1" s="100"/>
      <c r="FCI1" s="102"/>
      <c r="FCK1" s="101"/>
      <c r="FCL1" s="100"/>
      <c r="FCM1" s="102"/>
      <c r="FCO1" s="101"/>
      <c r="FCP1" s="100"/>
      <c r="FCQ1" s="102"/>
      <c r="FCS1" s="101"/>
      <c r="FCT1" s="100"/>
      <c r="FCU1" s="102"/>
      <c r="FCW1" s="101"/>
      <c r="FCX1" s="100"/>
      <c r="FCY1" s="102"/>
      <c r="FDA1" s="101"/>
      <c r="FDB1" s="100"/>
      <c r="FDC1" s="102"/>
      <c r="FDE1" s="101"/>
      <c r="FDF1" s="100"/>
      <c r="FDG1" s="102"/>
      <c r="FDI1" s="101"/>
      <c r="FDJ1" s="100"/>
      <c r="FDK1" s="102"/>
      <c r="FDM1" s="101"/>
      <c r="FDN1" s="100"/>
      <c r="FDO1" s="102"/>
      <c r="FDQ1" s="101"/>
      <c r="FDR1" s="100"/>
      <c r="FDS1" s="102"/>
      <c r="FDU1" s="101"/>
      <c r="FDV1" s="100"/>
      <c r="FDW1" s="102"/>
      <c r="FDY1" s="101"/>
      <c r="FDZ1" s="100"/>
      <c r="FEA1" s="102"/>
      <c r="FEC1" s="101"/>
      <c r="FED1" s="100"/>
      <c r="FEE1" s="102"/>
      <c r="FEG1" s="101"/>
      <c r="FEH1" s="100"/>
      <c r="FEI1" s="102"/>
      <c r="FEK1" s="101"/>
      <c r="FEL1" s="100"/>
      <c r="FEM1" s="102"/>
      <c r="FEO1" s="101"/>
      <c r="FEP1" s="100"/>
      <c r="FEQ1" s="102"/>
      <c r="FES1" s="101"/>
      <c r="FET1" s="100"/>
      <c r="FEU1" s="102"/>
      <c r="FEW1" s="101"/>
      <c r="FEX1" s="100"/>
      <c r="FEY1" s="102"/>
      <c r="FFA1" s="101"/>
      <c r="FFB1" s="100"/>
      <c r="FFC1" s="102"/>
      <c r="FFE1" s="101"/>
      <c r="FFF1" s="100"/>
      <c r="FFG1" s="102"/>
      <c r="FFI1" s="101"/>
      <c r="FFJ1" s="100"/>
      <c r="FFK1" s="102"/>
      <c r="FFM1" s="101"/>
      <c r="FFN1" s="100"/>
      <c r="FFO1" s="102"/>
      <c r="FFQ1" s="101"/>
      <c r="FFR1" s="100"/>
      <c r="FFS1" s="102"/>
      <c r="FFU1" s="101"/>
      <c r="FFV1" s="100"/>
      <c r="FFW1" s="102"/>
      <c r="FFY1" s="101"/>
      <c r="FFZ1" s="100"/>
      <c r="FGA1" s="102"/>
      <c r="FGC1" s="101"/>
      <c r="FGD1" s="100"/>
      <c r="FGE1" s="102"/>
      <c r="FGG1" s="101"/>
      <c r="FGH1" s="100"/>
      <c r="FGI1" s="102"/>
      <c r="FGK1" s="101"/>
      <c r="FGL1" s="100"/>
      <c r="FGM1" s="102"/>
      <c r="FGO1" s="101"/>
      <c r="FGP1" s="100"/>
      <c r="FGQ1" s="102"/>
      <c r="FGS1" s="101"/>
      <c r="FGT1" s="100"/>
      <c r="FGU1" s="102"/>
      <c r="FGW1" s="101"/>
      <c r="FGX1" s="100"/>
      <c r="FGY1" s="102"/>
      <c r="FHA1" s="101"/>
      <c r="FHB1" s="100"/>
      <c r="FHC1" s="102"/>
      <c r="FHE1" s="101"/>
      <c r="FHF1" s="100"/>
      <c r="FHG1" s="102"/>
      <c r="FHI1" s="101"/>
      <c r="FHJ1" s="100"/>
      <c r="FHK1" s="102"/>
      <c r="FHM1" s="101"/>
      <c r="FHN1" s="100"/>
      <c r="FHO1" s="102"/>
      <c r="FHQ1" s="101"/>
      <c r="FHR1" s="100"/>
      <c r="FHS1" s="102"/>
      <c r="FHU1" s="101"/>
      <c r="FHV1" s="100"/>
      <c r="FHW1" s="102"/>
      <c r="FHY1" s="101"/>
      <c r="FHZ1" s="100"/>
      <c r="FIA1" s="102"/>
      <c r="FIC1" s="101"/>
      <c r="FID1" s="100"/>
      <c r="FIE1" s="102"/>
      <c r="FIG1" s="101"/>
      <c r="FIH1" s="100"/>
      <c r="FII1" s="102"/>
      <c r="FIK1" s="101"/>
      <c r="FIL1" s="100"/>
      <c r="FIM1" s="102"/>
      <c r="FIO1" s="101"/>
      <c r="FIP1" s="100"/>
      <c r="FIQ1" s="102"/>
      <c r="FIS1" s="101"/>
      <c r="FIT1" s="100"/>
      <c r="FIU1" s="102"/>
      <c r="FIW1" s="101"/>
      <c r="FIX1" s="100"/>
      <c r="FIY1" s="102"/>
      <c r="FJA1" s="101"/>
      <c r="FJB1" s="100"/>
      <c r="FJC1" s="102"/>
      <c r="FJE1" s="101"/>
      <c r="FJF1" s="100"/>
      <c r="FJG1" s="102"/>
      <c r="FJI1" s="101"/>
      <c r="FJJ1" s="100"/>
      <c r="FJK1" s="102"/>
      <c r="FJM1" s="101"/>
      <c r="FJN1" s="100"/>
      <c r="FJO1" s="102"/>
      <c r="FJQ1" s="101"/>
      <c r="FJR1" s="100"/>
      <c r="FJS1" s="102"/>
      <c r="FJU1" s="101"/>
      <c r="FJV1" s="100"/>
      <c r="FJW1" s="102"/>
      <c r="FJY1" s="101"/>
      <c r="FJZ1" s="100"/>
      <c r="FKA1" s="102"/>
      <c r="FKC1" s="101"/>
      <c r="FKD1" s="100"/>
      <c r="FKE1" s="102"/>
      <c r="FKG1" s="101"/>
      <c r="FKH1" s="100"/>
      <c r="FKI1" s="102"/>
      <c r="FKK1" s="101"/>
      <c r="FKL1" s="100"/>
      <c r="FKM1" s="102"/>
      <c r="FKO1" s="101"/>
      <c r="FKP1" s="100"/>
      <c r="FKQ1" s="102"/>
      <c r="FKS1" s="101"/>
      <c r="FKT1" s="100"/>
      <c r="FKU1" s="102"/>
      <c r="FKW1" s="101"/>
      <c r="FKX1" s="100"/>
      <c r="FKY1" s="102"/>
      <c r="FLA1" s="101"/>
      <c r="FLB1" s="100"/>
      <c r="FLC1" s="102"/>
      <c r="FLE1" s="101"/>
      <c r="FLF1" s="100"/>
      <c r="FLG1" s="102"/>
      <c r="FLI1" s="101"/>
      <c r="FLJ1" s="100"/>
      <c r="FLK1" s="102"/>
      <c r="FLM1" s="101"/>
      <c r="FLN1" s="100"/>
      <c r="FLO1" s="102"/>
      <c r="FLQ1" s="101"/>
      <c r="FLR1" s="100"/>
      <c r="FLS1" s="102"/>
      <c r="FLU1" s="101"/>
      <c r="FLV1" s="100"/>
      <c r="FLW1" s="102"/>
      <c r="FLY1" s="101"/>
      <c r="FLZ1" s="100"/>
      <c r="FMA1" s="102"/>
      <c r="FMC1" s="101"/>
      <c r="FMD1" s="100"/>
      <c r="FME1" s="102"/>
      <c r="FMG1" s="101"/>
      <c r="FMH1" s="100"/>
      <c r="FMI1" s="102"/>
      <c r="FMK1" s="101"/>
      <c r="FML1" s="100"/>
      <c r="FMM1" s="102"/>
      <c r="FMO1" s="101"/>
      <c r="FMP1" s="100"/>
      <c r="FMQ1" s="102"/>
      <c r="FMS1" s="101"/>
      <c r="FMT1" s="100"/>
      <c r="FMU1" s="102"/>
      <c r="FMW1" s="101"/>
      <c r="FMX1" s="100"/>
      <c r="FMY1" s="102"/>
      <c r="FNA1" s="101"/>
      <c r="FNB1" s="100"/>
      <c r="FNC1" s="102"/>
      <c r="FNE1" s="101"/>
      <c r="FNF1" s="100"/>
      <c r="FNG1" s="102"/>
      <c r="FNI1" s="101"/>
      <c r="FNJ1" s="100"/>
      <c r="FNK1" s="102"/>
      <c r="FNM1" s="101"/>
      <c r="FNN1" s="100"/>
      <c r="FNO1" s="102"/>
      <c r="FNQ1" s="101"/>
      <c r="FNR1" s="100"/>
      <c r="FNS1" s="102"/>
      <c r="FNU1" s="101"/>
      <c r="FNV1" s="100"/>
      <c r="FNW1" s="102"/>
      <c r="FNY1" s="101"/>
      <c r="FNZ1" s="100"/>
      <c r="FOA1" s="102"/>
      <c r="FOC1" s="101"/>
      <c r="FOD1" s="100"/>
      <c r="FOE1" s="102"/>
      <c r="FOG1" s="101"/>
      <c r="FOH1" s="100"/>
      <c r="FOI1" s="102"/>
      <c r="FOK1" s="101"/>
      <c r="FOL1" s="100"/>
      <c r="FOM1" s="102"/>
      <c r="FOO1" s="101"/>
      <c r="FOP1" s="100"/>
      <c r="FOQ1" s="102"/>
      <c r="FOS1" s="101"/>
      <c r="FOT1" s="100"/>
      <c r="FOU1" s="102"/>
      <c r="FOW1" s="101"/>
      <c r="FOX1" s="100"/>
      <c r="FOY1" s="102"/>
      <c r="FPA1" s="101"/>
      <c r="FPB1" s="100"/>
      <c r="FPC1" s="102"/>
      <c r="FPE1" s="101"/>
      <c r="FPF1" s="100"/>
      <c r="FPG1" s="102"/>
      <c r="FPI1" s="101"/>
      <c r="FPJ1" s="100"/>
      <c r="FPK1" s="102"/>
      <c r="FPM1" s="101"/>
      <c r="FPN1" s="100"/>
      <c r="FPO1" s="102"/>
      <c r="FPQ1" s="101"/>
      <c r="FPR1" s="100"/>
      <c r="FPS1" s="102"/>
      <c r="FPU1" s="101"/>
      <c r="FPV1" s="100"/>
      <c r="FPW1" s="102"/>
      <c r="FPY1" s="101"/>
      <c r="FPZ1" s="100"/>
      <c r="FQA1" s="102"/>
      <c r="FQC1" s="101"/>
      <c r="FQD1" s="100"/>
      <c r="FQE1" s="102"/>
      <c r="FQG1" s="101"/>
      <c r="FQH1" s="100"/>
      <c r="FQI1" s="102"/>
      <c r="FQK1" s="101"/>
      <c r="FQL1" s="100"/>
      <c r="FQM1" s="102"/>
      <c r="FQO1" s="101"/>
      <c r="FQP1" s="100"/>
      <c r="FQQ1" s="102"/>
      <c r="FQS1" s="101"/>
      <c r="FQT1" s="100"/>
      <c r="FQU1" s="102"/>
      <c r="FQW1" s="101"/>
      <c r="FQX1" s="100"/>
      <c r="FQY1" s="102"/>
      <c r="FRA1" s="101"/>
      <c r="FRB1" s="100"/>
      <c r="FRC1" s="102"/>
      <c r="FRE1" s="101"/>
      <c r="FRF1" s="100"/>
      <c r="FRG1" s="102"/>
      <c r="FRI1" s="101"/>
      <c r="FRJ1" s="100"/>
      <c r="FRK1" s="102"/>
      <c r="FRM1" s="101"/>
      <c r="FRN1" s="100"/>
      <c r="FRO1" s="102"/>
      <c r="FRQ1" s="101"/>
      <c r="FRR1" s="100"/>
      <c r="FRS1" s="102"/>
      <c r="FRU1" s="101"/>
      <c r="FRV1" s="100"/>
      <c r="FRW1" s="102"/>
      <c r="FRY1" s="101"/>
      <c r="FRZ1" s="100"/>
      <c r="FSA1" s="102"/>
      <c r="FSC1" s="101"/>
      <c r="FSD1" s="100"/>
      <c r="FSE1" s="102"/>
      <c r="FSG1" s="101"/>
      <c r="FSH1" s="100"/>
      <c r="FSI1" s="102"/>
      <c r="FSK1" s="101"/>
      <c r="FSL1" s="100"/>
      <c r="FSM1" s="102"/>
      <c r="FSO1" s="101"/>
      <c r="FSP1" s="100"/>
      <c r="FSQ1" s="102"/>
      <c r="FSS1" s="101"/>
      <c r="FST1" s="100"/>
      <c r="FSU1" s="102"/>
      <c r="FSW1" s="101"/>
      <c r="FSX1" s="100"/>
      <c r="FSY1" s="102"/>
      <c r="FTA1" s="101"/>
      <c r="FTB1" s="100"/>
      <c r="FTC1" s="102"/>
      <c r="FTE1" s="101"/>
      <c r="FTF1" s="100"/>
      <c r="FTG1" s="102"/>
      <c r="FTI1" s="101"/>
      <c r="FTJ1" s="100"/>
      <c r="FTK1" s="102"/>
      <c r="FTM1" s="101"/>
      <c r="FTN1" s="100"/>
      <c r="FTO1" s="102"/>
      <c r="FTQ1" s="101"/>
      <c r="FTR1" s="100"/>
      <c r="FTS1" s="102"/>
      <c r="FTU1" s="101"/>
      <c r="FTV1" s="100"/>
      <c r="FTW1" s="102"/>
      <c r="FTY1" s="101"/>
      <c r="FTZ1" s="100"/>
      <c r="FUA1" s="102"/>
      <c r="FUC1" s="101"/>
      <c r="FUD1" s="100"/>
      <c r="FUE1" s="102"/>
      <c r="FUG1" s="101"/>
      <c r="FUH1" s="100"/>
      <c r="FUI1" s="102"/>
      <c r="FUK1" s="101"/>
      <c r="FUL1" s="100"/>
      <c r="FUM1" s="102"/>
      <c r="FUO1" s="101"/>
      <c r="FUP1" s="100"/>
      <c r="FUQ1" s="102"/>
      <c r="FUS1" s="101"/>
      <c r="FUT1" s="100"/>
      <c r="FUU1" s="102"/>
      <c r="FUW1" s="101"/>
      <c r="FUX1" s="100"/>
      <c r="FUY1" s="102"/>
      <c r="FVA1" s="101"/>
      <c r="FVB1" s="100"/>
      <c r="FVC1" s="102"/>
      <c r="FVE1" s="101"/>
      <c r="FVF1" s="100"/>
      <c r="FVG1" s="102"/>
      <c r="FVI1" s="101"/>
      <c r="FVJ1" s="100"/>
      <c r="FVK1" s="102"/>
      <c r="FVM1" s="101"/>
      <c r="FVN1" s="100"/>
      <c r="FVO1" s="102"/>
      <c r="FVQ1" s="101"/>
      <c r="FVR1" s="100"/>
      <c r="FVS1" s="102"/>
      <c r="FVU1" s="101"/>
      <c r="FVV1" s="100"/>
      <c r="FVW1" s="102"/>
      <c r="FVY1" s="101"/>
      <c r="FVZ1" s="100"/>
      <c r="FWA1" s="102"/>
      <c r="FWC1" s="101"/>
      <c r="FWD1" s="100"/>
      <c r="FWE1" s="102"/>
      <c r="FWG1" s="101"/>
      <c r="FWH1" s="100"/>
      <c r="FWI1" s="102"/>
      <c r="FWK1" s="101"/>
      <c r="FWL1" s="100"/>
      <c r="FWM1" s="102"/>
      <c r="FWO1" s="101"/>
      <c r="FWP1" s="100"/>
      <c r="FWQ1" s="102"/>
      <c r="FWS1" s="101"/>
      <c r="FWT1" s="100"/>
      <c r="FWU1" s="102"/>
      <c r="FWW1" s="101"/>
      <c r="FWX1" s="100"/>
      <c r="FWY1" s="102"/>
      <c r="FXA1" s="101"/>
      <c r="FXB1" s="100"/>
      <c r="FXC1" s="102"/>
      <c r="FXE1" s="101"/>
      <c r="FXF1" s="100"/>
      <c r="FXG1" s="102"/>
      <c r="FXI1" s="101"/>
      <c r="FXJ1" s="100"/>
      <c r="FXK1" s="102"/>
      <c r="FXM1" s="101"/>
      <c r="FXN1" s="100"/>
      <c r="FXO1" s="102"/>
      <c r="FXQ1" s="101"/>
      <c r="FXR1" s="100"/>
      <c r="FXS1" s="102"/>
      <c r="FXU1" s="101"/>
      <c r="FXV1" s="100"/>
      <c r="FXW1" s="102"/>
      <c r="FXY1" s="101"/>
      <c r="FXZ1" s="100"/>
      <c r="FYA1" s="102"/>
      <c r="FYC1" s="101"/>
      <c r="FYD1" s="100"/>
      <c r="FYE1" s="102"/>
      <c r="FYG1" s="101"/>
      <c r="FYH1" s="100"/>
      <c r="FYI1" s="102"/>
      <c r="FYK1" s="101"/>
      <c r="FYL1" s="100"/>
      <c r="FYM1" s="102"/>
      <c r="FYO1" s="101"/>
      <c r="FYP1" s="100"/>
      <c r="FYQ1" s="102"/>
      <c r="FYS1" s="101"/>
      <c r="FYT1" s="100"/>
      <c r="FYU1" s="102"/>
      <c r="FYW1" s="101"/>
      <c r="FYX1" s="100"/>
      <c r="FYY1" s="102"/>
      <c r="FZA1" s="101"/>
      <c r="FZB1" s="100"/>
      <c r="FZC1" s="102"/>
      <c r="FZE1" s="101"/>
      <c r="FZF1" s="100"/>
      <c r="FZG1" s="102"/>
      <c r="FZI1" s="101"/>
      <c r="FZJ1" s="100"/>
      <c r="FZK1" s="102"/>
      <c r="FZM1" s="101"/>
      <c r="FZN1" s="100"/>
      <c r="FZO1" s="102"/>
      <c r="FZQ1" s="101"/>
      <c r="FZR1" s="100"/>
      <c r="FZS1" s="102"/>
      <c r="FZU1" s="101"/>
      <c r="FZV1" s="100"/>
      <c r="FZW1" s="102"/>
      <c r="FZY1" s="101"/>
      <c r="FZZ1" s="100"/>
      <c r="GAA1" s="102"/>
      <c r="GAC1" s="101"/>
      <c r="GAD1" s="100"/>
      <c r="GAE1" s="102"/>
      <c r="GAG1" s="101"/>
      <c r="GAH1" s="100"/>
      <c r="GAI1" s="102"/>
      <c r="GAK1" s="101"/>
      <c r="GAL1" s="100"/>
      <c r="GAM1" s="102"/>
      <c r="GAO1" s="101"/>
      <c r="GAP1" s="100"/>
      <c r="GAQ1" s="102"/>
      <c r="GAS1" s="101"/>
      <c r="GAT1" s="100"/>
      <c r="GAU1" s="102"/>
      <c r="GAW1" s="101"/>
      <c r="GAX1" s="100"/>
      <c r="GAY1" s="102"/>
      <c r="GBA1" s="101"/>
      <c r="GBB1" s="100"/>
      <c r="GBC1" s="102"/>
      <c r="GBE1" s="101"/>
      <c r="GBF1" s="100"/>
      <c r="GBG1" s="102"/>
      <c r="GBI1" s="101"/>
      <c r="GBJ1" s="100"/>
      <c r="GBK1" s="102"/>
      <c r="GBM1" s="101"/>
      <c r="GBN1" s="100"/>
      <c r="GBO1" s="102"/>
      <c r="GBQ1" s="101"/>
      <c r="GBR1" s="100"/>
      <c r="GBS1" s="102"/>
      <c r="GBU1" s="101"/>
      <c r="GBV1" s="100"/>
      <c r="GBW1" s="102"/>
      <c r="GBY1" s="101"/>
      <c r="GBZ1" s="100"/>
      <c r="GCA1" s="102"/>
      <c r="GCC1" s="101"/>
      <c r="GCD1" s="100"/>
      <c r="GCE1" s="102"/>
      <c r="GCG1" s="101"/>
      <c r="GCH1" s="100"/>
      <c r="GCI1" s="102"/>
      <c r="GCK1" s="101"/>
      <c r="GCL1" s="100"/>
      <c r="GCM1" s="102"/>
      <c r="GCO1" s="101"/>
      <c r="GCP1" s="100"/>
      <c r="GCQ1" s="102"/>
      <c r="GCS1" s="101"/>
      <c r="GCT1" s="100"/>
      <c r="GCU1" s="102"/>
      <c r="GCW1" s="101"/>
      <c r="GCX1" s="100"/>
      <c r="GCY1" s="102"/>
      <c r="GDA1" s="101"/>
      <c r="GDB1" s="100"/>
      <c r="GDC1" s="102"/>
      <c r="GDE1" s="101"/>
      <c r="GDF1" s="100"/>
      <c r="GDG1" s="102"/>
      <c r="GDI1" s="101"/>
      <c r="GDJ1" s="100"/>
      <c r="GDK1" s="102"/>
      <c r="GDM1" s="101"/>
      <c r="GDN1" s="100"/>
      <c r="GDO1" s="102"/>
      <c r="GDQ1" s="101"/>
      <c r="GDR1" s="100"/>
      <c r="GDS1" s="102"/>
      <c r="GDU1" s="101"/>
      <c r="GDV1" s="100"/>
      <c r="GDW1" s="102"/>
      <c r="GDY1" s="101"/>
      <c r="GDZ1" s="100"/>
      <c r="GEA1" s="102"/>
      <c r="GEC1" s="101"/>
      <c r="GED1" s="100"/>
      <c r="GEE1" s="102"/>
      <c r="GEG1" s="101"/>
      <c r="GEH1" s="100"/>
      <c r="GEI1" s="102"/>
      <c r="GEK1" s="101"/>
      <c r="GEL1" s="100"/>
      <c r="GEM1" s="102"/>
      <c r="GEO1" s="101"/>
      <c r="GEP1" s="100"/>
      <c r="GEQ1" s="102"/>
      <c r="GES1" s="101"/>
      <c r="GET1" s="100"/>
      <c r="GEU1" s="102"/>
      <c r="GEW1" s="101"/>
      <c r="GEX1" s="100"/>
      <c r="GEY1" s="102"/>
      <c r="GFA1" s="101"/>
      <c r="GFB1" s="100"/>
      <c r="GFC1" s="102"/>
      <c r="GFE1" s="101"/>
      <c r="GFF1" s="100"/>
      <c r="GFG1" s="102"/>
      <c r="GFI1" s="101"/>
      <c r="GFJ1" s="100"/>
      <c r="GFK1" s="102"/>
      <c r="GFM1" s="101"/>
      <c r="GFN1" s="100"/>
      <c r="GFO1" s="102"/>
      <c r="GFQ1" s="101"/>
      <c r="GFR1" s="100"/>
      <c r="GFS1" s="102"/>
      <c r="GFU1" s="101"/>
      <c r="GFV1" s="100"/>
      <c r="GFW1" s="102"/>
      <c r="GFY1" s="101"/>
      <c r="GFZ1" s="100"/>
      <c r="GGA1" s="102"/>
      <c r="GGC1" s="101"/>
      <c r="GGD1" s="100"/>
      <c r="GGE1" s="102"/>
      <c r="GGG1" s="101"/>
      <c r="GGH1" s="100"/>
      <c r="GGI1" s="102"/>
      <c r="GGK1" s="101"/>
      <c r="GGL1" s="100"/>
      <c r="GGM1" s="102"/>
      <c r="GGO1" s="101"/>
      <c r="GGP1" s="100"/>
      <c r="GGQ1" s="102"/>
      <c r="GGS1" s="101"/>
      <c r="GGT1" s="100"/>
      <c r="GGU1" s="102"/>
      <c r="GGW1" s="101"/>
      <c r="GGX1" s="100"/>
      <c r="GGY1" s="102"/>
      <c r="GHA1" s="101"/>
      <c r="GHB1" s="100"/>
      <c r="GHC1" s="102"/>
      <c r="GHE1" s="101"/>
      <c r="GHF1" s="100"/>
      <c r="GHG1" s="102"/>
      <c r="GHI1" s="101"/>
      <c r="GHJ1" s="100"/>
      <c r="GHK1" s="102"/>
      <c r="GHM1" s="101"/>
      <c r="GHN1" s="100"/>
      <c r="GHO1" s="102"/>
      <c r="GHQ1" s="101"/>
      <c r="GHR1" s="100"/>
      <c r="GHS1" s="102"/>
      <c r="GHU1" s="101"/>
      <c r="GHV1" s="100"/>
      <c r="GHW1" s="102"/>
      <c r="GHY1" s="101"/>
      <c r="GHZ1" s="100"/>
      <c r="GIA1" s="102"/>
      <c r="GIC1" s="101"/>
      <c r="GID1" s="100"/>
      <c r="GIE1" s="102"/>
      <c r="GIG1" s="101"/>
      <c r="GIH1" s="100"/>
      <c r="GII1" s="102"/>
      <c r="GIK1" s="101"/>
      <c r="GIL1" s="100"/>
      <c r="GIM1" s="102"/>
      <c r="GIO1" s="101"/>
      <c r="GIP1" s="100"/>
      <c r="GIQ1" s="102"/>
      <c r="GIS1" s="101"/>
      <c r="GIT1" s="100"/>
      <c r="GIU1" s="102"/>
      <c r="GIW1" s="101"/>
      <c r="GIX1" s="100"/>
      <c r="GIY1" s="102"/>
      <c r="GJA1" s="101"/>
      <c r="GJB1" s="100"/>
      <c r="GJC1" s="102"/>
      <c r="GJE1" s="101"/>
      <c r="GJF1" s="100"/>
      <c r="GJG1" s="102"/>
      <c r="GJI1" s="101"/>
      <c r="GJJ1" s="100"/>
      <c r="GJK1" s="102"/>
      <c r="GJM1" s="101"/>
      <c r="GJN1" s="100"/>
      <c r="GJO1" s="102"/>
      <c r="GJQ1" s="101"/>
      <c r="GJR1" s="100"/>
      <c r="GJS1" s="102"/>
      <c r="GJU1" s="101"/>
      <c r="GJV1" s="100"/>
      <c r="GJW1" s="102"/>
      <c r="GJY1" s="101"/>
      <c r="GJZ1" s="100"/>
      <c r="GKA1" s="102"/>
      <c r="GKC1" s="101"/>
      <c r="GKD1" s="100"/>
      <c r="GKE1" s="102"/>
      <c r="GKG1" s="101"/>
      <c r="GKH1" s="100"/>
      <c r="GKI1" s="102"/>
      <c r="GKK1" s="101"/>
      <c r="GKL1" s="100"/>
      <c r="GKM1" s="102"/>
      <c r="GKO1" s="101"/>
      <c r="GKP1" s="100"/>
      <c r="GKQ1" s="102"/>
      <c r="GKS1" s="101"/>
      <c r="GKT1" s="100"/>
      <c r="GKU1" s="102"/>
      <c r="GKW1" s="101"/>
      <c r="GKX1" s="100"/>
      <c r="GKY1" s="102"/>
      <c r="GLA1" s="101"/>
      <c r="GLB1" s="100"/>
      <c r="GLC1" s="102"/>
      <c r="GLE1" s="101"/>
      <c r="GLF1" s="100"/>
      <c r="GLG1" s="102"/>
      <c r="GLI1" s="101"/>
      <c r="GLJ1" s="100"/>
      <c r="GLK1" s="102"/>
      <c r="GLM1" s="101"/>
      <c r="GLN1" s="100"/>
      <c r="GLO1" s="102"/>
      <c r="GLQ1" s="101"/>
      <c r="GLR1" s="100"/>
      <c r="GLS1" s="102"/>
      <c r="GLU1" s="101"/>
      <c r="GLV1" s="100"/>
      <c r="GLW1" s="102"/>
      <c r="GLY1" s="101"/>
      <c r="GLZ1" s="100"/>
      <c r="GMA1" s="102"/>
      <c r="GMC1" s="101"/>
      <c r="GMD1" s="100"/>
      <c r="GME1" s="102"/>
      <c r="GMG1" s="101"/>
      <c r="GMH1" s="100"/>
      <c r="GMI1" s="102"/>
      <c r="GMK1" s="101"/>
      <c r="GML1" s="100"/>
      <c r="GMM1" s="102"/>
      <c r="GMO1" s="101"/>
      <c r="GMP1" s="100"/>
      <c r="GMQ1" s="102"/>
      <c r="GMS1" s="101"/>
      <c r="GMT1" s="100"/>
      <c r="GMU1" s="102"/>
      <c r="GMW1" s="101"/>
      <c r="GMX1" s="100"/>
      <c r="GMY1" s="102"/>
      <c r="GNA1" s="101"/>
      <c r="GNB1" s="100"/>
      <c r="GNC1" s="102"/>
      <c r="GNE1" s="101"/>
      <c r="GNF1" s="100"/>
      <c r="GNG1" s="102"/>
      <c r="GNI1" s="101"/>
      <c r="GNJ1" s="100"/>
      <c r="GNK1" s="102"/>
      <c r="GNM1" s="101"/>
      <c r="GNN1" s="100"/>
      <c r="GNO1" s="102"/>
      <c r="GNQ1" s="101"/>
      <c r="GNR1" s="100"/>
      <c r="GNS1" s="102"/>
      <c r="GNU1" s="101"/>
      <c r="GNV1" s="100"/>
      <c r="GNW1" s="102"/>
      <c r="GNY1" s="101"/>
      <c r="GNZ1" s="100"/>
      <c r="GOA1" s="102"/>
      <c r="GOC1" s="101"/>
      <c r="GOD1" s="100"/>
      <c r="GOE1" s="102"/>
      <c r="GOG1" s="101"/>
      <c r="GOH1" s="100"/>
      <c r="GOI1" s="102"/>
      <c r="GOK1" s="101"/>
      <c r="GOL1" s="100"/>
      <c r="GOM1" s="102"/>
      <c r="GOO1" s="101"/>
      <c r="GOP1" s="100"/>
      <c r="GOQ1" s="102"/>
      <c r="GOS1" s="101"/>
      <c r="GOT1" s="100"/>
      <c r="GOU1" s="102"/>
      <c r="GOW1" s="101"/>
      <c r="GOX1" s="100"/>
      <c r="GOY1" s="102"/>
      <c r="GPA1" s="101"/>
      <c r="GPB1" s="100"/>
      <c r="GPC1" s="102"/>
      <c r="GPE1" s="101"/>
      <c r="GPF1" s="100"/>
      <c r="GPG1" s="102"/>
      <c r="GPI1" s="101"/>
      <c r="GPJ1" s="100"/>
      <c r="GPK1" s="102"/>
      <c r="GPM1" s="101"/>
      <c r="GPN1" s="100"/>
      <c r="GPO1" s="102"/>
      <c r="GPQ1" s="101"/>
      <c r="GPR1" s="100"/>
      <c r="GPS1" s="102"/>
      <c r="GPU1" s="101"/>
      <c r="GPV1" s="100"/>
      <c r="GPW1" s="102"/>
      <c r="GPY1" s="101"/>
      <c r="GPZ1" s="100"/>
      <c r="GQA1" s="102"/>
      <c r="GQC1" s="101"/>
      <c r="GQD1" s="100"/>
      <c r="GQE1" s="102"/>
      <c r="GQG1" s="101"/>
      <c r="GQH1" s="100"/>
      <c r="GQI1" s="102"/>
      <c r="GQK1" s="101"/>
      <c r="GQL1" s="100"/>
      <c r="GQM1" s="102"/>
      <c r="GQO1" s="101"/>
      <c r="GQP1" s="100"/>
      <c r="GQQ1" s="102"/>
      <c r="GQS1" s="101"/>
      <c r="GQT1" s="100"/>
      <c r="GQU1" s="102"/>
      <c r="GQW1" s="101"/>
      <c r="GQX1" s="100"/>
      <c r="GQY1" s="102"/>
      <c r="GRA1" s="101"/>
      <c r="GRB1" s="100"/>
      <c r="GRC1" s="102"/>
      <c r="GRE1" s="101"/>
      <c r="GRF1" s="100"/>
      <c r="GRG1" s="102"/>
      <c r="GRI1" s="101"/>
      <c r="GRJ1" s="100"/>
      <c r="GRK1" s="102"/>
      <c r="GRM1" s="101"/>
      <c r="GRN1" s="100"/>
      <c r="GRO1" s="102"/>
      <c r="GRQ1" s="101"/>
      <c r="GRR1" s="100"/>
      <c r="GRS1" s="102"/>
      <c r="GRU1" s="101"/>
      <c r="GRV1" s="100"/>
      <c r="GRW1" s="102"/>
      <c r="GRY1" s="101"/>
      <c r="GRZ1" s="100"/>
      <c r="GSA1" s="102"/>
      <c r="GSC1" s="101"/>
      <c r="GSD1" s="100"/>
      <c r="GSE1" s="102"/>
      <c r="GSG1" s="101"/>
      <c r="GSH1" s="100"/>
      <c r="GSI1" s="102"/>
      <c r="GSK1" s="101"/>
      <c r="GSL1" s="100"/>
      <c r="GSM1" s="102"/>
      <c r="GSO1" s="101"/>
      <c r="GSP1" s="100"/>
      <c r="GSQ1" s="102"/>
      <c r="GSS1" s="101"/>
      <c r="GST1" s="100"/>
      <c r="GSU1" s="102"/>
      <c r="GSW1" s="101"/>
      <c r="GSX1" s="100"/>
      <c r="GSY1" s="102"/>
      <c r="GTA1" s="101"/>
      <c r="GTB1" s="100"/>
      <c r="GTC1" s="102"/>
      <c r="GTE1" s="101"/>
      <c r="GTF1" s="100"/>
      <c r="GTG1" s="102"/>
      <c r="GTI1" s="101"/>
      <c r="GTJ1" s="100"/>
      <c r="GTK1" s="102"/>
      <c r="GTM1" s="101"/>
      <c r="GTN1" s="100"/>
      <c r="GTO1" s="102"/>
      <c r="GTQ1" s="101"/>
      <c r="GTR1" s="100"/>
      <c r="GTS1" s="102"/>
      <c r="GTU1" s="101"/>
      <c r="GTV1" s="100"/>
      <c r="GTW1" s="102"/>
      <c r="GTY1" s="101"/>
      <c r="GTZ1" s="100"/>
      <c r="GUA1" s="102"/>
      <c r="GUC1" s="101"/>
      <c r="GUD1" s="100"/>
      <c r="GUE1" s="102"/>
      <c r="GUG1" s="101"/>
      <c r="GUH1" s="100"/>
      <c r="GUI1" s="102"/>
      <c r="GUK1" s="101"/>
      <c r="GUL1" s="100"/>
      <c r="GUM1" s="102"/>
      <c r="GUO1" s="101"/>
      <c r="GUP1" s="100"/>
      <c r="GUQ1" s="102"/>
      <c r="GUS1" s="101"/>
      <c r="GUT1" s="100"/>
      <c r="GUU1" s="102"/>
      <c r="GUW1" s="101"/>
      <c r="GUX1" s="100"/>
      <c r="GUY1" s="102"/>
      <c r="GVA1" s="101"/>
      <c r="GVB1" s="100"/>
      <c r="GVC1" s="102"/>
      <c r="GVE1" s="101"/>
      <c r="GVF1" s="100"/>
      <c r="GVG1" s="102"/>
      <c r="GVI1" s="101"/>
      <c r="GVJ1" s="100"/>
      <c r="GVK1" s="102"/>
      <c r="GVM1" s="101"/>
      <c r="GVN1" s="100"/>
      <c r="GVO1" s="102"/>
      <c r="GVQ1" s="101"/>
      <c r="GVR1" s="100"/>
      <c r="GVS1" s="102"/>
      <c r="GVU1" s="101"/>
      <c r="GVV1" s="100"/>
      <c r="GVW1" s="102"/>
      <c r="GVY1" s="101"/>
      <c r="GVZ1" s="100"/>
      <c r="GWA1" s="102"/>
      <c r="GWC1" s="101"/>
      <c r="GWD1" s="100"/>
      <c r="GWE1" s="102"/>
      <c r="GWG1" s="101"/>
      <c r="GWH1" s="100"/>
      <c r="GWI1" s="102"/>
      <c r="GWK1" s="101"/>
      <c r="GWL1" s="100"/>
      <c r="GWM1" s="102"/>
      <c r="GWO1" s="101"/>
      <c r="GWP1" s="100"/>
      <c r="GWQ1" s="102"/>
      <c r="GWS1" s="101"/>
      <c r="GWT1" s="100"/>
      <c r="GWU1" s="102"/>
      <c r="GWW1" s="101"/>
      <c r="GWX1" s="100"/>
      <c r="GWY1" s="102"/>
      <c r="GXA1" s="101"/>
      <c r="GXB1" s="100"/>
      <c r="GXC1" s="102"/>
      <c r="GXE1" s="101"/>
      <c r="GXF1" s="100"/>
      <c r="GXG1" s="102"/>
      <c r="GXI1" s="101"/>
      <c r="GXJ1" s="100"/>
      <c r="GXK1" s="102"/>
      <c r="GXM1" s="101"/>
      <c r="GXN1" s="100"/>
      <c r="GXO1" s="102"/>
      <c r="GXQ1" s="101"/>
      <c r="GXR1" s="100"/>
      <c r="GXS1" s="102"/>
      <c r="GXU1" s="101"/>
      <c r="GXV1" s="100"/>
      <c r="GXW1" s="102"/>
      <c r="GXY1" s="101"/>
      <c r="GXZ1" s="100"/>
      <c r="GYA1" s="102"/>
      <c r="GYC1" s="101"/>
      <c r="GYD1" s="100"/>
      <c r="GYE1" s="102"/>
      <c r="GYG1" s="101"/>
      <c r="GYH1" s="100"/>
      <c r="GYI1" s="102"/>
      <c r="GYK1" s="101"/>
      <c r="GYL1" s="100"/>
      <c r="GYM1" s="102"/>
      <c r="GYO1" s="101"/>
      <c r="GYP1" s="100"/>
      <c r="GYQ1" s="102"/>
      <c r="GYS1" s="101"/>
      <c r="GYT1" s="100"/>
      <c r="GYU1" s="102"/>
      <c r="GYW1" s="101"/>
      <c r="GYX1" s="100"/>
      <c r="GYY1" s="102"/>
      <c r="GZA1" s="101"/>
      <c r="GZB1" s="100"/>
      <c r="GZC1" s="102"/>
      <c r="GZE1" s="101"/>
      <c r="GZF1" s="100"/>
      <c r="GZG1" s="102"/>
      <c r="GZI1" s="101"/>
      <c r="GZJ1" s="100"/>
      <c r="GZK1" s="102"/>
      <c r="GZM1" s="101"/>
      <c r="GZN1" s="100"/>
      <c r="GZO1" s="102"/>
      <c r="GZQ1" s="101"/>
      <c r="GZR1" s="100"/>
      <c r="GZS1" s="102"/>
      <c r="GZU1" s="101"/>
      <c r="GZV1" s="100"/>
      <c r="GZW1" s="102"/>
      <c r="GZY1" s="101"/>
      <c r="GZZ1" s="100"/>
      <c r="HAA1" s="102"/>
      <c r="HAC1" s="101"/>
      <c r="HAD1" s="100"/>
      <c r="HAE1" s="102"/>
      <c r="HAG1" s="101"/>
      <c r="HAH1" s="100"/>
      <c r="HAI1" s="102"/>
      <c r="HAK1" s="101"/>
      <c r="HAL1" s="100"/>
      <c r="HAM1" s="102"/>
      <c r="HAO1" s="101"/>
      <c r="HAP1" s="100"/>
      <c r="HAQ1" s="102"/>
      <c r="HAS1" s="101"/>
      <c r="HAT1" s="100"/>
      <c r="HAU1" s="102"/>
      <c r="HAW1" s="101"/>
      <c r="HAX1" s="100"/>
      <c r="HAY1" s="102"/>
      <c r="HBA1" s="101"/>
      <c r="HBB1" s="100"/>
      <c r="HBC1" s="102"/>
      <c r="HBE1" s="101"/>
      <c r="HBF1" s="100"/>
      <c r="HBG1" s="102"/>
      <c r="HBI1" s="101"/>
      <c r="HBJ1" s="100"/>
      <c r="HBK1" s="102"/>
      <c r="HBM1" s="101"/>
      <c r="HBN1" s="100"/>
      <c r="HBO1" s="102"/>
      <c r="HBQ1" s="101"/>
      <c r="HBR1" s="100"/>
      <c r="HBS1" s="102"/>
      <c r="HBU1" s="101"/>
      <c r="HBV1" s="100"/>
      <c r="HBW1" s="102"/>
      <c r="HBY1" s="101"/>
      <c r="HBZ1" s="100"/>
      <c r="HCA1" s="102"/>
      <c r="HCC1" s="101"/>
      <c r="HCD1" s="100"/>
      <c r="HCE1" s="102"/>
      <c r="HCG1" s="101"/>
      <c r="HCH1" s="100"/>
      <c r="HCI1" s="102"/>
      <c r="HCK1" s="101"/>
      <c r="HCL1" s="100"/>
      <c r="HCM1" s="102"/>
      <c r="HCO1" s="101"/>
      <c r="HCP1" s="100"/>
      <c r="HCQ1" s="102"/>
      <c r="HCS1" s="101"/>
      <c r="HCT1" s="100"/>
      <c r="HCU1" s="102"/>
      <c r="HCW1" s="101"/>
      <c r="HCX1" s="100"/>
      <c r="HCY1" s="102"/>
      <c r="HDA1" s="101"/>
      <c r="HDB1" s="100"/>
      <c r="HDC1" s="102"/>
      <c r="HDE1" s="101"/>
      <c r="HDF1" s="100"/>
      <c r="HDG1" s="102"/>
      <c r="HDI1" s="101"/>
      <c r="HDJ1" s="100"/>
      <c r="HDK1" s="102"/>
      <c r="HDM1" s="101"/>
      <c r="HDN1" s="100"/>
      <c r="HDO1" s="102"/>
      <c r="HDQ1" s="101"/>
      <c r="HDR1" s="100"/>
      <c r="HDS1" s="102"/>
      <c r="HDU1" s="101"/>
      <c r="HDV1" s="100"/>
      <c r="HDW1" s="102"/>
      <c r="HDY1" s="101"/>
      <c r="HDZ1" s="100"/>
      <c r="HEA1" s="102"/>
      <c r="HEC1" s="101"/>
      <c r="HED1" s="100"/>
      <c r="HEE1" s="102"/>
      <c r="HEG1" s="101"/>
      <c r="HEH1" s="100"/>
      <c r="HEI1" s="102"/>
      <c r="HEK1" s="101"/>
      <c r="HEL1" s="100"/>
      <c r="HEM1" s="102"/>
      <c r="HEO1" s="101"/>
      <c r="HEP1" s="100"/>
      <c r="HEQ1" s="102"/>
      <c r="HES1" s="101"/>
      <c r="HET1" s="100"/>
      <c r="HEU1" s="102"/>
      <c r="HEW1" s="101"/>
      <c r="HEX1" s="100"/>
      <c r="HEY1" s="102"/>
      <c r="HFA1" s="101"/>
      <c r="HFB1" s="100"/>
      <c r="HFC1" s="102"/>
      <c r="HFE1" s="101"/>
      <c r="HFF1" s="100"/>
      <c r="HFG1" s="102"/>
      <c r="HFI1" s="101"/>
      <c r="HFJ1" s="100"/>
      <c r="HFK1" s="102"/>
      <c r="HFM1" s="101"/>
      <c r="HFN1" s="100"/>
      <c r="HFO1" s="102"/>
      <c r="HFQ1" s="101"/>
      <c r="HFR1" s="100"/>
      <c r="HFS1" s="102"/>
      <c r="HFU1" s="101"/>
      <c r="HFV1" s="100"/>
      <c r="HFW1" s="102"/>
      <c r="HFY1" s="101"/>
      <c r="HFZ1" s="100"/>
      <c r="HGA1" s="102"/>
      <c r="HGC1" s="101"/>
      <c r="HGD1" s="100"/>
      <c r="HGE1" s="102"/>
      <c r="HGG1" s="101"/>
      <c r="HGH1" s="100"/>
      <c r="HGI1" s="102"/>
      <c r="HGK1" s="101"/>
      <c r="HGL1" s="100"/>
      <c r="HGM1" s="102"/>
      <c r="HGO1" s="101"/>
      <c r="HGP1" s="100"/>
      <c r="HGQ1" s="102"/>
      <c r="HGS1" s="101"/>
      <c r="HGT1" s="100"/>
      <c r="HGU1" s="102"/>
      <c r="HGW1" s="101"/>
      <c r="HGX1" s="100"/>
      <c r="HGY1" s="102"/>
      <c r="HHA1" s="101"/>
      <c r="HHB1" s="100"/>
      <c r="HHC1" s="102"/>
      <c r="HHE1" s="101"/>
      <c r="HHF1" s="100"/>
      <c r="HHG1" s="102"/>
      <c r="HHI1" s="101"/>
      <c r="HHJ1" s="100"/>
      <c r="HHK1" s="102"/>
      <c r="HHM1" s="101"/>
      <c r="HHN1" s="100"/>
      <c r="HHO1" s="102"/>
      <c r="HHQ1" s="101"/>
      <c r="HHR1" s="100"/>
      <c r="HHS1" s="102"/>
      <c r="HHU1" s="101"/>
      <c r="HHV1" s="100"/>
      <c r="HHW1" s="102"/>
      <c r="HHY1" s="101"/>
      <c r="HHZ1" s="100"/>
      <c r="HIA1" s="102"/>
      <c r="HIC1" s="101"/>
      <c r="HID1" s="100"/>
      <c r="HIE1" s="102"/>
      <c r="HIG1" s="101"/>
      <c r="HIH1" s="100"/>
      <c r="HII1" s="102"/>
      <c r="HIK1" s="101"/>
      <c r="HIL1" s="100"/>
      <c r="HIM1" s="102"/>
      <c r="HIO1" s="101"/>
      <c r="HIP1" s="100"/>
      <c r="HIQ1" s="102"/>
      <c r="HIS1" s="101"/>
      <c r="HIT1" s="100"/>
      <c r="HIU1" s="102"/>
      <c r="HIW1" s="101"/>
      <c r="HIX1" s="100"/>
      <c r="HIY1" s="102"/>
      <c r="HJA1" s="101"/>
      <c r="HJB1" s="100"/>
      <c r="HJC1" s="102"/>
      <c r="HJE1" s="101"/>
      <c r="HJF1" s="100"/>
      <c r="HJG1" s="102"/>
      <c r="HJI1" s="101"/>
      <c r="HJJ1" s="100"/>
      <c r="HJK1" s="102"/>
      <c r="HJM1" s="101"/>
      <c r="HJN1" s="100"/>
      <c r="HJO1" s="102"/>
      <c r="HJQ1" s="101"/>
      <c r="HJR1" s="100"/>
      <c r="HJS1" s="102"/>
      <c r="HJU1" s="101"/>
      <c r="HJV1" s="100"/>
      <c r="HJW1" s="102"/>
      <c r="HJY1" s="101"/>
      <c r="HJZ1" s="100"/>
      <c r="HKA1" s="102"/>
      <c r="HKC1" s="101"/>
      <c r="HKD1" s="100"/>
      <c r="HKE1" s="102"/>
      <c r="HKG1" s="101"/>
      <c r="HKH1" s="100"/>
      <c r="HKI1" s="102"/>
      <c r="HKK1" s="101"/>
      <c r="HKL1" s="100"/>
      <c r="HKM1" s="102"/>
      <c r="HKO1" s="101"/>
      <c r="HKP1" s="100"/>
      <c r="HKQ1" s="102"/>
      <c r="HKS1" s="101"/>
      <c r="HKT1" s="100"/>
      <c r="HKU1" s="102"/>
      <c r="HKW1" s="101"/>
      <c r="HKX1" s="100"/>
      <c r="HKY1" s="102"/>
      <c r="HLA1" s="101"/>
      <c r="HLB1" s="100"/>
      <c r="HLC1" s="102"/>
      <c r="HLE1" s="101"/>
      <c r="HLF1" s="100"/>
      <c r="HLG1" s="102"/>
      <c r="HLI1" s="101"/>
      <c r="HLJ1" s="100"/>
      <c r="HLK1" s="102"/>
      <c r="HLM1" s="101"/>
      <c r="HLN1" s="100"/>
      <c r="HLO1" s="102"/>
      <c r="HLQ1" s="101"/>
      <c r="HLR1" s="100"/>
      <c r="HLS1" s="102"/>
      <c r="HLU1" s="101"/>
      <c r="HLV1" s="100"/>
      <c r="HLW1" s="102"/>
      <c r="HLY1" s="101"/>
      <c r="HLZ1" s="100"/>
      <c r="HMA1" s="102"/>
      <c r="HMC1" s="101"/>
      <c r="HMD1" s="100"/>
      <c r="HME1" s="102"/>
      <c r="HMG1" s="101"/>
      <c r="HMH1" s="100"/>
      <c r="HMI1" s="102"/>
      <c r="HMK1" s="101"/>
      <c r="HML1" s="100"/>
      <c r="HMM1" s="102"/>
      <c r="HMO1" s="101"/>
      <c r="HMP1" s="100"/>
      <c r="HMQ1" s="102"/>
      <c r="HMS1" s="101"/>
      <c r="HMT1" s="100"/>
      <c r="HMU1" s="102"/>
      <c r="HMW1" s="101"/>
      <c r="HMX1" s="100"/>
      <c r="HMY1" s="102"/>
      <c r="HNA1" s="101"/>
      <c r="HNB1" s="100"/>
      <c r="HNC1" s="102"/>
      <c r="HNE1" s="101"/>
      <c r="HNF1" s="100"/>
      <c r="HNG1" s="102"/>
      <c r="HNI1" s="101"/>
      <c r="HNJ1" s="100"/>
      <c r="HNK1" s="102"/>
      <c r="HNM1" s="101"/>
      <c r="HNN1" s="100"/>
      <c r="HNO1" s="102"/>
      <c r="HNQ1" s="101"/>
      <c r="HNR1" s="100"/>
      <c r="HNS1" s="102"/>
      <c r="HNU1" s="101"/>
      <c r="HNV1" s="100"/>
      <c r="HNW1" s="102"/>
      <c r="HNY1" s="101"/>
      <c r="HNZ1" s="100"/>
      <c r="HOA1" s="102"/>
      <c r="HOC1" s="101"/>
      <c r="HOD1" s="100"/>
      <c r="HOE1" s="102"/>
      <c r="HOG1" s="101"/>
      <c r="HOH1" s="100"/>
      <c r="HOI1" s="102"/>
      <c r="HOK1" s="101"/>
      <c r="HOL1" s="100"/>
      <c r="HOM1" s="102"/>
      <c r="HOO1" s="101"/>
      <c r="HOP1" s="100"/>
      <c r="HOQ1" s="102"/>
      <c r="HOS1" s="101"/>
      <c r="HOT1" s="100"/>
      <c r="HOU1" s="102"/>
      <c r="HOW1" s="101"/>
      <c r="HOX1" s="100"/>
      <c r="HOY1" s="102"/>
      <c r="HPA1" s="101"/>
      <c r="HPB1" s="100"/>
      <c r="HPC1" s="102"/>
      <c r="HPE1" s="101"/>
      <c r="HPF1" s="100"/>
      <c r="HPG1" s="102"/>
      <c r="HPI1" s="101"/>
      <c r="HPJ1" s="100"/>
      <c r="HPK1" s="102"/>
      <c r="HPM1" s="101"/>
      <c r="HPN1" s="100"/>
      <c r="HPO1" s="102"/>
      <c r="HPQ1" s="101"/>
      <c r="HPR1" s="100"/>
      <c r="HPS1" s="102"/>
      <c r="HPU1" s="101"/>
      <c r="HPV1" s="100"/>
      <c r="HPW1" s="102"/>
      <c r="HPY1" s="101"/>
      <c r="HPZ1" s="100"/>
      <c r="HQA1" s="102"/>
      <c r="HQC1" s="101"/>
      <c r="HQD1" s="100"/>
      <c r="HQE1" s="102"/>
      <c r="HQG1" s="101"/>
      <c r="HQH1" s="100"/>
      <c r="HQI1" s="102"/>
      <c r="HQK1" s="101"/>
      <c r="HQL1" s="100"/>
      <c r="HQM1" s="102"/>
      <c r="HQO1" s="101"/>
      <c r="HQP1" s="100"/>
      <c r="HQQ1" s="102"/>
      <c r="HQS1" s="101"/>
      <c r="HQT1" s="100"/>
      <c r="HQU1" s="102"/>
      <c r="HQW1" s="101"/>
      <c r="HQX1" s="100"/>
      <c r="HQY1" s="102"/>
      <c r="HRA1" s="101"/>
      <c r="HRB1" s="100"/>
      <c r="HRC1" s="102"/>
      <c r="HRE1" s="101"/>
      <c r="HRF1" s="100"/>
      <c r="HRG1" s="102"/>
      <c r="HRI1" s="101"/>
      <c r="HRJ1" s="100"/>
      <c r="HRK1" s="102"/>
      <c r="HRM1" s="101"/>
      <c r="HRN1" s="100"/>
      <c r="HRO1" s="102"/>
      <c r="HRQ1" s="101"/>
      <c r="HRR1" s="100"/>
      <c r="HRS1" s="102"/>
      <c r="HRU1" s="101"/>
      <c r="HRV1" s="100"/>
      <c r="HRW1" s="102"/>
      <c r="HRY1" s="101"/>
      <c r="HRZ1" s="100"/>
      <c r="HSA1" s="102"/>
      <c r="HSC1" s="101"/>
      <c r="HSD1" s="100"/>
      <c r="HSE1" s="102"/>
      <c r="HSG1" s="101"/>
      <c r="HSH1" s="100"/>
      <c r="HSI1" s="102"/>
      <c r="HSK1" s="101"/>
      <c r="HSL1" s="100"/>
      <c r="HSM1" s="102"/>
      <c r="HSO1" s="101"/>
      <c r="HSP1" s="100"/>
      <c r="HSQ1" s="102"/>
      <c r="HSS1" s="101"/>
      <c r="HST1" s="100"/>
      <c r="HSU1" s="102"/>
      <c r="HSW1" s="101"/>
      <c r="HSX1" s="100"/>
      <c r="HSY1" s="102"/>
      <c r="HTA1" s="101"/>
      <c r="HTB1" s="100"/>
      <c r="HTC1" s="102"/>
      <c r="HTE1" s="101"/>
      <c r="HTF1" s="100"/>
      <c r="HTG1" s="102"/>
      <c r="HTI1" s="101"/>
      <c r="HTJ1" s="100"/>
      <c r="HTK1" s="102"/>
      <c r="HTM1" s="101"/>
      <c r="HTN1" s="100"/>
      <c r="HTO1" s="102"/>
      <c r="HTQ1" s="101"/>
      <c r="HTR1" s="100"/>
      <c r="HTS1" s="102"/>
      <c r="HTU1" s="101"/>
      <c r="HTV1" s="100"/>
      <c r="HTW1" s="102"/>
      <c r="HTY1" s="101"/>
      <c r="HTZ1" s="100"/>
      <c r="HUA1" s="102"/>
      <c r="HUC1" s="101"/>
      <c r="HUD1" s="100"/>
      <c r="HUE1" s="102"/>
      <c r="HUG1" s="101"/>
      <c r="HUH1" s="100"/>
      <c r="HUI1" s="102"/>
      <c r="HUK1" s="101"/>
      <c r="HUL1" s="100"/>
      <c r="HUM1" s="102"/>
      <c r="HUO1" s="101"/>
      <c r="HUP1" s="100"/>
      <c r="HUQ1" s="102"/>
      <c r="HUS1" s="101"/>
      <c r="HUT1" s="100"/>
      <c r="HUU1" s="102"/>
      <c r="HUW1" s="101"/>
      <c r="HUX1" s="100"/>
      <c r="HUY1" s="102"/>
      <c r="HVA1" s="101"/>
      <c r="HVB1" s="100"/>
      <c r="HVC1" s="102"/>
      <c r="HVE1" s="101"/>
      <c r="HVF1" s="100"/>
      <c r="HVG1" s="102"/>
      <c r="HVI1" s="101"/>
      <c r="HVJ1" s="100"/>
      <c r="HVK1" s="102"/>
      <c r="HVM1" s="101"/>
      <c r="HVN1" s="100"/>
      <c r="HVO1" s="102"/>
      <c r="HVQ1" s="101"/>
      <c r="HVR1" s="100"/>
      <c r="HVS1" s="102"/>
      <c r="HVU1" s="101"/>
      <c r="HVV1" s="100"/>
      <c r="HVW1" s="102"/>
      <c r="HVY1" s="101"/>
      <c r="HVZ1" s="100"/>
      <c r="HWA1" s="102"/>
      <c r="HWC1" s="101"/>
      <c r="HWD1" s="100"/>
      <c r="HWE1" s="102"/>
      <c r="HWG1" s="101"/>
      <c r="HWH1" s="100"/>
      <c r="HWI1" s="102"/>
      <c r="HWK1" s="101"/>
      <c r="HWL1" s="100"/>
      <c r="HWM1" s="102"/>
      <c r="HWO1" s="101"/>
      <c r="HWP1" s="100"/>
      <c r="HWQ1" s="102"/>
      <c r="HWS1" s="101"/>
      <c r="HWT1" s="100"/>
      <c r="HWU1" s="102"/>
      <c r="HWW1" s="101"/>
      <c r="HWX1" s="100"/>
      <c r="HWY1" s="102"/>
      <c r="HXA1" s="101"/>
      <c r="HXB1" s="100"/>
      <c r="HXC1" s="102"/>
      <c r="HXE1" s="101"/>
      <c r="HXF1" s="100"/>
      <c r="HXG1" s="102"/>
      <c r="HXI1" s="101"/>
      <c r="HXJ1" s="100"/>
      <c r="HXK1" s="102"/>
      <c r="HXM1" s="101"/>
      <c r="HXN1" s="100"/>
      <c r="HXO1" s="102"/>
      <c r="HXQ1" s="101"/>
      <c r="HXR1" s="100"/>
      <c r="HXS1" s="102"/>
      <c r="HXU1" s="101"/>
      <c r="HXV1" s="100"/>
      <c r="HXW1" s="102"/>
      <c r="HXY1" s="101"/>
      <c r="HXZ1" s="100"/>
      <c r="HYA1" s="102"/>
      <c r="HYC1" s="101"/>
      <c r="HYD1" s="100"/>
      <c r="HYE1" s="102"/>
      <c r="HYG1" s="101"/>
      <c r="HYH1" s="100"/>
      <c r="HYI1" s="102"/>
      <c r="HYK1" s="101"/>
      <c r="HYL1" s="100"/>
      <c r="HYM1" s="102"/>
      <c r="HYO1" s="101"/>
      <c r="HYP1" s="100"/>
      <c r="HYQ1" s="102"/>
      <c r="HYS1" s="101"/>
      <c r="HYT1" s="100"/>
      <c r="HYU1" s="102"/>
      <c r="HYW1" s="101"/>
      <c r="HYX1" s="100"/>
      <c r="HYY1" s="102"/>
      <c r="HZA1" s="101"/>
      <c r="HZB1" s="100"/>
      <c r="HZC1" s="102"/>
      <c r="HZE1" s="101"/>
      <c r="HZF1" s="100"/>
      <c r="HZG1" s="102"/>
      <c r="HZI1" s="101"/>
      <c r="HZJ1" s="100"/>
      <c r="HZK1" s="102"/>
      <c r="HZM1" s="101"/>
      <c r="HZN1" s="100"/>
      <c r="HZO1" s="102"/>
      <c r="HZQ1" s="101"/>
      <c r="HZR1" s="100"/>
      <c r="HZS1" s="102"/>
      <c r="HZU1" s="101"/>
      <c r="HZV1" s="100"/>
      <c r="HZW1" s="102"/>
      <c r="HZY1" s="101"/>
      <c r="HZZ1" s="100"/>
      <c r="IAA1" s="102"/>
      <c r="IAC1" s="101"/>
      <c r="IAD1" s="100"/>
      <c r="IAE1" s="102"/>
      <c r="IAG1" s="101"/>
      <c r="IAH1" s="100"/>
      <c r="IAI1" s="102"/>
      <c r="IAK1" s="101"/>
      <c r="IAL1" s="100"/>
      <c r="IAM1" s="102"/>
      <c r="IAO1" s="101"/>
      <c r="IAP1" s="100"/>
      <c r="IAQ1" s="102"/>
      <c r="IAS1" s="101"/>
      <c r="IAT1" s="100"/>
      <c r="IAU1" s="102"/>
      <c r="IAW1" s="101"/>
      <c r="IAX1" s="100"/>
      <c r="IAY1" s="102"/>
      <c r="IBA1" s="101"/>
      <c r="IBB1" s="100"/>
      <c r="IBC1" s="102"/>
      <c r="IBE1" s="101"/>
      <c r="IBF1" s="100"/>
      <c r="IBG1" s="102"/>
      <c r="IBI1" s="101"/>
      <c r="IBJ1" s="100"/>
      <c r="IBK1" s="102"/>
      <c r="IBM1" s="101"/>
      <c r="IBN1" s="100"/>
      <c r="IBO1" s="102"/>
      <c r="IBQ1" s="101"/>
      <c r="IBR1" s="100"/>
      <c r="IBS1" s="102"/>
      <c r="IBU1" s="101"/>
      <c r="IBV1" s="100"/>
      <c r="IBW1" s="102"/>
      <c r="IBY1" s="101"/>
      <c r="IBZ1" s="100"/>
      <c r="ICA1" s="102"/>
      <c r="ICC1" s="101"/>
      <c r="ICD1" s="100"/>
      <c r="ICE1" s="102"/>
      <c r="ICG1" s="101"/>
      <c r="ICH1" s="100"/>
      <c r="ICI1" s="102"/>
      <c r="ICK1" s="101"/>
      <c r="ICL1" s="100"/>
      <c r="ICM1" s="102"/>
      <c r="ICO1" s="101"/>
      <c r="ICP1" s="100"/>
      <c r="ICQ1" s="102"/>
      <c r="ICS1" s="101"/>
      <c r="ICT1" s="100"/>
      <c r="ICU1" s="102"/>
      <c r="ICW1" s="101"/>
      <c r="ICX1" s="100"/>
      <c r="ICY1" s="102"/>
      <c r="IDA1" s="101"/>
      <c r="IDB1" s="100"/>
      <c r="IDC1" s="102"/>
      <c r="IDE1" s="101"/>
      <c r="IDF1" s="100"/>
      <c r="IDG1" s="102"/>
      <c r="IDI1" s="101"/>
      <c r="IDJ1" s="100"/>
      <c r="IDK1" s="102"/>
      <c r="IDM1" s="101"/>
      <c r="IDN1" s="100"/>
      <c r="IDO1" s="102"/>
      <c r="IDQ1" s="101"/>
      <c r="IDR1" s="100"/>
      <c r="IDS1" s="102"/>
      <c r="IDU1" s="101"/>
      <c r="IDV1" s="100"/>
      <c r="IDW1" s="102"/>
      <c r="IDY1" s="101"/>
      <c r="IDZ1" s="100"/>
      <c r="IEA1" s="102"/>
      <c r="IEC1" s="101"/>
      <c r="IED1" s="100"/>
      <c r="IEE1" s="102"/>
      <c r="IEG1" s="101"/>
      <c r="IEH1" s="100"/>
      <c r="IEI1" s="102"/>
      <c r="IEK1" s="101"/>
      <c r="IEL1" s="100"/>
      <c r="IEM1" s="102"/>
      <c r="IEO1" s="101"/>
      <c r="IEP1" s="100"/>
      <c r="IEQ1" s="102"/>
      <c r="IES1" s="101"/>
      <c r="IET1" s="100"/>
      <c r="IEU1" s="102"/>
      <c r="IEW1" s="101"/>
      <c r="IEX1" s="100"/>
      <c r="IEY1" s="102"/>
      <c r="IFA1" s="101"/>
      <c r="IFB1" s="100"/>
      <c r="IFC1" s="102"/>
      <c r="IFE1" s="101"/>
      <c r="IFF1" s="100"/>
      <c r="IFG1" s="102"/>
      <c r="IFI1" s="101"/>
      <c r="IFJ1" s="100"/>
      <c r="IFK1" s="102"/>
      <c r="IFM1" s="101"/>
      <c r="IFN1" s="100"/>
      <c r="IFO1" s="102"/>
      <c r="IFQ1" s="101"/>
      <c r="IFR1" s="100"/>
      <c r="IFS1" s="102"/>
      <c r="IFU1" s="101"/>
      <c r="IFV1" s="100"/>
      <c r="IFW1" s="102"/>
      <c r="IFY1" s="101"/>
      <c r="IFZ1" s="100"/>
      <c r="IGA1" s="102"/>
      <c r="IGC1" s="101"/>
      <c r="IGD1" s="100"/>
      <c r="IGE1" s="102"/>
      <c r="IGG1" s="101"/>
      <c r="IGH1" s="100"/>
      <c r="IGI1" s="102"/>
      <c r="IGK1" s="101"/>
      <c r="IGL1" s="100"/>
      <c r="IGM1" s="102"/>
      <c r="IGO1" s="101"/>
      <c r="IGP1" s="100"/>
      <c r="IGQ1" s="102"/>
      <c r="IGS1" s="101"/>
      <c r="IGT1" s="100"/>
      <c r="IGU1" s="102"/>
      <c r="IGW1" s="101"/>
      <c r="IGX1" s="100"/>
      <c r="IGY1" s="102"/>
      <c r="IHA1" s="101"/>
      <c r="IHB1" s="100"/>
      <c r="IHC1" s="102"/>
      <c r="IHE1" s="101"/>
      <c r="IHF1" s="100"/>
      <c r="IHG1" s="102"/>
      <c r="IHI1" s="101"/>
      <c r="IHJ1" s="100"/>
      <c r="IHK1" s="102"/>
      <c r="IHM1" s="101"/>
      <c r="IHN1" s="100"/>
      <c r="IHO1" s="102"/>
      <c r="IHQ1" s="101"/>
      <c r="IHR1" s="100"/>
      <c r="IHS1" s="102"/>
      <c r="IHU1" s="101"/>
      <c r="IHV1" s="100"/>
      <c r="IHW1" s="102"/>
      <c r="IHY1" s="101"/>
      <c r="IHZ1" s="100"/>
      <c r="IIA1" s="102"/>
      <c r="IIC1" s="101"/>
      <c r="IID1" s="100"/>
      <c r="IIE1" s="102"/>
      <c r="IIG1" s="101"/>
      <c r="IIH1" s="100"/>
      <c r="III1" s="102"/>
      <c r="IIK1" s="101"/>
      <c r="IIL1" s="100"/>
      <c r="IIM1" s="102"/>
      <c r="IIO1" s="101"/>
      <c r="IIP1" s="100"/>
      <c r="IIQ1" s="102"/>
      <c r="IIS1" s="101"/>
      <c r="IIT1" s="100"/>
      <c r="IIU1" s="102"/>
      <c r="IIW1" s="101"/>
      <c r="IIX1" s="100"/>
      <c r="IIY1" s="102"/>
      <c r="IJA1" s="101"/>
      <c r="IJB1" s="100"/>
      <c r="IJC1" s="102"/>
      <c r="IJE1" s="101"/>
      <c r="IJF1" s="100"/>
      <c r="IJG1" s="102"/>
      <c r="IJI1" s="101"/>
      <c r="IJJ1" s="100"/>
      <c r="IJK1" s="102"/>
      <c r="IJM1" s="101"/>
      <c r="IJN1" s="100"/>
      <c r="IJO1" s="102"/>
      <c r="IJQ1" s="101"/>
      <c r="IJR1" s="100"/>
      <c r="IJS1" s="102"/>
      <c r="IJU1" s="101"/>
      <c r="IJV1" s="100"/>
      <c r="IJW1" s="102"/>
      <c r="IJY1" s="101"/>
      <c r="IJZ1" s="100"/>
      <c r="IKA1" s="102"/>
      <c r="IKC1" s="101"/>
      <c r="IKD1" s="100"/>
      <c r="IKE1" s="102"/>
      <c r="IKG1" s="101"/>
      <c r="IKH1" s="100"/>
      <c r="IKI1" s="102"/>
      <c r="IKK1" s="101"/>
      <c r="IKL1" s="100"/>
      <c r="IKM1" s="102"/>
      <c r="IKO1" s="101"/>
      <c r="IKP1" s="100"/>
      <c r="IKQ1" s="102"/>
      <c r="IKS1" s="101"/>
      <c r="IKT1" s="100"/>
      <c r="IKU1" s="102"/>
      <c r="IKW1" s="101"/>
      <c r="IKX1" s="100"/>
      <c r="IKY1" s="102"/>
      <c r="ILA1" s="101"/>
      <c r="ILB1" s="100"/>
      <c r="ILC1" s="102"/>
      <c r="ILE1" s="101"/>
      <c r="ILF1" s="100"/>
      <c r="ILG1" s="102"/>
      <c r="ILI1" s="101"/>
      <c r="ILJ1" s="100"/>
      <c r="ILK1" s="102"/>
      <c r="ILM1" s="101"/>
      <c r="ILN1" s="100"/>
      <c r="ILO1" s="102"/>
      <c r="ILQ1" s="101"/>
      <c r="ILR1" s="100"/>
      <c r="ILS1" s="102"/>
      <c r="ILU1" s="101"/>
      <c r="ILV1" s="100"/>
      <c r="ILW1" s="102"/>
      <c r="ILY1" s="101"/>
      <c r="ILZ1" s="100"/>
      <c r="IMA1" s="102"/>
      <c r="IMC1" s="101"/>
      <c r="IMD1" s="100"/>
      <c r="IME1" s="102"/>
      <c r="IMG1" s="101"/>
      <c r="IMH1" s="100"/>
      <c r="IMI1" s="102"/>
      <c r="IMK1" s="101"/>
      <c r="IML1" s="100"/>
      <c r="IMM1" s="102"/>
      <c r="IMO1" s="101"/>
      <c r="IMP1" s="100"/>
      <c r="IMQ1" s="102"/>
      <c r="IMS1" s="101"/>
      <c r="IMT1" s="100"/>
      <c r="IMU1" s="102"/>
      <c r="IMW1" s="101"/>
      <c r="IMX1" s="100"/>
      <c r="IMY1" s="102"/>
      <c r="INA1" s="101"/>
      <c r="INB1" s="100"/>
      <c r="INC1" s="102"/>
      <c r="INE1" s="101"/>
      <c r="INF1" s="100"/>
      <c r="ING1" s="102"/>
      <c r="INI1" s="101"/>
      <c r="INJ1" s="100"/>
      <c r="INK1" s="102"/>
      <c r="INM1" s="101"/>
      <c r="INN1" s="100"/>
      <c r="INO1" s="102"/>
      <c r="INQ1" s="101"/>
      <c r="INR1" s="100"/>
      <c r="INS1" s="102"/>
      <c r="INU1" s="101"/>
      <c r="INV1" s="100"/>
      <c r="INW1" s="102"/>
      <c r="INY1" s="101"/>
      <c r="INZ1" s="100"/>
      <c r="IOA1" s="102"/>
      <c r="IOC1" s="101"/>
      <c r="IOD1" s="100"/>
      <c r="IOE1" s="102"/>
      <c r="IOG1" s="101"/>
      <c r="IOH1" s="100"/>
      <c r="IOI1" s="102"/>
      <c r="IOK1" s="101"/>
      <c r="IOL1" s="100"/>
      <c r="IOM1" s="102"/>
      <c r="IOO1" s="101"/>
      <c r="IOP1" s="100"/>
      <c r="IOQ1" s="102"/>
      <c r="IOS1" s="101"/>
      <c r="IOT1" s="100"/>
      <c r="IOU1" s="102"/>
      <c r="IOW1" s="101"/>
      <c r="IOX1" s="100"/>
      <c r="IOY1" s="102"/>
      <c r="IPA1" s="101"/>
      <c r="IPB1" s="100"/>
      <c r="IPC1" s="102"/>
      <c r="IPE1" s="101"/>
      <c r="IPF1" s="100"/>
      <c r="IPG1" s="102"/>
      <c r="IPI1" s="101"/>
      <c r="IPJ1" s="100"/>
      <c r="IPK1" s="102"/>
      <c r="IPM1" s="101"/>
      <c r="IPN1" s="100"/>
      <c r="IPO1" s="102"/>
      <c r="IPQ1" s="101"/>
      <c r="IPR1" s="100"/>
      <c r="IPS1" s="102"/>
      <c r="IPU1" s="101"/>
      <c r="IPV1" s="100"/>
      <c r="IPW1" s="102"/>
      <c r="IPY1" s="101"/>
      <c r="IPZ1" s="100"/>
      <c r="IQA1" s="102"/>
      <c r="IQC1" s="101"/>
      <c r="IQD1" s="100"/>
      <c r="IQE1" s="102"/>
      <c r="IQG1" s="101"/>
      <c r="IQH1" s="100"/>
      <c r="IQI1" s="102"/>
      <c r="IQK1" s="101"/>
      <c r="IQL1" s="100"/>
      <c r="IQM1" s="102"/>
      <c r="IQO1" s="101"/>
      <c r="IQP1" s="100"/>
      <c r="IQQ1" s="102"/>
      <c r="IQS1" s="101"/>
      <c r="IQT1" s="100"/>
      <c r="IQU1" s="102"/>
      <c r="IQW1" s="101"/>
      <c r="IQX1" s="100"/>
      <c r="IQY1" s="102"/>
      <c r="IRA1" s="101"/>
      <c r="IRB1" s="100"/>
      <c r="IRC1" s="102"/>
      <c r="IRE1" s="101"/>
      <c r="IRF1" s="100"/>
      <c r="IRG1" s="102"/>
      <c r="IRI1" s="101"/>
      <c r="IRJ1" s="100"/>
      <c r="IRK1" s="102"/>
      <c r="IRM1" s="101"/>
      <c r="IRN1" s="100"/>
      <c r="IRO1" s="102"/>
      <c r="IRQ1" s="101"/>
      <c r="IRR1" s="100"/>
      <c r="IRS1" s="102"/>
      <c r="IRU1" s="101"/>
      <c r="IRV1" s="100"/>
      <c r="IRW1" s="102"/>
      <c r="IRY1" s="101"/>
      <c r="IRZ1" s="100"/>
      <c r="ISA1" s="102"/>
      <c r="ISC1" s="101"/>
      <c r="ISD1" s="100"/>
      <c r="ISE1" s="102"/>
      <c r="ISG1" s="101"/>
      <c r="ISH1" s="100"/>
      <c r="ISI1" s="102"/>
      <c r="ISK1" s="101"/>
      <c r="ISL1" s="100"/>
      <c r="ISM1" s="102"/>
      <c r="ISO1" s="101"/>
      <c r="ISP1" s="100"/>
      <c r="ISQ1" s="102"/>
      <c r="ISS1" s="101"/>
      <c r="IST1" s="100"/>
      <c r="ISU1" s="102"/>
      <c r="ISW1" s="101"/>
      <c r="ISX1" s="100"/>
      <c r="ISY1" s="102"/>
      <c r="ITA1" s="101"/>
      <c r="ITB1" s="100"/>
      <c r="ITC1" s="102"/>
      <c r="ITE1" s="101"/>
      <c r="ITF1" s="100"/>
      <c r="ITG1" s="102"/>
      <c r="ITI1" s="101"/>
      <c r="ITJ1" s="100"/>
      <c r="ITK1" s="102"/>
      <c r="ITM1" s="101"/>
      <c r="ITN1" s="100"/>
      <c r="ITO1" s="102"/>
      <c r="ITQ1" s="101"/>
      <c r="ITR1" s="100"/>
      <c r="ITS1" s="102"/>
      <c r="ITU1" s="101"/>
      <c r="ITV1" s="100"/>
      <c r="ITW1" s="102"/>
      <c r="ITY1" s="101"/>
      <c r="ITZ1" s="100"/>
      <c r="IUA1" s="102"/>
      <c r="IUC1" s="101"/>
      <c r="IUD1" s="100"/>
      <c r="IUE1" s="102"/>
      <c r="IUG1" s="101"/>
      <c r="IUH1" s="100"/>
      <c r="IUI1" s="102"/>
      <c r="IUK1" s="101"/>
      <c r="IUL1" s="100"/>
      <c r="IUM1" s="102"/>
      <c r="IUO1" s="101"/>
      <c r="IUP1" s="100"/>
      <c r="IUQ1" s="102"/>
      <c r="IUS1" s="101"/>
      <c r="IUT1" s="100"/>
      <c r="IUU1" s="102"/>
      <c r="IUW1" s="101"/>
      <c r="IUX1" s="100"/>
      <c r="IUY1" s="102"/>
      <c r="IVA1" s="101"/>
      <c r="IVB1" s="100"/>
      <c r="IVC1" s="102"/>
      <c r="IVE1" s="101"/>
      <c r="IVF1" s="100"/>
      <c r="IVG1" s="102"/>
      <c r="IVI1" s="101"/>
      <c r="IVJ1" s="100"/>
      <c r="IVK1" s="102"/>
      <c r="IVM1" s="101"/>
      <c r="IVN1" s="100"/>
      <c r="IVO1" s="102"/>
      <c r="IVQ1" s="101"/>
      <c r="IVR1" s="100"/>
      <c r="IVS1" s="102"/>
      <c r="IVU1" s="101"/>
      <c r="IVV1" s="100"/>
      <c r="IVW1" s="102"/>
      <c r="IVY1" s="101"/>
      <c r="IVZ1" s="100"/>
      <c r="IWA1" s="102"/>
      <c r="IWC1" s="101"/>
      <c r="IWD1" s="100"/>
      <c r="IWE1" s="102"/>
      <c r="IWG1" s="101"/>
      <c r="IWH1" s="100"/>
      <c r="IWI1" s="102"/>
      <c r="IWK1" s="101"/>
      <c r="IWL1" s="100"/>
      <c r="IWM1" s="102"/>
      <c r="IWO1" s="101"/>
      <c r="IWP1" s="100"/>
      <c r="IWQ1" s="102"/>
      <c r="IWS1" s="101"/>
      <c r="IWT1" s="100"/>
      <c r="IWU1" s="102"/>
      <c r="IWW1" s="101"/>
      <c r="IWX1" s="100"/>
      <c r="IWY1" s="102"/>
      <c r="IXA1" s="101"/>
      <c r="IXB1" s="100"/>
      <c r="IXC1" s="102"/>
      <c r="IXE1" s="101"/>
      <c r="IXF1" s="100"/>
      <c r="IXG1" s="102"/>
      <c r="IXI1" s="101"/>
      <c r="IXJ1" s="100"/>
      <c r="IXK1" s="102"/>
      <c r="IXM1" s="101"/>
      <c r="IXN1" s="100"/>
      <c r="IXO1" s="102"/>
      <c r="IXQ1" s="101"/>
      <c r="IXR1" s="100"/>
      <c r="IXS1" s="102"/>
      <c r="IXU1" s="101"/>
      <c r="IXV1" s="100"/>
      <c r="IXW1" s="102"/>
      <c r="IXY1" s="101"/>
      <c r="IXZ1" s="100"/>
      <c r="IYA1" s="102"/>
      <c r="IYC1" s="101"/>
      <c r="IYD1" s="100"/>
      <c r="IYE1" s="102"/>
      <c r="IYG1" s="101"/>
      <c r="IYH1" s="100"/>
      <c r="IYI1" s="102"/>
      <c r="IYK1" s="101"/>
      <c r="IYL1" s="100"/>
      <c r="IYM1" s="102"/>
      <c r="IYO1" s="101"/>
      <c r="IYP1" s="100"/>
      <c r="IYQ1" s="102"/>
      <c r="IYS1" s="101"/>
      <c r="IYT1" s="100"/>
      <c r="IYU1" s="102"/>
      <c r="IYW1" s="101"/>
      <c r="IYX1" s="100"/>
      <c r="IYY1" s="102"/>
      <c r="IZA1" s="101"/>
      <c r="IZB1" s="100"/>
      <c r="IZC1" s="102"/>
      <c r="IZE1" s="101"/>
      <c r="IZF1" s="100"/>
      <c r="IZG1" s="102"/>
      <c r="IZI1" s="101"/>
      <c r="IZJ1" s="100"/>
      <c r="IZK1" s="102"/>
      <c r="IZM1" s="101"/>
      <c r="IZN1" s="100"/>
      <c r="IZO1" s="102"/>
      <c r="IZQ1" s="101"/>
      <c r="IZR1" s="100"/>
      <c r="IZS1" s="102"/>
      <c r="IZU1" s="101"/>
      <c r="IZV1" s="100"/>
      <c r="IZW1" s="102"/>
      <c r="IZY1" s="101"/>
      <c r="IZZ1" s="100"/>
      <c r="JAA1" s="102"/>
      <c r="JAC1" s="101"/>
      <c r="JAD1" s="100"/>
      <c r="JAE1" s="102"/>
      <c r="JAG1" s="101"/>
      <c r="JAH1" s="100"/>
      <c r="JAI1" s="102"/>
      <c r="JAK1" s="101"/>
      <c r="JAL1" s="100"/>
      <c r="JAM1" s="102"/>
      <c r="JAO1" s="101"/>
      <c r="JAP1" s="100"/>
      <c r="JAQ1" s="102"/>
      <c r="JAS1" s="101"/>
      <c r="JAT1" s="100"/>
      <c r="JAU1" s="102"/>
      <c r="JAW1" s="101"/>
      <c r="JAX1" s="100"/>
      <c r="JAY1" s="102"/>
      <c r="JBA1" s="101"/>
      <c r="JBB1" s="100"/>
      <c r="JBC1" s="102"/>
      <c r="JBE1" s="101"/>
      <c r="JBF1" s="100"/>
      <c r="JBG1" s="102"/>
      <c r="JBI1" s="101"/>
      <c r="JBJ1" s="100"/>
      <c r="JBK1" s="102"/>
      <c r="JBM1" s="101"/>
      <c r="JBN1" s="100"/>
      <c r="JBO1" s="102"/>
      <c r="JBQ1" s="101"/>
      <c r="JBR1" s="100"/>
      <c r="JBS1" s="102"/>
      <c r="JBU1" s="101"/>
      <c r="JBV1" s="100"/>
      <c r="JBW1" s="102"/>
      <c r="JBY1" s="101"/>
      <c r="JBZ1" s="100"/>
      <c r="JCA1" s="102"/>
      <c r="JCC1" s="101"/>
      <c r="JCD1" s="100"/>
      <c r="JCE1" s="102"/>
      <c r="JCG1" s="101"/>
      <c r="JCH1" s="100"/>
      <c r="JCI1" s="102"/>
      <c r="JCK1" s="101"/>
      <c r="JCL1" s="100"/>
      <c r="JCM1" s="102"/>
      <c r="JCO1" s="101"/>
      <c r="JCP1" s="100"/>
      <c r="JCQ1" s="102"/>
      <c r="JCS1" s="101"/>
      <c r="JCT1" s="100"/>
      <c r="JCU1" s="102"/>
      <c r="JCW1" s="101"/>
      <c r="JCX1" s="100"/>
      <c r="JCY1" s="102"/>
      <c r="JDA1" s="101"/>
      <c r="JDB1" s="100"/>
      <c r="JDC1" s="102"/>
      <c r="JDE1" s="101"/>
      <c r="JDF1" s="100"/>
      <c r="JDG1" s="102"/>
      <c r="JDI1" s="101"/>
      <c r="JDJ1" s="100"/>
      <c r="JDK1" s="102"/>
      <c r="JDM1" s="101"/>
      <c r="JDN1" s="100"/>
      <c r="JDO1" s="102"/>
      <c r="JDQ1" s="101"/>
      <c r="JDR1" s="100"/>
      <c r="JDS1" s="102"/>
      <c r="JDU1" s="101"/>
      <c r="JDV1" s="100"/>
      <c r="JDW1" s="102"/>
      <c r="JDY1" s="101"/>
      <c r="JDZ1" s="100"/>
      <c r="JEA1" s="102"/>
      <c r="JEC1" s="101"/>
      <c r="JED1" s="100"/>
      <c r="JEE1" s="102"/>
      <c r="JEG1" s="101"/>
      <c r="JEH1" s="100"/>
      <c r="JEI1" s="102"/>
      <c r="JEK1" s="101"/>
      <c r="JEL1" s="100"/>
      <c r="JEM1" s="102"/>
      <c r="JEO1" s="101"/>
      <c r="JEP1" s="100"/>
      <c r="JEQ1" s="102"/>
      <c r="JES1" s="101"/>
      <c r="JET1" s="100"/>
      <c r="JEU1" s="102"/>
      <c r="JEW1" s="101"/>
      <c r="JEX1" s="100"/>
      <c r="JEY1" s="102"/>
      <c r="JFA1" s="101"/>
      <c r="JFB1" s="100"/>
      <c r="JFC1" s="102"/>
      <c r="JFE1" s="101"/>
      <c r="JFF1" s="100"/>
      <c r="JFG1" s="102"/>
      <c r="JFI1" s="101"/>
      <c r="JFJ1" s="100"/>
      <c r="JFK1" s="102"/>
      <c r="JFM1" s="101"/>
      <c r="JFN1" s="100"/>
      <c r="JFO1" s="102"/>
      <c r="JFQ1" s="101"/>
      <c r="JFR1" s="100"/>
      <c r="JFS1" s="102"/>
      <c r="JFU1" s="101"/>
      <c r="JFV1" s="100"/>
      <c r="JFW1" s="102"/>
      <c r="JFY1" s="101"/>
      <c r="JFZ1" s="100"/>
      <c r="JGA1" s="102"/>
      <c r="JGC1" s="101"/>
      <c r="JGD1" s="100"/>
      <c r="JGE1" s="102"/>
      <c r="JGG1" s="101"/>
      <c r="JGH1" s="100"/>
      <c r="JGI1" s="102"/>
      <c r="JGK1" s="101"/>
      <c r="JGL1" s="100"/>
      <c r="JGM1" s="102"/>
      <c r="JGO1" s="101"/>
      <c r="JGP1" s="100"/>
      <c r="JGQ1" s="102"/>
      <c r="JGS1" s="101"/>
      <c r="JGT1" s="100"/>
      <c r="JGU1" s="102"/>
      <c r="JGW1" s="101"/>
      <c r="JGX1" s="100"/>
      <c r="JGY1" s="102"/>
      <c r="JHA1" s="101"/>
      <c r="JHB1" s="100"/>
      <c r="JHC1" s="102"/>
      <c r="JHE1" s="101"/>
      <c r="JHF1" s="100"/>
      <c r="JHG1" s="102"/>
      <c r="JHI1" s="101"/>
      <c r="JHJ1" s="100"/>
      <c r="JHK1" s="102"/>
      <c r="JHM1" s="101"/>
      <c r="JHN1" s="100"/>
      <c r="JHO1" s="102"/>
      <c r="JHQ1" s="101"/>
      <c r="JHR1" s="100"/>
      <c r="JHS1" s="102"/>
      <c r="JHU1" s="101"/>
      <c r="JHV1" s="100"/>
      <c r="JHW1" s="102"/>
      <c r="JHY1" s="101"/>
      <c r="JHZ1" s="100"/>
      <c r="JIA1" s="102"/>
      <c r="JIC1" s="101"/>
      <c r="JID1" s="100"/>
      <c r="JIE1" s="102"/>
      <c r="JIG1" s="101"/>
      <c r="JIH1" s="100"/>
      <c r="JII1" s="102"/>
      <c r="JIK1" s="101"/>
      <c r="JIL1" s="100"/>
      <c r="JIM1" s="102"/>
      <c r="JIO1" s="101"/>
      <c r="JIP1" s="100"/>
      <c r="JIQ1" s="102"/>
      <c r="JIS1" s="101"/>
      <c r="JIT1" s="100"/>
      <c r="JIU1" s="102"/>
      <c r="JIW1" s="101"/>
      <c r="JIX1" s="100"/>
      <c r="JIY1" s="102"/>
      <c r="JJA1" s="101"/>
      <c r="JJB1" s="100"/>
      <c r="JJC1" s="102"/>
      <c r="JJE1" s="101"/>
      <c r="JJF1" s="100"/>
      <c r="JJG1" s="102"/>
      <c r="JJI1" s="101"/>
      <c r="JJJ1" s="100"/>
      <c r="JJK1" s="102"/>
      <c r="JJM1" s="101"/>
      <c r="JJN1" s="100"/>
      <c r="JJO1" s="102"/>
      <c r="JJQ1" s="101"/>
      <c r="JJR1" s="100"/>
      <c r="JJS1" s="102"/>
      <c r="JJU1" s="101"/>
      <c r="JJV1" s="100"/>
      <c r="JJW1" s="102"/>
      <c r="JJY1" s="101"/>
      <c r="JJZ1" s="100"/>
      <c r="JKA1" s="102"/>
      <c r="JKC1" s="101"/>
      <c r="JKD1" s="100"/>
      <c r="JKE1" s="102"/>
      <c r="JKG1" s="101"/>
      <c r="JKH1" s="100"/>
      <c r="JKI1" s="102"/>
      <c r="JKK1" s="101"/>
      <c r="JKL1" s="100"/>
      <c r="JKM1" s="102"/>
      <c r="JKO1" s="101"/>
      <c r="JKP1" s="100"/>
      <c r="JKQ1" s="102"/>
      <c r="JKS1" s="101"/>
      <c r="JKT1" s="100"/>
      <c r="JKU1" s="102"/>
      <c r="JKW1" s="101"/>
      <c r="JKX1" s="100"/>
      <c r="JKY1" s="102"/>
      <c r="JLA1" s="101"/>
      <c r="JLB1" s="100"/>
      <c r="JLC1" s="102"/>
      <c r="JLE1" s="101"/>
      <c r="JLF1" s="100"/>
      <c r="JLG1" s="102"/>
      <c r="JLI1" s="101"/>
      <c r="JLJ1" s="100"/>
      <c r="JLK1" s="102"/>
      <c r="JLM1" s="101"/>
      <c r="JLN1" s="100"/>
      <c r="JLO1" s="102"/>
      <c r="JLQ1" s="101"/>
      <c r="JLR1" s="100"/>
      <c r="JLS1" s="102"/>
      <c r="JLU1" s="101"/>
      <c r="JLV1" s="100"/>
      <c r="JLW1" s="102"/>
      <c r="JLY1" s="101"/>
      <c r="JLZ1" s="100"/>
      <c r="JMA1" s="102"/>
      <c r="JMC1" s="101"/>
      <c r="JMD1" s="100"/>
      <c r="JME1" s="102"/>
      <c r="JMG1" s="101"/>
      <c r="JMH1" s="100"/>
      <c r="JMI1" s="102"/>
      <c r="JMK1" s="101"/>
      <c r="JML1" s="100"/>
      <c r="JMM1" s="102"/>
      <c r="JMO1" s="101"/>
      <c r="JMP1" s="100"/>
      <c r="JMQ1" s="102"/>
      <c r="JMS1" s="101"/>
      <c r="JMT1" s="100"/>
      <c r="JMU1" s="102"/>
      <c r="JMW1" s="101"/>
      <c r="JMX1" s="100"/>
      <c r="JMY1" s="102"/>
      <c r="JNA1" s="101"/>
      <c r="JNB1" s="100"/>
      <c r="JNC1" s="102"/>
      <c r="JNE1" s="101"/>
      <c r="JNF1" s="100"/>
      <c r="JNG1" s="102"/>
      <c r="JNI1" s="101"/>
      <c r="JNJ1" s="100"/>
      <c r="JNK1" s="102"/>
      <c r="JNM1" s="101"/>
      <c r="JNN1" s="100"/>
      <c r="JNO1" s="102"/>
      <c r="JNQ1" s="101"/>
      <c r="JNR1" s="100"/>
      <c r="JNS1" s="102"/>
      <c r="JNU1" s="101"/>
      <c r="JNV1" s="100"/>
      <c r="JNW1" s="102"/>
      <c r="JNY1" s="101"/>
      <c r="JNZ1" s="100"/>
      <c r="JOA1" s="102"/>
      <c r="JOC1" s="101"/>
      <c r="JOD1" s="100"/>
      <c r="JOE1" s="102"/>
      <c r="JOG1" s="101"/>
      <c r="JOH1" s="100"/>
      <c r="JOI1" s="102"/>
      <c r="JOK1" s="101"/>
      <c r="JOL1" s="100"/>
      <c r="JOM1" s="102"/>
      <c r="JOO1" s="101"/>
      <c r="JOP1" s="100"/>
      <c r="JOQ1" s="102"/>
      <c r="JOS1" s="101"/>
      <c r="JOT1" s="100"/>
      <c r="JOU1" s="102"/>
      <c r="JOW1" s="101"/>
      <c r="JOX1" s="100"/>
      <c r="JOY1" s="102"/>
      <c r="JPA1" s="101"/>
      <c r="JPB1" s="100"/>
      <c r="JPC1" s="102"/>
      <c r="JPE1" s="101"/>
      <c r="JPF1" s="100"/>
      <c r="JPG1" s="102"/>
      <c r="JPI1" s="101"/>
      <c r="JPJ1" s="100"/>
      <c r="JPK1" s="102"/>
      <c r="JPM1" s="101"/>
      <c r="JPN1" s="100"/>
      <c r="JPO1" s="102"/>
      <c r="JPQ1" s="101"/>
      <c r="JPR1" s="100"/>
      <c r="JPS1" s="102"/>
      <c r="JPU1" s="101"/>
      <c r="JPV1" s="100"/>
      <c r="JPW1" s="102"/>
      <c r="JPY1" s="101"/>
      <c r="JPZ1" s="100"/>
      <c r="JQA1" s="102"/>
      <c r="JQC1" s="101"/>
      <c r="JQD1" s="100"/>
      <c r="JQE1" s="102"/>
      <c r="JQG1" s="101"/>
      <c r="JQH1" s="100"/>
      <c r="JQI1" s="102"/>
      <c r="JQK1" s="101"/>
      <c r="JQL1" s="100"/>
      <c r="JQM1" s="102"/>
      <c r="JQO1" s="101"/>
      <c r="JQP1" s="100"/>
      <c r="JQQ1" s="102"/>
      <c r="JQS1" s="101"/>
      <c r="JQT1" s="100"/>
      <c r="JQU1" s="102"/>
      <c r="JQW1" s="101"/>
      <c r="JQX1" s="100"/>
      <c r="JQY1" s="102"/>
      <c r="JRA1" s="101"/>
      <c r="JRB1" s="100"/>
      <c r="JRC1" s="102"/>
      <c r="JRE1" s="101"/>
      <c r="JRF1" s="100"/>
      <c r="JRG1" s="102"/>
      <c r="JRI1" s="101"/>
      <c r="JRJ1" s="100"/>
      <c r="JRK1" s="102"/>
      <c r="JRM1" s="101"/>
      <c r="JRN1" s="100"/>
      <c r="JRO1" s="102"/>
      <c r="JRQ1" s="101"/>
      <c r="JRR1" s="100"/>
      <c r="JRS1" s="102"/>
      <c r="JRU1" s="101"/>
      <c r="JRV1" s="100"/>
      <c r="JRW1" s="102"/>
      <c r="JRY1" s="101"/>
      <c r="JRZ1" s="100"/>
      <c r="JSA1" s="102"/>
      <c r="JSC1" s="101"/>
      <c r="JSD1" s="100"/>
      <c r="JSE1" s="102"/>
      <c r="JSG1" s="101"/>
      <c r="JSH1" s="100"/>
      <c r="JSI1" s="102"/>
      <c r="JSK1" s="101"/>
      <c r="JSL1" s="100"/>
      <c r="JSM1" s="102"/>
      <c r="JSO1" s="101"/>
      <c r="JSP1" s="100"/>
      <c r="JSQ1" s="102"/>
      <c r="JSS1" s="101"/>
      <c r="JST1" s="100"/>
      <c r="JSU1" s="102"/>
      <c r="JSW1" s="101"/>
      <c r="JSX1" s="100"/>
      <c r="JSY1" s="102"/>
      <c r="JTA1" s="101"/>
      <c r="JTB1" s="100"/>
      <c r="JTC1" s="102"/>
      <c r="JTE1" s="101"/>
      <c r="JTF1" s="100"/>
      <c r="JTG1" s="102"/>
      <c r="JTI1" s="101"/>
      <c r="JTJ1" s="100"/>
      <c r="JTK1" s="102"/>
      <c r="JTM1" s="101"/>
      <c r="JTN1" s="100"/>
      <c r="JTO1" s="102"/>
      <c r="JTQ1" s="101"/>
      <c r="JTR1" s="100"/>
      <c r="JTS1" s="102"/>
      <c r="JTU1" s="101"/>
      <c r="JTV1" s="100"/>
      <c r="JTW1" s="102"/>
      <c r="JTY1" s="101"/>
      <c r="JTZ1" s="100"/>
      <c r="JUA1" s="102"/>
      <c r="JUC1" s="101"/>
      <c r="JUD1" s="100"/>
      <c r="JUE1" s="102"/>
      <c r="JUG1" s="101"/>
      <c r="JUH1" s="100"/>
      <c r="JUI1" s="102"/>
      <c r="JUK1" s="101"/>
      <c r="JUL1" s="100"/>
      <c r="JUM1" s="102"/>
      <c r="JUO1" s="101"/>
      <c r="JUP1" s="100"/>
      <c r="JUQ1" s="102"/>
      <c r="JUS1" s="101"/>
      <c r="JUT1" s="100"/>
      <c r="JUU1" s="102"/>
      <c r="JUW1" s="101"/>
      <c r="JUX1" s="100"/>
      <c r="JUY1" s="102"/>
      <c r="JVA1" s="101"/>
      <c r="JVB1" s="100"/>
      <c r="JVC1" s="102"/>
      <c r="JVE1" s="101"/>
      <c r="JVF1" s="100"/>
      <c r="JVG1" s="102"/>
      <c r="JVI1" s="101"/>
      <c r="JVJ1" s="100"/>
      <c r="JVK1" s="102"/>
      <c r="JVM1" s="101"/>
      <c r="JVN1" s="100"/>
      <c r="JVO1" s="102"/>
      <c r="JVQ1" s="101"/>
      <c r="JVR1" s="100"/>
      <c r="JVS1" s="102"/>
      <c r="JVU1" s="101"/>
      <c r="JVV1" s="100"/>
      <c r="JVW1" s="102"/>
      <c r="JVY1" s="101"/>
      <c r="JVZ1" s="100"/>
      <c r="JWA1" s="102"/>
      <c r="JWC1" s="101"/>
      <c r="JWD1" s="100"/>
      <c r="JWE1" s="102"/>
      <c r="JWG1" s="101"/>
      <c r="JWH1" s="100"/>
      <c r="JWI1" s="102"/>
      <c r="JWK1" s="101"/>
      <c r="JWL1" s="100"/>
      <c r="JWM1" s="102"/>
      <c r="JWO1" s="101"/>
      <c r="JWP1" s="100"/>
      <c r="JWQ1" s="102"/>
      <c r="JWS1" s="101"/>
      <c r="JWT1" s="100"/>
      <c r="JWU1" s="102"/>
      <c r="JWW1" s="101"/>
      <c r="JWX1" s="100"/>
      <c r="JWY1" s="102"/>
      <c r="JXA1" s="101"/>
      <c r="JXB1" s="100"/>
      <c r="JXC1" s="102"/>
      <c r="JXE1" s="101"/>
      <c r="JXF1" s="100"/>
      <c r="JXG1" s="102"/>
      <c r="JXI1" s="101"/>
      <c r="JXJ1" s="100"/>
      <c r="JXK1" s="102"/>
      <c r="JXM1" s="101"/>
      <c r="JXN1" s="100"/>
      <c r="JXO1" s="102"/>
      <c r="JXQ1" s="101"/>
      <c r="JXR1" s="100"/>
      <c r="JXS1" s="102"/>
      <c r="JXU1" s="101"/>
      <c r="JXV1" s="100"/>
      <c r="JXW1" s="102"/>
      <c r="JXY1" s="101"/>
      <c r="JXZ1" s="100"/>
      <c r="JYA1" s="102"/>
      <c r="JYC1" s="101"/>
      <c r="JYD1" s="100"/>
      <c r="JYE1" s="102"/>
      <c r="JYG1" s="101"/>
      <c r="JYH1" s="100"/>
      <c r="JYI1" s="102"/>
      <c r="JYK1" s="101"/>
      <c r="JYL1" s="100"/>
      <c r="JYM1" s="102"/>
      <c r="JYO1" s="101"/>
      <c r="JYP1" s="100"/>
      <c r="JYQ1" s="102"/>
      <c r="JYS1" s="101"/>
      <c r="JYT1" s="100"/>
      <c r="JYU1" s="102"/>
      <c r="JYW1" s="101"/>
      <c r="JYX1" s="100"/>
      <c r="JYY1" s="102"/>
      <c r="JZA1" s="101"/>
      <c r="JZB1" s="100"/>
      <c r="JZC1" s="102"/>
      <c r="JZE1" s="101"/>
      <c r="JZF1" s="100"/>
      <c r="JZG1" s="102"/>
      <c r="JZI1" s="101"/>
      <c r="JZJ1" s="100"/>
      <c r="JZK1" s="102"/>
      <c r="JZM1" s="101"/>
      <c r="JZN1" s="100"/>
      <c r="JZO1" s="102"/>
      <c r="JZQ1" s="101"/>
      <c r="JZR1" s="100"/>
      <c r="JZS1" s="102"/>
      <c r="JZU1" s="101"/>
      <c r="JZV1" s="100"/>
      <c r="JZW1" s="102"/>
      <c r="JZY1" s="101"/>
      <c r="JZZ1" s="100"/>
      <c r="KAA1" s="102"/>
      <c r="KAC1" s="101"/>
      <c r="KAD1" s="100"/>
      <c r="KAE1" s="102"/>
      <c r="KAG1" s="101"/>
      <c r="KAH1" s="100"/>
      <c r="KAI1" s="102"/>
      <c r="KAK1" s="101"/>
      <c r="KAL1" s="100"/>
      <c r="KAM1" s="102"/>
      <c r="KAO1" s="101"/>
      <c r="KAP1" s="100"/>
      <c r="KAQ1" s="102"/>
      <c r="KAS1" s="101"/>
      <c r="KAT1" s="100"/>
      <c r="KAU1" s="102"/>
      <c r="KAW1" s="101"/>
      <c r="KAX1" s="100"/>
      <c r="KAY1" s="102"/>
      <c r="KBA1" s="101"/>
      <c r="KBB1" s="100"/>
      <c r="KBC1" s="102"/>
      <c r="KBE1" s="101"/>
      <c r="KBF1" s="100"/>
      <c r="KBG1" s="102"/>
      <c r="KBI1" s="101"/>
      <c r="KBJ1" s="100"/>
      <c r="KBK1" s="102"/>
      <c r="KBM1" s="101"/>
      <c r="KBN1" s="100"/>
      <c r="KBO1" s="102"/>
      <c r="KBQ1" s="101"/>
      <c r="KBR1" s="100"/>
      <c r="KBS1" s="102"/>
      <c r="KBU1" s="101"/>
      <c r="KBV1" s="100"/>
      <c r="KBW1" s="102"/>
      <c r="KBY1" s="101"/>
      <c r="KBZ1" s="100"/>
      <c r="KCA1" s="102"/>
      <c r="KCC1" s="101"/>
      <c r="KCD1" s="100"/>
      <c r="KCE1" s="102"/>
      <c r="KCG1" s="101"/>
      <c r="KCH1" s="100"/>
      <c r="KCI1" s="102"/>
      <c r="KCK1" s="101"/>
      <c r="KCL1" s="100"/>
      <c r="KCM1" s="102"/>
      <c r="KCO1" s="101"/>
      <c r="KCP1" s="100"/>
      <c r="KCQ1" s="102"/>
      <c r="KCS1" s="101"/>
      <c r="KCT1" s="100"/>
      <c r="KCU1" s="102"/>
      <c r="KCW1" s="101"/>
      <c r="KCX1" s="100"/>
      <c r="KCY1" s="102"/>
      <c r="KDA1" s="101"/>
      <c r="KDB1" s="100"/>
      <c r="KDC1" s="102"/>
      <c r="KDE1" s="101"/>
      <c r="KDF1" s="100"/>
      <c r="KDG1" s="102"/>
      <c r="KDI1" s="101"/>
      <c r="KDJ1" s="100"/>
      <c r="KDK1" s="102"/>
      <c r="KDM1" s="101"/>
      <c r="KDN1" s="100"/>
      <c r="KDO1" s="102"/>
      <c r="KDQ1" s="101"/>
      <c r="KDR1" s="100"/>
      <c r="KDS1" s="102"/>
      <c r="KDU1" s="101"/>
      <c r="KDV1" s="100"/>
      <c r="KDW1" s="102"/>
      <c r="KDY1" s="101"/>
      <c r="KDZ1" s="100"/>
      <c r="KEA1" s="102"/>
      <c r="KEC1" s="101"/>
      <c r="KED1" s="100"/>
      <c r="KEE1" s="102"/>
      <c r="KEG1" s="101"/>
      <c r="KEH1" s="100"/>
      <c r="KEI1" s="102"/>
      <c r="KEK1" s="101"/>
      <c r="KEL1" s="100"/>
      <c r="KEM1" s="102"/>
      <c r="KEO1" s="101"/>
      <c r="KEP1" s="100"/>
      <c r="KEQ1" s="102"/>
      <c r="KES1" s="101"/>
      <c r="KET1" s="100"/>
      <c r="KEU1" s="102"/>
      <c r="KEW1" s="101"/>
      <c r="KEX1" s="100"/>
      <c r="KEY1" s="102"/>
      <c r="KFA1" s="101"/>
      <c r="KFB1" s="100"/>
      <c r="KFC1" s="102"/>
      <c r="KFE1" s="101"/>
      <c r="KFF1" s="100"/>
      <c r="KFG1" s="102"/>
      <c r="KFI1" s="101"/>
      <c r="KFJ1" s="100"/>
      <c r="KFK1" s="102"/>
      <c r="KFM1" s="101"/>
      <c r="KFN1" s="100"/>
      <c r="KFO1" s="102"/>
      <c r="KFQ1" s="101"/>
      <c r="KFR1" s="100"/>
      <c r="KFS1" s="102"/>
      <c r="KFU1" s="101"/>
      <c r="KFV1" s="100"/>
      <c r="KFW1" s="102"/>
      <c r="KFY1" s="101"/>
      <c r="KFZ1" s="100"/>
      <c r="KGA1" s="102"/>
      <c r="KGC1" s="101"/>
      <c r="KGD1" s="100"/>
      <c r="KGE1" s="102"/>
      <c r="KGG1" s="101"/>
      <c r="KGH1" s="100"/>
      <c r="KGI1" s="102"/>
      <c r="KGK1" s="101"/>
      <c r="KGL1" s="100"/>
      <c r="KGM1" s="102"/>
      <c r="KGO1" s="101"/>
      <c r="KGP1" s="100"/>
      <c r="KGQ1" s="102"/>
      <c r="KGS1" s="101"/>
      <c r="KGT1" s="100"/>
      <c r="KGU1" s="102"/>
      <c r="KGW1" s="101"/>
      <c r="KGX1" s="100"/>
      <c r="KGY1" s="102"/>
      <c r="KHA1" s="101"/>
      <c r="KHB1" s="100"/>
      <c r="KHC1" s="102"/>
      <c r="KHE1" s="101"/>
      <c r="KHF1" s="100"/>
      <c r="KHG1" s="102"/>
      <c r="KHI1" s="101"/>
      <c r="KHJ1" s="100"/>
      <c r="KHK1" s="102"/>
      <c r="KHM1" s="101"/>
      <c r="KHN1" s="100"/>
      <c r="KHO1" s="102"/>
      <c r="KHQ1" s="101"/>
      <c r="KHR1" s="100"/>
      <c r="KHS1" s="102"/>
      <c r="KHU1" s="101"/>
      <c r="KHV1" s="100"/>
      <c r="KHW1" s="102"/>
      <c r="KHY1" s="101"/>
      <c r="KHZ1" s="100"/>
      <c r="KIA1" s="102"/>
      <c r="KIC1" s="101"/>
      <c r="KID1" s="100"/>
      <c r="KIE1" s="102"/>
      <c r="KIG1" s="101"/>
      <c r="KIH1" s="100"/>
      <c r="KII1" s="102"/>
      <c r="KIK1" s="101"/>
      <c r="KIL1" s="100"/>
      <c r="KIM1" s="102"/>
      <c r="KIO1" s="101"/>
      <c r="KIP1" s="100"/>
      <c r="KIQ1" s="102"/>
      <c r="KIS1" s="101"/>
      <c r="KIT1" s="100"/>
      <c r="KIU1" s="102"/>
      <c r="KIW1" s="101"/>
      <c r="KIX1" s="100"/>
      <c r="KIY1" s="102"/>
      <c r="KJA1" s="101"/>
      <c r="KJB1" s="100"/>
      <c r="KJC1" s="102"/>
      <c r="KJE1" s="101"/>
      <c r="KJF1" s="100"/>
      <c r="KJG1" s="102"/>
      <c r="KJI1" s="101"/>
      <c r="KJJ1" s="100"/>
      <c r="KJK1" s="102"/>
      <c r="KJM1" s="101"/>
      <c r="KJN1" s="100"/>
      <c r="KJO1" s="102"/>
      <c r="KJQ1" s="101"/>
      <c r="KJR1" s="100"/>
      <c r="KJS1" s="102"/>
      <c r="KJU1" s="101"/>
      <c r="KJV1" s="100"/>
      <c r="KJW1" s="102"/>
      <c r="KJY1" s="101"/>
      <c r="KJZ1" s="100"/>
      <c r="KKA1" s="102"/>
      <c r="KKC1" s="101"/>
      <c r="KKD1" s="100"/>
      <c r="KKE1" s="102"/>
      <c r="KKG1" s="101"/>
      <c r="KKH1" s="100"/>
      <c r="KKI1" s="102"/>
      <c r="KKK1" s="101"/>
      <c r="KKL1" s="100"/>
      <c r="KKM1" s="102"/>
      <c r="KKO1" s="101"/>
      <c r="KKP1" s="100"/>
      <c r="KKQ1" s="102"/>
      <c r="KKS1" s="101"/>
      <c r="KKT1" s="100"/>
      <c r="KKU1" s="102"/>
      <c r="KKW1" s="101"/>
      <c r="KKX1" s="100"/>
      <c r="KKY1" s="102"/>
      <c r="KLA1" s="101"/>
      <c r="KLB1" s="100"/>
      <c r="KLC1" s="102"/>
      <c r="KLE1" s="101"/>
      <c r="KLF1" s="100"/>
      <c r="KLG1" s="102"/>
      <c r="KLI1" s="101"/>
      <c r="KLJ1" s="100"/>
      <c r="KLK1" s="102"/>
      <c r="KLM1" s="101"/>
      <c r="KLN1" s="100"/>
      <c r="KLO1" s="102"/>
      <c r="KLQ1" s="101"/>
      <c r="KLR1" s="100"/>
      <c r="KLS1" s="102"/>
      <c r="KLU1" s="101"/>
      <c r="KLV1" s="100"/>
      <c r="KLW1" s="102"/>
      <c r="KLY1" s="101"/>
      <c r="KLZ1" s="100"/>
      <c r="KMA1" s="102"/>
      <c r="KMC1" s="101"/>
      <c r="KMD1" s="100"/>
      <c r="KME1" s="102"/>
      <c r="KMG1" s="101"/>
      <c r="KMH1" s="100"/>
      <c r="KMI1" s="102"/>
      <c r="KMK1" s="101"/>
      <c r="KML1" s="100"/>
      <c r="KMM1" s="102"/>
      <c r="KMO1" s="101"/>
      <c r="KMP1" s="100"/>
      <c r="KMQ1" s="102"/>
      <c r="KMS1" s="101"/>
      <c r="KMT1" s="100"/>
      <c r="KMU1" s="102"/>
      <c r="KMW1" s="101"/>
      <c r="KMX1" s="100"/>
      <c r="KMY1" s="102"/>
      <c r="KNA1" s="101"/>
      <c r="KNB1" s="100"/>
      <c r="KNC1" s="102"/>
      <c r="KNE1" s="101"/>
      <c r="KNF1" s="100"/>
      <c r="KNG1" s="102"/>
      <c r="KNI1" s="101"/>
      <c r="KNJ1" s="100"/>
      <c r="KNK1" s="102"/>
      <c r="KNM1" s="101"/>
      <c r="KNN1" s="100"/>
      <c r="KNO1" s="102"/>
      <c r="KNQ1" s="101"/>
      <c r="KNR1" s="100"/>
      <c r="KNS1" s="102"/>
      <c r="KNU1" s="101"/>
      <c r="KNV1" s="100"/>
      <c r="KNW1" s="102"/>
      <c r="KNY1" s="101"/>
      <c r="KNZ1" s="100"/>
      <c r="KOA1" s="102"/>
      <c r="KOC1" s="101"/>
      <c r="KOD1" s="100"/>
      <c r="KOE1" s="102"/>
      <c r="KOG1" s="101"/>
      <c r="KOH1" s="100"/>
      <c r="KOI1" s="102"/>
      <c r="KOK1" s="101"/>
      <c r="KOL1" s="100"/>
      <c r="KOM1" s="102"/>
      <c r="KOO1" s="101"/>
      <c r="KOP1" s="100"/>
      <c r="KOQ1" s="102"/>
      <c r="KOS1" s="101"/>
      <c r="KOT1" s="100"/>
      <c r="KOU1" s="102"/>
      <c r="KOW1" s="101"/>
      <c r="KOX1" s="100"/>
      <c r="KOY1" s="102"/>
      <c r="KPA1" s="101"/>
      <c r="KPB1" s="100"/>
      <c r="KPC1" s="102"/>
      <c r="KPE1" s="101"/>
      <c r="KPF1" s="100"/>
      <c r="KPG1" s="102"/>
      <c r="KPI1" s="101"/>
      <c r="KPJ1" s="100"/>
      <c r="KPK1" s="102"/>
      <c r="KPM1" s="101"/>
      <c r="KPN1" s="100"/>
      <c r="KPO1" s="102"/>
      <c r="KPQ1" s="101"/>
      <c r="KPR1" s="100"/>
      <c r="KPS1" s="102"/>
      <c r="KPU1" s="101"/>
      <c r="KPV1" s="100"/>
      <c r="KPW1" s="102"/>
      <c r="KPY1" s="101"/>
      <c r="KPZ1" s="100"/>
      <c r="KQA1" s="102"/>
      <c r="KQC1" s="101"/>
      <c r="KQD1" s="100"/>
      <c r="KQE1" s="102"/>
      <c r="KQG1" s="101"/>
      <c r="KQH1" s="100"/>
      <c r="KQI1" s="102"/>
      <c r="KQK1" s="101"/>
      <c r="KQL1" s="100"/>
      <c r="KQM1" s="102"/>
      <c r="KQO1" s="101"/>
      <c r="KQP1" s="100"/>
      <c r="KQQ1" s="102"/>
      <c r="KQS1" s="101"/>
      <c r="KQT1" s="100"/>
      <c r="KQU1" s="102"/>
      <c r="KQW1" s="101"/>
      <c r="KQX1" s="100"/>
      <c r="KQY1" s="102"/>
      <c r="KRA1" s="101"/>
      <c r="KRB1" s="100"/>
      <c r="KRC1" s="102"/>
      <c r="KRE1" s="101"/>
      <c r="KRF1" s="100"/>
      <c r="KRG1" s="102"/>
      <c r="KRI1" s="101"/>
      <c r="KRJ1" s="100"/>
      <c r="KRK1" s="102"/>
      <c r="KRM1" s="101"/>
      <c r="KRN1" s="100"/>
      <c r="KRO1" s="102"/>
      <c r="KRQ1" s="101"/>
      <c r="KRR1" s="100"/>
      <c r="KRS1" s="102"/>
      <c r="KRU1" s="101"/>
      <c r="KRV1" s="100"/>
      <c r="KRW1" s="102"/>
      <c r="KRY1" s="101"/>
      <c r="KRZ1" s="100"/>
      <c r="KSA1" s="102"/>
      <c r="KSC1" s="101"/>
      <c r="KSD1" s="100"/>
      <c r="KSE1" s="102"/>
      <c r="KSG1" s="101"/>
      <c r="KSH1" s="100"/>
      <c r="KSI1" s="102"/>
      <c r="KSK1" s="101"/>
      <c r="KSL1" s="100"/>
      <c r="KSM1" s="102"/>
      <c r="KSO1" s="101"/>
      <c r="KSP1" s="100"/>
      <c r="KSQ1" s="102"/>
      <c r="KSS1" s="101"/>
      <c r="KST1" s="100"/>
      <c r="KSU1" s="102"/>
      <c r="KSW1" s="101"/>
      <c r="KSX1" s="100"/>
      <c r="KSY1" s="102"/>
      <c r="KTA1" s="101"/>
      <c r="KTB1" s="100"/>
      <c r="KTC1" s="102"/>
      <c r="KTE1" s="101"/>
      <c r="KTF1" s="100"/>
      <c r="KTG1" s="102"/>
      <c r="KTI1" s="101"/>
      <c r="KTJ1" s="100"/>
      <c r="KTK1" s="102"/>
      <c r="KTM1" s="101"/>
      <c r="KTN1" s="100"/>
      <c r="KTO1" s="102"/>
      <c r="KTQ1" s="101"/>
      <c r="KTR1" s="100"/>
      <c r="KTS1" s="102"/>
      <c r="KTU1" s="101"/>
      <c r="KTV1" s="100"/>
      <c r="KTW1" s="102"/>
      <c r="KTY1" s="101"/>
      <c r="KTZ1" s="100"/>
      <c r="KUA1" s="102"/>
      <c r="KUC1" s="101"/>
      <c r="KUD1" s="100"/>
      <c r="KUE1" s="102"/>
      <c r="KUG1" s="101"/>
      <c r="KUH1" s="100"/>
      <c r="KUI1" s="102"/>
      <c r="KUK1" s="101"/>
      <c r="KUL1" s="100"/>
      <c r="KUM1" s="102"/>
      <c r="KUO1" s="101"/>
      <c r="KUP1" s="100"/>
      <c r="KUQ1" s="102"/>
      <c r="KUS1" s="101"/>
      <c r="KUT1" s="100"/>
      <c r="KUU1" s="102"/>
      <c r="KUW1" s="101"/>
      <c r="KUX1" s="100"/>
      <c r="KUY1" s="102"/>
      <c r="KVA1" s="101"/>
      <c r="KVB1" s="100"/>
      <c r="KVC1" s="102"/>
      <c r="KVE1" s="101"/>
      <c r="KVF1" s="100"/>
      <c r="KVG1" s="102"/>
      <c r="KVI1" s="101"/>
      <c r="KVJ1" s="100"/>
      <c r="KVK1" s="102"/>
      <c r="KVM1" s="101"/>
      <c r="KVN1" s="100"/>
      <c r="KVO1" s="102"/>
      <c r="KVQ1" s="101"/>
      <c r="KVR1" s="100"/>
      <c r="KVS1" s="102"/>
      <c r="KVU1" s="101"/>
      <c r="KVV1" s="100"/>
      <c r="KVW1" s="102"/>
      <c r="KVY1" s="101"/>
      <c r="KVZ1" s="100"/>
      <c r="KWA1" s="102"/>
      <c r="KWC1" s="101"/>
      <c r="KWD1" s="100"/>
      <c r="KWE1" s="102"/>
      <c r="KWG1" s="101"/>
      <c r="KWH1" s="100"/>
      <c r="KWI1" s="102"/>
      <c r="KWK1" s="101"/>
      <c r="KWL1" s="100"/>
      <c r="KWM1" s="102"/>
      <c r="KWO1" s="101"/>
      <c r="KWP1" s="100"/>
      <c r="KWQ1" s="102"/>
      <c r="KWS1" s="101"/>
      <c r="KWT1" s="100"/>
      <c r="KWU1" s="102"/>
      <c r="KWW1" s="101"/>
      <c r="KWX1" s="100"/>
      <c r="KWY1" s="102"/>
      <c r="KXA1" s="101"/>
      <c r="KXB1" s="100"/>
      <c r="KXC1" s="102"/>
      <c r="KXE1" s="101"/>
      <c r="KXF1" s="100"/>
      <c r="KXG1" s="102"/>
      <c r="KXI1" s="101"/>
      <c r="KXJ1" s="100"/>
      <c r="KXK1" s="102"/>
      <c r="KXM1" s="101"/>
      <c r="KXN1" s="100"/>
      <c r="KXO1" s="102"/>
      <c r="KXQ1" s="101"/>
      <c r="KXR1" s="100"/>
      <c r="KXS1" s="102"/>
      <c r="KXU1" s="101"/>
      <c r="KXV1" s="100"/>
      <c r="KXW1" s="102"/>
      <c r="KXY1" s="101"/>
      <c r="KXZ1" s="100"/>
      <c r="KYA1" s="102"/>
      <c r="KYC1" s="101"/>
      <c r="KYD1" s="100"/>
      <c r="KYE1" s="102"/>
      <c r="KYG1" s="101"/>
      <c r="KYH1" s="100"/>
      <c r="KYI1" s="102"/>
      <c r="KYK1" s="101"/>
      <c r="KYL1" s="100"/>
      <c r="KYM1" s="102"/>
      <c r="KYO1" s="101"/>
      <c r="KYP1" s="100"/>
      <c r="KYQ1" s="102"/>
      <c r="KYS1" s="101"/>
      <c r="KYT1" s="100"/>
      <c r="KYU1" s="102"/>
      <c r="KYW1" s="101"/>
      <c r="KYX1" s="100"/>
      <c r="KYY1" s="102"/>
      <c r="KZA1" s="101"/>
      <c r="KZB1" s="100"/>
      <c r="KZC1" s="102"/>
      <c r="KZE1" s="101"/>
      <c r="KZF1" s="100"/>
      <c r="KZG1" s="102"/>
      <c r="KZI1" s="101"/>
      <c r="KZJ1" s="100"/>
      <c r="KZK1" s="102"/>
      <c r="KZM1" s="101"/>
      <c r="KZN1" s="100"/>
      <c r="KZO1" s="102"/>
      <c r="KZQ1" s="101"/>
      <c r="KZR1" s="100"/>
      <c r="KZS1" s="102"/>
      <c r="KZU1" s="101"/>
      <c r="KZV1" s="100"/>
      <c r="KZW1" s="102"/>
      <c r="KZY1" s="101"/>
      <c r="KZZ1" s="100"/>
      <c r="LAA1" s="102"/>
      <c r="LAC1" s="101"/>
      <c r="LAD1" s="100"/>
      <c r="LAE1" s="102"/>
      <c r="LAG1" s="101"/>
      <c r="LAH1" s="100"/>
      <c r="LAI1" s="102"/>
      <c r="LAK1" s="101"/>
      <c r="LAL1" s="100"/>
      <c r="LAM1" s="102"/>
      <c r="LAO1" s="101"/>
      <c r="LAP1" s="100"/>
      <c r="LAQ1" s="102"/>
      <c r="LAS1" s="101"/>
      <c r="LAT1" s="100"/>
      <c r="LAU1" s="102"/>
      <c r="LAW1" s="101"/>
      <c r="LAX1" s="100"/>
      <c r="LAY1" s="102"/>
      <c r="LBA1" s="101"/>
      <c r="LBB1" s="100"/>
      <c r="LBC1" s="102"/>
      <c r="LBE1" s="101"/>
      <c r="LBF1" s="100"/>
      <c r="LBG1" s="102"/>
      <c r="LBI1" s="101"/>
      <c r="LBJ1" s="100"/>
      <c r="LBK1" s="102"/>
      <c r="LBM1" s="101"/>
      <c r="LBN1" s="100"/>
      <c r="LBO1" s="102"/>
      <c r="LBQ1" s="101"/>
      <c r="LBR1" s="100"/>
      <c r="LBS1" s="102"/>
      <c r="LBU1" s="101"/>
      <c r="LBV1" s="100"/>
      <c r="LBW1" s="102"/>
      <c r="LBY1" s="101"/>
      <c r="LBZ1" s="100"/>
      <c r="LCA1" s="102"/>
      <c r="LCC1" s="101"/>
      <c r="LCD1" s="100"/>
      <c r="LCE1" s="102"/>
      <c r="LCG1" s="101"/>
      <c r="LCH1" s="100"/>
      <c r="LCI1" s="102"/>
      <c r="LCK1" s="101"/>
      <c r="LCL1" s="100"/>
      <c r="LCM1" s="102"/>
      <c r="LCO1" s="101"/>
      <c r="LCP1" s="100"/>
      <c r="LCQ1" s="102"/>
      <c r="LCS1" s="101"/>
      <c r="LCT1" s="100"/>
      <c r="LCU1" s="102"/>
      <c r="LCW1" s="101"/>
      <c r="LCX1" s="100"/>
      <c r="LCY1" s="102"/>
      <c r="LDA1" s="101"/>
      <c r="LDB1" s="100"/>
      <c r="LDC1" s="102"/>
      <c r="LDE1" s="101"/>
      <c r="LDF1" s="100"/>
      <c r="LDG1" s="102"/>
      <c r="LDI1" s="101"/>
      <c r="LDJ1" s="100"/>
      <c r="LDK1" s="102"/>
      <c r="LDM1" s="101"/>
      <c r="LDN1" s="100"/>
      <c r="LDO1" s="102"/>
      <c r="LDQ1" s="101"/>
      <c r="LDR1" s="100"/>
      <c r="LDS1" s="102"/>
      <c r="LDU1" s="101"/>
      <c r="LDV1" s="100"/>
      <c r="LDW1" s="102"/>
      <c r="LDY1" s="101"/>
      <c r="LDZ1" s="100"/>
      <c r="LEA1" s="102"/>
      <c r="LEC1" s="101"/>
      <c r="LED1" s="100"/>
      <c r="LEE1" s="102"/>
      <c r="LEG1" s="101"/>
      <c r="LEH1" s="100"/>
      <c r="LEI1" s="102"/>
      <c r="LEK1" s="101"/>
      <c r="LEL1" s="100"/>
      <c r="LEM1" s="102"/>
      <c r="LEO1" s="101"/>
      <c r="LEP1" s="100"/>
      <c r="LEQ1" s="102"/>
      <c r="LES1" s="101"/>
      <c r="LET1" s="100"/>
      <c r="LEU1" s="102"/>
      <c r="LEW1" s="101"/>
      <c r="LEX1" s="100"/>
      <c r="LEY1" s="102"/>
      <c r="LFA1" s="101"/>
      <c r="LFB1" s="100"/>
      <c r="LFC1" s="102"/>
      <c r="LFE1" s="101"/>
      <c r="LFF1" s="100"/>
      <c r="LFG1" s="102"/>
      <c r="LFI1" s="101"/>
      <c r="LFJ1" s="100"/>
      <c r="LFK1" s="102"/>
      <c r="LFM1" s="101"/>
      <c r="LFN1" s="100"/>
      <c r="LFO1" s="102"/>
      <c r="LFQ1" s="101"/>
      <c r="LFR1" s="100"/>
      <c r="LFS1" s="102"/>
      <c r="LFU1" s="101"/>
      <c r="LFV1" s="100"/>
      <c r="LFW1" s="102"/>
      <c r="LFY1" s="101"/>
      <c r="LFZ1" s="100"/>
      <c r="LGA1" s="102"/>
      <c r="LGC1" s="101"/>
      <c r="LGD1" s="100"/>
      <c r="LGE1" s="102"/>
      <c r="LGG1" s="101"/>
      <c r="LGH1" s="100"/>
      <c r="LGI1" s="102"/>
      <c r="LGK1" s="101"/>
      <c r="LGL1" s="100"/>
      <c r="LGM1" s="102"/>
      <c r="LGO1" s="101"/>
      <c r="LGP1" s="100"/>
      <c r="LGQ1" s="102"/>
      <c r="LGS1" s="101"/>
      <c r="LGT1" s="100"/>
      <c r="LGU1" s="102"/>
      <c r="LGW1" s="101"/>
      <c r="LGX1" s="100"/>
      <c r="LGY1" s="102"/>
      <c r="LHA1" s="101"/>
      <c r="LHB1" s="100"/>
      <c r="LHC1" s="102"/>
      <c r="LHE1" s="101"/>
      <c r="LHF1" s="100"/>
      <c r="LHG1" s="102"/>
      <c r="LHI1" s="101"/>
      <c r="LHJ1" s="100"/>
      <c r="LHK1" s="102"/>
      <c r="LHM1" s="101"/>
      <c r="LHN1" s="100"/>
      <c r="LHO1" s="102"/>
      <c r="LHQ1" s="101"/>
      <c r="LHR1" s="100"/>
      <c r="LHS1" s="102"/>
      <c r="LHU1" s="101"/>
      <c r="LHV1" s="100"/>
      <c r="LHW1" s="102"/>
      <c r="LHY1" s="101"/>
      <c r="LHZ1" s="100"/>
      <c r="LIA1" s="102"/>
      <c r="LIC1" s="101"/>
      <c r="LID1" s="100"/>
      <c r="LIE1" s="102"/>
      <c r="LIG1" s="101"/>
      <c r="LIH1" s="100"/>
      <c r="LII1" s="102"/>
      <c r="LIK1" s="101"/>
      <c r="LIL1" s="100"/>
      <c r="LIM1" s="102"/>
      <c r="LIO1" s="101"/>
      <c r="LIP1" s="100"/>
      <c r="LIQ1" s="102"/>
      <c r="LIS1" s="101"/>
      <c r="LIT1" s="100"/>
      <c r="LIU1" s="102"/>
      <c r="LIW1" s="101"/>
      <c r="LIX1" s="100"/>
      <c r="LIY1" s="102"/>
      <c r="LJA1" s="101"/>
      <c r="LJB1" s="100"/>
      <c r="LJC1" s="102"/>
      <c r="LJE1" s="101"/>
      <c r="LJF1" s="100"/>
      <c r="LJG1" s="102"/>
      <c r="LJI1" s="101"/>
      <c r="LJJ1" s="100"/>
      <c r="LJK1" s="102"/>
      <c r="LJM1" s="101"/>
      <c r="LJN1" s="100"/>
      <c r="LJO1" s="102"/>
      <c r="LJQ1" s="101"/>
      <c r="LJR1" s="100"/>
      <c r="LJS1" s="102"/>
      <c r="LJU1" s="101"/>
      <c r="LJV1" s="100"/>
      <c r="LJW1" s="102"/>
      <c r="LJY1" s="101"/>
      <c r="LJZ1" s="100"/>
      <c r="LKA1" s="102"/>
      <c r="LKC1" s="101"/>
      <c r="LKD1" s="100"/>
      <c r="LKE1" s="102"/>
      <c r="LKG1" s="101"/>
      <c r="LKH1" s="100"/>
      <c r="LKI1" s="102"/>
      <c r="LKK1" s="101"/>
      <c r="LKL1" s="100"/>
      <c r="LKM1" s="102"/>
      <c r="LKO1" s="101"/>
      <c r="LKP1" s="100"/>
      <c r="LKQ1" s="102"/>
      <c r="LKS1" s="101"/>
      <c r="LKT1" s="100"/>
      <c r="LKU1" s="102"/>
      <c r="LKW1" s="101"/>
      <c r="LKX1" s="100"/>
      <c r="LKY1" s="102"/>
      <c r="LLA1" s="101"/>
      <c r="LLB1" s="100"/>
      <c r="LLC1" s="102"/>
      <c r="LLE1" s="101"/>
      <c r="LLF1" s="100"/>
      <c r="LLG1" s="102"/>
      <c r="LLI1" s="101"/>
      <c r="LLJ1" s="100"/>
      <c r="LLK1" s="102"/>
      <c r="LLM1" s="101"/>
      <c r="LLN1" s="100"/>
      <c r="LLO1" s="102"/>
      <c r="LLQ1" s="101"/>
      <c r="LLR1" s="100"/>
      <c r="LLS1" s="102"/>
      <c r="LLU1" s="101"/>
      <c r="LLV1" s="100"/>
      <c r="LLW1" s="102"/>
      <c r="LLY1" s="101"/>
      <c r="LLZ1" s="100"/>
      <c r="LMA1" s="102"/>
      <c r="LMC1" s="101"/>
      <c r="LMD1" s="100"/>
      <c r="LME1" s="102"/>
      <c r="LMG1" s="101"/>
      <c r="LMH1" s="100"/>
      <c r="LMI1" s="102"/>
      <c r="LMK1" s="101"/>
      <c r="LML1" s="100"/>
      <c r="LMM1" s="102"/>
      <c r="LMO1" s="101"/>
      <c r="LMP1" s="100"/>
      <c r="LMQ1" s="102"/>
      <c r="LMS1" s="101"/>
      <c r="LMT1" s="100"/>
      <c r="LMU1" s="102"/>
      <c r="LMW1" s="101"/>
      <c r="LMX1" s="100"/>
      <c r="LMY1" s="102"/>
      <c r="LNA1" s="101"/>
      <c r="LNB1" s="100"/>
      <c r="LNC1" s="102"/>
      <c r="LNE1" s="101"/>
      <c r="LNF1" s="100"/>
      <c r="LNG1" s="102"/>
      <c r="LNI1" s="101"/>
      <c r="LNJ1" s="100"/>
      <c r="LNK1" s="102"/>
      <c r="LNM1" s="101"/>
      <c r="LNN1" s="100"/>
      <c r="LNO1" s="102"/>
      <c r="LNQ1" s="101"/>
      <c r="LNR1" s="100"/>
      <c r="LNS1" s="102"/>
      <c r="LNU1" s="101"/>
      <c r="LNV1" s="100"/>
      <c r="LNW1" s="102"/>
      <c r="LNY1" s="101"/>
      <c r="LNZ1" s="100"/>
      <c r="LOA1" s="102"/>
      <c r="LOC1" s="101"/>
      <c r="LOD1" s="100"/>
      <c r="LOE1" s="102"/>
      <c r="LOG1" s="101"/>
      <c r="LOH1" s="100"/>
      <c r="LOI1" s="102"/>
      <c r="LOK1" s="101"/>
      <c r="LOL1" s="100"/>
      <c r="LOM1" s="102"/>
      <c r="LOO1" s="101"/>
      <c r="LOP1" s="100"/>
      <c r="LOQ1" s="102"/>
      <c r="LOS1" s="101"/>
      <c r="LOT1" s="100"/>
      <c r="LOU1" s="102"/>
      <c r="LOW1" s="101"/>
      <c r="LOX1" s="100"/>
      <c r="LOY1" s="102"/>
      <c r="LPA1" s="101"/>
      <c r="LPB1" s="100"/>
      <c r="LPC1" s="102"/>
      <c r="LPE1" s="101"/>
      <c r="LPF1" s="100"/>
      <c r="LPG1" s="102"/>
      <c r="LPI1" s="101"/>
      <c r="LPJ1" s="100"/>
      <c r="LPK1" s="102"/>
      <c r="LPM1" s="101"/>
      <c r="LPN1" s="100"/>
      <c r="LPO1" s="102"/>
      <c r="LPQ1" s="101"/>
      <c r="LPR1" s="100"/>
      <c r="LPS1" s="102"/>
      <c r="LPU1" s="101"/>
      <c r="LPV1" s="100"/>
      <c r="LPW1" s="102"/>
      <c r="LPY1" s="101"/>
      <c r="LPZ1" s="100"/>
      <c r="LQA1" s="102"/>
      <c r="LQC1" s="101"/>
      <c r="LQD1" s="100"/>
      <c r="LQE1" s="102"/>
      <c r="LQG1" s="101"/>
      <c r="LQH1" s="100"/>
      <c r="LQI1" s="102"/>
      <c r="LQK1" s="101"/>
      <c r="LQL1" s="100"/>
      <c r="LQM1" s="102"/>
      <c r="LQO1" s="101"/>
      <c r="LQP1" s="100"/>
      <c r="LQQ1" s="102"/>
      <c r="LQS1" s="101"/>
      <c r="LQT1" s="100"/>
      <c r="LQU1" s="102"/>
      <c r="LQW1" s="101"/>
      <c r="LQX1" s="100"/>
      <c r="LQY1" s="102"/>
      <c r="LRA1" s="101"/>
      <c r="LRB1" s="100"/>
      <c r="LRC1" s="102"/>
      <c r="LRE1" s="101"/>
      <c r="LRF1" s="100"/>
      <c r="LRG1" s="102"/>
      <c r="LRI1" s="101"/>
      <c r="LRJ1" s="100"/>
      <c r="LRK1" s="102"/>
      <c r="LRM1" s="101"/>
      <c r="LRN1" s="100"/>
      <c r="LRO1" s="102"/>
      <c r="LRQ1" s="101"/>
      <c r="LRR1" s="100"/>
      <c r="LRS1" s="102"/>
      <c r="LRU1" s="101"/>
      <c r="LRV1" s="100"/>
      <c r="LRW1" s="102"/>
      <c r="LRY1" s="101"/>
      <c r="LRZ1" s="100"/>
      <c r="LSA1" s="102"/>
      <c r="LSC1" s="101"/>
      <c r="LSD1" s="100"/>
      <c r="LSE1" s="102"/>
      <c r="LSG1" s="101"/>
      <c r="LSH1" s="100"/>
      <c r="LSI1" s="102"/>
      <c r="LSK1" s="101"/>
      <c r="LSL1" s="100"/>
      <c r="LSM1" s="102"/>
      <c r="LSO1" s="101"/>
      <c r="LSP1" s="100"/>
      <c r="LSQ1" s="102"/>
      <c r="LSS1" s="101"/>
      <c r="LST1" s="100"/>
      <c r="LSU1" s="102"/>
      <c r="LSW1" s="101"/>
      <c r="LSX1" s="100"/>
      <c r="LSY1" s="102"/>
      <c r="LTA1" s="101"/>
      <c r="LTB1" s="100"/>
      <c r="LTC1" s="102"/>
      <c r="LTE1" s="101"/>
      <c r="LTF1" s="100"/>
      <c r="LTG1" s="102"/>
      <c r="LTI1" s="101"/>
      <c r="LTJ1" s="100"/>
      <c r="LTK1" s="102"/>
      <c r="LTM1" s="101"/>
      <c r="LTN1" s="100"/>
      <c r="LTO1" s="102"/>
      <c r="LTQ1" s="101"/>
      <c r="LTR1" s="100"/>
      <c r="LTS1" s="102"/>
      <c r="LTU1" s="101"/>
      <c r="LTV1" s="100"/>
      <c r="LTW1" s="102"/>
      <c r="LTY1" s="101"/>
      <c r="LTZ1" s="100"/>
      <c r="LUA1" s="102"/>
      <c r="LUC1" s="101"/>
      <c r="LUD1" s="100"/>
      <c r="LUE1" s="102"/>
      <c r="LUG1" s="101"/>
      <c r="LUH1" s="100"/>
      <c r="LUI1" s="102"/>
      <c r="LUK1" s="101"/>
      <c r="LUL1" s="100"/>
      <c r="LUM1" s="102"/>
      <c r="LUO1" s="101"/>
      <c r="LUP1" s="100"/>
      <c r="LUQ1" s="102"/>
      <c r="LUS1" s="101"/>
      <c r="LUT1" s="100"/>
      <c r="LUU1" s="102"/>
      <c r="LUW1" s="101"/>
      <c r="LUX1" s="100"/>
      <c r="LUY1" s="102"/>
      <c r="LVA1" s="101"/>
      <c r="LVB1" s="100"/>
      <c r="LVC1" s="102"/>
      <c r="LVE1" s="101"/>
      <c r="LVF1" s="100"/>
      <c r="LVG1" s="102"/>
      <c r="LVI1" s="101"/>
      <c r="LVJ1" s="100"/>
      <c r="LVK1" s="102"/>
      <c r="LVM1" s="101"/>
      <c r="LVN1" s="100"/>
      <c r="LVO1" s="102"/>
      <c r="LVQ1" s="101"/>
      <c r="LVR1" s="100"/>
      <c r="LVS1" s="102"/>
      <c r="LVU1" s="101"/>
      <c r="LVV1" s="100"/>
      <c r="LVW1" s="102"/>
      <c r="LVY1" s="101"/>
      <c r="LVZ1" s="100"/>
      <c r="LWA1" s="102"/>
      <c r="LWC1" s="101"/>
      <c r="LWD1" s="100"/>
      <c r="LWE1" s="102"/>
      <c r="LWG1" s="101"/>
      <c r="LWH1" s="100"/>
      <c r="LWI1" s="102"/>
      <c r="LWK1" s="101"/>
      <c r="LWL1" s="100"/>
      <c r="LWM1" s="102"/>
      <c r="LWO1" s="101"/>
      <c r="LWP1" s="100"/>
      <c r="LWQ1" s="102"/>
      <c r="LWS1" s="101"/>
      <c r="LWT1" s="100"/>
      <c r="LWU1" s="102"/>
      <c r="LWW1" s="101"/>
      <c r="LWX1" s="100"/>
      <c r="LWY1" s="102"/>
      <c r="LXA1" s="101"/>
      <c r="LXB1" s="100"/>
      <c r="LXC1" s="102"/>
      <c r="LXE1" s="101"/>
      <c r="LXF1" s="100"/>
      <c r="LXG1" s="102"/>
      <c r="LXI1" s="101"/>
      <c r="LXJ1" s="100"/>
      <c r="LXK1" s="102"/>
      <c r="LXM1" s="101"/>
      <c r="LXN1" s="100"/>
      <c r="LXO1" s="102"/>
      <c r="LXQ1" s="101"/>
      <c r="LXR1" s="100"/>
      <c r="LXS1" s="102"/>
      <c r="LXU1" s="101"/>
      <c r="LXV1" s="100"/>
      <c r="LXW1" s="102"/>
      <c r="LXY1" s="101"/>
      <c r="LXZ1" s="100"/>
      <c r="LYA1" s="102"/>
      <c r="LYC1" s="101"/>
      <c r="LYD1" s="100"/>
      <c r="LYE1" s="102"/>
      <c r="LYG1" s="101"/>
      <c r="LYH1" s="100"/>
      <c r="LYI1" s="102"/>
      <c r="LYK1" s="101"/>
      <c r="LYL1" s="100"/>
      <c r="LYM1" s="102"/>
      <c r="LYO1" s="101"/>
      <c r="LYP1" s="100"/>
      <c r="LYQ1" s="102"/>
      <c r="LYS1" s="101"/>
      <c r="LYT1" s="100"/>
      <c r="LYU1" s="102"/>
      <c r="LYW1" s="101"/>
      <c r="LYX1" s="100"/>
      <c r="LYY1" s="102"/>
      <c r="LZA1" s="101"/>
      <c r="LZB1" s="100"/>
      <c r="LZC1" s="102"/>
      <c r="LZE1" s="101"/>
      <c r="LZF1" s="100"/>
      <c r="LZG1" s="102"/>
      <c r="LZI1" s="101"/>
      <c r="LZJ1" s="100"/>
      <c r="LZK1" s="102"/>
      <c r="LZM1" s="101"/>
      <c r="LZN1" s="100"/>
      <c r="LZO1" s="102"/>
      <c r="LZQ1" s="101"/>
      <c r="LZR1" s="100"/>
      <c r="LZS1" s="102"/>
      <c r="LZU1" s="101"/>
      <c r="LZV1" s="100"/>
      <c r="LZW1" s="102"/>
      <c r="LZY1" s="101"/>
      <c r="LZZ1" s="100"/>
      <c r="MAA1" s="102"/>
      <c r="MAC1" s="101"/>
      <c r="MAD1" s="100"/>
      <c r="MAE1" s="102"/>
      <c r="MAG1" s="101"/>
      <c r="MAH1" s="100"/>
      <c r="MAI1" s="102"/>
      <c r="MAK1" s="101"/>
      <c r="MAL1" s="100"/>
      <c r="MAM1" s="102"/>
      <c r="MAO1" s="101"/>
      <c r="MAP1" s="100"/>
      <c r="MAQ1" s="102"/>
      <c r="MAS1" s="101"/>
      <c r="MAT1" s="100"/>
      <c r="MAU1" s="102"/>
      <c r="MAW1" s="101"/>
      <c r="MAX1" s="100"/>
      <c r="MAY1" s="102"/>
      <c r="MBA1" s="101"/>
      <c r="MBB1" s="100"/>
      <c r="MBC1" s="102"/>
      <c r="MBE1" s="101"/>
      <c r="MBF1" s="100"/>
      <c r="MBG1" s="102"/>
      <c r="MBI1" s="101"/>
      <c r="MBJ1" s="100"/>
      <c r="MBK1" s="102"/>
      <c r="MBM1" s="101"/>
      <c r="MBN1" s="100"/>
      <c r="MBO1" s="102"/>
      <c r="MBQ1" s="101"/>
      <c r="MBR1" s="100"/>
      <c r="MBS1" s="102"/>
      <c r="MBU1" s="101"/>
      <c r="MBV1" s="100"/>
      <c r="MBW1" s="102"/>
      <c r="MBY1" s="101"/>
      <c r="MBZ1" s="100"/>
      <c r="MCA1" s="102"/>
      <c r="MCC1" s="101"/>
      <c r="MCD1" s="100"/>
      <c r="MCE1" s="102"/>
      <c r="MCG1" s="101"/>
      <c r="MCH1" s="100"/>
      <c r="MCI1" s="102"/>
      <c r="MCK1" s="101"/>
      <c r="MCL1" s="100"/>
      <c r="MCM1" s="102"/>
      <c r="MCO1" s="101"/>
      <c r="MCP1" s="100"/>
      <c r="MCQ1" s="102"/>
      <c r="MCS1" s="101"/>
      <c r="MCT1" s="100"/>
      <c r="MCU1" s="102"/>
      <c r="MCW1" s="101"/>
      <c r="MCX1" s="100"/>
      <c r="MCY1" s="102"/>
      <c r="MDA1" s="101"/>
      <c r="MDB1" s="100"/>
      <c r="MDC1" s="102"/>
      <c r="MDE1" s="101"/>
      <c r="MDF1" s="100"/>
      <c r="MDG1" s="102"/>
      <c r="MDI1" s="101"/>
      <c r="MDJ1" s="100"/>
      <c r="MDK1" s="102"/>
      <c r="MDM1" s="101"/>
      <c r="MDN1" s="100"/>
      <c r="MDO1" s="102"/>
      <c r="MDQ1" s="101"/>
      <c r="MDR1" s="100"/>
      <c r="MDS1" s="102"/>
      <c r="MDU1" s="101"/>
      <c r="MDV1" s="100"/>
      <c r="MDW1" s="102"/>
      <c r="MDY1" s="101"/>
      <c r="MDZ1" s="100"/>
      <c r="MEA1" s="102"/>
      <c r="MEC1" s="101"/>
      <c r="MED1" s="100"/>
      <c r="MEE1" s="102"/>
      <c r="MEG1" s="101"/>
      <c r="MEH1" s="100"/>
      <c r="MEI1" s="102"/>
      <c r="MEK1" s="101"/>
      <c r="MEL1" s="100"/>
      <c r="MEM1" s="102"/>
      <c r="MEO1" s="101"/>
      <c r="MEP1" s="100"/>
      <c r="MEQ1" s="102"/>
      <c r="MES1" s="101"/>
      <c r="MET1" s="100"/>
      <c r="MEU1" s="102"/>
      <c r="MEW1" s="101"/>
      <c r="MEX1" s="100"/>
      <c r="MEY1" s="102"/>
      <c r="MFA1" s="101"/>
      <c r="MFB1" s="100"/>
      <c r="MFC1" s="102"/>
      <c r="MFE1" s="101"/>
      <c r="MFF1" s="100"/>
      <c r="MFG1" s="102"/>
      <c r="MFI1" s="101"/>
      <c r="MFJ1" s="100"/>
      <c r="MFK1" s="102"/>
      <c r="MFM1" s="101"/>
      <c r="MFN1" s="100"/>
      <c r="MFO1" s="102"/>
      <c r="MFQ1" s="101"/>
      <c r="MFR1" s="100"/>
      <c r="MFS1" s="102"/>
      <c r="MFU1" s="101"/>
      <c r="MFV1" s="100"/>
      <c r="MFW1" s="102"/>
      <c r="MFY1" s="101"/>
      <c r="MFZ1" s="100"/>
      <c r="MGA1" s="102"/>
      <c r="MGC1" s="101"/>
      <c r="MGD1" s="100"/>
      <c r="MGE1" s="102"/>
      <c r="MGG1" s="101"/>
      <c r="MGH1" s="100"/>
      <c r="MGI1" s="102"/>
      <c r="MGK1" s="101"/>
      <c r="MGL1" s="100"/>
      <c r="MGM1" s="102"/>
      <c r="MGO1" s="101"/>
      <c r="MGP1" s="100"/>
      <c r="MGQ1" s="102"/>
      <c r="MGS1" s="101"/>
      <c r="MGT1" s="100"/>
      <c r="MGU1" s="102"/>
      <c r="MGW1" s="101"/>
      <c r="MGX1" s="100"/>
      <c r="MGY1" s="102"/>
      <c r="MHA1" s="101"/>
      <c r="MHB1" s="100"/>
      <c r="MHC1" s="102"/>
      <c r="MHE1" s="101"/>
      <c r="MHF1" s="100"/>
      <c r="MHG1" s="102"/>
      <c r="MHI1" s="101"/>
      <c r="MHJ1" s="100"/>
      <c r="MHK1" s="102"/>
      <c r="MHM1" s="101"/>
      <c r="MHN1" s="100"/>
      <c r="MHO1" s="102"/>
      <c r="MHQ1" s="101"/>
      <c r="MHR1" s="100"/>
      <c r="MHS1" s="102"/>
      <c r="MHU1" s="101"/>
      <c r="MHV1" s="100"/>
      <c r="MHW1" s="102"/>
      <c r="MHY1" s="101"/>
      <c r="MHZ1" s="100"/>
      <c r="MIA1" s="102"/>
      <c r="MIC1" s="101"/>
      <c r="MID1" s="100"/>
      <c r="MIE1" s="102"/>
      <c r="MIG1" s="101"/>
      <c r="MIH1" s="100"/>
      <c r="MII1" s="102"/>
      <c r="MIK1" s="101"/>
      <c r="MIL1" s="100"/>
      <c r="MIM1" s="102"/>
      <c r="MIO1" s="101"/>
      <c r="MIP1" s="100"/>
      <c r="MIQ1" s="102"/>
      <c r="MIS1" s="101"/>
      <c r="MIT1" s="100"/>
      <c r="MIU1" s="102"/>
      <c r="MIW1" s="101"/>
      <c r="MIX1" s="100"/>
      <c r="MIY1" s="102"/>
      <c r="MJA1" s="101"/>
      <c r="MJB1" s="100"/>
      <c r="MJC1" s="102"/>
      <c r="MJE1" s="101"/>
      <c r="MJF1" s="100"/>
      <c r="MJG1" s="102"/>
      <c r="MJI1" s="101"/>
      <c r="MJJ1" s="100"/>
      <c r="MJK1" s="102"/>
      <c r="MJM1" s="101"/>
      <c r="MJN1" s="100"/>
      <c r="MJO1" s="102"/>
      <c r="MJQ1" s="101"/>
      <c r="MJR1" s="100"/>
      <c r="MJS1" s="102"/>
      <c r="MJU1" s="101"/>
      <c r="MJV1" s="100"/>
      <c r="MJW1" s="102"/>
      <c r="MJY1" s="101"/>
      <c r="MJZ1" s="100"/>
      <c r="MKA1" s="102"/>
      <c r="MKC1" s="101"/>
      <c r="MKD1" s="100"/>
      <c r="MKE1" s="102"/>
      <c r="MKG1" s="101"/>
      <c r="MKH1" s="100"/>
      <c r="MKI1" s="102"/>
      <c r="MKK1" s="101"/>
      <c r="MKL1" s="100"/>
      <c r="MKM1" s="102"/>
      <c r="MKO1" s="101"/>
      <c r="MKP1" s="100"/>
      <c r="MKQ1" s="102"/>
      <c r="MKS1" s="101"/>
      <c r="MKT1" s="100"/>
      <c r="MKU1" s="102"/>
      <c r="MKW1" s="101"/>
      <c r="MKX1" s="100"/>
      <c r="MKY1" s="102"/>
      <c r="MLA1" s="101"/>
      <c r="MLB1" s="100"/>
      <c r="MLC1" s="102"/>
      <c r="MLE1" s="101"/>
      <c r="MLF1" s="100"/>
      <c r="MLG1" s="102"/>
      <c r="MLI1" s="101"/>
      <c r="MLJ1" s="100"/>
      <c r="MLK1" s="102"/>
      <c r="MLM1" s="101"/>
      <c r="MLN1" s="100"/>
      <c r="MLO1" s="102"/>
      <c r="MLQ1" s="101"/>
      <c r="MLR1" s="100"/>
      <c r="MLS1" s="102"/>
      <c r="MLU1" s="101"/>
      <c r="MLV1" s="100"/>
      <c r="MLW1" s="102"/>
      <c r="MLY1" s="101"/>
      <c r="MLZ1" s="100"/>
      <c r="MMA1" s="102"/>
      <c r="MMC1" s="101"/>
      <c r="MMD1" s="100"/>
      <c r="MME1" s="102"/>
      <c r="MMG1" s="101"/>
      <c r="MMH1" s="100"/>
      <c r="MMI1" s="102"/>
      <c r="MMK1" s="101"/>
      <c r="MML1" s="100"/>
      <c r="MMM1" s="102"/>
      <c r="MMO1" s="101"/>
      <c r="MMP1" s="100"/>
      <c r="MMQ1" s="102"/>
      <c r="MMS1" s="101"/>
      <c r="MMT1" s="100"/>
      <c r="MMU1" s="102"/>
      <c r="MMW1" s="101"/>
      <c r="MMX1" s="100"/>
      <c r="MMY1" s="102"/>
      <c r="MNA1" s="101"/>
      <c r="MNB1" s="100"/>
      <c r="MNC1" s="102"/>
      <c r="MNE1" s="101"/>
      <c r="MNF1" s="100"/>
      <c r="MNG1" s="102"/>
      <c r="MNI1" s="101"/>
      <c r="MNJ1" s="100"/>
      <c r="MNK1" s="102"/>
      <c r="MNM1" s="101"/>
      <c r="MNN1" s="100"/>
      <c r="MNO1" s="102"/>
      <c r="MNQ1" s="101"/>
      <c r="MNR1" s="100"/>
      <c r="MNS1" s="102"/>
      <c r="MNU1" s="101"/>
      <c r="MNV1" s="100"/>
      <c r="MNW1" s="102"/>
      <c r="MNY1" s="101"/>
      <c r="MNZ1" s="100"/>
      <c r="MOA1" s="102"/>
      <c r="MOC1" s="101"/>
      <c r="MOD1" s="100"/>
      <c r="MOE1" s="102"/>
      <c r="MOG1" s="101"/>
      <c r="MOH1" s="100"/>
      <c r="MOI1" s="102"/>
      <c r="MOK1" s="101"/>
      <c r="MOL1" s="100"/>
      <c r="MOM1" s="102"/>
      <c r="MOO1" s="101"/>
      <c r="MOP1" s="100"/>
      <c r="MOQ1" s="102"/>
      <c r="MOS1" s="101"/>
      <c r="MOT1" s="100"/>
      <c r="MOU1" s="102"/>
      <c r="MOW1" s="101"/>
      <c r="MOX1" s="100"/>
      <c r="MOY1" s="102"/>
      <c r="MPA1" s="101"/>
      <c r="MPB1" s="100"/>
      <c r="MPC1" s="102"/>
      <c r="MPE1" s="101"/>
      <c r="MPF1" s="100"/>
      <c r="MPG1" s="102"/>
      <c r="MPI1" s="101"/>
      <c r="MPJ1" s="100"/>
      <c r="MPK1" s="102"/>
      <c r="MPM1" s="101"/>
      <c r="MPN1" s="100"/>
      <c r="MPO1" s="102"/>
      <c r="MPQ1" s="101"/>
      <c r="MPR1" s="100"/>
      <c r="MPS1" s="102"/>
      <c r="MPU1" s="101"/>
      <c r="MPV1" s="100"/>
      <c r="MPW1" s="102"/>
      <c r="MPY1" s="101"/>
      <c r="MPZ1" s="100"/>
      <c r="MQA1" s="102"/>
      <c r="MQC1" s="101"/>
      <c r="MQD1" s="100"/>
      <c r="MQE1" s="102"/>
      <c r="MQG1" s="101"/>
      <c r="MQH1" s="100"/>
      <c r="MQI1" s="102"/>
      <c r="MQK1" s="101"/>
      <c r="MQL1" s="100"/>
      <c r="MQM1" s="102"/>
      <c r="MQO1" s="101"/>
      <c r="MQP1" s="100"/>
      <c r="MQQ1" s="102"/>
      <c r="MQS1" s="101"/>
      <c r="MQT1" s="100"/>
      <c r="MQU1" s="102"/>
      <c r="MQW1" s="101"/>
      <c r="MQX1" s="100"/>
      <c r="MQY1" s="102"/>
      <c r="MRA1" s="101"/>
      <c r="MRB1" s="100"/>
      <c r="MRC1" s="102"/>
      <c r="MRE1" s="101"/>
      <c r="MRF1" s="100"/>
      <c r="MRG1" s="102"/>
      <c r="MRI1" s="101"/>
      <c r="MRJ1" s="100"/>
      <c r="MRK1" s="102"/>
      <c r="MRM1" s="101"/>
      <c r="MRN1" s="100"/>
      <c r="MRO1" s="102"/>
      <c r="MRQ1" s="101"/>
      <c r="MRR1" s="100"/>
      <c r="MRS1" s="102"/>
      <c r="MRU1" s="101"/>
      <c r="MRV1" s="100"/>
      <c r="MRW1" s="102"/>
      <c r="MRY1" s="101"/>
      <c r="MRZ1" s="100"/>
      <c r="MSA1" s="102"/>
      <c r="MSC1" s="101"/>
      <c r="MSD1" s="100"/>
      <c r="MSE1" s="102"/>
      <c r="MSG1" s="101"/>
      <c r="MSH1" s="100"/>
      <c r="MSI1" s="102"/>
      <c r="MSK1" s="101"/>
      <c r="MSL1" s="100"/>
      <c r="MSM1" s="102"/>
      <c r="MSO1" s="101"/>
      <c r="MSP1" s="100"/>
      <c r="MSQ1" s="102"/>
      <c r="MSS1" s="101"/>
      <c r="MST1" s="100"/>
      <c r="MSU1" s="102"/>
      <c r="MSW1" s="101"/>
      <c r="MSX1" s="100"/>
      <c r="MSY1" s="102"/>
      <c r="MTA1" s="101"/>
      <c r="MTB1" s="100"/>
      <c r="MTC1" s="102"/>
      <c r="MTE1" s="101"/>
      <c r="MTF1" s="100"/>
      <c r="MTG1" s="102"/>
      <c r="MTI1" s="101"/>
      <c r="MTJ1" s="100"/>
      <c r="MTK1" s="102"/>
      <c r="MTM1" s="101"/>
      <c r="MTN1" s="100"/>
      <c r="MTO1" s="102"/>
      <c r="MTQ1" s="101"/>
      <c r="MTR1" s="100"/>
      <c r="MTS1" s="102"/>
      <c r="MTU1" s="101"/>
      <c r="MTV1" s="100"/>
      <c r="MTW1" s="102"/>
      <c r="MTY1" s="101"/>
      <c r="MTZ1" s="100"/>
      <c r="MUA1" s="102"/>
      <c r="MUC1" s="101"/>
      <c r="MUD1" s="100"/>
      <c r="MUE1" s="102"/>
      <c r="MUG1" s="101"/>
      <c r="MUH1" s="100"/>
      <c r="MUI1" s="102"/>
      <c r="MUK1" s="101"/>
      <c r="MUL1" s="100"/>
      <c r="MUM1" s="102"/>
      <c r="MUO1" s="101"/>
      <c r="MUP1" s="100"/>
      <c r="MUQ1" s="102"/>
      <c r="MUS1" s="101"/>
      <c r="MUT1" s="100"/>
      <c r="MUU1" s="102"/>
      <c r="MUW1" s="101"/>
      <c r="MUX1" s="100"/>
      <c r="MUY1" s="102"/>
      <c r="MVA1" s="101"/>
      <c r="MVB1" s="100"/>
      <c r="MVC1" s="102"/>
      <c r="MVE1" s="101"/>
      <c r="MVF1" s="100"/>
      <c r="MVG1" s="102"/>
      <c r="MVI1" s="101"/>
      <c r="MVJ1" s="100"/>
      <c r="MVK1" s="102"/>
      <c r="MVM1" s="101"/>
      <c r="MVN1" s="100"/>
      <c r="MVO1" s="102"/>
      <c r="MVQ1" s="101"/>
      <c r="MVR1" s="100"/>
      <c r="MVS1" s="102"/>
      <c r="MVU1" s="101"/>
      <c r="MVV1" s="100"/>
      <c r="MVW1" s="102"/>
      <c r="MVY1" s="101"/>
      <c r="MVZ1" s="100"/>
      <c r="MWA1" s="102"/>
      <c r="MWC1" s="101"/>
      <c r="MWD1" s="100"/>
      <c r="MWE1" s="102"/>
      <c r="MWG1" s="101"/>
      <c r="MWH1" s="100"/>
      <c r="MWI1" s="102"/>
      <c r="MWK1" s="101"/>
      <c r="MWL1" s="100"/>
      <c r="MWM1" s="102"/>
      <c r="MWO1" s="101"/>
      <c r="MWP1" s="100"/>
      <c r="MWQ1" s="102"/>
      <c r="MWS1" s="101"/>
      <c r="MWT1" s="100"/>
      <c r="MWU1" s="102"/>
      <c r="MWW1" s="101"/>
      <c r="MWX1" s="100"/>
      <c r="MWY1" s="102"/>
      <c r="MXA1" s="101"/>
      <c r="MXB1" s="100"/>
      <c r="MXC1" s="102"/>
      <c r="MXE1" s="101"/>
      <c r="MXF1" s="100"/>
      <c r="MXG1" s="102"/>
      <c r="MXI1" s="101"/>
      <c r="MXJ1" s="100"/>
      <c r="MXK1" s="102"/>
      <c r="MXM1" s="101"/>
      <c r="MXN1" s="100"/>
      <c r="MXO1" s="102"/>
      <c r="MXQ1" s="101"/>
      <c r="MXR1" s="100"/>
      <c r="MXS1" s="102"/>
      <c r="MXU1" s="101"/>
      <c r="MXV1" s="100"/>
      <c r="MXW1" s="102"/>
      <c r="MXY1" s="101"/>
      <c r="MXZ1" s="100"/>
      <c r="MYA1" s="102"/>
      <c r="MYC1" s="101"/>
      <c r="MYD1" s="100"/>
      <c r="MYE1" s="102"/>
      <c r="MYG1" s="101"/>
      <c r="MYH1" s="100"/>
      <c r="MYI1" s="102"/>
      <c r="MYK1" s="101"/>
      <c r="MYL1" s="100"/>
      <c r="MYM1" s="102"/>
      <c r="MYO1" s="101"/>
      <c r="MYP1" s="100"/>
      <c r="MYQ1" s="102"/>
      <c r="MYS1" s="101"/>
      <c r="MYT1" s="100"/>
      <c r="MYU1" s="102"/>
      <c r="MYW1" s="101"/>
      <c r="MYX1" s="100"/>
      <c r="MYY1" s="102"/>
      <c r="MZA1" s="101"/>
      <c r="MZB1" s="100"/>
      <c r="MZC1" s="102"/>
      <c r="MZE1" s="101"/>
      <c r="MZF1" s="100"/>
      <c r="MZG1" s="102"/>
      <c r="MZI1" s="101"/>
      <c r="MZJ1" s="100"/>
      <c r="MZK1" s="102"/>
      <c r="MZM1" s="101"/>
      <c r="MZN1" s="100"/>
      <c r="MZO1" s="102"/>
      <c r="MZQ1" s="101"/>
      <c r="MZR1" s="100"/>
      <c r="MZS1" s="102"/>
      <c r="MZU1" s="101"/>
      <c r="MZV1" s="100"/>
      <c r="MZW1" s="102"/>
      <c r="MZY1" s="101"/>
      <c r="MZZ1" s="100"/>
      <c r="NAA1" s="102"/>
      <c r="NAC1" s="101"/>
      <c r="NAD1" s="100"/>
      <c r="NAE1" s="102"/>
      <c r="NAG1" s="101"/>
      <c r="NAH1" s="100"/>
      <c r="NAI1" s="102"/>
      <c r="NAK1" s="101"/>
      <c r="NAL1" s="100"/>
      <c r="NAM1" s="102"/>
      <c r="NAO1" s="101"/>
      <c r="NAP1" s="100"/>
      <c r="NAQ1" s="102"/>
      <c r="NAS1" s="101"/>
      <c r="NAT1" s="100"/>
      <c r="NAU1" s="102"/>
      <c r="NAW1" s="101"/>
      <c r="NAX1" s="100"/>
      <c r="NAY1" s="102"/>
      <c r="NBA1" s="101"/>
      <c r="NBB1" s="100"/>
      <c r="NBC1" s="102"/>
      <c r="NBE1" s="101"/>
      <c r="NBF1" s="100"/>
      <c r="NBG1" s="102"/>
      <c r="NBI1" s="101"/>
      <c r="NBJ1" s="100"/>
      <c r="NBK1" s="102"/>
      <c r="NBM1" s="101"/>
      <c r="NBN1" s="100"/>
      <c r="NBO1" s="102"/>
      <c r="NBQ1" s="101"/>
      <c r="NBR1" s="100"/>
      <c r="NBS1" s="102"/>
      <c r="NBU1" s="101"/>
      <c r="NBV1" s="100"/>
      <c r="NBW1" s="102"/>
      <c r="NBY1" s="101"/>
      <c r="NBZ1" s="100"/>
      <c r="NCA1" s="102"/>
      <c r="NCC1" s="101"/>
      <c r="NCD1" s="100"/>
      <c r="NCE1" s="102"/>
      <c r="NCG1" s="101"/>
      <c r="NCH1" s="100"/>
      <c r="NCI1" s="102"/>
      <c r="NCK1" s="101"/>
      <c r="NCL1" s="100"/>
      <c r="NCM1" s="102"/>
      <c r="NCO1" s="101"/>
      <c r="NCP1" s="100"/>
      <c r="NCQ1" s="102"/>
      <c r="NCS1" s="101"/>
      <c r="NCT1" s="100"/>
      <c r="NCU1" s="102"/>
      <c r="NCW1" s="101"/>
      <c r="NCX1" s="100"/>
      <c r="NCY1" s="102"/>
      <c r="NDA1" s="101"/>
      <c r="NDB1" s="100"/>
      <c r="NDC1" s="102"/>
      <c r="NDE1" s="101"/>
      <c r="NDF1" s="100"/>
      <c r="NDG1" s="102"/>
      <c r="NDI1" s="101"/>
      <c r="NDJ1" s="100"/>
      <c r="NDK1" s="102"/>
      <c r="NDM1" s="101"/>
      <c r="NDN1" s="100"/>
      <c r="NDO1" s="102"/>
      <c r="NDQ1" s="101"/>
      <c r="NDR1" s="100"/>
      <c r="NDS1" s="102"/>
      <c r="NDU1" s="101"/>
      <c r="NDV1" s="100"/>
      <c r="NDW1" s="102"/>
      <c r="NDY1" s="101"/>
      <c r="NDZ1" s="100"/>
      <c r="NEA1" s="102"/>
      <c r="NEC1" s="101"/>
      <c r="NED1" s="100"/>
      <c r="NEE1" s="102"/>
      <c r="NEG1" s="101"/>
      <c r="NEH1" s="100"/>
      <c r="NEI1" s="102"/>
      <c r="NEK1" s="101"/>
      <c r="NEL1" s="100"/>
      <c r="NEM1" s="102"/>
      <c r="NEO1" s="101"/>
      <c r="NEP1" s="100"/>
      <c r="NEQ1" s="102"/>
      <c r="NES1" s="101"/>
      <c r="NET1" s="100"/>
      <c r="NEU1" s="102"/>
      <c r="NEW1" s="101"/>
      <c r="NEX1" s="100"/>
      <c r="NEY1" s="102"/>
      <c r="NFA1" s="101"/>
      <c r="NFB1" s="100"/>
      <c r="NFC1" s="102"/>
      <c r="NFE1" s="101"/>
      <c r="NFF1" s="100"/>
      <c r="NFG1" s="102"/>
      <c r="NFI1" s="101"/>
      <c r="NFJ1" s="100"/>
      <c r="NFK1" s="102"/>
      <c r="NFM1" s="101"/>
      <c r="NFN1" s="100"/>
      <c r="NFO1" s="102"/>
      <c r="NFQ1" s="101"/>
      <c r="NFR1" s="100"/>
      <c r="NFS1" s="102"/>
      <c r="NFU1" s="101"/>
      <c r="NFV1" s="100"/>
      <c r="NFW1" s="102"/>
      <c r="NFY1" s="101"/>
      <c r="NFZ1" s="100"/>
      <c r="NGA1" s="102"/>
      <c r="NGC1" s="101"/>
      <c r="NGD1" s="100"/>
      <c r="NGE1" s="102"/>
      <c r="NGG1" s="101"/>
      <c r="NGH1" s="100"/>
      <c r="NGI1" s="102"/>
      <c r="NGK1" s="101"/>
      <c r="NGL1" s="100"/>
      <c r="NGM1" s="102"/>
      <c r="NGO1" s="101"/>
      <c r="NGP1" s="100"/>
      <c r="NGQ1" s="102"/>
      <c r="NGS1" s="101"/>
      <c r="NGT1" s="100"/>
      <c r="NGU1" s="102"/>
      <c r="NGW1" s="101"/>
      <c r="NGX1" s="100"/>
      <c r="NGY1" s="102"/>
      <c r="NHA1" s="101"/>
      <c r="NHB1" s="100"/>
      <c r="NHC1" s="102"/>
      <c r="NHE1" s="101"/>
      <c r="NHF1" s="100"/>
      <c r="NHG1" s="102"/>
      <c r="NHI1" s="101"/>
      <c r="NHJ1" s="100"/>
      <c r="NHK1" s="102"/>
      <c r="NHM1" s="101"/>
      <c r="NHN1" s="100"/>
      <c r="NHO1" s="102"/>
      <c r="NHQ1" s="101"/>
      <c r="NHR1" s="100"/>
      <c r="NHS1" s="102"/>
      <c r="NHU1" s="101"/>
      <c r="NHV1" s="100"/>
      <c r="NHW1" s="102"/>
      <c r="NHY1" s="101"/>
      <c r="NHZ1" s="100"/>
      <c r="NIA1" s="102"/>
      <c r="NIC1" s="101"/>
      <c r="NID1" s="100"/>
      <c r="NIE1" s="102"/>
      <c r="NIG1" s="101"/>
      <c r="NIH1" s="100"/>
      <c r="NII1" s="102"/>
      <c r="NIK1" s="101"/>
      <c r="NIL1" s="100"/>
      <c r="NIM1" s="102"/>
      <c r="NIO1" s="101"/>
      <c r="NIP1" s="100"/>
      <c r="NIQ1" s="102"/>
      <c r="NIS1" s="101"/>
      <c r="NIT1" s="100"/>
      <c r="NIU1" s="102"/>
      <c r="NIW1" s="101"/>
      <c r="NIX1" s="100"/>
      <c r="NIY1" s="102"/>
      <c r="NJA1" s="101"/>
      <c r="NJB1" s="100"/>
      <c r="NJC1" s="102"/>
      <c r="NJE1" s="101"/>
      <c r="NJF1" s="100"/>
      <c r="NJG1" s="102"/>
      <c r="NJI1" s="101"/>
      <c r="NJJ1" s="100"/>
      <c r="NJK1" s="102"/>
      <c r="NJM1" s="101"/>
      <c r="NJN1" s="100"/>
      <c r="NJO1" s="102"/>
      <c r="NJQ1" s="101"/>
      <c r="NJR1" s="100"/>
      <c r="NJS1" s="102"/>
      <c r="NJU1" s="101"/>
      <c r="NJV1" s="100"/>
      <c r="NJW1" s="102"/>
      <c r="NJY1" s="101"/>
      <c r="NJZ1" s="100"/>
      <c r="NKA1" s="102"/>
      <c r="NKC1" s="101"/>
      <c r="NKD1" s="100"/>
      <c r="NKE1" s="102"/>
      <c r="NKG1" s="101"/>
      <c r="NKH1" s="100"/>
      <c r="NKI1" s="102"/>
      <c r="NKK1" s="101"/>
      <c r="NKL1" s="100"/>
      <c r="NKM1" s="102"/>
      <c r="NKO1" s="101"/>
      <c r="NKP1" s="100"/>
      <c r="NKQ1" s="102"/>
      <c r="NKS1" s="101"/>
      <c r="NKT1" s="100"/>
      <c r="NKU1" s="102"/>
      <c r="NKW1" s="101"/>
      <c r="NKX1" s="100"/>
      <c r="NKY1" s="102"/>
      <c r="NLA1" s="101"/>
      <c r="NLB1" s="100"/>
      <c r="NLC1" s="102"/>
      <c r="NLE1" s="101"/>
      <c r="NLF1" s="100"/>
      <c r="NLG1" s="102"/>
      <c r="NLI1" s="101"/>
      <c r="NLJ1" s="100"/>
      <c r="NLK1" s="102"/>
      <c r="NLM1" s="101"/>
      <c r="NLN1" s="100"/>
      <c r="NLO1" s="102"/>
      <c r="NLQ1" s="101"/>
      <c r="NLR1" s="100"/>
      <c r="NLS1" s="102"/>
      <c r="NLU1" s="101"/>
      <c r="NLV1" s="100"/>
      <c r="NLW1" s="102"/>
      <c r="NLY1" s="101"/>
      <c r="NLZ1" s="100"/>
      <c r="NMA1" s="102"/>
      <c r="NMC1" s="101"/>
      <c r="NMD1" s="100"/>
      <c r="NME1" s="102"/>
      <c r="NMG1" s="101"/>
      <c r="NMH1" s="100"/>
      <c r="NMI1" s="102"/>
      <c r="NMK1" s="101"/>
      <c r="NML1" s="100"/>
      <c r="NMM1" s="102"/>
      <c r="NMO1" s="101"/>
      <c r="NMP1" s="100"/>
      <c r="NMQ1" s="102"/>
      <c r="NMS1" s="101"/>
      <c r="NMT1" s="100"/>
      <c r="NMU1" s="102"/>
      <c r="NMW1" s="101"/>
      <c r="NMX1" s="100"/>
      <c r="NMY1" s="102"/>
      <c r="NNA1" s="101"/>
      <c r="NNB1" s="100"/>
      <c r="NNC1" s="102"/>
      <c r="NNE1" s="101"/>
      <c r="NNF1" s="100"/>
      <c r="NNG1" s="102"/>
      <c r="NNI1" s="101"/>
      <c r="NNJ1" s="100"/>
      <c r="NNK1" s="102"/>
      <c r="NNM1" s="101"/>
      <c r="NNN1" s="100"/>
      <c r="NNO1" s="102"/>
      <c r="NNQ1" s="101"/>
      <c r="NNR1" s="100"/>
      <c r="NNS1" s="102"/>
      <c r="NNU1" s="101"/>
      <c r="NNV1" s="100"/>
      <c r="NNW1" s="102"/>
      <c r="NNY1" s="101"/>
      <c r="NNZ1" s="100"/>
      <c r="NOA1" s="102"/>
      <c r="NOC1" s="101"/>
      <c r="NOD1" s="100"/>
      <c r="NOE1" s="102"/>
      <c r="NOG1" s="101"/>
      <c r="NOH1" s="100"/>
      <c r="NOI1" s="102"/>
      <c r="NOK1" s="101"/>
      <c r="NOL1" s="100"/>
      <c r="NOM1" s="102"/>
      <c r="NOO1" s="101"/>
      <c r="NOP1" s="100"/>
      <c r="NOQ1" s="102"/>
      <c r="NOS1" s="101"/>
      <c r="NOT1" s="100"/>
      <c r="NOU1" s="102"/>
      <c r="NOW1" s="101"/>
      <c r="NOX1" s="100"/>
      <c r="NOY1" s="102"/>
      <c r="NPA1" s="101"/>
      <c r="NPB1" s="100"/>
      <c r="NPC1" s="102"/>
      <c r="NPE1" s="101"/>
      <c r="NPF1" s="100"/>
      <c r="NPG1" s="102"/>
      <c r="NPI1" s="101"/>
      <c r="NPJ1" s="100"/>
      <c r="NPK1" s="102"/>
      <c r="NPM1" s="101"/>
      <c r="NPN1" s="100"/>
      <c r="NPO1" s="102"/>
      <c r="NPQ1" s="101"/>
      <c r="NPR1" s="100"/>
      <c r="NPS1" s="102"/>
      <c r="NPU1" s="101"/>
      <c r="NPV1" s="100"/>
      <c r="NPW1" s="102"/>
      <c r="NPY1" s="101"/>
      <c r="NPZ1" s="100"/>
      <c r="NQA1" s="102"/>
      <c r="NQC1" s="101"/>
      <c r="NQD1" s="100"/>
      <c r="NQE1" s="102"/>
      <c r="NQG1" s="101"/>
      <c r="NQH1" s="100"/>
      <c r="NQI1" s="102"/>
      <c r="NQK1" s="101"/>
      <c r="NQL1" s="100"/>
      <c r="NQM1" s="102"/>
      <c r="NQO1" s="101"/>
      <c r="NQP1" s="100"/>
      <c r="NQQ1" s="102"/>
      <c r="NQS1" s="101"/>
      <c r="NQT1" s="100"/>
      <c r="NQU1" s="102"/>
      <c r="NQW1" s="101"/>
      <c r="NQX1" s="100"/>
      <c r="NQY1" s="102"/>
      <c r="NRA1" s="101"/>
      <c r="NRB1" s="100"/>
      <c r="NRC1" s="102"/>
      <c r="NRE1" s="101"/>
      <c r="NRF1" s="100"/>
      <c r="NRG1" s="102"/>
      <c r="NRI1" s="101"/>
      <c r="NRJ1" s="100"/>
      <c r="NRK1" s="102"/>
      <c r="NRM1" s="101"/>
      <c r="NRN1" s="100"/>
      <c r="NRO1" s="102"/>
      <c r="NRQ1" s="101"/>
      <c r="NRR1" s="100"/>
      <c r="NRS1" s="102"/>
      <c r="NRU1" s="101"/>
      <c r="NRV1" s="100"/>
      <c r="NRW1" s="102"/>
      <c r="NRY1" s="101"/>
      <c r="NRZ1" s="100"/>
      <c r="NSA1" s="102"/>
      <c r="NSC1" s="101"/>
      <c r="NSD1" s="100"/>
      <c r="NSE1" s="102"/>
      <c r="NSG1" s="101"/>
      <c r="NSH1" s="100"/>
      <c r="NSI1" s="102"/>
      <c r="NSK1" s="101"/>
      <c r="NSL1" s="100"/>
      <c r="NSM1" s="102"/>
      <c r="NSO1" s="101"/>
      <c r="NSP1" s="100"/>
      <c r="NSQ1" s="102"/>
      <c r="NSS1" s="101"/>
      <c r="NST1" s="100"/>
      <c r="NSU1" s="102"/>
      <c r="NSW1" s="101"/>
      <c r="NSX1" s="100"/>
      <c r="NSY1" s="102"/>
      <c r="NTA1" s="101"/>
      <c r="NTB1" s="100"/>
      <c r="NTC1" s="102"/>
      <c r="NTE1" s="101"/>
      <c r="NTF1" s="100"/>
      <c r="NTG1" s="102"/>
      <c r="NTI1" s="101"/>
      <c r="NTJ1" s="100"/>
      <c r="NTK1" s="102"/>
      <c r="NTM1" s="101"/>
      <c r="NTN1" s="100"/>
      <c r="NTO1" s="102"/>
      <c r="NTQ1" s="101"/>
      <c r="NTR1" s="100"/>
      <c r="NTS1" s="102"/>
      <c r="NTU1" s="101"/>
      <c r="NTV1" s="100"/>
      <c r="NTW1" s="102"/>
      <c r="NTY1" s="101"/>
      <c r="NTZ1" s="100"/>
      <c r="NUA1" s="102"/>
      <c r="NUC1" s="101"/>
      <c r="NUD1" s="100"/>
      <c r="NUE1" s="102"/>
      <c r="NUG1" s="101"/>
      <c r="NUH1" s="100"/>
      <c r="NUI1" s="102"/>
      <c r="NUK1" s="101"/>
      <c r="NUL1" s="100"/>
      <c r="NUM1" s="102"/>
      <c r="NUO1" s="101"/>
      <c r="NUP1" s="100"/>
      <c r="NUQ1" s="102"/>
      <c r="NUS1" s="101"/>
      <c r="NUT1" s="100"/>
      <c r="NUU1" s="102"/>
      <c r="NUW1" s="101"/>
      <c r="NUX1" s="100"/>
      <c r="NUY1" s="102"/>
      <c r="NVA1" s="101"/>
      <c r="NVB1" s="100"/>
      <c r="NVC1" s="102"/>
      <c r="NVE1" s="101"/>
      <c r="NVF1" s="100"/>
      <c r="NVG1" s="102"/>
      <c r="NVI1" s="101"/>
      <c r="NVJ1" s="100"/>
      <c r="NVK1" s="102"/>
      <c r="NVM1" s="101"/>
      <c r="NVN1" s="100"/>
      <c r="NVO1" s="102"/>
      <c r="NVQ1" s="101"/>
      <c r="NVR1" s="100"/>
      <c r="NVS1" s="102"/>
      <c r="NVU1" s="101"/>
      <c r="NVV1" s="100"/>
      <c r="NVW1" s="102"/>
      <c r="NVY1" s="101"/>
      <c r="NVZ1" s="100"/>
      <c r="NWA1" s="102"/>
      <c r="NWC1" s="101"/>
      <c r="NWD1" s="100"/>
      <c r="NWE1" s="102"/>
      <c r="NWG1" s="101"/>
      <c r="NWH1" s="100"/>
      <c r="NWI1" s="102"/>
      <c r="NWK1" s="101"/>
      <c r="NWL1" s="100"/>
      <c r="NWM1" s="102"/>
      <c r="NWO1" s="101"/>
      <c r="NWP1" s="100"/>
      <c r="NWQ1" s="102"/>
      <c r="NWS1" s="101"/>
      <c r="NWT1" s="100"/>
      <c r="NWU1" s="102"/>
      <c r="NWW1" s="101"/>
      <c r="NWX1" s="100"/>
      <c r="NWY1" s="102"/>
      <c r="NXA1" s="101"/>
      <c r="NXB1" s="100"/>
      <c r="NXC1" s="102"/>
      <c r="NXE1" s="101"/>
      <c r="NXF1" s="100"/>
      <c r="NXG1" s="102"/>
      <c r="NXI1" s="101"/>
      <c r="NXJ1" s="100"/>
      <c r="NXK1" s="102"/>
      <c r="NXM1" s="101"/>
      <c r="NXN1" s="100"/>
      <c r="NXO1" s="102"/>
      <c r="NXQ1" s="101"/>
      <c r="NXR1" s="100"/>
      <c r="NXS1" s="102"/>
      <c r="NXU1" s="101"/>
      <c r="NXV1" s="100"/>
      <c r="NXW1" s="102"/>
      <c r="NXY1" s="101"/>
      <c r="NXZ1" s="100"/>
      <c r="NYA1" s="102"/>
      <c r="NYC1" s="101"/>
      <c r="NYD1" s="100"/>
      <c r="NYE1" s="102"/>
      <c r="NYG1" s="101"/>
      <c r="NYH1" s="100"/>
      <c r="NYI1" s="102"/>
      <c r="NYK1" s="101"/>
      <c r="NYL1" s="100"/>
      <c r="NYM1" s="102"/>
      <c r="NYO1" s="101"/>
      <c r="NYP1" s="100"/>
      <c r="NYQ1" s="102"/>
      <c r="NYS1" s="101"/>
      <c r="NYT1" s="100"/>
      <c r="NYU1" s="102"/>
      <c r="NYW1" s="101"/>
      <c r="NYX1" s="100"/>
      <c r="NYY1" s="102"/>
      <c r="NZA1" s="101"/>
      <c r="NZB1" s="100"/>
      <c r="NZC1" s="102"/>
      <c r="NZE1" s="101"/>
      <c r="NZF1" s="100"/>
      <c r="NZG1" s="102"/>
      <c r="NZI1" s="101"/>
      <c r="NZJ1" s="100"/>
      <c r="NZK1" s="102"/>
      <c r="NZM1" s="101"/>
      <c r="NZN1" s="100"/>
      <c r="NZO1" s="102"/>
      <c r="NZQ1" s="101"/>
      <c r="NZR1" s="100"/>
      <c r="NZS1" s="102"/>
      <c r="NZU1" s="101"/>
      <c r="NZV1" s="100"/>
      <c r="NZW1" s="102"/>
      <c r="NZY1" s="101"/>
      <c r="NZZ1" s="100"/>
      <c r="OAA1" s="102"/>
      <c r="OAC1" s="101"/>
      <c r="OAD1" s="100"/>
      <c r="OAE1" s="102"/>
      <c r="OAG1" s="101"/>
      <c r="OAH1" s="100"/>
      <c r="OAI1" s="102"/>
      <c r="OAK1" s="101"/>
      <c r="OAL1" s="100"/>
      <c r="OAM1" s="102"/>
      <c r="OAO1" s="101"/>
      <c r="OAP1" s="100"/>
      <c r="OAQ1" s="102"/>
      <c r="OAS1" s="101"/>
      <c r="OAT1" s="100"/>
      <c r="OAU1" s="102"/>
      <c r="OAW1" s="101"/>
      <c r="OAX1" s="100"/>
      <c r="OAY1" s="102"/>
      <c r="OBA1" s="101"/>
      <c r="OBB1" s="100"/>
      <c r="OBC1" s="102"/>
      <c r="OBE1" s="101"/>
      <c r="OBF1" s="100"/>
      <c r="OBG1" s="102"/>
      <c r="OBI1" s="101"/>
      <c r="OBJ1" s="100"/>
      <c r="OBK1" s="102"/>
      <c r="OBM1" s="101"/>
      <c r="OBN1" s="100"/>
      <c r="OBO1" s="102"/>
      <c r="OBQ1" s="101"/>
      <c r="OBR1" s="100"/>
      <c r="OBS1" s="102"/>
      <c r="OBU1" s="101"/>
      <c r="OBV1" s="100"/>
      <c r="OBW1" s="102"/>
      <c r="OBY1" s="101"/>
      <c r="OBZ1" s="100"/>
      <c r="OCA1" s="102"/>
      <c r="OCC1" s="101"/>
      <c r="OCD1" s="100"/>
      <c r="OCE1" s="102"/>
      <c r="OCG1" s="101"/>
      <c r="OCH1" s="100"/>
      <c r="OCI1" s="102"/>
      <c r="OCK1" s="101"/>
      <c r="OCL1" s="100"/>
      <c r="OCM1" s="102"/>
      <c r="OCO1" s="101"/>
      <c r="OCP1" s="100"/>
      <c r="OCQ1" s="102"/>
      <c r="OCS1" s="101"/>
      <c r="OCT1" s="100"/>
      <c r="OCU1" s="102"/>
      <c r="OCW1" s="101"/>
      <c r="OCX1" s="100"/>
      <c r="OCY1" s="102"/>
      <c r="ODA1" s="101"/>
      <c r="ODB1" s="100"/>
      <c r="ODC1" s="102"/>
      <c r="ODE1" s="101"/>
      <c r="ODF1" s="100"/>
      <c r="ODG1" s="102"/>
      <c r="ODI1" s="101"/>
      <c r="ODJ1" s="100"/>
      <c r="ODK1" s="102"/>
      <c r="ODM1" s="101"/>
      <c r="ODN1" s="100"/>
      <c r="ODO1" s="102"/>
      <c r="ODQ1" s="101"/>
      <c r="ODR1" s="100"/>
      <c r="ODS1" s="102"/>
      <c r="ODU1" s="101"/>
      <c r="ODV1" s="100"/>
      <c r="ODW1" s="102"/>
      <c r="ODY1" s="101"/>
      <c r="ODZ1" s="100"/>
      <c r="OEA1" s="102"/>
      <c r="OEC1" s="101"/>
      <c r="OED1" s="100"/>
      <c r="OEE1" s="102"/>
      <c r="OEG1" s="101"/>
      <c r="OEH1" s="100"/>
      <c r="OEI1" s="102"/>
      <c r="OEK1" s="101"/>
      <c r="OEL1" s="100"/>
      <c r="OEM1" s="102"/>
      <c r="OEO1" s="101"/>
      <c r="OEP1" s="100"/>
      <c r="OEQ1" s="102"/>
      <c r="OES1" s="101"/>
      <c r="OET1" s="100"/>
      <c r="OEU1" s="102"/>
      <c r="OEW1" s="101"/>
      <c r="OEX1" s="100"/>
      <c r="OEY1" s="102"/>
      <c r="OFA1" s="101"/>
      <c r="OFB1" s="100"/>
      <c r="OFC1" s="102"/>
      <c r="OFE1" s="101"/>
      <c r="OFF1" s="100"/>
      <c r="OFG1" s="102"/>
      <c r="OFI1" s="101"/>
      <c r="OFJ1" s="100"/>
      <c r="OFK1" s="102"/>
      <c r="OFM1" s="101"/>
      <c r="OFN1" s="100"/>
      <c r="OFO1" s="102"/>
      <c r="OFQ1" s="101"/>
      <c r="OFR1" s="100"/>
      <c r="OFS1" s="102"/>
      <c r="OFU1" s="101"/>
      <c r="OFV1" s="100"/>
      <c r="OFW1" s="102"/>
      <c r="OFY1" s="101"/>
      <c r="OFZ1" s="100"/>
      <c r="OGA1" s="102"/>
      <c r="OGC1" s="101"/>
      <c r="OGD1" s="100"/>
      <c r="OGE1" s="102"/>
      <c r="OGG1" s="101"/>
      <c r="OGH1" s="100"/>
      <c r="OGI1" s="102"/>
      <c r="OGK1" s="101"/>
      <c r="OGL1" s="100"/>
      <c r="OGM1" s="102"/>
      <c r="OGO1" s="101"/>
      <c r="OGP1" s="100"/>
      <c r="OGQ1" s="102"/>
      <c r="OGS1" s="101"/>
      <c r="OGT1" s="100"/>
      <c r="OGU1" s="102"/>
      <c r="OGW1" s="101"/>
      <c r="OGX1" s="100"/>
      <c r="OGY1" s="102"/>
      <c r="OHA1" s="101"/>
      <c r="OHB1" s="100"/>
      <c r="OHC1" s="102"/>
      <c r="OHE1" s="101"/>
      <c r="OHF1" s="100"/>
      <c r="OHG1" s="102"/>
      <c r="OHI1" s="101"/>
      <c r="OHJ1" s="100"/>
      <c r="OHK1" s="102"/>
      <c r="OHM1" s="101"/>
      <c r="OHN1" s="100"/>
      <c r="OHO1" s="102"/>
      <c r="OHQ1" s="101"/>
      <c r="OHR1" s="100"/>
      <c r="OHS1" s="102"/>
      <c r="OHU1" s="101"/>
      <c r="OHV1" s="100"/>
      <c r="OHW1" s="102"/>
      <c r="OHY1" s="101"/>
      <c r="OHZ1" s="100"/>
      <c r="OIA1" s="102"/>
      <c r="OIC1" s="101"/>
      <c r="OID1" s="100"/>
      <c r="OIE1" s="102"/>
      <c r="OIG1" s="101"/>
      <c r="OIH1" s="100"/>
      <c r="OII1" s="102"/>
      <c r="OIK1" s="101"/>
      <c r="OIL1" s="100"/>
      <c r="OIM1" s="102"/>
      <c r="OIO1" s="101"/>
      <c r="OIP1" s="100"/>
      <c r="OIQ1" s="102"/>
      <c r="OIS1" s="101"/>
      <c r="OIT1" s="100"/>
      <c r="OIU1" s="102"/>
      <c r="OIW1" s="101"/>
      <c r="OIX1" s="100"/>
      <c r="OIY1" s="102"/>
      <c r="OJA1" s="101"/>
      <c r="OJB1" s="100"/>
      <c r="OJC1" s="102"/>
      <c r="OJE1" s="101"/>
      <c r="OJF1" s="100"/>
      <c r="OJG1" s="102"/>
      <c r="OJI1" s="101"/>
      <c r="OJJ1" s="100"/>
      <c r="OJK1" s="102"/>
      <c r="OJM1" s="101"/>
      <c r="OJN1" s="100"/>
      <c r="OJO1" s="102"/>
      <c r="OJQ1" s="101"/>
      <c r="OJR1" s="100"/>
      <c r="OJS1" s="102"/>
      <c r="OJU1" s="101"/>
      <c r="OJV1" s="100"/>
      <c r="OJW1" s="102"/>
      <c r="OJY1" s="101"/>
      <c r="OJZ1" s="100"/>
      <c r="OKA1" s="102"/>
      <c r="OKC1" s="101"/>
      <c r="OKD1" s="100"/>
      <c r="OKE1" s="102"/>
      <c r="OKG1" s="101"/>
      <c r="OKH1" s="100"/>
      <c r="OKI1" s="102"/>
      <c r="OKK1" s="101"/>
      <c r="OKL1" s="100"/>
      <c r="OKM1" s="102"/>
      <c r="OKO1" s="101"/>
      <c r="OKP1" s="100"/>
      <c r="OKQ1" s="102"/>
      <c r="OKS1" s="101"/>
      <c r="OKT1" s="100"/>
      <c r="OKU1" s="102"/>
      <c r="OKW1" s="101"/>
      <c r="OKX1" s="100"/>
      <c r="OKY1" s="102"/>
      <c r="OLA1" s="101"/>
      <c r="OLB1" s="100"/>
      <c r="OLC1" s="102"/>
      <c r="OLE1" s="101"/>
      <c r="OLF1" s="100"/>
      <c r="OLG1" s="102"/>
      <c r="OLI1" s="101"/>
      <c r="OLJ1" s="100"/>
      <c r="OLK1" s="102"/>
      <c r="OLM1" s="101"/>
      <c r="OLN1" s="100"/>
      <c r="OLO1" s="102"/>
      <c r="OLQ1" s="101"/>
      <c r="OLR1" s="100"/>
      <c r="OLS1" s="102"/>
      <c r="OLU1" s="101"/>
      <c r="OLV1" s="100"/>
      <c r="OLW1" s="102"/>
      <c r="OLY1" s="101"/>
      <c r="OLZ1" s="100"/>
      <c r="OMA1" s="102"/>
      <c r="OMC1" s="101"/>
      <c r="OMD1" s="100"/>
      <c r="OME1" s="102"/>
      <c r="OMG1" s="101"/>
      <c r="OMH1" s="100"/>
      <c r="OMI1" s="102"/>
      <c r="OMK1" s="101"/>
      <c r="OML1" s="100"/>
      <c r="OMM1" s="102"/>
      <c r="OMO1" s="101"/>
      <c r="OMP1" s="100"/>
      <c r="OMQ1" s="102"/>
      <c r="OMS1" s="101"/>
      <c r="OMT1" s="100"/>
      <c r="OMU1" s="102"/>
      <c r="OMW1" s="101"/>
      <c r="OMX1" s="100"/>
      <c r="OMY1" s="102"/>
      <c r="ONA1" s="101"/>
      <c r="ONB1" s="100"/>
      <c r="ONC1" s="102"/>
      <c r="ONE1" s="101"/>
      <c r="ONF1" s="100"/>
      <c r="ONG1" s="102"/>
      <c r="ONI1" s="101"/>
      <c r="ONJ1" s="100"/>
      <c r="ONK1" s="102"/>
      <c r="ONM1" s="101"/>
      <c r="ONN1" s="100"/>
      <c r="ONO1" s="102"/>
      <c r="ONQ1" s="101"/>
      <c r="ONR1" s="100"/>
      <c r="ONS1" s="102"/>
      <c r="ONU1" s="101"/>
      <c r="ONV1" s="100"/>
      <c r="ONW1" s="102"/>
      <c r="ONY1" s="101"/>
      <c r="ONZ1" s="100"/>
      <c r="OOA1" s="102"/>
      <c r="OOC1" s="101"/>
      <c r="OOD1" s="100"/>
      <c r="OOE1" s="102"/>
      <c r="OOG1" s="101"/>
      <c r="OOH1" s="100"/>
      <c r="OOI1" s="102"/>
      <c r="OOK1" s="101"/>
      <c r="OOL1" s="100"/>
      <c r="OOM1" s="102"/>
      <c r="OOO1" s="101"/>
      <c r="OOP1" s="100"/>
      <c r="OOQ1" s="102"/>
      <c r="OOS1" s="101"/>
      <c r="OOT1" s="100"/>
      <c r="OOU1" s="102"/>
      <c r="OOW1" s="101"/>
      <c r="OOX1" s="100"/>
      <c r="OOY1" s="102"/>
      <c r="OPA1" s="101"/>
      <c r="OPB1" s="100"/>
      <c r="OPC1" s="102"/>
      <c r="OPE1" s="101"/>
      <c r="OPF1" s="100"/>
      <c r="OPG1" s="102"/>
      <c r="OPI1" s="101"/>
      <c r="OPJ1" s="100"/>
      <c r="OPK1" s="102"/>
      <c r="OPM1" s="101"/>
      <c r="OPN1" s="100"/>
      <c r="OPO1" s="102"/>
      <c r="OPQ1" s="101"/>
      <c r="OPR1" s="100"/>
      <c r="OPS1" s="102"/>
      <c r="OPU1" s="101"/>
      <c r="OPV1" s="100"/>
      <c r="OPW1" s="102"/>
      <c r="OPY1" s="101"/>
      <c r="OPZ1" s="100"/>
      <c r="OQA1" s="102"/>
      <c r="OQC1" s="101"/>
      <c r="OQD1" s="100"/>
      <c r="OQE1" s="102"/>
      <c r="OQG1" s="101"/>
      <c r="OQH1" s="100"/>
      <c r="OQI1" s="102"/>
      <c r="OQK1" s="101"/>
      <c r="OQL1" s="100"/>
      <c r="OQM1" s="102"/>
      <c r="OQO1" s="101"/>
      <c r="OQP1" s="100"/>
      <c r="OQQ1" s="102"/>
      <c r="OQS1" s="101"/>
      <c r="OQT1" s="100"/>
      <c r="OQU1" s="102"/>
      <c r="OQW1" s="101"/>
      <c r="OQX1" s="100"/>
      <c r="OQY1" s="102"/>
      <c r="ORA1" s="101"/>
      <c r="ORB1" s="100"/>
      <c r="ORC1" s="102"/>
      <c r="ORE1" s="101"/>
      <c r="ORF1" s="100"/>
      <c r="ORG1" s="102"/>
      <c r="ORI1" s="101"/>
      <c r="ORJ1" s="100"/>
      <c r="ORK1" s="102"/>
      <c r="ORM1" s="101"/>
      <c r="ORN1" s="100"/>
      <c r="ORO1" s="102"/>
      <c r="ORQ1" s="101"/>
      <c r="ORR1" s="100"/>
      <c r="ORS1" s="102"/>
      <c r="ORU1" s="101"/>
      <c r="ORV1" s="100"/>
      <c r="ORW1" s="102"/>
      <c r="ORY1" s="101"/>
      <c r="ORZ1" s="100"/>
      <c r="OSA1" s="102"/>
      <c r="OSC1" s="101"/>
      <c r="OSD1" s="100"/>
      <c r="OSE1" s="102"/>
      <c r="OSG1" s="101"/>
      <c r="OSH1" s="100"/>
      <c r="OSI1" s="102"/>
      <c r="OSK1" s="101"/>
      <c r="OSL1" s="100"/>
      <c r="OSM1" s="102"/>
      <c r="OSO1" s="101"/>
      <c r="OSP1" s="100"/>
      <c r="OSQ1" s="102"/>
      <c r="OSS1" s="101"/>
      <c r="OST1" s="100"/>
      <c r="OSU1" s="102"/>
      <c r="OSW1" s="101"/>
      <c r="OSX1" s="100"/>
      <c r="OSY1" s="102"/>
      <c r="OTA1" s="101"/>
      <c r="OTB1" s="100"/>
      <c r="OTC1" s="102"/>
      <c r="OTE1" s="101"/>
      <c r="OTF1" s="100"/>
      <c r="OTG1" s="102"/>
      <c r="OTI1" s="101"/>
      <c r="OTJ1" s="100"/>
      <c r="OTK1" s="102"/>
      <c r="OTM1" s="101"/>
      <c r="OTN1" s="100"/>
      <c r="OTO1" s="102"/>
      <c r="OTQ1" s="101"/>
      <c r="OTR1" s="100"/>
      <c r="OTS1" s="102"/>
      <c r="OTU1" s="101"/>
      <c r="OTV1" s="100"/>
      <c r="OTW1" s="102"/>
      <c r="OTY1" s="101"/>
      <c r="OTZ1" s="100"/>
      <c r="OUA1" s="102"/>
      <c r="OUC1" s="101"/>
      <c r="OUD1" s="100"/>
      <c r="OUE1" s="102"/>
      <c r="OUG1" s="101"/>
      <c r="OUH1" s="100"/>
      <c r="OUI1" s="102"/>
      <c r="OUK1" s="101"/>
      <c r="OUL1" s="100"/>
      <c r="OUM1" s="102"/>
      <c r="OUO1" s="101"/>
      <c r="OUP1" s="100"/>
      <c r="OUQ1" s="102"/>
      <c r="OUS1" s="101"/>
      <c r="OUT1" s="100"/>
      <c r="OUU1" s="102"/>
      <c r="OUW1" s="101"/>
      <c r="OUX1" s="100"/>
      <c r="OUY1" s="102"/>
      <c r="OVA1" s="101"/>
      <c r="OVB1" s="100"/>
      <c r="OVC1" s="102"/>
      <c r="OVE1" s="101"/>
      <c r="OVF1" s="100"/>
      <c r="OVG1" s="102"/>
      <c r="OVI1" s="101"/>
      <c r="OVJ1" s="100"/>
      <c r="OVK1" s="102"/>
      <c r="OVM1" s="101"/>
      <c r="OVN1" s="100"/>
      <c r="OVO1" s="102"/>
      <c r="OVQ1" s="101"/>
      <c r="OVR1" s="100"/>
      <c r="OVS1" s="102"/>
      <c r="OVU1" s="101"/>
      <c r="OVV1" s="100"/>
      <c r="OVW1" s="102"/>
      <c r="OVY1" s="101"/>
      <c r="OVZ1" s="100"/>
      <c r="OWA1" s="102"/>
      <c r="OWC1" s="101"/>
      <c r="OWD1" s="100"/>
      <c r="OWE1" s="102"/>
      <c r="OWG1" s="101"/>
      <c r="OWH1" s="100"/>
      <c r="OWI1" s="102"/>
      <c r="OWK1" s="101"/>
      <c r="OWL1" s="100"/>
      <c r="OWM1" s="102"/>
      <c r="OWO1" s="101"/>
      <c r="OWP1" s="100"/>
      <c r="OWQ1" s="102"/>
      <c r="OWS1" s="101"/>
      <c r="OWT1" s="100"/>
      <c r="OWU1" s="102"/>
      <c r="OWW1" s="101"/>
      <c r="OWX1" s="100"/>
      <c r="OWY1" s="102"/>
      <c r="OXA1" s="101"/>
      <c r="OXB1" s="100"/>
      <c r="OXC1" s="102"/>
      <c r="OXE1" s="101"/>
      <c r="OXF1" s="100"/>
      <c r="OXG1" s="102"/>
      <c r="OXI1" s="101"/>
      <c r="OXJ1" s="100"/>
      <c r="OXK1" s="102"/>
      <c r="OXM1" s="101"/>
      <c r="OXN1" s="100"/>
      <c r="OXO1" s="102"/>
      <c r="OXQ1" s="101"/>
      <c r="OXR1" s="100"/>
      <c r="OXS1" s="102"/>
      <c r="OXU1" s="101"/>
      <c r="OXV1" s="100"/>
      <c r="OXW1" s="102"/>
      <c r="OXY1" s="101"/>
      <c r="OXZ1" s="100"/>
      <c r="OYA1" s="102"/>
      <c r="OYC1" s="101"/>
      <c r="OYD1" s="100"/>
      <c r="OYE1" s="102"/>
      <c r="OYG1" s="101"/>
      <c r="OYH1" s="100"/>
      <c r="OYI1" s="102"/>
      <c r="OYK1" s="101"/>
      <c r="OYL1" s="100"/>
      <c r="OYM1" s="102"/>
      <c r="OYO1" s="101"/>
      <c r="OYP1" s="100"/>
      <c r="OYQ1" s="102"/>
      <c r="OYS1" s="101"/>
      <c r="OYT1" s="100"/>
      <c r="OYU1" s="102"/>
      <c r="OYW1" s="101"/>
      <c r="OYX1" s="100"/>
      <c r="OYY1" s="102"/>
      <c r="OZA1" s="101"/>
      <c r="OZB1" s="100"/>
      <c r="OZC1" s="102"/>
      <c r="OZE1" s="101"/>
      <c r="OZF1" s="100"/>
      <c r="OZG1" s="102"/>
      <c r="OZI1" s="101"/>
      <c r="OZJ1" s="100"/>
      <c r="OZK1" s="102"/>
      <c r="OZM1" s="101"/>
      <c r="OZN1" s="100"/>
      <c r="OZO1" s="102"/>
      <c r="OZQ1" s="101"/>
      <c r="OZR1" s="100"/>
      <c r="OZS1" s="102"/>
      <c r="OZU1" s="101"/>
      <c r="OZV1" s="100"/>
      <c r="OZW1" s="102"/>
      <c r="OZY1" s="101"/>
      <c r="OZZ1" s="100"/>
      <c r="PAA1" s="102"/>
      <c r="PAC1" s="101"/>
      <c r="PAD1" s="100"/>
      <c r="PAE1" s="102"/>
      <c r="PAG1" s="101"/>
      <c r="PAH1" s="100"/>
      <c r="PAI1" s="102"/>
      <c r="PAK1" s="101"/>
      <c r="PAL1" s="100"/>
      <c r="PAM1" s="102"/>
      <c r="PAO1" s="101"/>
      <c r="PAP1" s="100"/>
      <c r="PAQ1" s="102"/>
      <c r="PAS1" s="101"/>
      <c r="PAT1" s="100"/>
      <c r="PAU1" s="102"/>
      <c r="PAW1" s="101"/>
      <c r="PAX1" s="100"/>
      <c r="PAY1" s="102"/>
      <c r="PBA1" s="101"/>
      <c r="PBB1" s="100"/>
      <c r="PBC1" s="102"/>
      <c r="PBE1" s="101"/>
      <c r="PBF1" s="100"/>
      <c r="PBG1" s="102"/>
      <c r="PBI1" s="101"/>
      <c r="PBJ1" s="100"/>
      <c r="PBK1" s="102"/>
      <c r="PBM1" s="101"/>
      <c r="PBN1" s="100"/>
      <c r="PBO1" s="102"/>
      <c r="PBQ1" s="101"/>
      <c r="PBR1" s="100"/>
      <c r="PBS1" s="102"/>
      <c r="PBU1" s="101"/>
      <c r="PBV1" s="100"/>
      <c r="PBW1" s="102"/>
      <c r="PBY1" s="101"/>
      <c r="PBZ1" s="100"/>
      <c r="PCA1" s="102"/>
      <c r="PCC1" s="101"/>
      <c r="PCD1" s="100"/>
      <c r="PCE1" s="102"/>
      <c r="PCG1" s="101"/>
      <c r="PCH1" s="100"/>
      <c r="PCI1" s="102"/>
      <c r="PCK1" s="101"/>
      <c r="PCL1" s="100"/>
      <c r="PCM1" s="102"/>
      <c r="PCO1" s="101"/>
      <c r="PCP1" s="100"/>
      <c r="PCQ1" s="102"/>
      <c r="PCS1" s="101"/>
      <c r="PCT1" s="100"/>
      <c r="PCU1" s="102"/>
      <c r="PCW1" s="101"/>
      <c r="PCX1" s="100"/>
      <c r="PCY1" s="102"/>
      <c r="PDA1" s="101"/>
      <c r="PDB1" s="100"/>
      <c r="PDC1" s="102"/>
      <c r="PDE1" s="101"/>
      <c r="PDF1" s="100"/>
      <c r="PDG1" s="102"/>
      <c r="PDI1" s="101"/>
      <c r="PDJ1" s="100"/>
      <c r="PDK1" s="102"/>
      <c r="PDM1" s="101"/>
      <c r="PDN1" s="100"/>
      <c r="PDO1" s="102"/>
      <c r="PDQ1" s="101"/>
      <c r="PDR1" s="100"/>
      <c r="PDS1" s="102"/>
      <c r="PDU1" s="101"/>
      <c r="PDV1" s="100"/>
      <c r="PDW1" s="102"/>
      <c r="PDY1" s="101"/>
      <c r="PDZ1" s="100"/>
      <c r="PEA1" s="102"/>
      <c r="PEC1" s="101"/>
      <c r="PED1" s="100"/>
      <c r="PEE1" s="102"/>
      <c r="PEG1" s="101"/>
      <c r="PEH1" s="100"/>
      <c r="PEI1" s="102"/>
      <c r="PEK1" s="101"/>
      <c r="PEL1" s="100"/>
      <c r="PEM1" s="102"/>
      <c r="PEO1" s="101"/>
      <c r="PEP1" s="100"/>
      <c r="PEQ1" s="102"/>
      <c r="PES1" s="101"/>
      <c r="PET1" s="100"/>
      <c r="PEU1" s="102"/>
      <c r="PEW1" s="101"/>
      <c r="PEX1" s="100"/>
      <c r="PEY1" s="102"/>
      <c r="PFA1" s="101"/>
      <c r="PFB1" s="100"/>
      <c r="PFC1" s="102"/>
      <c r="PFE1" s="101"/>
      <c r="PFF1" s="100"/>
      <c r="PFG1" s="102"/>
      <c r="PFI1" s="101"/>
      <c r="PFJ1" s="100"/>
      <c r="PFK1" s="102"/>
      <c r="PFM1" s="101"/>
      <c r="PFN1" s="100"/>
      <c r="PFO1" s="102"/>
      <c r="PFQ1" s="101"/>
      <c r="PFR1" s="100"/>
      <c r="PFS1" s="102"/>
      <c r="PFU1" s="101"/>
      <c r="PFV1" s="100"/>
      <c r="PFW1" s="102"/>
      <c r="PFY1" s="101"/>
      <c r="PFZ1" s="100"/>
      <c r="PGA1" s="102"/>
      <c r="PGC1" s="101"/>
      <c r="PGD1" s="100"/>
      <c r="PGE1" s="102"/>
      <c r="PGG1" s="101"/>
      <c r="PGH1" s="100"/>
      <c r="PGI1" s="102"/>
      <c r="PGK1" s="101"/>
      <c r="PGL1" s="100"/>
      <c r="PGM1" s="102"/>
      <c r="PGO1" s="101"/>
      <c r="PGP1" s="100"/>
      <c r="PGQ1" s="102"/>
      <c r="PGS1" s="101"/>
      <c r="PGT1" s="100"/>
      <c r="PGU1" s="102"/>
      <c r="PGW1" s="101"/>
      <c r="PGX1" s="100"/>
      <c r="PGY1" s="102"/>
      <c r="PHA1" s="101"/>
      <c r="PHB1" s="100"/>
      <c r="PHC1" s="102"/>
      <c r="PHE1" s="101"/>
      <c r="PHF1" s="100"/>
      <c r="PHG1" s="102"/>
      <c r="PHI1" s="101"/>
      <c r="PHJ1" s="100"/>
      <c r="PHK1" s="102"/>
      <c r="PHM1" s="101"/>
      <c r="PHN1" s="100"/>
      <c r="PHO1" s="102"/>
      <c r="PHQ1" s="101"/>
      <c r="PHR1" s="100"/>
      <c r="PHS1" s="102"/>
      <c r="PHU1" s="101"/>
      <c r="PHV1" s="100"/>
      <c r="PHW1" s="102"/>
      <c r="PHY1" s="101"/>
      <c r="PHZ1" s="100"/>
      <c r="PIA1" s="102"/>
      <c r="PIC1" s="101"/>
      <c r="PID1" s="100"/>
      <c r="PIE1" s="102"/>
      <c r="PIG1" s="101"/>
      <c r="PIH1" s="100"/>
      <c r="PII1" s="102"/>
      <c r="PIK1" s="101"/>
      <c r="PIL1" s="100"/>
      <c r="PIM1" s="102"/>
      <c r="PIO1" s="101"/>
      <c r="PIP1" s="100"/>
      <c r="PIQ1" s="102"/>
      <c r="PIS1" s="101"/>
      <c r="PIT1" s="100"/>
      <c r="PIU1" s="102"/>
      <c r="PIW1" s="101"/>
      <c r="PIX1" s="100"/>
      <c r="PIY1" s="102"/>
      <c r="PJA1" s="101"/>
      <c r="PJB1" s="100"/>
      <c r="PJC1" s="102"/>
      <c r="PJE1" s="101"/>
      <c r="PJF1" s="100"/>
      <c r="PJG1" s="102"/>
      <c r="PJI1" s="101"/>
      <c r="PJJ1" s="100"/>
      <c r="PJK1" s="102"/>
      <c r="PJM1" s="101"/>
      <c r="PJN1" s="100"/>
      <c r="PJO1" s="102"/>
      <c r="PJQ1" s="101"/>
      <c r="PJR1" s="100"/>
      <c r="PJS1" s="102"/>
      <c r="PJU1" s="101"/>
      <c r="PJV1" s="100"/>
      <c r="PJW1" s="102"/>
      <c r="PJY1" s="101"/>
      <c r="PJZ1" s="100"/>
      <c r="PKA1" s="102"/>
      <c r="PKC1" s="101"/>
      <c r="PKD1" s="100"/>
      <c r="PKE1" s="102"/>
      <c r="PKG1" s="101"/>
      <c r="PKH1" s="100"/>
      <c r="PKI1" s="102"/>
      <c r="PKK1" s="101"/>
      <c r="PKL1" s="100"/>
      <c r="PKM1" s="102"/>
      <c r="PKO1" s="101"/>
      <c r="PKP1" s="100"/>
      <c r="PKQ1" s="102"/>
      <c r="PKS1" s="101"/>
      <c r="PKT1" s="100"/>
      <c r="PKU1" s="102"/>
      <c r="PKW1" s="101"/>
      <c r="PKX1" s="100"/>
      <c r="PKY1" s="102"/>
      <c r="PLA1" s="101"/>
      <c r="PLB1" s="100"/>
      <c r="PLC1" s="102"/>
      <c r="PLE1" s="101"/>
      <c r="PLF1" s="100"/>
      <c r="PLG1" s="102"/>
      <c r="PLI1" s="101"/>
      <c r="PLJ1" s="100"/>
      <c r="PLK1" s="102"/>
      <c r="PLM1" s="101"/>
      <c r="PLN1" s="100"/>
      <c r="PLO1" s="102"/>
      <c r="PLQ1" s="101"/>
      <c r="PLR1" s="100"/>
      <c r="PLS1" s="102"/>
      <c r="PLU1" s="101"/>
      <c r="PLV1" s="100"/>
      <c r="PLW1" s="102"/>
      <c r="PLY1" s="101"/>
      <c r="PLZ1" s="100"/>
      <c r="PMA1" s="102"/>
      <c r="PMC1" s="101"/>
      <c r="PMD1" s="100"/>
      <c r="PME1" s="102"/>
      <c r="PMG1" s="101"/>
      <c r="PMH1" s="100"/>
      <c r="PMI1" s="102"/>
      <c r="PMK1" s="101"/>
      <c r="PML1" s="100"/>
      <c r="PMM1" s="102"/>
      <c r="PMO1" s="101"/>
      <c r="PMP1" s="100"/>
      <c r="PMQ1" s="102"/>
      <c r="PMS1" s="101"/>
      <c r="PMT1" s="100"/>
      <c r="PMU1" s="102"/>
      <c r="PMW1" s="101"/>
      <c r="PMX1" s="100"/>
      <c r="PMY1" s="102"/>
      <c r="PNA1" s="101"/>
      <c r="PNB1" s="100"/>
      <c r="PNC1" s="102"/>
      <c r="PNE1" s="101"/>
      <c r="PNF1" s="100"/>
      <c r="PNG1" s="102"/>
      <c r="PNI1" s="101"/>
      <c r="PNJ1" s="100"/>
      <c r="PNK1" s="102"/>
      <c r="PNM1" s="101"/>
      <c r="PNN1" s="100"/>
      <c r="PNO1" s="102"/>
      <c r="PNQ1" s="101"/>
      <c r="PNR1" s="100"/>
      <c r="PNS1" s="102"/>
      <c r="PNU1" s="101"/>
      <c r="PNV1" s="100"/>
      <c r="PNW1" s="102"/>
      <c r="PNY1" s="101"/>
      <c r="PNZ1" s="100"/>
      <c r="POA1" s="102"/>
      <c r="POC1" s="101"/>
      <c r="POD1" s="100"/>
      <c r="POE1" s="102"/>
      <c r="POG1" s="101"/>
      <c r="POH1" s="100"/>
      <c r="POI1" s="102"/>
      <c r="POK1" s="101"/>
      <c r="POL1" s="100"/>
      <c r="POM1" s="102"/>
      <c r="POO1" s="101"/>
      <c r="POP1" s="100"/>
      <c r="POQ1" s="102"/>
      <c r="POS1" s="101"/>
      <c r="POT1" s="100"/>
      <c r="POU1" s="102"/>
      <c r="POW1" s="101"/>
      <c r="POX1" s="100"/>
      <c r="POY1" s="102"/>
      <c r="PPA1" s="101"/>
      <c r="PPB1" s="100"/>
      <c r="PPC1" s="102"/>
      <c r="PPE1" s="101"/>
      <c r="PPF1" s="100"/>
      <c r="PPG1" s="102"/>
      <c r="PPI1" s="101"/>
      <c r="PPJ1" s="100"/>
      <c r="PPK1" s="102"/>
      <c r="PPM1" s="101"/>
      <c r="PPN1" s="100"/>
      <c r="PPO1" s="102"/>
      <c r="PPQ1" s="101"/>
      <c r="PPR1" s="100"/>
      <c r="PPS1" s="102"/>
      <c r="PPU1" s="101"/>
      <c r="PPV1" s="100"/>
      <c r="PPW1" s="102"/>
      <c r="PPY1" s="101"/>
      <c r="PPZ1" s="100"/>
      <c r="PQA1" s="102"/>
      <c r="PQC1" s="101"/>
      <c r="PQD1" s="100"/>
      <c r="PQE1" s="102"/>
      <c r="PQG1" s="101"/>
      <c r="PQH1" s="100"/>
      <c r="PQI1" s="102"/>
      <c r="PQK1" s="101"/>
      <c r="PQL1" s="100"/>
      <c r="PQM1" s="102"/>
      <c r="PQO1" s="101"/>
      <c r="PQP1" s="100"/>
      <c r="PQQ1" s="102"/>
      <c r="PQS1" s="101"/>
      <c r="PQT1" s="100"/>
      <c r="PQU1" s="102"/>
      <c r="PQW1" s="101"/>
      <c r="PQX1" s="100"/>
      <c r="PQY1" s="102"/>
      <c r="PRA1" s="101"/>
      <c r="PRB1" s="100"/>
      <c r="PRC1" s="102"/>
      <c r="PRE1" s="101"/>
      <c r="PRF1" s="100"/>
      <c r="PRG1" s="102"/>
      <c r="PRI1" s="101"/>
      <c r="PRJ1" s="100"/>
      <c r="PRK1" s="102"/>
      <c r="PRM1" s="101"/>
      <c r="PRN1" s="100"/>
      <c r="PRO1" s="102"/>
      <c r="PRQ1" s="101"/>
      <c r="PRR1" s="100"/>
      <c r="PRS1" s="102"/>
      <c r="PRU1" s="101"/>
      <c r="PRV1" s="100"/>
      <c r="PRW1" s="102"/>
      <c r="PRY1" s="101"/>
      <c r="PRZ1" s="100"/>
      <c r="PSA1" s="102"/>
      <c r="PSC1" s="101"/>
      <c r="PSD1" s="100"/>
      <c r="PSE1" s="102"/>
      <c r="PSG1" s="101"/>
      <c r="PSH1" s="100"/>
      <c r="PSI1" s="102"/>
      <c r="PSK1" s="101"/>
      <c r="PSL1" s="100"/>
      <c r="PSM1" s="102"/>
      <c r="PSO1" s="101"/>
      <c r="PSP1" s="100"/>
      <c r="PSQ1" s="102"/>
      <c r="PSS1" s="101"/>
      <c r="PST1" s="100"/>
      <c r="PSU1" s="102"/>
      <c r="PSW1" s="101"/>
      <c r="PSX1" s="100"/>
      <c r="PSY1" s="102"/>
      <c r="PTA1" s="101"/>
      <c r="PTB1" s="100"/>
      <c r="PTC1" s="102"/>
      <c r="PTE1" s="101"/>
      <c r="PTF1" s="100"/>
      <c r="PTG1" s="102"/>
      <c r="PTI1" s="101"/>
      <c r="PTJ1" s="100"/>
      <c r="PTK1" s="102"/>
      <c r="PTM1" s="101"/>
      <c r="PTN1" s="100"/>
      <c r="PTO1" s="102"/>
      <c r="PTQ1" s="101"/>
      <c r="PTR1" s="100"/>
      <c r="PTS1" s="102"/>
      <c r="PTU1" s="101"/>
      <c r="PTV1" s="100"/>
      <c r="PTW1" s="102"/>
      <c r="PTY1" s="101"/>
      <c r="PTZ1" s="100"/>
      <c r="PUA1" s="102"/>
      <c r="PUC1" s="101"/>
      <c r="PUD1" s="100"/>
      <c r="PUE1" s="102"/>
      <c r="PUG1" s="101"/>
      <c r="PUH1" s="100"/>
      <c r="PUI1" s="102"/>
      <c r="PUK1" s="101"/>
      <c r="PUL1" s="100"/>
      <c r="PUM1" s="102"/>
      <c r="PUO1" s="101"/>
      <c r="PUP1" s="100"/>
      <c r="PUQ1" s="102"/>
      <c r="PUS1" s="101"/>
      <c r="PUT1" s="100"/>
      <c r="PUU1" s="102"/>
      <c r="PUW1" s="101"/>
      <c r="PUX1" s="100"/>
      <c r="PUY1" s="102"/>
      <c r="PVA1" s="101"/>
      <c r="PVB1" s="100"/>
      <c r="PVC1" s="102"/>
      <c r="PVE1" s="101"/>
      <c r="PVF1" s="100"/>
      <c r="PVG1" s="102"/>
      <c r="PVI1" s="101"/>
      <c r="PVJ1" s="100"/>
      <c r="PVK1" s="102"/>
      <c r="PVM1" s="101"/>
      <c r="PVN1" s="100"/>
      <c r="PVO1" s="102"/>
      <c r="PVQ1" s="101"/>
      <c r="PVR1" s="100"/>
      <c r="PVS1" s="102"/>
      <c r="PVU1" s="101"/>
      <c r="PVV1" s="100"/>
      <c r="PVW1" s="102"/>
      <c r="PVY1" s="101"/>
      <c r="PVZ1" s="100"/>
      <c r="PWA1" s="102"/>
      <c r="PWC1" s="101"/>
      <c r="PWD1" s="100"/>
      <c r="PWE1" s="102"/>
      <c r="PWG1" s="101"/>
      <c r="PWH1" s="100"/>
      <c r="PWI1" s="102"/>
      <c r="PWK1" s="101"/>
      <c r="PWL1" s="100"/>
      <c r="PWM1" s="102"/>
      <c r="PWO1" s="101"/>
      <c r="PWP1" s="100"/>
      <c r="PWQ1" s="102"/>
      <c r="PWS1" s="101"/>
      <c r="PWT1" s="100"/>
      <c r="PWU1" s="102"/>
      <c r="PWW1" s="101"/>
      <c r="PWX1" s="100"/>
      <c r="PWY1" s="102"/>
      <c r="PXA1" s="101"/>
      <c r="PXB1" s="100"/>
      <c r="PXC1" s="102"/>
      <c r="PXE1" s="101"/>
      <c r="PXF1" s="100"/>
      <c r="PXG1" s="102"/>
      <c r="PXI1" s="101"/>
      <c r="PXJ1" s="100"/>
      <c r="PXK1" s="102"/>
      <c r="PXM1" s="101"/>
      <c r="PXN1" s="100"/>
      <c r="PXO1" s="102"/>
      <c r="PXQ1" s="101"/>
      <c r="PXR1" s="100"/>
      <c r="PXS1" s="102"/>
      <c r="PXU1" s="101"/>
      <c r="PXV1" s="100"/>
      <c r="PXW1" s="102"/>
      <c r="PXY1" s="101"/>
      <c r="PXZ1" s="100"/>
      <c r="PYA1" s="102"/>
      <c r="PYC1" s="101"/>
      <c r="PYD1" s="100"/>
      <c r="PYE1" s="102"/>
      <c r="PYG1" s="101"/>
      <c r="PYH1" s="100"/>
      <c r="PYI1" s="102"/>
      <c r="PYK1" s="101"/>
      <c r="PYL1" s="100"/>
      <c r="PYM1" s="102"/>
      <c r="PYO1" s="101"/>
      <c r="PYP1" s="100"/>
      <c r="PYQ1" s="102"/>
      <c r="PYS1" s="101"/>
      <c r="PYT1" s="100"/>
      <c r="PYU1" s="102"/>
      <c r="PYW1" s="101"/>
      <c r="PYX1" s="100"/>
      <c r="PYY1" s="102"/>
      <c r="PZA1" s="101"/>
      <c r="PZB1" s="100"/>
      <c r="PZC1" s="102"/>
      <c r="PZE1" s="101"/>
      <c r="PZF1" s="100"/>
      <c r="PZG1" s="102"/>
      <c r="PZI1" s="101"/>
      <c r="PZJ1" s="100"/>
      <c r="PZK1" s="102"/>
      <c r="PZM1" s="101"/>
      <c r="PZN1" s="100"/>
      <c r="PZO1" s="102"/>
      <c r="PZQ1" s="101"/>
      <c r="PZR1" s="100"/>
      <c r="PZS1" s="102"/>
      <c r="PZU1" s="101"/>
      <c r="PZV1" s="100"/>
      <c r="PZW1" s="102"/>
      <c r="PZY1" s="101"/>
      <c r="PZZ1" s="100"/>
      <c r="QAA1" s="102"/>
      <c r="QAC1" s="101"/>
      <c r="QAD1" s="100"/>
      <c r="QAE1" s="102"/>
      <c r="QAG1" s="101"/>
      <c r="QAH1" s="100"/>
      <c r="QAI1" s="102"/>
      <c r="QAK1" s="101"/>
      <c r="QAL1" s="100"/>
      <c r="QAM1" s="102"/>
      <c r="QAO1" s="101"/>
      <c r="QAP1" s="100"/>
      <c r="QAQ1" s="102"/>
      <c r="QAS1" s="101"/>
      <c r="QAT1" s="100"/>
      <c r="QAU1" s="102"/>
      <c r="QAW1" s="101"/>
      <c r="QAX1" s="100"/>
      <c r="QAY1" s="102"/>
      <c r="QBA1" s="101"/>
      <c r="QBB1" s="100"/>
      <c r="QBC1" s="102"/>
      <c r="QBE1" s="101"/>
      <c r="QBF1" s="100"/>
      <c r="QBG1" s="102"/>
      <c r="QBI1" s="101"/>
      <c r="QBJ1" s="100"/>
      <c r="QBK1" s="102"/>
      <c r="QBM1" s="101"/>
      <c r="QBN1" s="100"/>
      <c r="QBO1" s="102"/>
      <c r="QBQ1" s="101"/>
      <c r="QBR1" s="100"/>
      <c r="QBS1" s="102"/>
      <c r="QBU1" s="101"/>
      <c r="QBV1" s="100"/>
      <c r="QBW1" s="102"/>
      <c r="QBY1" s="101"/>
      <c r="QBZ1" s="100"/>
      <c r="QCA1" s="102"/>
      <c r="QCC1" s="101"/>
      <c r="QCD1" s="100"/>
      <c r="QCE1" s="102"/>
      <c r="QCG1" s="101"/>
      <c r="QCH1" s="100"/>
      <c r="QCI1" s="102"/>
      <c r="QCK1" s="101"/>
      <c r="QCL1" s="100"/>
      <c r="QCM1" s="102"/>
      <c r="QCO1" s="101"/>
      <c r="QCP1" s="100"/>
      <c r="QCQ1" s="102"/>
      <c r="QCS1" s="101"/>
      <c r="QCT1" s="100"/>
      <c r="QCU1" s="102"/>
      <c r="QCW1" s="101"/>
      <c r="QCX1" s="100"/>
      <c r="QCY1" s="102"/>
      <c r="QDA1" s="101"/>
      <c r="QDB1" s="100"/>
      <c r="QDC1" s="102"/>
      <c r="QDE1" s="101"/>
      <c r="QDF1" s="100"/>
      <c r="QDG1" s="102"/>
      <c r="QDI1" s="101"/>
      <c r="QDJ1" s="100"/>
      <c r="QDK1" s="102"/>
      <c r="QDM1" s="101"/>
      <c r="QDN1" s="100"/>
      <c r="QDO1" s="102"/>
      <c r="QDQ1" s="101"/>
      <c r="QDR1" s="100"/>
      <c r="QDS1" s="102"/>
      <c r="QDU1" s="101"/>
      <c r="QDV1" s="100"/>
      <c r="QDW1" s="102"/>
      <c r="QDY1" s="101"/>
      <c r="QDZ1" s="100"/>
      <c r="QEA1" s="102"/>
      <c r="QEC1" s="101"/>
      <c r="QED1" s="100"/>
      <c r="QEE1" s="102"/>
      <c r="QEG1" s="101"/>
      <c r="QEH1" s="100"/>
      <c r="QEI1" s="102"/>
      <c r="QEK1" s="101"/>
      <c r="QEL1" s="100"/>
      <c r="QEM1" s="102"/>
      <c r="QEO1" s="101"/>
      <c r="QEP1" s="100"/>
      <c r="QEQ1" s="102"/>
      <c r="QES1" s="101"/>
      <c r="QET1" s="100"/>
      <c r="QEU1" s="102"/>
      <c r="QEW1" s="101"/>
      <c r="QEX1" s="100"/>
      <c r="QEY1" s="102"/>
      <c r="QFA1" s="101"/>
      <c r="QFB1" s="100"/>
      <c r="QFC1" s="102"/>
      <c r="QFE1" s="101"/>
      <c r="QFF1" s="100"/>
      <c r="QFG1" s="102"/>
      <c r="QFI1" s="101"/>
      <c r="QFJ1" s="100"/>
      <c r="QFK1" s="102"/>
      <c r="QFM1" s="101"/>
      <c r="QFN1" s="100"/>
      <c r="QFO1" s="102"/>
      <c r="QFQ1" s="101"/>
      <c r="QFR1" s="100"/>
      <c r="QFS1" s="102"/>
      <c r="QFU1" s="101"/>
      <c r="QFV1" s="100"/>
      <c r="QFW1" s="102"/>
      <c r="QFY1" s="101"/>
      <c r="QFZ1" s="100"/>
      <c r="QGA1" s="102"/>
      <c r="QGC1" s="101"/>
      <c r="QGD1" s="100"/>
      <c r="QGE1" s="102"/>
      <c r="QGG1" s="101"/>
      <c r="QGH1" s="100"/>
      <c r="QGI1" s="102"/>
      <c r="QGK1" s="101"/>
      <c r="QGL1" s="100"/>
      <c r="QGM1" s="102"/>
      <c r="QGO1" s="101"/>
      <c r="QGP1" s="100"/>
      <c r="QGQ1" s="102"/>
      <c r="QGS1" s="101"/>
      <c r="QGT1" s="100"/>
      <c r="QGU1" s="102"/>
      <c r="QGW1" s="101"/>
      <c r="QGX1" s="100"/>
      <c r="QGY1" s="102"/>
      <c r="QHA1" s="101"/>
      <c r="QHB1" s="100"/>
      <c r="QHC1" s="102"/>
      <c r="QHE1" s="101"/>
      <c r="QHF1" s="100"/>
      <c r="QHG1" s="102"/>
      <c r="QHI1" s="101"/>
      <c r="QHJ1" s="100"/>
      <c r="QHK1" s="102"/>
      <c r="QHM1" s="101"/>
      <c r="QHN1" s="100"/>
      <c r="QHO1" s="102"/>
      <c r="QHQ1" s="101"/>
      <c r="QHR1" s="100"/>
      <c r="QHS1" s="102"/>
      <c r="QHU1" s="101"/>
      <c r="QHV1" s="100"/>
      <c r="QHW1" s="102"/>
      <c r="QHY1" s="101"/>
      <c r="QHZ1" s="100"/>
      <c r="QIA1" s="102"/>
      <c r="QIC1" s="101"/>
      <c r="QID1" s="100"/>
      <c r="QIE1" s="102"/>
      <c r="QIG1" s="101"/>
      <c r="QIH1" s="100"/>
      <c r="QII1" s="102"/>
      <c r="QIK1" s="101"/>
      <c r="QIL1" s="100"/>
      <c r="QIM1" s="102"/>
      <c r="QIO1" s="101"/>
      <c r="QIP1" s="100"/>
      <c r="QIQ1" s="102"/>
      <c r="QIS1" s="101"/>
      <c r="QIT1" s="100"/>
      <c r="QIU1" s="102"/>
      <c r="QIW1" s="101"/>
      <c r="QIX1" s="100"/>
      <c r="QIY1" s="102"/>
      <c r="QJA1" s="101"/>
      <c r="QJB1" s="100"/>
      <c r="QJC1" s="102"/>
      <c r="QJE1" s="101"/>
      <c r="QJF1" s="100"/>
      <c r="QJG1" s="102"/>
      <c r="QJI1" s="101"/>
      <c r="QJJ1" s="100"/>
      <c r="QJK1" s="102"/>
      <c r="QJM1" s="101"/>
      <c r="QJN1" s="100"/>
      <c r="QJO1" s="102"/>
      <c r="QJQ1" s="101"/>
      <c r="QJR1" s="100"/>
      <c r="QJS1" s="102"/>
      <c r="QJU1" s="101"/>
      <c r="QJV1" s="100"/>
      <c r="QJW1" s="102"/>
      <c r="QJY1" s="101"/>
      <c r="QJZ1" s="100"/>
      <c r="QKA1" s="102"/>
      <c r="QKC1" s="101"/>
      <c r="QKD1" s="100"/>
      <c r="QKE1" s="102"/>
      <c r="QKG1" s="101"/>
      <c r="QKH1" s="100"/>
      <c r="QKI1" s="102"/>
      <c r="QKK1" s="101"/>
      <c r="QKL1" s="100"/>
      <c r="QKM1" s="102"/>
      <c r="QKO1" s="101"/>
      <c r="QKP1" s="100"/>
      <c r="QKQ1" s="102"/>
      <c r="QKS1" s="101"/>
      <c r="QKT1" s="100"/>
      <c r="QKU1" s="102"/>
      <c r="QKW1" s="101"/>
      <c r="QKX1" s="100"/>
      <c r="QKY1" s="102"/>
      <c r="QLA1" s="101"/>
      <c r="QLB1" s="100"/>
      <c r="QLC1" s="102"/>
      <c r="QLE1" s="101"/>
      <c r="QLF1" s="100"/>
      <c r="QLG1" s="102"/>
      <c r="QLI1" s="101"/>
      <c r="QLJ1" s="100"/>
      <c r="QLK1" s="102"/>
      <c r="QLM1" s="101"/>
      <c r="QLN1" s="100"/>
      <c r="QLO1" s="102"/>
      <c r="QLQ1" s="101"/>
      <c r="QLR1" s="100"/>
      <c r="QLS1" s="102"/>
      <c r="QLU1" s="101"/>
      <c r="QLV1" s="100"/>
      <c r="QLW1" s="102"/>
      <c r="QLY1" s="101"/>
      <c r="QLZ1" s="100"/>
      <c r="QMA1" s="102"/>
      <c r="QMC1" s="101"/>
      <c r="QMD1" s="100"/>
      <c r="QME1" s="102"/>
      <c r="QMG1" s="101"/>
      <c r="QMH1" s="100"/>
      <c r="QMI1" s="102"/>
      <c r="QMK1" s="101"/>
      <c r="QML1" s="100"/>
      <c r="QMM1" s="102"/>
      <c r="QMO1" s="101"/>
      <c r="QMP1" s="100"/>
      <c r="QMQ1" s="102"/>
      <c r="QMS1" s="101"/>
      <c r="QMT1" s="100"/>
      <c r="QMU1" s="102"/>
      <c r="QMW1" s="101"/>
      <c r="QMX1" s="100"/>
      <c r="QMY1" s="102"/>
      <c r="QNA1" s="101"/>
      <c r="QNB1" s="100"/>
      <c r="QNC1" s="102"/>
      <c r="QNE1" s="101"/>
      <c r="QNF1" s="100"/>
      <c r="QNG1" s="102"/>
      <c r="QNI1" s="101"/>
      <c r="QNJ1" s="100"/>
      <c r="QNK1" s="102"/>
      <c r="QNM1" s="101"/>
      <c r="QNN1" s="100"/>
      <c r="QNO1" s="102"/>
      <c r="QNQ1" s="101"/>
      <c r="QNR1" s="100"/>
      <c r="QNS1" s="102"/>
      <c r="QNU1" s="101"/>
      <c r="QNV1" s="100"/>
      <c r="QNW1" s="102"/>
      <c r="QNY1" s="101"/>
      <c r="QNZ1" s="100"/>
      <c r="QOA1" s="102"/>
      <c r="QOC1" s="101"/>
      <c r="QOD1" s="100"/>
      <c r="QOE1" s="102"/>
      <c r="QOG1" s="101"/>
      <c r="QOH1" s="100"/>
      <c r="QOI1" s="102"/>
      <c r="QOK1" s="101"/>
      <c r="QOL1" s="100"/>
      <c r="QOM1" s="102"/>
      <c r="QOO1" s="101"/>
      <c r="QOP1" s="100"/>
      <c r="QOQ1" s="102"/>
      <c r="QOS1" s="101"/>
      <c r="QOT1" s="100"/>
      <c r="QOU1" s="102"/>
      <c r="QOW1" s="101"/>
      <c r="QOX1" s="100"/>
      <c r="QOY1" s="102"/>
      <c r="QPA1" s="101"/>
      <c r="QPB1" s="100"/>
      <c r="QPC1" s="102"/>
      <c r="QPE1" s="101"/>
      <c r="QPF1" s="100"/>
      <c r="QPG1" s="102"/>
      <c r="QPI1" s="101"/>
      <c r="QPJ1" s="100"/>
      <c r="QPK1" s="102"/>
      <c r="QPM1" s="101"/>
      <c r="QPN1" s="100"/>
      <c r="QPO1" s="102"/>
      <c r="QPQ1" s="101"/>
      <c r="QPR1" s="100"/>
      <c r="QPS1" s="102"/>
      <c r="QPU1" s="101"/>
      <c r="QPV1" s="100"/>
      <c r="QPW1" s="102"/>
      <c r="QPY1" s="101"/>
      <c r="QPZ1" s="100"/>
      <c r="QQA1" s="102"/>
      <c r="QQC1" s="101"/>
      <c r="QQD1" s="100"/>
      <c r="QQE1" s="102"/>
      <c r="QQG1" s="101"/>
      <c r="QQH1" s="100"/>
      <c r="QQI1" s="102"/>
      <c r="QQK1" s="101"/>
      <c r="QQL1" s="100"/>
      <c r="QQM1" s="102"/>
      <c r="QQO1" s="101"/>
      <c r="QQP1" s="100"/>
      <c r="QQQ1" s="102"/>
      <c r="QQS1" s="101"/>
      <c r="QQT1" s="100"/>
      <c r="QQU1" s="102"/>
      <c r="QQW1" s="101"/>
      <c r="QQX1" s="100"/>
      <c r="QQY1" s="102"/>
      <c r="QRA1" s="101"/>
      <c r="QRB1" s="100"/>
      <c r="QRC1" s="102"/>
      <c r="QRE1" s="101"/>
      <c r="QRF1" s="100"/>
      <c r="QRG1" s="102"/>
      <c r="QRI1" s="101"/>
      <c r="QRJ1" s="100"/>
      <c r="QRK1" s="102"/>
      <c r="QRM1" s="101"/>
      <c r="QRN1" s="100"/>
      <c r="QRO1" s="102"/>
      <c r="QRQ1" s="101"/>
      <c r="QRR1" s="100"/>
      <c r="QRS1" s="102"/>
      <c r="QRU1" s="101"/>
      <c r="QRV1" s="100"/>
      <c r="QRW1" s="102"/>
      <c r="QRY1" s="101"/>
      <c r="QRZ1" s="100"/>
      <c r="QSA1" s="102"/>
      <c r="QSC1" s="101"/>
      <c r="QSD1" s="100"/>
      <c r="QSE1" s="102"/>
      <c r="QSG1" s="101"/>
      <c r="QSH1" s="100"/>
      <c r="QSI1" s="102"/>
      <c r="QSK1" s="101"/>
      <c r="QSL1" s="100"/>
      <c r="QSM1" s="102"/>
      <c r="QSO1" s="101"/>
      <c r="QSP1" s="100"/>
      <c r="QSQ1" s="102"/>
      <c r="QSS1" s="101"/>
      <c r="QST1" s="100"/>
      <c r="QSU1" s="102"/>
      <c r="QSW1" s="101"/>
      <c r="QSX1" s="100"/>
      <c r="QSY1" s="102"/>
      <c r="QTA1" s="101"/>
      <c r="QTB1" s="100"/>
      <c r="QTC1" s="102"/>
      <c r="QTE1" s="101"/>
      <c r="QTF1" s="100"/>
      <c r="QTG1" s="102"/>
      <c r="QTI1" s="101"/>
      <c r="QTJ1" s="100"/>
      <c r="QTK1" s="102"/>
      <c r="QTM1" s="101"/>
      <c r="QTN1" s="100"/>
      <c r="QTO1" s="102"/>
      <c r="QTQ1" s="101"/>
      <c r="QTR1" s="100"/>
      <c r="QTS1" s="102"/>
      <c r="QTU1" s="101"/>
      <c r="QTV1" s="100"/>
      <c r="QTW1" s="102"/>
      <c r="QTY1" s="101"/>
      <c r="QTZ1" s="100"/>
      <c r="QUA1" s="102"/>
      <c r="QUC1" s="101"/>
      <c r="QUD1" s="100"/>
      <c r="QUE1" s="102"/>
      <c r="QUG1" s="101"/>
      <c r="QUH1" s="100"/>
      <c r="QUI1" s="102"/>
      <c r="QUK1" s="101"/>
      <c r="QUL1" s="100"/>
      <c r="QUM1" s="102"/>
      <c r="QUO1" s="101"/>
      <c r="QUP1" s="100"/>
      <c r="QUQ1" s="102"/>
      <c r="QUS1" s="101"/>
      <c r="QUT1" s="100"/>
      <c r="QUU1" s="102"/>
      <c r="QUW1" s="101"/>
      <c r="QUX1" s="100"/>
      <c r="QUY1" s="102"/>
      <c r="QVA1" s="101"/>
      <c r="QVB1" s="100"/>
      <c r="QVC1" s="102"/>
      <c r="QVE1" s="101"/>
      <c r="QVF1" s="100"/>
      <c r="QVG1" s="102"/>
      <c r="QVI1" s="101"/>
      <c r="QVJ1" s="100"/>
      <c r="QVK1" s="102"/>
      <c r="QVM1" s="101"/>
      <c r="QVN1" s="100"/>
      <c r="QVO1" s="102"/>
      <c r="QVQ1" s="101"/>
      <c r="QVR1" s="100"/>
      <c r="QVS1" s="102"/>
      <c r="QVU1" s="101"/>
      <c r="QVV1" s="100"/>
      <c r="QVW1" s="102"/>
      <c r="QVY1" s="101"/>
      <c r="QVZ1" s="100"/>
      <c r="QWA1" s="102"/>
      <c r="QWC1" s="101"/>
      <c r="QWD1" s="100"/>
      <c r="QWE1" s="102"/>
      <c r="QWG1" s="101"/>
      <c r="QWH1" s="100"/>
      <c r="QWI1" s="102"/>
      <c r="QWK1" s="101"/>
      <c r="QWL1" s="100"/>
      <c r="QWM1" s="102"/>
      <c r="QWO1" s="101"/>
      <c r="QWP1" s="100"/>
      <c r="QWQ1" s="102"/>
      <c r="QWS1" s="101"/>
      <c r="QWT1" s="100"/>
      <c r="QWU1" s="102"/>
      <c r="QWW1" s="101"/>
      <c r="QWX1" s="100"/>
      <c r="QWY1" s="102"/>
      <c r="QXA1" s="101"/>
      <c r="QXB1" s="100"/>
      <c r="QXC1" s="102"/>
      <c r="QXE1" s="101"/>
      <c r="QXF1" s="100"/>
      <c r="QXG1" s="102"/>
      <c r="QXI1" s="101"/>
      <c r="QXJ1" s="100"/>
      <c r="QXK1" s="102"/>
      <c r="QXM1" s="101"/>
      <c r="QXN1" s="100"/>
      <c r="QXO1" s="102"/>
      <c r="QXQ1" s="101"/>
      <c r="QXR1" s="100"/>
      <c r="QXS1" s="102"/>
      <c r="QXU1" s="101"/>
      <c r="QXV1" s="100"/>
      <c r="QXW1" s="102"/>
      <c r="QXY1" s="101"/>
      <c r="QXZ1" s="100"/>
      <c r="QYA1" s="102"/>
      <c r="QYC1" s="101"/>
      <c r="QYD1" s="100"/>
      <c r="QYE1" s="102"/>
      <c r="QYG1" s="101"/>
      <c r="QYH1" s="100"/>
      <c r="QYI1" s="102"/>
      <c r="QYK1" s="101"/>
      <c r="QYL1" s="100"/>
      <c r="QYM1" s="102"/>
      <c r="QYO1" s="101"/>
      <c r="QYP1" s="100"/>
      <c r="QYQ1" s="102"/>
      <c r="QYS1" s="101"/>
      <c r="QYT1" s="100"/>
      <c r="QYU1" s="102"/>
      <c r="QYW1" s="101"/>
      <c r="QYX1" s="100"/>
      <c r="QYY1" s="102"/>
      <c r="QZA1" s="101"/>
      <c r="QZB1" s="100"/>
      <c r="QZC1" s="102"/>
      <c r="QZE1" s="101"/>
      <c r="QZF1" s="100"/>
      <c r="QZG1" s="102"/>
      <c r="QZI1" s="101"/>
      <c r="QZJ1" s="100"/>
      <c r="QZK1" s="102"/>
      <c r="QZM1" s="101"/>
      <c r="QZN1" s="100"/>
      <c r="QZO1" s="102"/>
      <c r="QZQ1" s="101"/>
      <c r="QZR1" s="100"/>
      <c r="QZS1" s="102"/>
      <c r="QZU1" s="101"/>
      <c r="QZV1" s="100"/>
      <c r="QZW1" s="102"/>
      <c r="QZY1" s="101"/>
      <c r="QZZ1" s="100"/>
      <c r="RAA1" s="102"/>
      <c r="RAC1" s="101"/>
      <c r="RAD1" s="100"/>
      <c r="RAE1" s="102"/>
      <c r="RAG1" s="101"/>
      <c r="RAH1" s="100"/>
      <c r="RAI1" s="102"/>
      <c r="RAK1" s="101"/>
      <c r="RAL1" s="100"/>
      <c r="RAM1" s="102"/>
      <c r="RAO1" s="101"/>
      <c r="RAP1" s="100"/>
      <c r="RAQ1" s="102"/>
      <c r="RAS1" s="101"/>
      <c r="RAT1" s="100"/>
      <c r="RAU1" s="102"/>
      <c r="RAW1" s="101"/>
      <c r="RAX1" s="100"/>
      <c r="RAY1" s="102"/>
      <c r="RBA1" s="101"/>
      <c r="RBB1" s="100"/>
      <c r="RBC1" s="102"/>
      <c r="RBE1" s="101"/>
      <c r="RBF1" s="100"/>
      <c r="RBG1" s="102"/>
      <c r="RBI1" s="101"/>
      <c r="RBJ1" s="100"/>
      <c r="RBK1" s="102"/>
      <c r="RBM1" s="101"/>
      <c r="RBN1" s="100"/>
      <c r="RBO1" s="102"/>
      <c r="RBQ1" s="101"/>
      <c r="RBR1" s="100"/>
      <c r="RBS1" s="102"/>
      <c r="RBU1" s="101"/>
      <c r="RBV1" s="100"/>
      <c r="RBW1" s="102"/>
      <c r="RBY1" s="101"/>
      <c r="RBZ1" s="100"/>
      <c r="RCA1" s="102"/>
      <c r="RCC1" s="101"/>
      <c r="RCD1" s="100"/>
      <c r="RCE1" s="102"/>
      <c r="RCG1" s="101"/>
      <c r="RCH1" s="100"/>
      <c r="RCI1" s="102"/>
      <c r="RCK1" s="101"/>
      <c r="RCL1" s="100"/>
      <c r="RCM1" s="102"/>
      <c r="RCO1" s="101"/>
      <c r="RCP1" s="100"/>
      <c r="RCQ1" s="102"/>
      <c r="RCS1" s="101"/>
      <c r="RCT1" s="100"/>
      <c r="RCU1" s="102"/>
      <c r="RCW1" s="101"/>
      <c r="RCX1" s="100"/>
      <c r="RCY1" s="102"/>
      <c r="RDA1" s="101"/>
      <c r="RDB1" s="100"/>
      <c r="RDC1" s="102"/>
      <c r="RDE1" s="101"/>
      <c r="RDF1" s="100"/>
      <c r="RDG1" s="102"/>
      <c r="RDI1" s="101"/>
      <c r="RDJ1" s="100"/>
      <c r="RDK1" s="102"/>
      <c r="RDM1" s="101"/>
      <c r="RDN1" s="100"/>
      <c r="RDO1" s="102"/>
      <c r="RDQ1" s="101"/>
      <c r="RDR1" s="100"/>
      <c r="RDS1" s="102"/>
      <c r="RDU1" s="101"/>
      <c r="RDV1" s="100"/>
      <c r="RDW1" s="102"/>
      <c r="RDY1" s="101"/>
      <c r="RDZ1" s="100"/>
      <c r="REA1" s="102"/>
      <c r="REC1" s="101"/>
      <c r="RED1" s="100"/>
      <c r="REE1" s="102"/>
      <c r="REG1" s="101"/>
      <c r="REH1" s="100"/>
      <c r="REI1" s="102"/>
      <c r="REK1" s="101"/>
      <c r="REL1" s="100"/>
      <c r="REM1" s="102"/>
      <c r="REO1" s="101"/>
      <c r="REP1" s="100"/>
      <c r="REQ1" s="102"/>
      <c r="RES1" s="101"/>
      <c r="RET1" s="100"/>
      <c r="REU1" s="102"/>
      <c r="REW1" s="101"/>
      <c r="REX1" s="100"/>
      <c r="REY1" s="102"/>
      <c r="RFA1" s="101"/>
      <c r="RFB1" s="100"/>
      <c r="RFC1" s="102"/>
      <c r="RFE1" s="101"/>
      <c r="RFF1" s="100"/>
      <c r="RFG1" s="102"/>
      <c r="RFI1" s="101"/>
      <c r="RFJ1" s="100"/>
      <c r="RFK1" s="102"/>
      <c r="RFM1" s="101"/>
      <c r="RFN1" s="100"/>
      <c r="RFO1" s="102"/>
      <c r="RFQ1" s="101"/>
      <c r="RFR1" s="100"/>
      <c r="RFS1" s="102"/>
      <c r="RFU1" s="101"/>
      <c r="RFV1" s="100"/>
      <c r="RFW1" s="102"/>
      <c r="RFY1" s="101"/>
      <c r="RFZ1" s="100"/>
      <c r="RGA1" s="102"/>
      <c r="RGC1" s="101"/>
      <c r="RGD1" s="100"/>
      <c r="RGE1" s="102"/>
      <c r="RGG1" s="101"/>
      <c r="RGH1" s="100"/>
      <c r="RGI1" s="102"/>
      <c r="RGK1" s="101"/>
      <c r="RGL1" s="100"/>
      <c r="RGM1" s="102"/>
      <c r="RGO1" s="101"/>
      <c r="RGP1" s="100"/>
      <c r="RGQ1" s="102"/>
      <c r="RGS1" s="101"/>
      <c r="RGT1" s="100"/>
      <c r="RGU1" s="102"/>
      <c r="RGW1" s="101"/>
      <c r="RGX1" s="100"/>
      <c r="RGY1" s="102"/>
      <c r="RHA1" s="101"/>
      <c r="RHB1" s="100"/>
      <c r="RHC1" s="102"/>
      <c r="RHE1" s="101"/>
      <c r="RHF1" s="100"/>
      <c r="RHG1" s="102"/>
      <c r="RHI1" s="101"/>
      <c r="RHJ1" s="100"/>
      <c r="RHK1" s="102"/>
      <c r="RHM1" s="101"/>
      <c r="RHN1" s="100"/>
      <c r="RHO1" s="102"/>
      <c r="RHQ1" s="101"/>
      <c r="RHR1" s="100"/>
      <c r="RHS1" s="102"/>
      <c r="RHU1" s="101"/>
      <c r="RHV1" s="100"/>
      <c r="RHW1" s="102"/>
      <c r="RHY1" s="101"/>
      <c r="RHZ1" s="100"/>
      <c r="RIA1" s="102"/>
      <c r="RIC1" s="101"/>
      <c r="RID1" s="100"/>
      <c r="RIE1" s="102"/>
      <c r="RIG1" s="101"/>
      <c r="RIH1" s="100"/>
      <c r="RII1" s="102"/>
      <c r="RIK1" s="101"/>
      <c r="RIL1" s="100"/>
      <c r="RIM1" s="102"/>
      <c r="RIO1" s="101"/>
      <c r="RIP1" s="100"/>
      <c r="RIQ1" s="102"/>
      <c r="RIS1" s="101"/>
      <c r="RIT1" s="100"/>
      <c r="RIU1" s="102"/>
      <c r="RIW1" s="101"/>
      <c r="RIX1" s="100"/>
      <c r="RIY1" s="102"/>
      <c r="RJA1" s="101"/>
      <c r="RJB1" s="100"/>
      <c r="RJC1" s="102"/>
      <c r="RJE1" s="101"/>
      <c r="RJF1" s="100"/>
      <c r="RJG1" s="102"/>
      <c r="RJI1" s="101"/>
      <c r="RJJ1" s="100"/>
      <c r="RJK1" s="102"/>
      <c r="RJM1" s="101"/>
      <c r="RJN1" s="100"/>
      <c r="RJO1" s="102"/>
      <c r="RJQ1" s="101"/>
      <c r="RJR1" s="100"/>
      <c r="RJS1" s="102"/>
      <c r="RJU1" s="101"/>
      <c r="RJV1" s="100"/>
      <c r="RJW1" s="102"/>
      <c r="RJY1" s="101"/>
      <c r="RJZ1" s="100"/>
      <c r="RKA1" s="102"/>
      <c r="RKC1" s="101"/>
      <c r="RKD1" s="100"/>
      <c r="RKE1" s="102"/>
      <c r="RKG1" s="101"/>
      <c r="RKH1" s="100"/>
      <c r="RKI1" s="102"/>
      <c r="RKK1" s="101"/>
      <c r="RKL1" s="100"/>
      <c r="RKM1" s="102"/>
      <c r="RKO1" s="101"/>
      <c r="RKP1" s="100"/>
      <c r="RKQ1" s="102"/>
      <c r="RKS1" s="101"/>
      <c r="RKT1" s="100"/>
      <c r="RKU1" s="102"/>
      <c r="RKW1" s="101"/>
      <c r="RKX1" s="100"/>
      <c r="RKY1" s="102"/>
      <c r="RLA1" s="101"/>
      <c r="RLB1" s="100"/>
      <c r="RLC1" s="102"/>
      <c r="RLE1" s="101"/>
      <c r="RLF1" s="100"/>
      <c r="RLG1" s="102"/>
      <c r="RLI1" s="101"/>
      <c r="RLJ1" s="100"/>
      <c r="RLK1" s="102"/>
      <c r="RLM1" s="101"/>
      <c r="RLN1" s="100"/>
      <c r="RLO1" s="102"/>
      <c r="RLQ1" s="101"/>
      <c r="RLR1" s="100"/>
      <c r="RLS1" s="102"/>
      <c r="RLU1" s="101"/>
      <c r="RLV1" s="100"/>
      <c r="RLW1" s="102"/>
      <c r="RLY1" s="101"/>
      <c r="RLZ1" s="100"/>
      <c r="RMA1" s="102"/>
      <c r="RMC1" s="101"/>
      <c r="RMD1" s="100"/>
      <c r="RME1" s="102"/>
      <c r="RMG1" s="101"/>
      <c r="RMH1" s="100"/>
      <c r="RMI1" s="102"/>
      <c r="RMK1" s="101"/>
      <c r="RML1" s="100"/>
      <c r="RMM1" s="102"/>
      <c r="RMO1" s="101"/>
      <c r="RMP1" s="100"/>
      <c r="RMQ1" s="102"/>
      <c r="RMS1" s="101"/>
      <c r="RMT1" s="100"/>
      <c r="RMU1" s="102"/>
      <c r="RMW1" s="101"/>
      <c r="RMX1" s="100"/>
      <c r="RMY1" s="102"/>
      <c r="RNA1" s="101"/>
      <c r="RNB1" s="100"/>
      <c r="RNC1" s="102"/>
      <c r="RNE1" s="101"/>
      <c r="RNF1" s="100"/>
      <c r="RNG1" s="102"/>
      <c r="RNI1" s="101"/>
      <c r="RNJ1" s="100"/>
      <c r="RNK1" s="102"/>
      <c r="RNM1" s="101"/>
      <c r="RNN1" s="100"/>
      <c r="RNO1" s="102"/>
      <c r="RNQ1" s="101"/>
      <c r="RNR1" s="100"/>
      <c r="RNS1" s="102"/>
      <c r="RNU1" s="101"/>
      <c r="RNV1" s="100"/>
      <c r="RNW1" s="102"/>
      <c r="RNY1" s="101"/>
      <c r="RNZ1" s="100"/>
      <c r="ROA1" s="102"/>
      <c r="ROC1" s="101"/>
      <c r="ROD1" s="100"/>
      <c r="ROE1" s="102"/>
      <c r="ROG1" s="101"/>
      <c r="ROH1" s="100"/>
      <c r="ROI1" s="102"/>
      <c r="ROK1" s="101"/>
      <c r="ROL1" s="100"/>
      <c r="ROM1" s="102"/>
      <c r="ROO1" s="101"/>
      <c r="ROP1" s="100"/>
      <c r="ROQ1" s="102"/>
      <c r="ROS1" s="101"/>
      <c r="ROT1" s="100"/>
      <c r="ROU1" s="102"/>
      <c r="ROW1" s="101"/>
      <c r="ROX1" s="100"/>
      <c r="ROY1" s="102"/>
      <c r="RPA1" s="101"/>
      <c r="RPB1" s="100"/>
      <c r="RPC1" s="102"/>
      <c r="RPE1" s="101"/>
      <c r="RPF1" s="100"/>
      <c r="RPG1" s="102"/>
      <c r="RPI1" s="101"/>
      <c r="RPJ1" s="100"/>
      <c r="RPK1" s="102"/>
      <c r="RPM1" s="101"/>
      <c r="RPN1" s="100"/>
      <c r="RPO1" s="102"/>
      <c r="RPQ1" s="101"/>
      <c r="RPR1" s="100"/>
      <c r="RPS1" s="102"/>
      <c r="RPU1" s="101"/>
      <c r="RPV1" s="100"/>
      <c r="RPW1" s="102"/>
      <c r="RPY1" s="101"/>
      <c r="RPZ1" s="100"/>
      <c r="RQA1" s="102"/>
      <c r="RQC1" s="101"/>
      <c r="RQD1" s="100"/>
      <c r="RQE1" s="102"/>
      <c r="RQG1" s="101"/>
      <c r="RQH1" s="100"/>
      <c r="RQI1" s="102"/>
      <c r="RQK1" s="101"/>
      <c r="RQL1" s="100"/>
      <c r="RQM1" s="102"/>
      <c r="RQO1" s="101"/>
      <c r="RQP1" s="100"/>
      <c r="RQQ1" s="102"/>
      <c r="RQS1" s="101"/>
      <c r="RQT1" s="100"/>
      <c r="RQU1" s="102"/>
      <c r="RQW1" s="101"/>
      <c r="RQX1" s="100"/>
      <c r="RQY1" s="102"/>
      <c r="RRA1" s="101"/>
      <c r="RRB1" s="100"/>
      <c r="RRC1" s="102"/>
      <c r="RRE1" s="101"/>
      <c r="RRF1" s="100"/>
      <c r="RRG1" s="102"/>
      <c r="RRI1" s="101"/>
      <c r="RRJ1" s="100"/>
      <c r="RRK1" s="102"/>
      <c r="RRM1" s="101"/>
      <c r="RRN1" s="100"/>
      <c r="RRO1" s="102"/>
      <c r="RRQ1" s="101"/>
      <c r="RRR1" s="100"/>
      <c r="RRS1" s="102"/>
      <c r="RRU1" s="101"/>
      <c r="RRV1" s="100"/>
      <c r="RRW1" s="102"/>
      <c r="RRY1" s="101"/>
      <c r="RRZ1" s="100"/>
      <c r="RSA1" s="102"/>
      <c r="RSC1" s="101"/>
      <c r="RSD1" s="100"/>
      <c r="RSE1" s="102"/>
      <c r="RSG1" s="101"/>
      <c r="RSH1" s="100"/>
      <c r="RSI1" s="102"/>
      <c r="RSK1" s="101"/>
      <c r="RSL1" s="100"/>
      <c r="RSM1" s="102"/>
      <c r="RSO1" s="101"/>
      <c r="RSP1" s="100"/>
      <c r="RSQ1" s="102"/>
      <c r="RSS1" s="101"/>
      <c r="RST1" s="100"/>
      <c r="RSU1" s="102"/>
      <c r="RSW1" s="101"/>
      <c r="RSX1" s="100"/>
      <c r="RSY1" s="102"/>
      <c r="RTA1" s="101"/>
      <c r="RTB1" s="100"/>
      <c r="RTC1" s="102"/>
      <c r="RTE1" s="101"/>
      <c r="RTF1" s="100"/>
      <c r="RTG1" s="102"/>
      <c r="RTI1" s="101"/>
      <c r="RTJ1" s="100"/>
      <c r="RTK1" s="102"/>
      <c r="RTM1" s="101"/>
      <c r="RTN1" s="100"/>
      <c r="RTO1" s="102"/>
      <c r="RTQ1" s="101"/>
      <c r="RTR1" s="100"/>
      <c r="RTS1" s="102"/>
      <c r="RTU1" s="101"/>
      <c r="RTV1" s="100"/>
      <c r="RTW1" s="102"/>
      <c r="RTY1" s="101"/>
      <c r="RTZ1" s="100"/>
      <c r="RUA1" s="102"/>
      <c r="RUC1" s="101"/>
      <c r="RUD1" s="100"/>
      <c r="RUE1" s="102"/>
      <c r="RUG1" s="101"/>
      <c r="RUH1" s="100"/>
      <c r="RUI1" s="102"/>
      <c r="RUK1" s="101"/>
      <c r="RUL1" s="100"/>
      <c r="RUM1" s="102"/>
      <c r="RUO1" s="101"/>
      <c r="RUP1" s="100"/>
      <c r="RUQ1" s="102"/>
      <c r="RUS1" s="101"/>
      <c r="RUT1" s="100"/>
      <c r="RUU1" s="102"/>
      <c r="RUW1" s="101"/>
      <c r="RUX1" s="100"/>
      <c r="RUY1" s="102"/>
      <c r="RVA1" s="101"/>
      <c r="RVB1" s="100"/>
      <c r="RVC1" s="102"/>
      <c r="RVE1" s="101"/>
      <c r="RVF1" s="100"/>
      <c r="RVG1" s="102"/>
      <c r="RVI1" s="101"/>
      <c r="RVJ1" s="100"/>
      <c r="RVK1" s="102"/>
      <c r="RVM1" s="101"/>
      <c r="RVN1" s="100"/>
      <c r="RVO1" s="102"/>
      <c r="RVQ1" s="101"/>
      <c r="RVR1" s="100"/>
      <c r="RVS1" s="102"/>
      <c r="RVU1" s="101"/>
      <c r="RVV1" s="100"/>
      <c r="RVW1" s="102"/>
      <c r="RVY1" s="101"/>
      <c r="RVZ1" s="100"/>
      <c r="RWA1" s="102"/>
      <c r="RWC1" s="101"/>
      <c r="RWD1" s="100"/>
      <c r="RWE1" s="102"/>
      <c r="RWG1" s="101"/>
      <c r="RWH1" s="100"/>
      <c r="RWI1" s="102"/>
      <c r="RWK1" s="101"/>
      <c r="RWL1" s="100"/>
      <c r="RWM1" s="102"/>
      <c r="RWO1" s="101"/>
      <c r="RWP1" s="100"/>
      <c r="RWQ1" s="102"/>
      <c r="RWS1" s="101"/>
      <c r="RWT1" s="100"/>
      <c r="RWU1" s="102"/>
      <c r="RWW1" s="101"/>
      <c r="RWX1" s="100"/>
      <c r="RWY1" s="102"/>
      <c r="RXA1" s="101"/>
      <c r="RXB1" s="100"/>
      <c r="RXC1" s="102"/>
      <c r="RXE1" s="101"/>
      <c r="RXF1" s="100"/>
      <c r="RXG1" s="102"/>
      <c r="RXI1" s="101"/>
      <c r="RXJ1" s="100"/>
      <c r="RXK1" s="102"/>
      <c r="RXM1" s="101"/>
      <c r="RXN1" s="100"/>
      <c r="RXO1" s="102"/>
      <c r="RXQ1" s="101"/>
      <c r="RXR1" s="100"/>
      <c r="RXS1" s="102"/>
      <c r="RXU1" s="101"/>
      <c r="RXV1" s="100"/>
      <c r="RXW1" s="102"/>
      <c r="RXY1" s="101"/>
      <c r="RXZ1" s="100"/>
      <c r="RYA1" s="102"/>
      <c r="RYC1" s="101"/>
      <c r="RYD1" s="100"/>
      <c r="RYE1" s="102"/>
      <c r="RYG1" s="101"/>
      <c r="RYH1" s="100"/>
      <c r="RYI1" s="102"/>
      <c r="RYK1" s="101"/>
      <c r="RYL1" s="100"/>
      <c r="RYM1" s="102"/>
      <c r="RYO1" s="101"/>
      <c r="RYP1" s="100"/>
      <c r="RYQ1" s="102"/>
      <c r="RYS1" s="101"/>
      <c r="RYT1" s="100"/>
      <c r="RYU1" s="102"/>
      <c r="RYW1" s="101"/>
      <c r="RYX1" s="100"/>
      <c r="RYY1" s="102"/>
      <c r="RZA1" s="101"/>
      <c r="RZB1" s="100"/>
      <c r="RZC1" s="102"/>
      <c r="RZE1" s="101"/>
      <c r="RZF1" s="100"/>
      <c r="RZG1" s="102"/>
      <c r="RZI1" s="101"/>
      <c r="RZJ1" s="100"/>
      <c r="RZK1" s="102"/>
      <c r="RZM1" s="101"/>
      <c r="RZN1" s="100"/>
      <c r="RZO1" s="102"/>
      <c r="RZQ1" s="101"/>
      <c r="RZR1" s="100"/>
      <c r="RZS1" s="102"/>
      <c r="RZU1" s="101"/>
      <c r="RZV1" s="100"/>
      <c r="RZW1" s="102"/>
      <c r="RZY1" s="101"/>
      <c r="RZZ1" s="100"/>
      <c r="SAA1" s="102"/>
      <c r="SAC1" s="101"/>
      <c r="SAD1" s="100"/>
      <c r="SAE1" s="102"/>
      <c r="SAG1" s="101"/>
      <c r="SAH1" s="100"/>
      <c r="SAI1" s="102"/>
      <c r="SAK1" s="101"/>
      <c r="SAL1" s="100"/>
      <c r="SAM1" s="102"/>
      <c r="SAO1" s="101"/>
      <c r="SAP1" s="100"/>
      <c r="SAQ1" s="102"/>
      <c r="SAS1" s="101"/>
      <c r="SAT1" s="100"/>
      <c r="SAU1" s="102"/>
      <c r="SAW1" s="101"/>
      <c r="SAX1" s="100"/>
      <c r="SAY1" s="102"/>
      <c r="SBA1" s="101"/>
      <c r="SBB1" s="100"/>
      <c r="SBC1" s="102"/>
      <c r="SBE1" s="101"/>
      <c r="SBF1" s="100"/>
      <c r="SBG1" s="102"/>
      <c r="SBI1" s="101"/>
      <c r="SBJ1" s="100"/>
      <c r="SBK1" s="102"/>
      <c r="SBM1" s="101"/>
      <c r="SBN1" s="100"/>
      <c r="SBO1" s="102"/>
      <c r="SBQ1" s="101"/>
      <c r="SBR1" s="100"/>
      <c r="SBS1" s="102"/>
      <c r="SBU1" s="101"/>
      <c r="SBV1" s="100"/>
      <c r="SBW1" s="102"/>
      <c r="SBY1" s="101"/>
      <c r="SBZ1" s="100"/>
      <c r="SCA1" s="102"/>
      <c r="SCC1" s="101"/>
      <c r="SCD1" s="100"/>
      <c r="SCE1" s="102"/>
      <c r="SCG1" s="101"/>
      <c r="SCH1" s="100"/>
      <c r="SCI1" s="102"/>
      <c r="SCK1" s="101"/>
      <c r="SCL1" s="100"/>
      <c r="SCM1" s="102"/>
      <c r="SCO1" s="101"/>
      <c r="SCP1" s="100"/>
      <c r="SCQ1" s="102"/>
      <c r="SCS1" s="101"/>
      <c r="SCT1" s="100"/>
      <c r="SCU1" s="102"/>
      <c r="SCW1" s="101"/>
      <c r="SCX1" s="100"/>
      <c r="SCY1" s="102"/>
      <c r="SDA1" s="101"/>
      <c r="SDB1" s="100"/>
      <c r="SDC1" s="102"/>
      <c r="SDE1" s="101"/>
      <c r="SDF1" s="100"/>
      <c r="SDG1" s="102"/>
      <c r="SDI1" s="101"/>
      <c r="SDJ1" s="100"/>
      <c r="SDK1" s="102"/>
      <c r="SDM1" s="101"/>
      <c r="SDN1" s="100"/>
      <c r="SDO1" s="102"/>
      <c r="SDQ1" s="101"/>
      <c r="SDR1" s="100"/>
      <c r="SDS1" s="102"/>
      <c r="SDU1" s="101"/>
      <c r="SDV1" s="100"/>
      <c r="SDW1" s="102"/>
      <c r="SDY1" s="101"/>
      <c r="SDZ1" s="100"/>
      <c r="SEA1" s="102"/>
      <c r="SEC1" s="101"/>
      <c r="SED1" s="100"/>
      <c r="SEE1" s="102"/>
      <c r="SEG1" s="101"/>
      <c r="SEH1" s="100"/>
      <c r="SEI1" s="102"/>
      <c r="SEK1" s="101"/>
      <c r="SEL1" s="100"/>
      <c r="SEM1" s="102"/>
      <c r="SEO1" s="101"/>
      <c r="SEP1" s="100"/>
      <c r="SEQ1" s="102"/>
      <c r="SES1" s="101"/>
      <c r="SET1" s="100"/>
      <c r="SEU1" s="102"/>
      <c r="SEW1" s="101"/>
      <c r="SEX1" s="100"/>
      <c r="SEY1" s="102"/>
      <c r="SFA1" s="101"/>
      <c r="SFB1" s="100"/>
      <c r="SFC1" s="102"/>
      <c r="SFE1" s="101"/>
      <c r="SFF1" s="100"/>
      <c r="SFG1" s="102"/>
      <c r="SFI1" s="101"/>
      <c r="SFJ1" s="100"/>
      <c r="SFK1" s="102"/>
      <c r="SFM1" s="101"/>
      <c r="SFN1" s="100"/>
      <c r="SFO1" s="102"/>
      <c r="SFQ1" s="101"/>
      <c r="SFR1" s="100"/>
      <c r="SFS1" s="102"/>
      <c r="SFU1" s="101"/>
      <c r="SFV1" s="100"/>
      <c r="SFW1" s="102"/>
      <c r="SFY1" s="101"/>
      <c r="SFZ1" s="100"/>
      <c r="SGA1" s="102"/>
      <c r="SGC1" s="101"/>
      <c r="SGD1" s="100"/>
      <c r="SGE1" s="102"/>
      <c r="SGG1" s="101"/>
      <c r="SGH1" s="100"/>
      <c r="SGI1" s="102"/>
      <c r="SGK1" s="101"/>
      <c r="SGL1" s="100"/>
      <c r="SGM1" s="102"/>
      <c r="SGO1" s="101"/>
      <c r="SGP1" s="100"/>
      <c r="SGQ1" s="102"/>
      <c r="SGS1" s="101"/>
      <c r="SGT1" s="100"/>
      <c r="SGU1" s="102"/>
      <c r="SGW1" s="101"/>
      <c r="SGX1" s="100"/>
      <c r="SGY1" s="102"/>
      <c r="SHA1" s="101"/>
      <c r="SHB1" s="100"/>
      <c r="SHC1" s="102"/>
      <c r="SHE1" s="101"/>
      <c r="SHF1" s="100"/>
      <c r="SHG1" s="102"/>
      <c r="SHI1" s="101"/>
      <c r="SHJ1" s="100"/>
      <c r="SHK1" s="102"/>
      <c r="SHM1" s="101"/>
      <c r="SHN1" s="100"/>
      <c r="SHO1" s="102"/>
      <c r="SHQ1" s="101"/>
      <c r="SHR1" s="100"/>
      <c r="SHS1" s="102"/>
      <c r="SHU1" s="101"/>
      <c r="SHV1" s="100"/>
      <c r="SHW1" s="102"/>
      <c r="SHY1" s="101"/>
      <c r="SHZ1" s="100"/>
      <c r="SIA1" s="102"/>
      <c r="SIC1" s="101"/>
      <c r="SID1" s="100"/>
      <c r="SIE1" s="102"/>
      <c r="SIG1" s="101"/>
      <c r="SIH1" s="100"/>
      <c r="SII1" s="102"/>
      <c r="SIK1" s="101"/>
      <c r="SIL1" s="100"/>
      <c r="SIM1" s="102"/>
      <c r="SIO1" s="101"/>
      <c r="SIP1" s="100"/>
      <c r="SIQ1" s="102"/>
      <c r="SIS1" s="101"/>
      <c r="SIT1" s="100"/>
      <c r="SIU1" s="102"/>
      <c r="SIW1" s="101"/>
      <c r="SIX1" s="100"/>
      <c r="SIY1" s="102"/>
      <c r="SJA1" s="101"/>
      <c r="SJB1" s="100"/>
      <c r="SJC1" s="102"/>
      <c r="SJE1" s="101"/>
      <c r="SJF1" s="100"/>
      <c r="SJG1" s="102"/>
      <c r="SJI1" s="101"/>
      <c r="SJJ1" s="100"/>
      <c r="SJK1" s="102"/>
      <c r="SJM1" s="101"/>
      <c r="SJN1" s="100"/>
      <c r="SJO1" s="102"/>
      <c r="SJQ1" s="101"/>
      <c r="SJR1" s="100"/>
      <c r="SJS1" s="102"/>
      <c r="SJU1" s="101"/>
      <c r="SJV1" s="100"/>
      <c r="SJW1" s="102"/>
      <c r="SJY1" s="101"/>
      <c r="SJZ1" s="100"/>
      <c r="SKA1" s="102"/>
      <c r="SKC1" s="101"/>
      <c r="SKD1" s="100"/>
      <c r="SKE1" s="102"/>
      <c r="SKG1" s="101"/>
      <c r="SKH1" s="100"/>
      <c r="SKI1" s="102"/>
      <c r="SKK1" s="101"/>
      <c r="SKL1" s="100"/>
      <c r="SKM1" s="102"/>
      <c r="SKO1" s="101"/>
      <c r="SKP1" s="100"/>
      <c r="SKQ1" s="102"/>
      <c r="SKS1" s="101"/>
      <c r="SKT1" s="100"/>
      <c r="SKU1" s="102"/>
      <c r="SKW1" s="101"/>
      <c r="SKX1" s="100"/>
      <c r="SKY1" s="102"/>
      <c r="SLA1" s="101"/>
      <c r="SLB1" s="100"/>
      <c r="SLC1" s="102"/>
      <c r="SLE1" s="101"/>
      <c r="SLF1" s="100"/>
      <c r="SLG1" s="102"/>
      <c r="SLI1" s="101"/>
      <c r="SLJ1" s="100"/>
      <c r="SLK1" s="102"/>
      <c r="SLM1" s="101"/>
      <c r="SLN1" s="100"/>
      <c r="SLO1" s="102"/>
      <c r="SLQ1" s="101"/>
      <c r="SLR1" s="100"/>
      <c r="SLS1" s="102"/>
      <c r="SLU1" s="101"/>
      <c r="SLV1" s="100"/>
      <c r="SLW1" s="102"/>
      <c r="SLY1" s="101"/>
      <c r="SLZ1" s="100"/>
      <c r="SMA1" s="102"/>
      <c r="SMC1" s="101"/>
      <c r="SMD1" s="100"/>
      <c r="SME1" s="102"/>
      <c r="SMG1" s="101"/>
      <c r="SMH1" s="100"/>
      <c r="SMI1" s="102"/>
      <c r="SMK1" s="101"/>
      <c r="SML1" s="100"/>
      <c r="SMM1" s="102"/>
      <c r="SMO1" s="101"/>
      <c r="SMP1" s="100"/>
      <c r="SMQ1" s="102"/>
      <c r="SMS1" s="101"/>
      <c r="SMT1" s="100"/>
      <c r="SMU1" s="102"/>
      <c r="SMW1" s="101"/>
      <c r="SMX1" s="100"/>
      <c r="SMY1" s="102"/>
      <c r="SNA1" s="101"/>
      <c r="SNB1" s="100"/>
      <c r="SNC1" s="102"/>
      <c r="SNE1" s="101"/>
      <c r="SNF1" s="100"/>
      <c r="SNG1" s="102"/>
      <c r="SNI1" s="101"/>
      <c r="SNJ1" s="100"/>
      <c r="SNK1" s="102"/>
      <c r="SNM1" s="101"/>
      <c r="SNN1" s="100"/>
      <c r="SNO1" s="102"/>
      <c r="SNQ1" s="101"/>
      <c r="SNR1" s="100"/>
      <c r="SNS1" s="102"/>
      <c r="SNU1" s="101"/>
      <c r="SNV1" s="100"/>
      <c r="SNW1" s="102"/>
      <c r="SNY1" s="101"/>
      <c r="SNZ1" s="100"/>
      <c r="SOA1" s="102"/>
      <c r="SOC1" s="101"/>
      <c r="SOD1" s="100"/>
      <c r="SOE1" s="102"/>
      <c r="SOG1" s="101"/>
      <c r="SOH1" s="100"/>
      <c r="SOI1" s="102"/>
      <c r="SOK1" s="101"/>
      <c r="SOL1" s="100"/>
      <c r="SOM1" s="102"/>
      <c r="SOO1" s="101"/>
      <c r="SOP1" s="100"/>
      <c r="SOQ1" s="102"/>
      <c r="SOS1" s="101"/>
      <c r="SOT1" s="100"/>
      <c r="SOU1" s="102"/>
      <c r="SOW1" s="101"/>
      <c r="SOX1" s="100"/>
      <c r="SOY1" s="102"/>
      <c r="SPA1" s="101"/>
      <c r="SPB1" s="100"/>
      <c r="SPC1" s="102"/>
      <c r="SPE1" s="101"/>
      <c r="SPF1" s="100"/>
      <c r="SPG1" s="102"/>
      <c r="SPI1" s="101"/>
      <c r="SPJ1" s="100"/>
      <c r="SPK1" s="102"/>
      <c r="SPM1" s="101"/>
      <c r="SPN1" s="100"/>
      <c r="SPO1" s="102"/>
      <c r="SPQ1" s="101"/>
      <c r="SPR1" s="100"/>
      <c r="SPS1" s="102"/>
      <c r="SPU1" s="101"/>
      <c r="SPV1" s="100"/>
      <c r="SPW1" s="102"/>
      <c r="SPY1" s="101"/>
      <c r="SPZ1" s="100"/>
      <c r="SQA1" s="102"/>
      <c r="SQC1" s="101"/>
      <c r="SQD1" s="100"/>
      <c r="SQE1" s="102"/>
      <c r="SQG1" s="101"/>
      <c r="SQH1" s="100"/>
      <c r="SQI1" s="102"/>
      <c r="SQK1" s="101"/>
      <c r="SQL1" s="100"/>
      <c r="SQM1" s="102"/>
      <c r="SQO1" s="101"/>
      <c r="SQP1" s="100"/>
      <c r="SQQ1" s="102"/>
      <c r="SQS1" s="101"/>
      <c r="SQT1" s="100"/>
      <c r="SQU1" s="102"/>
      <c r="SQW1" s="101"/>
      <c r="SQX1" s="100"/>
      <c r="SQY1" s="102"/>
      <c r="SRA1" s="101"/>
      <c r="SRB1" s="100"/>
      <c r="SRC1" s="102"/>
      <c r="SRE1" s="101"/>
      <c r="SRF1" s="100"/>
      <c r="SRG1" s="102"/>
      <c r="SRI1" s="101"/>
      <c r="SRJ1" s="100"/>
      <c r="SRK1" s="102"/>
      <c r="SRM1" s="101"/>
      <c r="SRN1" s="100"/>
      <c r="SRO1" s="102"/>
      <c r="SRQ1" s="101"/>
      <c r="SRR1" s="100"/>
      <c r="SRS1" s="102"/>
      <c r="SRU1" s="101"/>
      <c r="SRV1" s="100"/>
      <c r="SRW1" s="102"/>
      <c r="SRY1" s="101"/>
      <c r="SRZ1" s="100"/>
      <c r="SSA1" s="102"/>
      <c r="SSC1" s="101"/>
      <c r="SSD1" s="100"/>
      <c r="SSE1" s="102"/>
      <c r="SSG1" s="101"/>
      <c r="SSH1" s="100"/>
      <c r="SSI1" s="102"/>
      <c r="SSK1" s="101"/>
      <c r="SSL1" s="100"/>
      <c r="SSM1" s="102"/>
      <c r="SSO1" s="101"/>
      <c r="SSP1" s="100"/>
      <c r="SSQ1" s="102"/>
      <c r="SSS1" s="101"/>
      <c r="SST1" s="100"/>
      <c r="SSU1" s="102"/>
      <c r="SSW1" s="101"/>
      <c r="SSX1" s="100"/>
      <c r="SSY1" s="102"/>
      <c r="STA1" s="101"/>
      <c r="STB1" s="100"/>
      <c r="STC1" s="102"/>
      <c r="STE1" s="101"/>
      <c r="STF1" s="100"/>
      <c r="STG1" s="102"/>
      <c r="STI1" s="101"/>
      <c r="STJ1" s="100"/>
      <c r="STK1" s="102"/>
      <c r="STM1" s="101"/>
      <c r="STN1" s="100"/>
      <c r="STO1" s="102"/>
      <c r="STQ1" s="101"/>
      <c r="STR1" s="100"/>
      <c r="STS1" s="102"/>
      <c r="STU1" s="101"/>
      <c r="STV1" s="100"/>
      <c r="STW1" s="102"/>
      <c r="STY1" s="101"/>
      <c r="STZ1" s="100"/>
      <c r="SUA1" s="102"/>
      <c r="SUC1" s="101"/>
      <c r="SUD1" s="100"/>
      <c r="SUE1" s="102"/>
      <c r="SUG1" s="101"/>
      <c r="SUH1" s="100"/>
      <c r="SUI1" s="102"/>
      <c r="SUK1" s="101"/>
      <c r="SUL1" s="100"/>
      <c r="SUM1" s="102"/>
      <c r="SUO1" s="101"/>
      <c r="SUP1" s="100"/>
      <c r="SUQ1" s="102"/>
      <c r="SUS1" s="101"/>
      <c r="SUT1" s="100"/>
      <c r="SUU1" s="102"/>
      <c r="SUW1" s="101"/>
      <c r="SUX1" s="100"/>
      <c r="SUY1" s="102"/>
      <c r="SVA1" s="101"/>
      <c r="SVB1" s="100"/>
      <c r="SVC1" s="102"/>
      <c r="SVE1" s="101"/>
      <c r="SVF1" s="100"/>
      <c r="SVG1" s="102"/>
      <c r="SVI1" s="101"/>
      <c r="SVJ1" s="100"/>
      <c r="SVK1" s="102"/>
      <c r="SVM1" s="101"/>
      <c r="SVN1" s="100"/>
      <c r="SVO1" s="102"/>
      <c r="SVQ1" s="101"/>
      <c r="SVR1" s="100"/>
      <c r="SVS1" s="102"/>
      <c r="SVU1" s="101"/>
      <c r="SVV1" s="100"/>
      <c r="SVW1" s="102"/>
      <c r="SVY1" s="101"/>
      <c r="SVZ1" s="100"/>
      <c r="SWA1" s="102"/>
      <c r="SWC1" s="101"/>
      <c r="SWD1" s="100"/>
      <c r="SWE1" s="102"/>
      <c r="SWG1" s="101"/>
      <c r="SWH1" s="100"/>
      <c r="SWI1" s="102"/>
      <c r="SWK1" s="101"/>
      <c r="SWL1" s="100"/>
      <c r="SWM1" s="102"/>
      <c r="SWO1" s="101"/>
      <c r="SWP1" s="100"/>
      <c r="SWQ1" s="102"/>
      <c r="SWS1" s="101"/>
      <c r="SWT1" s="100"/>
      <c r="SWU1" s="102"/>
      <c r="SWW1" s="101"/>
      <c r="SWX1" s="100"/>
      <c r="SWY1" s="102"/>
      <c r="SXA1" s="101"/>
      <c r="SXB1" s="100"/>
      <c r="SXC1" s="102"/>
      <c r="SXE1" s="101"/>
      <c r="SXF1" s="100"/>
      <c r="SXG1" s="102"/>
      <c r="SXI1" s="101"/>
      <c r="SXJ1" s="100"/>
      <c r="SXK1" s="102"/>
      <c r="SXM1" s="101"/>
      <c r="SXN1" s="100"/>
      <c r="SXO1" s="102"/>
      <c r="SXQ1" s="101"/>
      <c r="SXR1" s="100"/>
      <c r="SXS1" s="102"/>
      <c r="SXU1" s="101"/>
      <c r="SXV1" s="100"/>
      <c r="SXW1" s="102"/>
      <c r="SXY1" s="101"/>
      <c r="SXZ1" s="100"/>
      <c r="SYA1" s="102"/>
      <c r="SYC1" s="101"/>
      <c r="SYD1" s="100"/>
      <c r="SYE1" s="102"/>
      <c r="SYG1" s="101"/>
      <c r="SYH1" s="100"/>
      <c r="SYI1" s="102"/>
      <c r="SYK1" s="101"/>
      <c r="SYL1" s="100"/>
      <c r="SYM1" s="102"/>
      <c r="SYO1" s="101"/>
      <c r="SYP1" s="100"/>
      <c r="SYQ1" s="102"/>
      <c r="SYS1" s="101"/>
      <c r="SYT1" s="100"/>
      <c r="SYU1" s="102"/>
      <c r="SYW1" s="101"/>
      <c r="SYX1" s="100"/>
      <c r="SYY1" s="102"/>
      <c r="SZA1" s="101"/>
      <c r="SZB1" s="100"/>
      <c r="SZC1" s="102"/>
      <c r="SZE1" s="101"/>
      <c r="SZF1" s="100"/>
      <c r="SZG1" s="102"/>
      <c r="SZI1" s="101"/>
      <c r="SZJ1" s="100"/>
      <c r="SZK1" s="102"/>
      <c r="SZM1" s="101"/>
      <c r="SZN1" s="100"/>
      <c r="SZO1" s="102"/>
      <c r="SZQ1" s="101"/>
      <c r="SZR1" s="100"/>
      <c r="SZS1" s="102"/>
      <c r="SZU1" s="101"/>
      <c r="SZV1" s="100"/>
      <c r="SZW1" s="102"/>
      <c r="SZY1" s="101"/>
      <c r="SZZ1" s="100"/>
      <c r="TAA1" s="102"/>
      <c r="TAC1" s="101"/>
      <c r="TAD1" s="100"/>
      <c r="TAE1" s="102"/>
      <c r="TAG1" s="101"/>
      <c r="TAH1" s="100"/>
      <c r="TAI1" s="102"/>
      <c r="TAK1" s="101"/>
      <c r="TAL1" s="100"/>
      <c r="TAM1" s="102"/>
      <c r="TAO1" s="101"/>
      <c r="TAP1" s="100"/>
      <c r="TAQ1" s="102"/>
      <c r="TAS1" s="101"/>
      <c r="TAT1" s="100"/>
      <c r="TAU1" s="102"/>
      <c r="TAW1" s="101"/>
      <c r="TAX1" s="100"/>
      <c r="TAY1" s="102"/>
      <c r="TBA1" s="101"/>
      <c r="TBB1" s="100"/>
      <c r="TBC1" s="102"/>
      <c r="TBE1" s="101"/>
      <c r="TBF1" s="100"/>
      <c r="TBG1" s="102"/>
      <c r="TBI1" s="101"/>
      <c r="TBJ1" s="100"/>
      <c r="TBK1" s="102"/>
      <c r="TBM1" s="101"/>
      <c r="TBN1" s="100"/>
      <c r="TBO1" s="102"/>
      <c r="TBQ1" s="101"/>
      <c r="TBR1" s="100"/>
      <c r="TBS1" s="102"/>
      <c r="TBU1" s="101"/>
      <c r="TBV1" s="100"/>
      <c r="TBW1" s="102"/>
      <c r="TBY1" s="101"/>
      <c r="TBZ1" s="100"/>
      <c r="TCA1" s="102"/>
      <c r="TCC1" s="101"/>
      <c r="TCD1" s="100"/>
      <c r="TCE1" s="102"/>
      <c r="TCG1" s="101"/>
      <c r="TCH1" s="100"/>
      <c r="TCI1" s="102"/>
      <c r="TCK1" s="101"/>
      <c r="TCL1" s="100"/>
      <c r="TCM1" s="102"/>
      <c r="TCO1" s="101"/>
      <c r="TCP1" s="100"/>
      <c r="TCQ1" s="102"/>
      <c r="TCS1" s="101"/>
      <c r="TCT1" s="100"/>
      <c r="TCU1" s="102"/>
      <c r="TCW1" s="101"/>
      <c r="TCX1" s="100"/>
      <c r="TCY1" s="102"/>
      <c r="TDA1" s="101"/>
      <c r="TDB1" s="100"/>
      <c r="TDC1" s="102"/>
      <c r="TDE1" s="101"/>
      <c r="TDF1" s="100"/>
      <c r="TDG1" s="102"/>
      <c r="TDI1" s="101"/>
      <c r="TDJ1" s="100"/>
      <c r="TDK1" s="102"/>
      <c r="TDM1" s="101"/>
      <c r="TDN1" s="100"/>
      <c r="TDO1" s="102"/>
      <c r="TDQ1" s="101"/>
      <c r="TDR1" s="100"/>
      <c r="TDS1" s="102"/>
      <c r="TDU1" s="101"/>
      <c r="TDV1" s="100"/>
      <c r="TDW1" s="102"/>
      <c r="TDY1" s="101"/>
      <c r="TDZ1" s="100"/>
      <c r="TEA1" s="102"/>
      <c r="TEC1" s="101"/>
      <c r="TED1" s="100"/>
      <c r="TEE1" s="102"/>
      <c r="TEG1" s="101"/>
      <c r="TEH1" s="100"/>
      <c r="TEI1" s="102"/>
      <c r="TEK1" s="101"/>
      <c r="TEL1" s="100"/>
      <c r="TEM1" s="102"/>
      <c r="TEO1" s="101"/>
      <c r="TEP1" s="100"/>
      <c r="TEQ1" s="102"/>
      <c r="TES1" s="101"/>
      <c r="TET1" s="100"/>
      <c r="TEU1" s="102"/>
      <c r="TEW1" s="101"/>
      <c r="TEX1" s="100"/>
      <c r="TEY1" s="102"/>
      <c r="TFA1" s="101"/>
      <c r="TFB1" s="100"/>
      <c r="TFC1" s="102"/>
      <c r="TFE1" s="101"/>
      <c r="TFF1" s="100"/>
      <c r="TFG1" s="102"/>
      <c r="TFI1" s="101"/>
      <c r="TFJ1" s="100"/>
      <c r="TFK1" s="102"/>
      <c r="TFM1" s="101"/>
      <c r="TFN1" s="100"/>
      <c r="TFO1" s="102"/>
      <c r="TFQ1" s="101"/>
      <c r="TFR1" s="100"/>
      <c r="TFS1" s="102"/>
      <c r="TFU1" s="101"/>
      <c r="TFV1" s="100"/>
      <c r="TFW1" s="102"/>
      <c r="TFY1" s="101"/>
      <c r="TFZ1" s="100"/>
      <c r="TGA1" s="102"/>
      <c r="TGC1" s="101"/>
      <c r="TGD1" s="100"/>
      <c r="TGE1" s="102"/>
      <c r="TGG1" s="101"/>
      <c r="TGH1" s="100"/>
      <c r="TGI1" s="102"/>
      <c r="TGK1" s="101"/>
      <c r="TGL1" s="100"/>
      <c r="TGM1" s="102"/>
      <c r="TGO1" s="101"/>
      <c r="TGP1" s="100"/>
      <c r="TGQ1" s="102"/>
      <c r="TGS1" s="101"/>
      <c r="TGT1" s="100"/>
      <c r="TGU1" s="102"/>
      <c r="TGW1" s="101"/>
      <c r="TGX1" s="100"/>
      <c r="TGY1" s="102"/>
      <c r="THA1" s="101"/>
      <c r="THB1" s="100"/>
      <c r="THC1" s="102"/>
      <c r="THE1" s="101"/>
      <c r="THF1" s="100"/>
      <c r="THG1" s="102"/>
      <c r="THI1" s="101"/>
      <c r="THJ1" s="100"/>
      <c r="THK1" s="102"/>
      <c r="THM1" s="101"/>
      <c r="THN1" s="100"/>
      <c r="THO1" s="102"/>
      <c r="THQ1" s="101"/>
      <c r="THR1" s="100"/>
      <c r="THS1" s="102"/>
      <c r="THU1" s="101"/>
      <c r="THV1" s="100"/>
      <c r="THW1" s="102"/>
      <c r="THY1" s="101"/>
      <c r="THZ1" s="100"/>
      <c r="TIA1" s="102"/>
      <c r="TIC1" s="101"/>
      <c r="TID1" s="100"/>
      <c r="TIE1" s="102"/>
      <c r="TIG1" s="101"/>
      <c r="TIH1" s="100"/>
      <c r="TII1" s="102"/>
      <c r="TIK1" s="101"/>
      <c r="TIL1" s="100"/>
      <c r="TIM1" s="102"/>
      <c r="TIO1" s="101"/>
      <c r="TIP1" s="100"/>
      <c r="TIQ1" s="102"/>
      <c r="TIS1" s="101"/>
      <c r="TIT1" s="100"/>
      <c r="TIU1" s="102"/>
      <c r="TIW1" s="101"/>
      <c r="TIX1" s="100"/>
      <c r="TIY1" s="102"/>
      <c r="TJA1" s="101"/>
      <c r="TJB1" s="100"/>
      <c r="TJC1" s="102"/>
      <c r="TJE1" s="101"/>
      <c r="TJF1" s="100"/>
      <c r="TJG1" s="102"/>
      <c r="TJI1" s="101"/>
      <c r="TJJ1" s="100"/>
      <c r="TJK1" s="102"/>
      <c r="TJM1" s="101"/>
      <c r="TJN1" s="100"/>
      <c r="TJO1" s="102"/>
      <c r="TJQ1" s="101"/>
      <c r="TJR1" s="100"/>
      <c r="TJS1" s="102"/>
      <c r="TJU1" s="101"/>
      <c r="TJV1" s="100"/>
      <c r="TJW1" s="102"/>
      <c r="TJY1" s="101"/>
      <c r="TJZ1" s="100"/>
      <c r="TKA1" s="102"/>
      <c r="TKC1" s="101"/>
      <c r="TKD1" s="100"/>
      <c r="TKE1" s="102"/>
      <c r="TKG1" s="101"/>
      <c r="TKH1" s="100"/>
      <c r="TKI1" s="102"/>
      <c r="TKK1" s="101"/>
      <c r="TKL1" s="100"/>
      <c r="TKM1" s="102"/>
      <c r="TKO1" s="101"/>
      <c r="TKP1" s="100"/>
      <c r="TKQ1" s="102"/>
      <c r="TKS1" s="101"/>
      <c r="TKT1" s="100"/>
      <c r="TKU1" s="102"/>
      <c r="TKW1" s="101"/>
      <c r="TKX1" s="100"/>
      <c r="TKY1" s="102"/>
      <c r="TLA1" s="101"/>
      <c r="TLB1" s="100"/>
      <c r="TLC1" s="102"/>
      <c r="TLE1" s="101"/>
      <c r="TLF1" s="100"/>
      <c r="TLG1" s="102"/>
      <c r="TLI1" s="101"/>
      <c r="TLJ1" s="100"/>
      <c r="TLK1" s="102"/>
      <c r="TLM1" s="101"/>
      <c r="TLN1" s="100"/>
      <c r="TLO1" s="102"/>
      <c r="TLQ1" s="101"/>
      <c r="TLR1" s="100"/>
      <c r="TLS1" s="102"/>
      <c r="TLU1" s="101"/>
      <c r="TLV1" s="100"/>
      <c r="TLW1" s="102"/>
      <c r="TLY1" s="101"/>
      <c r="TLZ1" s="100"/>
      <c r="TMA1" s="102"/>
      <c r="TMC1" s="101"/>
      <c r="TMD1" s="100"/>
      <c r="TME1" s="102"/>
      <c r="TMG1" s="101"/>
      <c r="TMH1" s="100"/>
      <c r="TMI1" s="102"/>
      <c r="TMK1" s="101"/>
      <c r="TML1" s="100"/>
      <c r="TMM1" s="102"/>
      <c r="TMO1" s="101"/>
      <c r="TMP1" s="100"/>
      <c r="TMQ1" s="102"/>
      <c r="TMS1" s="101"/>
      <c r="TMT1" s="100"/>
      <c r="TMU1" s="102"/>
      <c r="TMW1" s="101"/>
      <c r="TMX1" s="100"/>
      <c r="TMY1" s="102"/>
      <c r="TNA1" s="101"/>
      <c r="TNB1" s="100"/>
      <c r="TNC1" s="102"/>
      <c r="TNE1" s="101"/>
      <c r="TNF1" s="100"/>
      <c r="TNG1" s="102"/>
      <c r="TNI1" s="101"/>
      <c r="TNJ1" s="100"/>
      <c r="TNK1" s="102"/>
      <c r="TNM1" s="101"/>
      <c r="TNN1" s="100"/>
      <c r="TNO1" s="102"/>
      <c r="TNQ1" s="101"/>
      <c r="TNR1" s="100"/>
      <c r="TNS1" s="102"/>
      <c r="TNU1" s="101"/>
      <c r="TNV1" s="100"/>
      <c r="TNW1" s="102"/>
      <c r="TNY1" s="101"/>
      <c r="TNZ1" s="100"/>
      <c r="TOA1" s="102"/>
      <c r="TOC1" s="101"/>
      <c r="TOD1" s="100"/>
      <c r="TOE1" s="102"/>
      <c r="TOG1" s="101"/>
      <c r="TOH1" s="100"/>
      <c r="TOI1" s="102"/>
      <c r="TOK1" s="101"/>
      <c r="TOL1" s="100"/>
      <c r="TOM1" s="102"/>
      <c r="TOO1" s="101"/>
      <c r="TOP1" s="100"/>
      <c r="TOQ1" s="102"/>
      <c r="TOS1" s="101"/>
      <c r="TOT1" s="100"/>
      <c r="TOU1" s="102"/>
      <c r="TOW1" s="101"/>
      <c r="TOX1" s="100"/>
      <c r="TOY1" s="102"/>
      <c r="TPA1" s="101"/>
      <c r="TPB1" s="100"/>
      <c r="TPC1" s="102"/>
      <c r="TPE1" s="101"/>
      <c r="TPF1" s="100"/>
      <c r="TPG1" s="102"/>
      <c r="TPI1" s="101"/>
      <c r="TPJ1" s="100"/>
      <c r="TPK1" s="102"/>
      <c r="TPM1" s="101"/>
      <c r="TPN1" s="100"/>
      <c r="TPO1" s="102"/>
      <c r="TPQ1" s="101"/>
      <c r="TPR1" s="100"/>
      <c r="TPS1" s="102"/>
      <c r="TPU1" s="101"/>
      <c r="TPV1" s="100"/>
      <c r="TPW1" s="102"/>
      <c r="TPY1" s="101"/>
      <c r="TPZ1" s="100"/>
      <c r="TQA1" s="102"/>
      <c r="TQC1" s="101"/>
      <c r="TQD1" s="100"/>
      <c r="TQE1" s="102"/>
      <c r="TQG1" s="101"/>
      <c r="TQH1" s="100"/>
      <c r="TQI1" s="102"/>
      <c r="TQK1" s="101"/>
      <c r="TQL1" s="100"/>
      <c r="TQM1" s="102"/>
      <c r="TQO1" s="101"/>
      <c r="TQP1" s="100"/>
      <c r="TQQ1" s="102"/>
      <c r="TQS1" s="101"/>
      <c r="TQT1" s="100"/>
      <c r="TQU1" s="102"/>
      <c r="TQW1" s="101"/>
      <c r="TQX1" s="100"/>
      <c r="TQY1" s="102"/>
      <c r="TRA1" s="101"/>
      <c r="TRB1" s="100"/>
      <c r="TRC1" s="102"/>
      <c r="TRE1" s="101"/>
      <c r="TRF1" s="100"/>
      <c r="TRG1" s="102"/>
      <c r="TRI1" s="101"/>
      <c r="TRJ1" s="100"/>
      <c r="TRK1" s="102"/>
      <c r="TRM1" s="101"/>
      <c r="TRN1" s="100"/>
      <c r="TRO1" s="102"/>
      <c r="TRQ1" s="101"/>
      <c r="TRR1" s="100"/>
      <c r="TRS1" s="102"/>
      <c r="TRU1" s="101"/>
      <c r="TRV1" s="100"/>
      <c r="TRW1" s="102"/>
      <c r="TRY1" s="101"/>
      <c r="TRZ1" s="100"/>
      <c r="TSA1" s="102"/>
      <c r="TSC1" s="101"/>
      <c r="TSD1" s="100"/>
      <c r="TSE1" s="102"/>
      <c r="TSG1" s="101"/>
      <c r="TSH1" s="100"/>
      <c r="TSI1" s="102"/>
      <c r="TSK1" s="101"/>
      <c r="TSL1" s="100"/>
      <c r="TSM1" s="102"/>
      <c r="TSO1" s="101"/>
      <c r="TSP1" s="100"/>
      <c r="TSQ1" s="102"/>
      <c r="TSS1" s="101"/>
      <c r="TST1" s="100"/>
      <c r="TSU1" s="102"/>
      <c r="TSW1" s="101"/>
      <c r="TSX1" s="100"/>
      <c r="TSY1" s="102"/>
      <c r="TTA1" s="101"/>
      <c r="TTB1" s="100"/>
      <c r="TTC1" s="102"/>
      <c r="TTE1" s="101"/>
      <c r="TTF1" s="100"/>
      <c r="TTG1" s="102"/>
      <c r="TTI1" s="101"/>
      <c r="TTJ1" s="100"/>
      <c r="TTK1" s="102"/>
      <c r="TTM1" s="101"/>
      <c r="TTN1" s="100"/>
      <c r="TTO1" s="102"/>
      <c r="TTQ1" s="101"/>
      <c r="TTR1" s="100"/>
      <c r="TTS1" s="102"/>
      <c r="TTU1" s="101"/>
      <c r="TTV1" s="100"/>
      <c r="TTW1" s="102"/>
      <c r="TTY1" s="101"/>
      <c r="TTZ1" s="100"/>
      <c r="TUA1" s="102"/>
      <c r="TUC1" s="101"/>
      <c r="TUD1" s="100"/>
      <c r="TUE1" s="102"/>
      <c r="TUG1" s="101"/>
      <c r="TUH1" s="100"/>
      <c r="TUI1" s="102"/>
      <c r="TUK1" s="101"/>
      <c r="TUL1" s="100"/>
      <c r="TUM1" s="102"/>
      <c r="TUO1" s="101"/>
      <c r="TUP1" s="100"/>
      <c r="TUQ1" s="102"/>
      <c r="TUS1" s="101"/>
      <c r="TUT1" s="100"/>
      <c r="TUU1" s="102"/>
      <c r="TUW1" s="101"/>
      <c r="TUX1" s="100"/>
      <c r="TUY1" s="102"/>
      <c r="TVA1" s="101"/>
      <c r="TVB1" s="100"/>
      <c r="TVC1" s="102"/>
      <c r="TVE1" s="101"/>
      <c r="TVF1" s="100"/>
      <c r="TVG1" s="102"/>
      <c r="TVI1" s="101"/>
      <c r="TVJ1" s="100"/>
      <c r="TVK1" s="102"/>
      <c r="TVM1" s="101"/>
      <c r="TVN1" s="100"/>
      <c r="TVO1" s="102"/>
      <c r="TVQ1" s="101"/>
      <c r="TVR1" s="100"/>
      <c r="TVS1" s="102"/>
      <c r="TVU1" s="101"/>
      <c r="TVV1" s="100"/>
      <c r="TVW1" s="102"/>
      <c r="TVY1" s="101"/>
      <c r="TVZ1" s="100"/>
      <c r="TWA1" s="102"/>
      <c r="TWC1" s="101"/>
      <c r="TWD1" s="100"/>
      <c r="TWE1" s="102"/>
      <c r="TWG1" s="101"/>
      <c r="TWH1" s="100"/>
      <c r="TWI1" s="102"/>
      <c r="TWK1" s="101"/>
      <c r="TWL1" s="100"/>
      <c r="TWM1" s="102"/>
      <c r="TWO1" s="101"/>
      <c r="TWP1" s="100"/>
      <c r="TWQ1" s="102"/>
      <c r="TWS1" s="101"/>
      <c r="TWT1" s="100"/>
      <c r="TWU1" s="102"/>
      <c r="TWW1" s="101"/>
      <c r="TWX1" s="100"/>
      <c r="TWY1" s="102"/>
      <c r="TXA1" s="101"/>
      <c r="TXB1" s="100"/>
      <c r="TXC1" s="102"/>
      <c r="TXE1" s="101"/>
      <c r="TXF1" s="100"/>
      <c r="TXG1" s="102"/>
      <c r="TXI1" s="101"/>
      <c r="TXJ1" s="100"/>
      <c r="TXK1" s="102"/>
      <c r="TXM1" s="101"/>
      <c r="TXN1" s="100"/>
      <c r="TXO1" s="102"/>
      <c r="TXQ1" s="101"/>
      <c r="TXR1" s="100"/>
      <c r="TXS1" s="102"/>
      <c r="TXU1" s="101"/>
      <c r="TXV1" s="100"/>
      <c r="TXW1" s="102"/>
      <c r="TXY1" s="101"/>
      <c r="TXZ1" s="100"/>
      <c r="TYA1" s="102"/>
      <c r="TYC1" s="101"/>
      <c r="TYD1" s="100"/>
      <c r="TYE1" s="102"/>
      <c r="TYG1" s="101"/>
      <c r="TYH1" s="100"/>
      <c r="TYI1" s="102"/>
      <c r="TYK1" s="101"/>
      <c r="TYL1" s="100"/>
      <c r="TYM1" s="102"/>
      <c r="TYO1" s="101"/>
      <c r="TYP1" s="100"/>
      <c r="TYQ1" s="102"/>
      <c r="TYS1" s="101"/>
      <c r="TYT1" s="100"/>
      <c r="TYU1" s="102"/>
      <c r="TYW1" s="101"/>
      <c r="TYX1" s="100"/>
      <c r="TYY1" s="102"/>
      <c r="TZA1" s="101"/>
      <c r="TZB1" s="100"/>
      <c r="TZC1" s="102"/>
      <c r="TZE1" s="101"/>
      <c r="TZF1" s="100"/>
      <c r="TZG1" s="102"/>
      <c r="TZI1" s="101"/>
      <c r="TZJ1" s="100"/>
      <c r="TZK1" s="102"/>
      <c r="TZM1" s="101"/>
      <c r="TZN1" s="100"/>
      <c r="TZO1" s="102"/>
      <c r="TZQ1" s="101"/>
      <c r="TZR1" s="100"/>
      <c r="TZS1" s="102"/>
      <c r="TZU1" s="101"/>
      <c r="TZV1" s="100"/>
      <c r="TZW1" s="102"/>
      <c r="TZY1" s="101"/>
      <c r="TZZ1" s="100"/>
      <c r="UAA1" s="102"/>
      <c r="UAC1" s="101"/>
      <c r="UAD1" s="100"/>
      <c r="UAE1" s="102"/>
      <c r="UAG1" s="101"/>
      <c r="UAH1" s="100"/>
      <c r="UAI1" s="102"/>
      <c r="UAK1" s="101"/>
      <c r="UAL1" s="100"/>
      <c r="UAM1" s="102"/>
      <c r="UAO1" s="101"/>
      <c r="UAP1" s="100"/>
      <c r="UAQ1" s="102"/>
      <c r="UAS1" s="101"/>
      <c r="UAT1" s="100"/>
      <c r="UAU1" s="102"/>
      <c r="UAW1" s="101"/>
      <c r="UAX1" s="100"/>
      <c r="UAY1" s="102"/>
      <c r="UBA1" s="101"/>
      <c r="UBB1" s="100"/>
      <c r="UBC1" s="102"/>
      <c r="UBE1" s="101"/>
      <c r="UBF1" s="100"/>
      <c r="UBG1" s="102"/>
      <c r="UBI1" s="101"/>
      <c r="UBJ1" s="100"/>
      <c r="UBK1" s="102"/>
      <c r="UBM1" s="101"/>
      <c r="UBN1" s="100"/>
      <c r="UBO1" s="102"/>
      <c r="UBQ1" s="101"/>
      <c r="UBR1" s="100"/>
      <c r="UBS1" s="102"/>
      <c r="UBU1" s="101"/>
      <c r="UBV1" s="100"/>
      <c r="UBW1" s="102"/>
      <c r="UBY1" s="101"/>
      <c r="UBZ1" s="100"/>
      <c r="UCA1" s="102"/>
      <c r="UCC1" s="101"/>
      <c r="UCD1" s="100"/>
      <c r="UCE1" s="102"/>
      <c r="UCG1" s="101"/>
      <c r="UCH1" s="100"/>
      <c r="UCI1" s="102"/>
      <c r="UCK1" s="101"/>
      <c r="UCL1" s="100"/>
      <c r="UCM1" s="102"/>
      <c r="UCO1" s="101"/>
      <c r="UCP1" s="100"/>
      <c r="UCQ1" s="102"/>
      <c r="UCS1" s="101"/>
      <c r="UCT1" s="100"/>
      <c r="UCU1" s="102"/>
      <c r="UCW1" s="101"/>
      <c r="UCX1" s="100"/>
      <c r="UCY1" s="102"/>
      <c r="UDA1" s="101"/>
      <c r="UDB1" s="100"/>
      <c r="UDC1" s="102"/>
      <c r="UDE1" s="101"/>
      <c r="UDF1" s="100"/>
      <c r="UDG1" s="102"/>
      <c r="UDI1" s="101"/>
      <c r="UDJ1" s="100"/>
      <c r="UDK1" s="102"/>
      <c r="UDM1" s="101"/>
      <c r="UDN1" s="100"/>
      <c r="UDO1" s="102"/>
      <c r="UDQ1" s="101"/>
      <c r="UDR1" s="100"/>
      <c r="UDS1" s="102"/>
      <c r="UDU1" s="101"/>
      <c r="UDV1" s="100"/>
      <c r="UDW1" s="102"/>
      <c r="UDY1" s="101"/>
      <c r="UDZ1" s="100"/>
      <c r="UEA1" s="102"/>
      <c r="UEC1" s="101"/>
      <c r="UED1" s="100"/>
      <c r="UEE1" s="102"/>
      <c r="UEG1" s="101"/>
      <c r="UEH1" s="100"/>
      <c r="UEI1" s="102"/>
      <c r="UEK1" s="101"/>
      <c r="UEL1" s="100"/>
      <c r="UEM1" s="102"/>
      <c r="UEO1" s="101"/>
      <c r="UEP1" s="100"/>
      <c r="UEQ1" s="102"/>
      <c r="UES1" s="101"/>
      <c r="UET1" s="100"/>
      <c r="UEU1" s="102"/>
      <c r="UEW1" s="101"/>
      <c r="UEX1" s="100"/>
      <c r="UEY1" s="102"/>
      <c r="UFA1" s="101"/>
      <c r="UFB1" s="100"/>
      <c r="UFC1" s="102"/>
      <c r="UFE1" s="101"/>
      <c r="UFF1" s="100"/>
      <c r="UFG1" s="102"/>
      <c r="UFI1" s="101"/>
      <c r="UFJ1" s="100"/>
      <c r="UFK1" s="102"/>
      <c r="UFM1" s="101"/>
      <c r="UFN1" s="100"/>
      <c r="UFO1" s="102"/>
      <c r="UFQ1" s="101"/>
      <c r="UFR1" s="100"/>
      <c r="UFS1" s="102"/>
      <c r="UFU1" s="101"/>
      <c r="UFV1" s="100"/>
      <c r="UFW1" s="102"/>
      <c r="UFY1" s="101"/>
      <c r="UFZ1" s="100"/>
      <c r="UGA1" s="102"/>
      <c r="UGC1" s="101"/>
      <c r="UGD1" s="100"/>
      <c r="UGE1" s="102"/>
      <c r="UGG1" s="101"/>
      <c r="UGH1" s="100"/>
      <c r="UGI1" s="102"/>
      <c r="UGK1" s="101"/>
      <c r="UGL1" s="100"/>
      <c r="UGM1" s="102"/>
      <c r="UGO1" s="101"/>
      <c r="UGP1" s="100"/>
      <c r="UGQ1" s="102"/>
      <c r="UGS1" s="101"/>
      <c r="UGT1" s="100"/>
      <c r="UGU1" s="102"/>
      <c r="UGW1" s="101"/>
      <c r="UGX1" s="100"/>
      <c r="UGY1" s="102"/>
      <c r="UHA1" s="101"/>
      <c r="UHB1" s="100"/>
      <c r="UHC1" s="102"/>
      <c r="UHE1" s="101"/>
      <c r="UHF1" s="100"/>
      <c r="UHG1" s="102"/>
      <c r="UHI1" s="101"/>
      <c r="UHJ1" s="100"/>
      <c r="UHK1" s="102"/>
      <c r="UHM1" s="101"/>
      <c r="UHN1" s="100"/>
      <c r="UHO1" s="102"/>
      <c r="UHQ1" s="101"/>
      <c r="UHR1" s="100"/>
      <c r="UHS1" s="102"/>
      <c r="UHU1" s="101"/>
      <c r="UHV1" s="100"/>
      <c r="UHW1" s="102"/>
      <c r="UHY1" s="101"/>
      <c r="UHZ1" s="100"/>
      <c r="UIA1" s="102"/>
      <c r="UIC1" s="101"/>
      <c r="UID1" s="100"/>
      <c r="UIE1" s="102"/>
      <c r="UIG1" s="101"/>
      <c r="UIH1" s="100"/>
      <c r="UII1" s="102"/>
      <c r="UIK1" s="101"/>
      <c r="UIL1" s="100"/>
      <c r="UIM1" s="102"/>
      <c r="UIO1" s="101"/>
      <c r="UIP1" s="100"/>
      <c r="UIQ1" s="102"/>
      <c r="UIS1" s="101"/>
      <c r="UIT1" s="100"/>
      <c r="UIU1" s="102"/>
      <c r="UIW1" s="101"/>
      <c r="UIX1" s="100"/>
      <c r="UIY1" s="102"/>
      <c r="UJA1" s="101"/>
      <c r="UJB1" s="100"/>
      <c r="UJC1" s="102"/>
      <c r="UJE1" s="101"/>
      <c r="UJF1" s="100"/>
      <c r="UJG1" s="102"/>
      <c r="UJI1" s="101"/>
      <c r="UJJ1" s="100"/>
      <c r="UJK1" s="102"/>
      <c r="UJM1" s="101"/>
      <c r="UJN1" s="100"/>
      <c r="UJO1" s="102"/>
      <c r="UJQ1" s="101"/>
      <c r="UJR1" s="100"/>
      <c r="UJS1" s="102"/>
      <c r="UJU1" s="101"/>
      <c r="UJV1" s="100"/>
      <c r="UJW1" s="102"/>
      <c r="UJY1" s="101"/>
      <c r="UJZ1" s="100"/>
      <c r="UKA1" s="102"/>
      <c r="UKC1" s="101"/>
      <c r="UKD1" s="100"/>
      <c r="UKE1" s="102"/>
      <c r="UKG1" s="101"/>
      <c r="UKH1" s="100"/>
      <c r="UKI1" s="102"/>
      <c r="UKK1" s="101"/>
      <c r="UKL1" s="100"/>
      <c r="UKM1" s="102"/>
      <c r="UKO1" s="101"/>
      <c r="UKP1" s="100"/>
      <c r="UKQ1" s="102"/>
      <c r="UKS1" s="101"/>
      <c r="UKT1" s="100"/>
      <c r="UKU1" s="102"/>
      <c r="UKW1" s="101"/>
      <c r="UKX1" s="100"/>
      <c r="UKY1" s="102"/>
      <c r="ULA1" s="101"/>
      <c r="ULB1" s="100"/>
      <c r="ULC1" s="102"/>
      <c r="ULE1" s="101"/>
      <c r="ULF1" s="100"/>
      <c r="ULG1" s="102"/>
      <c r="ULI1" s="101"/>
      <c r="ULJ1" s="100"/>
      <c r="ULK1" s="102"/>
      <c r="ULM1" s="101"/>
      <c r="ULN1" s="100"/>
      <c r="ULO1" s="102"/>
      <c r="ULQ1" s="101"/>
      <c r="ULR1" s="100"/>
      <c r="ULS1" s="102"/>
      <c r="ULU1" s="101"/>
      <c r="ULV1" s="100"/>
      <c r="ULW1" s="102"/>
      <c r="ULY1" s="101"/>
      <c r="ULZ1" s="100"/>
      <c r="UMA1" s="102"/>
      <c r="UMC1" s="101"/>
      <c r="UMD1" s="100"/>
      <c r="UME1" s="102"/>
      <c r="UMG1" s="101"/>
      <c r="UMH1" s="100"/>
      <c r="UMI1" s="102"/>
      <c r="UMK1" s="101"/>
      <c r="UML1" s="100"/>
      <c r="UMM1" s="102"/>
      <c r="UMO1" s="101"/>
      <c r="UMP1" s="100"/>
      <c r="UMQ1" s="102"/>
      <c r="UMS1" s="101"/>
      <c r="UMT1" s="100"/>
      <c r="UMU1" s="102"/>
      <c r="UMW1" s="101"/>
      <c r="UMX1" s="100"/>
      <c r="UMY1" s="102"/>
      <c r="UNA1" s="101"/>
      <c r="UNB1" s="100"/>
      <c r="UNC1" s="102"/>
      <c r="UNE1" s="101"/>
      <c r="UNF1" s="100"/>
      <c r="UNG1" s="102"/>
      <c r="UNI1" s="101"/>
      <c r="UNJ1" s="100"/>
      <c r="UNK1" s="102"/>
      <c r="UNM1" s="101"/>
      <c r="UNN1" s="100"/>
      <c r="UNO1" s="102"/>
      <c r="UNQ1" s="101"/>
      <c r="UNR1" s="100"/>
      <c r="UNS1" s="102"/>
      <c r="UNU1" s="101"/>
      <c r="UNV1" s="100"/>
      <c r="UNW1" s="102"/>
      <c r="UNY1" s="101"/>
      <c r="UNZ1" s="100"/>
      <c r="UOA1" s="102"/>
      <c r="UOC1" s="101"/>
      <c r="UOD1" s="100"/>
      <c r="UOE1" s="102"/>
      <c r="UOG1" s="101"/>
      <c r="UOH1" s="100"/>
      <c r="UOI1" s="102"/>
      <c r="UOK1" s="101"/>
      <c r="UOL1" s="100"/>
      <c r="UOM1" s="102"/>
      <c r="UOO1" s="101"/>
      <c r="UOP1" s="100"/>
      <c r="UOQ1" s="102"/>
      <c r="UOS1" s="101"/>
      <c r="UOT1" s="100"/>
      <c r="UOU1" s="102"/>
      <c r="UOW1" s="101"/>
      <c r="UOX1" s="100"/>
      <c r="UOY1" s="102"/>
      <c r="UPA1" s="101"/>
      <c r="UPB1" s="100"/>
      <c r="UPC1" s="102"/>
      <c r="UPE1" s="101"/>
      <c r="UPF1" s="100"/>
      <c r="UPG1" s="102"/>
      <c r="UPI1" s="101"/>
      <c r="UPJ1" s="100"/>
      <c r="UPK1" s="102"/>
      <c r="UPM1" s="101"/>
      <c r="UPN1" s="100"/>
      <c r="UPO1" s="102"/>
      <c r="UPQ1" s="101"/>
      <c r="UPR1" s="100"/>
      <c r="UPS1" s="102"/>
      <c r="UPU1" s="101"/>
      <c r="UPV1" s="100"/>
      <c r="UPW1" s="102"/>
      <c r="UPY1" s="101"/>
      <c r="UPZ1" s="100"/>
      <c r="UQA1" s="102"/>
      <c r="UQC1" s="101"/>
      <c r="UQD1" s="100"/>
      <c r="UQE1" s="102"/>
      <c r="UQG1" s="101"/>
      <c r="UQH1" s="100"/>
      <c r="UQI1" s="102"/>
      <c r="UQK1" s="101"/>
      <c r="UQL1" s="100"/>
      <c r="UQM1" s="102"/>
      <c r="UQO1" s="101"/>
      <c r="UQP1" s="100"/>
      <c r="UQQ1" s="102"/>
      <c r="UQS1" s="101"/>
      <c r="UQT1" s="100"/>
      <c r="UQU1" s="102"/>
      <c r="UQW1" s="101"/>
      <c r="UQX1" s="100"/>
      <c r="UQY1" s="102"/>
      <c r="URA1" s="101"/>
      <c r="URB1" s="100"/>
      <c r="URC1" s="102"/>
      <c r="URE1" s="101"/>
      <c r="URF1" s="100"/>
      <c r="URG1" s="102"/>
      <c r="URI1" s="101"/>
      <c r="URJ1" s="100"/>
      <c r="URK1" s="102"/>
      <c r="URM1" s="101"/>
      <c r="URN1" s="100"/>
      <c r="URO1" s="102"/>
      <c r="URQ1" s="101"/>
      <c r="URR1" s="100"/>
      <c r="URS1" s="102"/>
      <c r="URU1" s="101"/>
      <c r="URV1" s="100"/>
      <c r="URW1" s="102"/>
      <c r="URY1" s="101"/>
      <c r="URZ1" s="100"/>
      <c r="USA1" s="102"/>
      <c r="USC1" s="101"/>
      <c r="USD1" s="100"/>
      <c r="USE1" s="102"/>
      <c r="USG1" s="101"/>
      <c r="USH1" s="100"/>
      <c r="USI1" s="102"/>
      <c r="USK1" s="101"/>
      <c r="USL1" s="100"/>
      <c r="USM1" s="102"/>
      <c r="USO1" s="101"/>
      <c r="USP1" s="100"/>
      <c r="USQ1" s="102"/>
      <c r="USS1" s="101"/>
      <c r="UST1" s="100"/>
      <c r="USU1" s="102"/>
      <c r="USW1" s="101"/>
      <c r="USX1" s="100"/>
      <c r="USY1" s="102"/>
      <c r="UTA1" s="101"/>
      <c r="UTB1" s="100"/>
      <c r="UTC1" s="102"/>
      <c r="UTE1" s="101"/>
      <c r="UTF1" s="100"/>
      <c r="UTG1" s="102"/>
      <c r="UTI1" s="101"/>
      <c r="UTJ1" s="100"/>
      <c r="UTK1" s="102"/>
      <c r="UTM1" s="101"/>
      <c r="UTN1" s="100"/>
      <c r="UTO1" s="102"/>
      <c r="UTQ1" s="101"/>
      <c r="UTR1" s="100"/>
      <c r="UTS1" s="102"/>
      <c r="UTU1" s="101"/>
      <c r="UTV1" s="100"/>
      <c r="UTW1" s="102"/>
      <c r="UTY1" s="101"/>
      <c r="UTZ1" s="100"/>
      <c r="UUA1" s="102"/>
      <c r="UUC1" s="101"/>
      <c r="UUD1" s="100"/>
      <c r="UUE1" s="102"/>
      <c r="UUG1" s="101"/>
      <c r="UUH1" s="100"/>
      <c r="UUI1" s="102"/>
      <c r="UUK1" s="101"/>
      <c r="UUL1" s="100"/>
      <c r="UUM1" s="102"/>
      <c r="UUO1" s="101"/>
      <c r="UUP1" s="100"/>
      <c r="UUQ1" s="102"/>
      <c r="UUS1" s="101"/>
      <c r="UUT1" s="100"/>
      <c r="UUU1" s="102"/>
      <c r="UUW1" s="101"/>
      <c r="UUX1" s="100"/>
      <c r="UUY1" s="102"/>
      <c r="UVA1" s="101"/>
      <c r="UVB1" s="100"/>
      <c r="UVC1" s="102"/>
      <c r="UVE1" s="101"/>
      <c r="UVF1" s="100"/>
      <c r="UVG1" s="102"/>
      <c r="UVI1" s="101"/>
      <c r="UVJ1" s="100"/>
      <c r="UVK1" s="102"/>
      <c r="UVM1" s="101"/>
      <c r="UVN1" s="100"/>
      <c r="UVO1" s="102"/>
      <c r="UVQ1" s="101"/>
      <c r="UVR1" s="100"/>
      <c r="UVS1" s="102"/>
      <c r="UVU1" s="101"/>
      <c r="UVV1" s="100"/>
      <c r="UVW1" s="102"/>
      <c r="UVY1" s="101"/>
      <c r="UVZ1" s="100"/>
      <c r="UWA1" s="102"/>
      <c r="UWC1" s="101"/>
      <c r="UWD1" s="100"/>
      <c r="UWE1" s="102"/>
      <c r="UWG1" s="101"/>
      <c r="UWH1" s="100"/>
      <c r="UWI1" s="102"/>
      <c r="UWK1" s="101"/>
      <c r="UWL1" s="100"/>
      <c r="UWM1" s="102"/>
      <c r="UWO1" s="101"/>
      <c r="UWP1" s="100"/>
      <c r="UWQ1" s="102"/>
      <c r="UWS1" s="101"/>
      <c r="UWT1" s="100"/>
      <c r="UWU1" s="102"/>
      <c r="UWW1" s="101"/>
      <c r="UWX1" s="100"/>
      <c r="UWY1" s="102"/>
      <c r="UXA1" s="101"/>
      <c r="UXB1" s="100"/>
      <c r="UXC1" s="102"/>
      <c r="UXE1" s="101"/>
      <c r="UXF1" s="100"/>
      <c r="UXG1" s="102"/>
      <c r="UXI1" s="101"/>
      <c r="UXJ1" s="100"/>
      <c r="UXK1" s="102"/>
      <c r="UXM1" s="101"/>
      <c r="UXN1" s="100"/>
      <c r="UXO1" s="102"/>
      <c r="UXQ1" s="101"/>
      <c r="UXR1" s="100"/>
      <c r="UXS1" s="102"/>
      <c r="UXU1" s="101"/>
      <c r="UXV1" s="100"/>
      <c r="UXW1" s="102"/>
      <c r="UXY1" s="101"/>
      <c r="UXZ1" s="100"/>
      <c r="UYA1" s="102"/>
      <c r="UYC1" s="101"/>
      <c r="UYD1" s="100"/>
      <c r="UYE1" s="102"/>
      <c r="UYG1" s="101"/>
      <c r="UYH1" s="100"/>
      <c r="UYI1" s="102"/>
      <c r="UYK1" s="101"/>
      <c r="UYL1" s="100"/>
      <c r="UYM1" s="102"/>
      <c r="UYO1" s="101"/>
      <c r="UYP1" s="100"/>
      <c r="UYQ1" s="102"/>
      <c r="UYS1" s="101"/>
      <c r="UYT1" s="100"/>
      <c r="UYU1" s="102"/>
      <c r="UYW1" s="101"/>
      <c r="UYX1" s="100"/>
      <c r="UYY1" s="102"/>
      <c r="UZA1" s="101"/>
      <c r="UZB1" s="100"/>
      <c r="UZC1" s="102"/>
      <c r="UZE1" s="101"/>
      <c r="UZF1" s="100"/>
      <c r="UZG1" s="102"/>
      <c r="UZI1" s="101"/>
      <c r="UZJ1" s="100"/>
      <c r="UZK1" s="102"/>
      <c r="UZM1" s="101"/>
      <c r="UZN1" s="100"/>
      <c r="UZO1" s="102"/>
      <c r="UZQ1" s="101"/>
      <c r="UZR1" s="100"/>
      <c r="UZS1" s="102"/>
      <c r="UZU1" s="101"/>
      <c r="UZV1" s="100"/>
      <c r="UZW1" s="102"/>
      <c r="UZY1" s="101"/>
      <c r="UZZ1" s="100"/>
      <c r="VAA1" s="102"/>
      <c r="VAC1" s="101"/>
      <c r="VAD1" s="100"/>
      <c r="VAE1" s="102"/>
      <c r="VAG1" s="101"/>
      <c r="VAH1" s="100"/>
      <c r="VAI1" s="102"/>
      <c r="VAK1" s="101"/>
      <c r="VAL1" s="100"/>
      <c r="VAM1" s="102"/>
      <c r="VAO1" s="101"/>
      <c r="VAP1" s="100"/>
      <c r="VAQ1" s="102"/>
      <c r="VAS1" s="101"/>
      <c r="VAT1" s="100"/>
      <c r="VAU1" s="102"/>
      <c r="VAW1" s="101"/>
      <c r="VAX1" s="100"/>
      <c r="VAY1" s="102"/>
      <c r="VBA1" s="101"/>
      <c r="VBB1" s="100"/>
      <c r="VBC1" s="102"/>
      <c r="VBE1" s="101"/>
      <c r="VBF1" s="100"/>
      <c r="VBG1" s="102"/>
      <c r="VBI1" s="101"/>
      <c r="VBJ1" s="100"/>
      <c r="VBK1" s="102"/>
      <c r="VBM1" s="101"/>
      <c r="VBN1" s="100"/>
      <c r="VBO1" s="102"/>
      <c r="VBQ1" s="101"/>
      <c r="VBR1" s="100"/>
      <c r="VBS1" s="102"/>
      <c r="VBU1" s="101"/>
      <c r="VBV1" s="100"/>
      <c r="VBW1" s="102"/>
      <c r="VBY1" s="101"/>
      <c r="VBZ1" s="100"/>
      <c r="VCA1" s="102"/>
      <c r="VCC1" s="101"/>
      <c r="VCD1" s="100"/>
      <c r="VCE1" s="102"/>
      <c r="VCG1" s="101"/>
      <c r="VCH1" s="100"/>
      <c r="VCI1" s="102"/>
      <c r="VCK1" s="101"/>
      <c r="VCL1" s="100"/>
      <c r="VCM1" s="102"/>
      <c r="VCO1" s="101"/>
      <c r="VCP1" s="100"/>
      <c r="VCQ1" s="102"/>
      <c r="VCS1" s="101"/>
      <c r="VCT1" s="100"/>
      <c r="VCU1" s="102"/>
      <c r="VCW1" s="101"/>
      <c r="VCX1" s="100"/>
      <c r="VCY1" s="102"/>
      <c r="VDA1" s="101"/>
      <c r="VDB1" s="100"/>
      <c r="VDC1" s="102"/>
      <c r="VDE1" s="101"/>
      <c r="VDF1" s="100"/>
      <c r="VDG1" s="102"/>
      <c r="VDI1" s="101"/>
      <c r="VDJ1" s="100"/>
      <c r="VDK1" s="102"/>
      <c r="VDM1" s="101"/>
      <c r="VDN1" s="100"/>
      <c r="VDO1" s="102"/>
      <c r="VDQ1" s="101"/>
      <c r="VDR1" s="100"/>
      <c r="VDS1" s="102"/>
      <c r="VDU1" s="101"/>
      <c r="VDV1" s="100"/>
      <c r="VDW1" s="102"/>
      <c r="VDY1" s="101"/>
      <c r="VDZ1" s="100"/>
      <c r="VEA1" s="102"/>
      <c r="VEC1" s="101"/>
      <c r="VED1" s="100"/>
      <c r="VEE1" s="102"/>
      <c r="VEG1" s="101"/>
      <c r="VEH1" s="100"/>
      <c r="VEI1" s="102"/>
      <c r="VEK1" s="101"/>
      <c r="VEL1" s="100"/>
      <c r="VEM1" s="102"/>
      <c r="VEO1" s="101"/>
      <c r="VEP1" s="100"/>
      <c r="VEQ1" s="102"/>
      <c r="VES1" s="101"/>
      <c r="VET1" s="100"/>
      <c r="VEU1" s="102"/>
      <c r="VEW1" s="101"/>
      <c r="VEX1" s="100"/>
      <c r="VEY1" s="102"/>
      <c r="VFA1" s="101"/>
      <c r="VFB1" s="100"/>
      <c r="VFC1" s="102"/>
      <c r="VFE1" s="101"/>
      <c r="VFF1" s="100"/>
      <c r="VFG1" s="102"/>
      <c r="VFI1" s="101"/>
      <c r="VFJ1" s="100"/>
      <c r="VFK1" s="102"/>
      <c r="VFM1" s="101"/>
      <c r="VFN1" s="100"/>
      <c r="VFO1" s="102"/>
      <c r="VFQ1" s="101"/>
      <c r="VFR1" s="100"/>
      <c r="VFS1" s="102"/>
      <c r="VFU1" s="101"/>
      <c r="VFV1" s="100"/>
      <c r="VFW1" s="102"/>
      <c r="VFY1" s="101"/>
      <c r="VFZ1" s="100"/>
      <c r="VGA1" s="102"/>
      <c r="VGC1" s="101"/>
      <c r="VGD1" s="100"/>
      <c r="VGE1" s="102"/>
      <c r="VGG1" s="101"/>
      <c r="VGH1" s="100"/>
      <c r="VGI1" s="102"/>
      <c r="VGK1" s="101"/>
      <c r="VGL1" s="100"/>
      <c r="VGM1" s="102"/>
      <c r="VGO1" s="101"/>
      <c r="VGP1" s="100"/>
      <c r="VGQ1" s="102"/>
      <c r="VGS1" s="101"/>
      <c r="VGT1" s="100"/>
      <c r="VGU1" s="102"/>
      <c r="VGW1" s="101"/>
      <c r="VGX1" s="100"/>
      <c r="VGY1" s="102"/>
      <c r="VHA1" s="101"/>
      <c r="VHB1" s="100"/>
      <c r="VHC1" s="102"/>
      <c r="VHE1" s="101"/>
      <c r="VHF1" s="100"/>
      <c r="VHG1" s="102"/>
      <c r="VHI1" s="101"/>
      <c r="VHJ1" s="100"/>
      <c r="VHK1" s="102"/>
      <c r="VHM1" s="101"/>
      <c r="VHN1" s="100"/>
      <c r="VHO1" s="102"/>
      <c r="VHQ1" s="101"/>
      <c r="VHR1" s="100"/>
      <c r="VHS1" s="102"/>
      <c r="VHU1" s="101"/>
      <c r="VHV1" s="100"/>
      <c r="VHW1" s="102"/>
      <c r="VHY1" s="101"/>
      <c r="VHZ1" s="100"/>
      <c r="VIA1" s="102"/>
      <c r="VIC1" s="101"/>
      <c r="VID1" s="100"/>
      <c r="VIE1" s="102"/>
      <c r="VIG1" s="101"/>
      <c r="VIH1" s="100"/>
      <c r="VII1" s="102"/>
      <c r="VIK1" s="101"/>
      <c r="VIL1" s="100"/>
      <c r="VIM1" s="102"/>
      <c r="VIO1" s="101"/>
      <c r="VIP1" s="100"/>
      <c r="VIQ1" s="102"/>
      <c r="VIS1" s="101"/>
      <c r="VIT1" s="100"/>
      <c r="VIU1" s="102"/>
      <c r="VIW1" s="101"/>
      <c r="VIX1" s="100"/>
      <c r="VIY1" s="102"/>
      <c r="VJA1" s="101"/>
      <c r="VJB1" s="100"/>
      <c r="VJC1" s="102"/>
      <c r="VJE1" s="101"/>
      <c r="VJF1" s="100"/>
      <c r="VJG1" s="102"/>
      <c r="VJI1" s="101"/>
      <c r="VJJ1" s="100"/>
      <c r="VJK1" s="102"/>
      <c r="VJM1" s="101"/>
      <c r="VJN1" s="100"/>
      <c r="VJO1" s="102"/>
      <c r="VJQ1" s="101"/>
      <c r="VJR1" s="100"/>
      <c r="VJS1" s="102"/>
      <c r="VJU1" s="101"/>
      <c r="VJV1" s="100"/>
      <c r="VJW1" s="102"/>
      <c r="VJY1" s="101"/>
      <c r="VJZ1" s="100"/>
      <c r="VKA1" s="102"/>
      <c r="VKC1" s="101"/>
      <c r="VKD1" s="100"/>
      <c r="VKE1" s="102"/>
      <c r="VKG1" s="101"/>
      <c r="VKH1" s="100"/>
      <c r="VKI1" s="102"/>
      <c r="VKK1" s="101"/>
      <c r="VKL1" s="100"/>
      <c r="VKM1" s="102"/>
      <c r="VKO1" s="101"/>
      <c r="VKP1" s="100"/>
      <c r="VKQ1" s="102"/>
      <c r="VKS1" s="101"/>
      <c r="VKT1" s="100"/>
      <c r="VKU1" s="102"/>
      <c r="VKW1" s="101"/>
      <c r="VKX1" s="100"/>
      <c r="VKY1" s="102"/>
      <c r="VLA1" s="101"/>
      <c r="VLB1" s="100"/>
      <c r="VLC1" s="102"/>
      <c r="VLE1" s="101"/>
      <c r="VLF1" s="100"/>
      <c r="VLG1" s="102"/>
      <c r="VLI1" s="101"/>
      <c r="VLJ1" s="100"/>
      <c r="VLK1" s="102"/>
      <c r="VLM1" s="101"/>
      <c r="VLN1" s="100"/>
      <c r="VLO1" s="102"/>
      <c r="VLQ1" s="101"/>
      <c r="VLR1" s="100"/>
      <c r="VLS1" s="102"/>
      <c r="VLU1" s="101"/>
      <c r="VLV1" s="100"/>
      <c r="VLW1" s="102"/>
      <c r="VLY1" s="101"/>
      <c r="VLZ1" s="100"/>
      <c r="VMA1" s="102"/>
      <c r="VMC1" s="101"/>
      <c r="VMD1" s="100"/>
      <c r="VME1" s="102"/>
      <c r="VMG1" s="101"/>
      <c r="VMH1" s="100"/>
      <c r="VMI1" s="102"/>
      <c r="VMK1" s="101"/>
      <c r="VML1" s="100"/>
      <c r="VMM1" s="102"/>
      <c r="VMO1" s="101"/>
      <c r="VMP1" s="100"/>
      <c r="VMQ1" s="102"/>
      <c r="VMS1" s="101"/>
      <c r="VMT1" s="100"/>
      <c r="VMU1" s="102"/>
      <c r="VMW1" s="101"/>
      <c r="VMX1" s="100"/>
      <c r="VMY1" s="102"/>
      <c r="VNA1" s="101"/>
      <c r="VNB1" s="100"/>
      <c r="VNC1" s="102"/>
      <c r="VNE1" s="101"/>
      <c r="VNF1" s="100"/>
      <c r="VNG1" s="102"/>
      <c r="VNI1" s="101"/>
      <c r="VNJ1" s="100"/>
      <c r="VNK1" s="102"/>
      <c r="VNM1" s="101"/>
      <c r="VNN1" s="100"/>
      <c r="VNO1" s="102"/>
      <c r="VNQ1" s="101"/>
      <c r="VNR1" s="100"/>
      <c r="VNS1" s="102"/>
      <c r="VNU1" s="101"/>
      <c r="VNV1" s="100"/>
      <c r="VNW1" s="102"/>
      <c r="VNY1" s="101"/>
      <c r="VNZ1" s="100"/>
      <c r="VOA1" s="102"/>
      <c r="VOC1" s="101"/>
      <c r="VOD1" s="100"/>
      <c r="VOE1" s="102"/>
      <c r="VOG1" s="101"/>
      <c r="VOH1" s="100"/>
      <c r="VOI1" s="102"/>
      <c r="VOK1" s="101"/>
      <c r="VOL1" s="100"/>
      <c r="VOM1" s="102"/>
      <c r="VOO1" s="101"/>
      <c r="VOP1" s="100"/>
      <c r="VOQ1" s="102"/>
      <c r="VOS1" s="101"/>
      <c r="VOT1" s="100"/>
      <c r="VOU1" s="102"/>
      <c r="VOW1" s="101"/>
      <c r="VOX1" s="100"/>
      <c r="VOY1" s="102"/>
      <c r="VPA1" s="101"/>
      <c r="VPB1" s="100"/>
      <c r="VPC1" s="102"/>
      <c r="VPE1" s="101"/>
      <c r="VPF1" s="100"/>
      <c r="VPG1" s="102"/>
      <c r="VPI1" s="101"/>
      <c r="VPJ1" s="100"/>
      <c r="VPK1" s="102"/>
      <c r="VPM1" s="101"/>
      <c r="VPN1" s="100"/>
      <c r="VPO1" s="102"/>
      <c r="VPQ1" s="101"/>
      <c r="VPR1" s="100"/>
      <c r="VPS1" s="102"/>
      <c r="VPU1" s="101"/>
      <c r="VPV1" s="100"/>
      <c r="VPW1" s="102"/>
      <c r="VPY1" s="101"/>
      <c r="VPZ1" s="100"/>
      <c r="VQA1" s="102"/>
      <c r="VQC1" s="101"/>
      <c r="VQD1" s="100"/>
      <c r="VQE1" s="102"/>
      <c r="VQG1" s="101"/>
      <c r="VQH1" s="100"/>
      <c r="VQI1" s="102"/>
      <c r="VQK1" s="101"/>
      <c r="VQL1" s="100"/>
      <c r="VQM1" s="102"/>
      <c r="VQO1" s="101"/>
      <c r="VQP1" s="100"/>
      <c r="VQQ1" s="102"/>
      <c r="VQS1" s="101"/>
      <c r="VQT1" s="100"/>
      <c r="VQU1" s="102"/>
      <c r="VQW1" s="101"/>
      <c r="VQX1" s="100"/>
      <c r="VQY1" s="102"/>
      <c r="VRA1" s="101"/>
      <c r="VRB1" s="100"/>
      <c r="VRC1" s="102"/>
      <c r="VRE1" s="101"/>
      <c r="VRF1" s="100"/>
      <c r="VRG1" s="102"/>
      <c r="VRI1" s="101"/>
      <c r="VRJ1" s="100"/>
      <c r="VRK1" s="102"/>
      <c r="VRM1" s="101"/>
      <c r="VRN1" s="100"/>
      <c r="VRO1" s="102"/>
      <c r="VRQ1" s="101"/>
      <c r="VRR1" s="100"/>
      <c r="VRS1" s="102"/>
      <c r="VRU1" s="101"/>
      <c r="VRV1" s="100"/>
      <c r="VRW1" s="102"/>
      <c r="VRY1" s="101"/>
      <c r="VRZ1" s="100"/>
      <c r="VSA1" s="102"/>
      <c r="VSC1" s="101"/>
      <c r="VSD1" s="100"/>
      <c r="VSE1" s="102"/>
      <c r="VSG1" s="101"/>
      <c r="VSH1" s="100"/>
      <c r="VSI1" s="102"/>
      <c r="VSK1" s="101"/>
      <c r="VSL1" s="100"/>
      <c r="VSM1" s="102"/>
      <c r="VSO1" s="101"/>
      <c r="VSP1" s="100"/>
      <c r="VSQ1" s="102"/>
      <c r="VSS1" s="101"/>
      <c r="VST1" s="100"/>
      <c r="VSU1" s="102"/>
      <c r="VSW1" s="101"/>
      <c r="VSX1" s="100"/>
      <c r="VSY1" s="102"/>
      <c r="VTA1" s="101"/>
      <c r="VTB1" s="100"/>
      <c r="VTC1" s="102"/>
      <c r="VTE1" s="101"/>
      <c r="VTF1" s="100"/>
      <c r="VTG1" s="102"/>
      <c r="VTI1" s="101"/>
      <c r="VTJ1" s="100"/>
      <c r="VTK1" s="102"/>
      <c r="VTM1" s="101"/>
      <c r="VTN1" s="100"/>
      <c r="VTO1" s="102"/>
      <c r="VTQ1" s="101"/>
      <c r="VTR1" s="100"/>
      <c r="VTS1" s="102"/>
      <c r="VTU1" s="101"/>
      <c r="VTV1" s="100"/>
      <c r="VTW1" s="102"/>
      <c r="VTY1" s="101"/>
      <c r="VTZ1" s="100"/>
      <c r="VUA1" s="102"/>
      <c r="VUC1" s="101"/>
      <c r="VUD1" s="100"/>
      <c r="VUE1" s="102"/>
      <c r="VUG1" s="101"/>
      <c r="VUH1" s="100"/>
      <c r="VUI1" s="102"/>
      <c r="VUK1" s="101"/>
      <c r="VUL1" s="100"/>
      <c r="VUM1" s="102"/>
      <c r="VUO1" s="101"/>
      <c r="VUP1" s="100"/>
      <c r="VUQ1" s="102"/>
      <c r="VUS1" s="101"/>
      <c r="VUT1" s="100"/>
      <c r="VUU1" s="102"/>
      <c r="VUW1" s="101"/>
      <c r="VUX1" s="100"/>
      <c r="VUY1" s="102"/>
      <c r="VVA1" s="101"/>
      <c r="VVB1" s="100"/>
      <c r="VVC1" s="102"/>
      <c r="VVE1" s="101"/>
      <c r="VVF1" s="100"/>
      <c r="VVG1" s="102"/>
      <c r="VVI1" s="101"/>
      <c r="VVJ1" s="100"/>
      <c r="VVK1" s="102"/>
      <c r="VVM1" s="101"/>
      <c r="VVN1" s="100"/>
      <c r="VVO1" s="102"/>
      <c r="VVQ1" s="101"/>
      <c r="VVR1" s="100"/>
      <c r="VVS1" s="102"/>
      <c r="VVU1" s="101"/>
      <c r="VVV1" s="100"/>
      <c r="VVW1" s="102"/>
      <c r="VVY1" s="101"/>
      <c r="VVZ1" s="100"/>
      <c r="VWA1" s="102"/>
      <c r="VWC1" s="101"/>
      <c r="VWD1" s="100"/>
      <c r="VWE1" s="102"/>
      <c r="VWG1" s="101"/>
      <c r="VWH1" s="100"/>
      <c r="VWI1" s="102"/>
      <c r="VWK1" s="101"/>
      <c r="VWL1" s="100"/>
      <c r="VWM1" s="102"/>
      <c r="VWO1" s="101"/>
      <c r="VWP1" s="100"/>
      <c r="VWQ1" s="102"/>
      <c r="VWS1" s="101"/>
      <c r="VWT1" s="100"/>
      <c r="VWU1" s="102"/>
      <c r="VWW1" s="101"/>
      <c r="VWX1" s="100"/>
      <c r="VWY1" s="102"/>
      <c r="VXA1" s="101"/>
      <c r="VXB1" s="100"/>
      <c r="VXC1" s="102"/>
      <c r="VXE1" s="101"/>
      <c r="VXF1" s="100"/>
      <c r="VXG1" s="102"/>
      <c r="VXI1" s="101"/>
      <c r="VXJ1" s="100"/>
      <c r="VXK1" s="102"/>
      <c r="VXM1" s="101"/>
      <c r="VXN1" s="100"/>
      <c r="VXO1" s="102"/>
      <c r="VXQ1" s="101"/>
      <c r="VXR1" s="100"/>
      <c r="VXS1" s="102"/>
      <c r="VXU1" s="101"/>
      <c r="VXV1" s="100"/>
      <c r="VXW1" s="102"/>
      <c r="VXY1" s="101"/>
      <c r="VXZ1" s="100"/>
      <c r="VYA1" s="102"/>
      <c r="VYC1" s="101"/>
      <c r="VYD1" s="100"/>
      <c r="VYE1" s="102"/>
      <c r="VYG1" s="101"/>
      <c r="VYH1" s="100"/>
      <c r="VYI1" s="102"/>
      <c r="VYK1" s="101"/>
      <c r="VYL1" s="100"/>
      <c r="VYM1" s="102"/>
      <c r="VYO1" s="101"/>
      <c r="VYP1" s="100"/>
      <c r="VYQ1" s="102"/>
      <c r="VYS1" s="101"/>
      <c r="VYT1" s="100"/>
      <c r="VYU1" s="102"/>
      <c r="VYW1" s="101"/>
      <c r="VYX1" s="100"/>
      <c r="VYY1" s="102"/>
      <c r="VZA1" s="101"/>
      <c r="VZB1" s="100"/>
      <c r="VZC1" s="102"/>
      <c r="VZE1" s="101"/>
      <c r="VZF1" s="100"/>
      <c r="VZG1" s="102"/>
      <c r="VZI1" s="101"/>
      <c r="VZJ1" s="100"/>
      <c r="VZK1" s="102"/>
      <c r="VZM1" s="101"/>
      <c r="VZN1" s="100"/>
      <c r="VZO1" s="102"/>
      <c r="VZQ1" s="101"/>
      <c r="VZR1" s="100"/>
      <c r="VZS1" s="102"/>
      <c r="VZU1" s="101"/>
      <c r="VZV1" s="100"/>
      <c r="VZW1" s="102"/>
      <c r="VZY1" s="101"/>
      <c r="VZZ1" s="100"/>
      <c r="WAA1" s="102"/>
      <c r="WAC1" s="101"/>
      <c r="WAD1" s="100"/>
      <c r="WAE1" s="102"/>
      <c r="WAG1" s="101"/>
      <c r="WAH1" s="100"/>
      <c r="WAI1" s="102"/>
      <c r="WAK1" s="101"/>
      <c r="WAL1" s="100"/>
      <c r="WAM1" s="102"/>
      <c r="WAO1" s="101"/>
      <c r="WAP1" s="100"/>
      <c r="WAQ1" s="102"/>
      <c r="WAS1" s="101"/>
      <c r="WAT1" s="100"/>
      <c r="WAU1" s="102"/>
      <c r="WAW1" s="101"/>
      <c r="WAX1" s="100"/>
      <c r="WAY1" s="102"/>
      <c r="WBA1" s="101"/>
      <c r="WBB1" s="100"/>
      <c r="WBC1" s="102"/>
      <c r="WBE1" s="101"/>
      <c r="WBF1" s="100"/>
      <c r="WBG1" s="102"/>
      <c r="WBI1" s="101"/>
      <c r="WBJ1" s="100"/>
      <c r="WBK1" s="102"/>
      <c r="WBM1" s="101"/>
      <c r="WBN1" s="100"/>
      <c r="WBO1" s="102"/>
      <c r="WBQ1" s="101"/>
      <c r="WBR1" s="100"/>
      <c r="WBS1" s="102"/>
      <c r="WBU1" s="101"/>
      <c r="WBV1" s="100"/>
      <c r="WBW1" s="102"/>
      <c r="WBY1" s="101"/>
      <c r="WBZ1" s="100"/>
      <c r="WCA1" s="102"/>
      <c r="WCC1" s="101"/>
      <c r="WCD1" s="100"/>
      <c r="WCE1" s="102"/>
      <c r="WCG1" s="101"/>
      <c r="WCH1" s="100"/>
      <c r="WCI1" s="102"/>
      <c r="WCK1" s="101"/>
      <c r="WCL1" s="100"/>
      <c r="WCM1" s="102"/>
      <c r="WCO1" s="101"/>
      <c r="WCP1" s="100"/>
      <c r="WCQ1" s="102"/>
      <c r="WCS1" s="101"/>
      <c r="WCT1" s="100"/>
      <c r="WCU1" s="102"/>
      <c r="WCW1" s="101"/>
      <c r="WCX1" s="100"/>
      <c r="WCY1" s="102"/>
      <c r="WDA1" s="101"/>
      <c r="WDB1" s="100"/>
      <c r="WDC1" s="102"/>
      <c r="WDE1" s="101"/>
      <c r="WDF1" s="100"/>
      <c r="WDG1" s="102"/>
      <c r="WDI1" s="101"/>
      <c r="WDJ1" s="100"/>
      <c r="WDK1" s="102"/>
      <c r="WDM1" s="101"/>
      <c r="WDN1" s="100"/>
      <c r="WDO1" s="102"/>
      <c r="WDQ1" s="101"/>
      <c r="WDR1" s="100"/>
      <c r="WDS1" s="102"/>
      <c r="WDU1" s="101"/>
      <c r="WDV1" s="100"/>
      <c r="WDW1" s="102"/>
      <c r="WDY1" s="101"/>
      <c r="WDZ1" s="100"/>
      <c r="WEA1" s="102"/>
      <c r="WEC1" s="101"/>
      <c r="WED1" s="100"/>
      <c r="WEE1" s="102"/>
      <c r="WEG1" s="101"/>
      <c r="WEH1" s="100"/>
      <c r="WEI1" s="102"/>
      <c r="WEK1" s="101"/>
      <c r="WEL1" s="100"/>
      <c r="WEM1" s="102"/>
      <c r="WEO1" s="101"/>
      <c r="WEP1" s="100"/>
      <c r="WEQ1" s="102"/>
      <c r="WES1" s="101"/>
      <c r="WET1" s="100"/>
      <c r="WEU1" s="102"/>
      <c r="WEW1" s="101"/>
      <c r="WEX1" s="100"/>
      <c r="WEY1" s="102"/>
      <c r="WFA1" s="101"/>
      <c r="WFB1" s="100"/>
      <c r="WFC1" s="102"/>
      <c r="WFE1" s="101"/>
      <c r="WFF1" s="100"/>
      <c r="WFG1" s="102"/>
      <c r="WFI1" s="101"/>
      <c r="WFJ1" s="100"/>
      <c r="WFK1" s="102"/>
      <c r="WFM1" s="101"/>
      <c r="WFN1" s="100"/>
      <c r="WFO1" s="102"/>
      <c r="WFQ1" s="101"/>
      <c r="WFR1" s="100"/>
      <c r="WFS1" s="102"/>
      <c r="WFU1" s="101"/>
      <c r="WFV1" s="100"/>
      <c r="WFW1" s="102"/>
      <c r="WFY1" s="101"/>
      <c r="WFZ1" s="100"/>
      <c r="WGA1" s="102"/>
      <c r="WGC1" s="101"/>
      <c r="WGD1" s="100"/>
      <c r="WGE1" s="102"/>
      <c r="WGG1" s="101"/>
      <c r="WGH1" s="100"/>
      <c r="WGI1" s="102"/>
      <c r="WGK1" s="101"/>
      <c r="WGL1" s="100"/>
      <c r="WGM1" s="102"/>
      <c r="WGO1" s="101"/>
      <c r="WGP1" s="100"/>
      <c r="WGQ1" s="102"/>
      <c r="WGS1" s="101"/>
      <c r="WGT1" s="100"/>
      <c r="WGU1" s="102"/>
      <c r="WGW1" s="101"/>
      <c r="WGX1" s="100"/>
      <c r="WGY1" s="102"/>
      <c r="WHA1" s="101"/>
      <c r="WHB1" s="100"/>
      <c r="WHC1" s="102"/>
      <c r="WHE1" s="101"/>
      <c r="WHF1" s="100"/>
      <c r="WHG1" s="102"/>
      <c r="WHI1" s="101"/>
      <c r="WHJ1" s="100"/>
      <c r="WHK1" s="102"/>
      <c r="WHM1" s="101"/>
      <c r="WHN1" s="100"/>
      <c r="WHO1" s="102"/>
      <c r="WHQ1" s="101"/>
      <c r="WHR1" s="100"/>
      <c r="WHS1" s="102"/>
      <c r="WHU1" s="101"/>
      <c r="WHV1" s="100"/>
      <c r="WHW1" s="102"/>
      <c r="WHY1" s="101"/>
      <c r="WHZ1" s="100"/>
      <c r="WIA1" s="102"/>
      <c r="WIC1" s="101"/>
      <c r="WID1" s="100"/>
      <c r="WIE1" s="102"/>
      <c r="WIG1" s="101"/>
      <c r="WIH1" s="100"/>
      <c r="WII1" s="102"/>
      <c r="WIK1" s="101"/>
      <c r="WIL1" s="100"/>
      <c r="WIM1" s="102"/>
      <c r="WIO1" s="101"/>
      <c r="WIP1" s="100"/>
      <c r="WIQ1" s="102"/>
      <c r="WIS1" s="101"/>
      <c r="WIT1" s="100"/>
      <c r="WIU1" s="102"/>
      <c r="WIW1" s="101"/>
      <c r="WIX1" s="100"/>
      <c r="WIY1" s="102"/>
      <c r="WJA1" s="101"/>
      <c r="WJB1" s="100"/>
      <c r="WJC1" s="102"/>
      <c r="WJE1" s="101"/>
      <c r="WJF1" s="100"/>
      <c r="WJG1" s="102"/>
      <c r="WJI1" s="101"/>
      <c r="WJJ1" s="100"/>
      <c r="WJK1" s="102"/>
      <c r="WJM1" s="101"/>
      <c r="WJN1" s="100"/>
      <c r="WJO1" s="102"/>
      <c r="WJQ1" s="101"/>
      <c r="WJR1" s="100"/>
      <c r="WJS1" s="102"/>
      <c r="WJU1" s="101"/>
      <c r="WJV1" s="100"/>
      <c r="WJW1" s="102"/>
      <c r="WJY1" s="101"/>
      <c r="WJZ1" s="100"/>
      <c r="WKA1" s="102"/>
      <c r="WKC1" s="101"/>
      <c r="WKD1" s="100"/>
      <c r="WKE1" s="102"/>
      <c r="WKG1" s="101"/>
      <c r="WKH1" s="100"/>
      <c r="WKI1" s="102"/>
      <c r="WKK1" s="101"/>
      <c r="WKL1" s="100"/>
      <c r="WKM1" s="102"/>
      <c r="WKO1" s="101"/>
      <c r="WKP1" s="100"/>
      <c r="WKQ1" s="102"/>
      <c r="WKS1" s="101"/>
      <c r="WKT1" s="100"/>
      <c r="WKU1" s="102"/>
      <c r="WKW1" s="101"/>
      <c r="WKX1" s="100"/>
      <c r="WKY1" s="102"/>
      <c r="WLA1" s="101"/>
      <c r="WLB1" s="100"/>
      <c r="WLC1" s="102"/>
      <c r="WLE1" s="101"/>
      <c r="WLF1" s="100"/>
      <c r="WLG1" s="102"/>
      <c r="WLI1" s="101"/>
      <c r="WLJ1" s="100"/>
      <c r="WLK1" s="102"/>
      <c r="WLM1" s="101"/>
      <c r="WLN1" s="100"/>
      <c r="WLO1" s="102"/>
      <c r="WLQ1" s="101"/>
      <c r="WLR1" s="100"/>
      <c r="WLS1" s="102"/>
      <c r="WLU1" s="101"/>
      <c r="WLV1" s="100"/>
      <c r="WLW1" s="102"/>
      <c r="WLY1" s="101"/>
      <c r="WLZ1" s="100"/>
      <c r="WMA1" s="102"/>
      <c r="WMC1" s="101"/>
      <c r="WMD1" s="100"/>
      <c r="WME1" s="102"/>
      <c r="WMG1" s="101"/>
      <c r="WMH1" s="100"/>
      <c r="WMI1" s="102"/>
      <c r="WMK1" s="101"/>
      <c r="WML1" s="100"/>
      <c r="WMM1" s="102"/>
      <c r="WMO1" s="101"/>
      <c r="WMP1" s="100"/>
      <c r="WMQ1" s="102"/>
      <c r="WMS1" s="101"/>
      <c r="WMT1" s="100"/>
      <c r="WMU1" s="102"/>
      <c r="WMW1" s="101"/>
      <c r="WMX1" s="100"/>
      <c r="WMY1" s="102"/>
      <c r="WNA1" s="101"/>
      <c r="WNB1" s="100"/>
      <c r="WNC1" s="102"/>
      <c r="WNE1" s="101"/>
      <c r="WNF1" s="100"/>
      <c r="WNG1" s="102"/>
      <c r="WNI1" s="101"/>
      <c r="WNJ1" s="100"/>
      <c r="WNK1" s="102"/>
      <c r="WNM1" s="101"/>
      <c r="WNN1" s="100"/>
      <c r="WNO1" s="102"/>
      <c r="WNQ1" s="101"/>
      <c r="WNR1" s="100"/>
      <c r="WNS1" s="102"/>
      <c r="WNU1" s="101"/>
      <c r="WNV1" s="100"/>
      <c r="WNW1" s="102"/>
      <c r="WNY1" s="101"/>
      <c r="WNZ1" s="100"/>
      <c r="WOA1" s="102"/>
      <c r="WOC1" s="101"/>
      <c r="WOD1" s="100"/>
      <c r="WOE1" s="102"/>
      <c r="WOG1" s="101"/>
      <c r="WOH1" s="100"/>
      <c r="WOI1" s="102"/>
      <c r="WOK1" s="101"/>
      <c r="WOL1" s="100"/>
      <c r="WOM1" s="102"/>
      <c r="WOO1" s="101"/>
      <c r="WOP1" s="100"/>
      <c r="WOQ1" s="102"/>
      <c r="WOS1" s="101"/>
      <c r="WOT1" s="100"/>
      <c r="WOU1" s="102"/>
      <c r="WOW1" s="101"/>
      <c r="WOX1" s="100"/>
      <c r="WOY1" s="102"/>
      <c r="WPA1" s="101"/>
      <c r="WPB1" s="100"/>
      <c r="WPC1" s="102"/>
      <c r="WPE1" s="101"/>
      <c r="WPF1" s="100"/>
      <c r="WPG1" s="102"/>
      <c r="WPI1" s="101"/>
      <c r="WPJ1" s="100"/>
      <c r="WPK1" s="102"/>
      <c r="WPM1" s="101"/>
      <c r="WPN1" s="100"/>
      <c r="WPO1" s="102"/>
      <c r="WPQ1" s="101"/>
      <c r="WPR1" s="100"/>
      <c r="WPS1" s="102"/>
      <c r="WPU1" s="101"/>
      <c r="WPV1" s="100"/>
      <c r="WPW1" s="102"/>
      <c r="WPY1" s="101"/>
      <c r="WPZ1" s="100"/>
      <c r="WQA1" s="102"/>
      <c r="WQC1" s="101"/>
      <c r="WQD1" s="100"/>
      <c r="WQE1" s="102"/>
      <c r="WQG1" s="101"/>
      <c r="WQH1" s="100"/>
      <c r="WQI1" s="102"/>
      <c r="WQK1" s="101"/>
      <c r="WQL1" s="100"/>
      <c r="WQM1" s="102"/>
      <c r="WQO1" s="101"/>
      <c r="WQP1" s="100"/>
      <c r="WQQ1" s="102"/>
      <c r="WQS1" s="101"/>
      <c r="WQT1" s="100"/>
      <c r="WQU1" s="102"/>
      <c r="WQW1" s="101"/>
      <c r="WQX1" s="100"/>
      <c r="WQY1" s="102"/>
      <c r="WRA1" s="101"/>
      <c r="WRB1" s="100"/>
      <c r="WRC1" s="102"/>
      <c r="WRE1" s="101"/>
      <c r="WRF1" s="100"/>
      <c r="WRG1" s="102"/>
      <c r="WRI1" s="101"/>
      <c r="WRJ1" s="100"/>
      <c r="WRK1" s="102"/>
      <c r="WRM1" s="101"/>
      <c r="WRN1" s="100"/>
      <c r="WRO1" s="102"/>
      <c r="WRQ1" s="101"/>
      <c r="WRR1" s="100"/>
      <c r="WRS1" s="102"/>
      <c r="WRU1" s="101"/>
      <c r="WRV1" s="100"/>
      <c r="WRW1" s="102"/>
      <c r="WRY1" s="101"/>
      <c r="WRZ1" s="100"/>
      <c r="WSA1" s="102"/>
      <c r="WSC1" s="101"/>
      <c r="WSD1" s="100"/>
      <c r="WSE1" s="102"/>
      <c r="WSG1" s="101"/>
      <c r="WSH1" s="100"/>
      <c r="WSI1" s="102"/>
      <c r="WSK1" s="101"/>
      <c r="WSL1" s="100"/>
      <c r="WSM1" s="102"/>
      <c r="WSO1" s="101"/>
      <c r="WSP1" s="100"/>
      <c r="WSQ1" s="102"/>
      <c r="WSS1" s="101"/>
      <c r="WST1" s="100"/>
      <c r="WSU1" s="102"/>
      <c r="WSW1" s="101"/>
      <c r="WSX1" s="100"/>
      <c r="WSY1" s="102"/>
      <c r="WTA1" s="101"/>
      <c r="WTB1" s="100"/>
      <c r="WTC1" s="102"/>
      <c r="WTE1" s="101"/>
      <c r="WTF1" s="100"/>
      <c r="WTG1" s="102"/>
      <c r="WTI1" s="101"/>
      <c r="WTJ1" s="100"/>
      <c r="WTK1" s="102"/>
      <c r="WTM1" s="101"/>
      <c r="WTN1" s="100"/>
      <c r="WTO1" s="102"/>
      <c r="WTQ1" s="101"/>
      <c r="WTR1" s="100"/>
      <c r="WTS1" s="102"/>
      <c r="WTU1" s="101"/>
      <c r="WTV1" s="100"/>
      <c r="WTW1" s="102"/>
      <c r="WTY1" s="101"/>
      <c r="WTZ1" s="100"/>
      <c r="WUA1" s="102"/>
      <c r="WUC1" s="101"/>
      <c r="WUD1" s="100"/>
      <c r="WUE1" s="102"/>
      <c r="WUG1" s="101"/>
      <c r="WUH1" s="100"/>
      <c r="WUI1" s="102"/>
      <c r="WUK1" s="101"/>
      <c r="WUL1" s="100"/>
      <c r="WUM1" s="102"/>
      <c r="WUO1" s="101"/>
      <c r="WUP1" s="100"/>
      <c r="WUQ1" s="102"/>
      <c r="WUS1" s="101"/>
      <c r="WUT1" s="100"/>
      <c r="WUU1" s="102"/>
      <c r="WUW1" s="101"/>
      <c r="WUX1" s="100"/>
      <c r="WUY1" s="102"/>
      <c r="WVA1" s="101"/>
      <c r="WVB1" s="100"/>
      <c r="WVC1" s="102"/>
      <c r="WVE1" s="101"/>
      <c r="WVF1" s="100"/>
      <c r="WVG1" s="102"/>
      <c r="WVI1" s="101"/>
      <c r="WVJ1" s="100"/>
      <c r="WVK1" s="102"/>
      <c r="WVM1" s="101"/>
      <c r="WVN1" s="100"/>
      <c r="WVO1" s="102"/>
      <c r="WVQ1" s="101"/>
      <c r="WVR1" s="100"/>
      <c r="WVS1" s="102"/>
      <c r="WVU1" s="101"/>
      <c r="WVV1" s="100"/>
      <c r="WVW1" s="102"/>
      <c r="WVY1" s="101"/>
      <c r="WVZ1" s="100"/>
      <c r="WWA1" s="102"/>
      <c r="WWC1" s="101"/>
      <c r="WWD1" s="100"/>
      <c r="WWE1" s="102"/>
      <c r="WWG1" s="101"/>
      <c r="WWH1" s="100"/>
      <c r="WWI1" s="102"/>
      <c r="WWK1" s="101"/>
      <c r="WWL1" s="100"/>
      <c r="WWM1" s="102"/>
      <c r="WWO1" s="101"/>
      <c r="WWP1" s="100"/>
      <c r="WWQ1" s="102"/>
      <c r="WWS1" s="101"/>
      <c r="WWT1" s="100"/>
      <c r="WWU1" s="102"/>
      <c r="WWW1" s="101"/>
      <c r="WWX1" s="100"/>
      <c r="WWY1" s="102"/>
      <c r="WXA1" s="101"/>
      <c r="WXB1" s="100"/>
      <c r="WXC1" s="102"/>
      <c r="WXE1" s="101"/>
      <c r="WXF1" s="100"/>
      <c r="WXG1" s="102"/>
      <c r="WXI1" s="101"/>
      <c r="WXJ1" s="100"/>
      <c r="WXK1" s="102"/>
      <c r="WXM1" s="101"/>
      <c r="WXN1" s="100"/>
      <c r="WXO1" s="102"/>
      <c r="WXQ1" s="101"/>
      <c r="WXR1" s="100"/>
      <c r="WXS1" s="102"/>
      <c r="WXU1" s="101"/>
      <c r="WXV1" s="100"/>
      <c r="WXW1" s="102"/>
      <c r="WXY1" s="101"/>
      <c r="WXZ1" s="100"/>
      <c r="WYA1" s="102"/>
      <c r="WYC1" s="101"/>
      <c r="WYD1" s="100"/>
      <c r="WYE1" s="102"/>
      <c r="WYG1" s="101"/>
      <c r="WYH1" s="100"/>
      <c r="WYI1" s="102"/>
      <c r="WYK1" s="101"/>
      <c r="WYL1" s="100"/>
      <c r="WYM1" s="102"/>
      <c r="WYO1" s="101"/>
      <c r="WYP1" s="100"/>
      <c r="WYQ1" s="102"/>
      <c r="WYS1" s="101"/>
      <c r="WYT1" s="100"/>
      <c r="WYU1" s="102"/>
      <c r="WYW1" s="101"/>
      <c r="WYX1" s="100"/>
      <c r="WYY1" s="102"/>
      <c r="WZA1" s="101"/>
      <c r="WZB1" s="100"/>
      <c r="WZC1" s="102"/>
      <c r="WZE1" s="101"/>
      <c r="WZF1" s="100"/>
      <c r="WZG1" s="102"/>
      <c r="WZI1" s="101"/>
      <c r="WZJ1" s="100"/>
      <c r="WZK1" s="102"/>
      <c r="WZM1" s="101"/>
      <c r="WZN1" s="100"/>
      <c r="WZO1" s="102"/>
      <c r="WZQ1" s="101"/>
      <c r="WZR1" s="100"/>
      <c r="WZS1" s="102"/>
      <c r="WZU1" s="101"/>
      <c r="WZV1" s="100"/>
      <c r="WZW1" s="102"/>
      <c r="WZY1" s="101"/>
      <c r="WZZ1" s="100"/>
      <c r="XAA1" s="102"/>
      <c r="XAC1" s="101"/>
      <c r="XAD1" s="100"/>
      <c r="XAE1" s="102"/>
      <c r="XAG1" s="101"/>
      <c r="XAH1" s="100"/>
      <c r="XAI1" s="102"/>
      <c r="XAK1" s="101"/>
      <c r="XAL1" s="100"/>
      <c r="XAM1" s="102"/>
      <c r="XAO1" s="101"/>
      <c r="XAP1" s="100"/>
      <c r="XAQ1" s="102"/>
      <c r="XAS1" s="101"/>
      <c r="XAT1" s="100"/>
      <c r="XAU1" s="102"/>
      <c r="XAW1" s="101"/>
      <c r="XAX1" s="100"/>
      <c r="XAY1" s="102"/>
      <c r="XBA1" s="101"/>
      <c r="XBB1" s="100"/>
      <c r="XBC1" s="102"/>
      <c r="XBE1" s="101"/>
      <c r="XBF1" s="100"/>
      <c r="XBG1" s="102"/>
      <c r="XBI1" s="101"/>
      <c r="XBJ1" s="100"/>
      <c r="XBK1" s="102"/>
      <c r="XBM1" s="101"/>
      <c r="XBN1" s="100"/>
      <c r="XBO1" s="102"/>
      <c r="XBQ1" s="101"/>
      <c r="XBR1" s="100"/>
      <c r="XBS1" s="102"/>
      <c r="XBU1" s="101"/>
      <c r="XBV1" s="100"/>
      <c r="XBW1" s="102"/>
      <c r="XBY1" s="101"/>
      <c r="XBZ1" s="100"/>
      <c r="XCA1" s="102"/>
      <c r="XCC1" s="101"/>
      <c r="XCD1" s="100"/>
      <c r="XCE1" s="102"/>
      <c r="XCG1" s="101"/>
      <c r="XCH1" s="100"/>
      <c r="XCI1" s="102"/>
      <c r="XCK1" s="101"/>
      <c r="XCL1" s="100"/>
      <c r="XCM1" s="102"/>
      <c r="XCO1" s="101"/>
      <c r="XCP1" s="100"/>
      <c r="XCQ1" s="102"/>
      <c r="XCS1" s="101"/>
      <c r="XCT1" s="100"/>
      <c r="XCU1" s="102"/>
      <c r="XCW1" s="101"/>
      <c r="XCX1" s="100"/>
      <c r="XCY1" s="102"/>
      <c r="XDA1" s="101"/>
      <c r="XDB1" s="100"/>
      <c r="XDC1" s="102"/>
      <c r="XDE1" s="101"/>
      <c r="XDF1" s="100"/>
      <c r="XDG1" s="102"/>
      <c r="XDI1" s="101"/>
      <c r="XDJ1" s="100"/>
      <c r="XDK1" s="102"/>
      <c r="XDM1" s="101"/>
      <c r="XDN1" s="100"/>
      <c r="XDO1" s="102"/>
      <c r="XDQ1" s="101"/>
      <c r="XDR1" s="100"/>
      <c r="XDS1" s="102"/>
      <c r="XDU1" s="101"/>
      <c r="XDV1" s="100"/>
      <c r="XDW1" s="102"/>
      <c r="XDY1" s="101"/>
      <c r="XDZ1" s="100"/>
      <c r="XEA1" s="102"/>
      <c r="XEC1" s="101"/>
      <c r="XED1" s="100"/>
      <c r="XEE1" s="102"/>
      <c r="XEG1" s="101"/>
      <c r="XEH1" s="100"/>
      <c r="XEI1" s="102"/>
      <c r="XEK1" s="101"/>
      <c r="XEL1" s="100"/>
      <c r="XEM1" s="102"/>
      <c r="XEO1" s="101"/>
      <c r="XEP1" s="100"/>
      <c r="XEQ1" s="102"/>
      <c r="XES1" s="101"/>
      <c r="XET1" s="100"/>
      <c r="XEU1" s="102"/>
      <c r="XEW1" s="101"/>
      <c r="XEX1" s="100"/>
      <c r="XEY1" s="102"/>
      <c r="XFA1" s="101"/>
      <c r="XFB1" s="100"/>
      <c r="XFC1" s="102"/>
    </row>
    <row r="2" spans="2:1023 1025:2047 2049:3071 3073:4095 4097:5119 5121:6143 6145:7167 7169:8191 8193:9215 9217:10239 10241:11263 11265:12287 12289:13311 13313:14335 14337:15359 15361:16383" x14ac:dyDescent="0.25">
      <c r="B2"/>
      <c r="C2" s="101"/>
      <c r="D2" s="100"/>
      <c r="E2" s="102"/>
      <c r="I2" s="101"/>
      <c r="J2" s="100"/>
      <c r="K2" s="100"/>
      <c r="L2" s="100"/>
      <c r="M2" s="101"/>
      <c r="N2" s="100"/>
      <c r="O2" s="102"/>
      <c r="Q2" s="101"/>
      <c r="R2" s="100"/>
      <c r="S2" s="102"/>
      <c r="U2" s="101"/>
      <c r="V2" s="100"/>
      <c r="W2" s="102"/>
      <c r="Y2" s="101"/>
      <c r="Z2" s="100"/>
      <c r="AA2" s="102"/>
      <c r="AC2" s="101"/>
      <c r="AD2" s="100"/>
      <c r="AE2" s="102"/>
      <c r="AG2" s="101"/>
      <c r="AH2" s="100"/>
      <c r="AI2" s="102"/>
      <c r="AK2" s="101"/>
      <c r="AL2" s="100"/>
      <c r="AM2" s="102"/>
      <c r="AO2" s="101"/>
      <c r="AP2" s="100"/>
      <c r="AQ2" s="102"/>
      <c r="AS2" s="101"/>
      <c r="AT2" s="100"/>
      <c r="AU2" s="102"/>
      <c r="AW2" s="101"/>
      <c r="AX2" s="100"/>
      <c r="AY2" s="102"/>
      <c r="BA2" s="101"/>
      <c r="BB2" s="100"/>
      <c r="BC2" s="102"/>
      <c r="BE2" s="101"/>
      <c r="BF2" s="100"/>
      <c r="BG2" s="102"/>
      <c r="BI2" s="101"/>
      <c r="BJ2" s="100"/>
      <c r="BK2" s="102"/>
      <c r="BM2" s="101"/>
      <c r="BN2" s="100"/>
      <c r="BO2" s="102"/>
      <c r="BQ2" s="101"/>
      <c r="BR2" s="100"/>
      <c r="BS2" s="102"/>
      <c r="BU2" s="101"/>
      <c r="BV2" s="100"/>
      <c r="BW2" s="102"/>
      <c r="BY2" s="101"/>
      <c r="BZ2" s="100"/>
      <c r="CA2" s="102"/>
      <c r="CC2" s="101"/>
      <c r="CD2" s="100"/>
      <c r="CE2" s="102"/>
      <c r="CG2" s="101"/>
      <c r="CH2" s="100"/>
      <c r="CI2" s="102"/>
      <c r="CK2" s="101"/>
      <c r="CL2" s="100"/>
      <c r="CM2" s="102"/>
      <c r="CO2" s="101"/>
      <c r="CP2" s="100"/>
      <c r="CQ2" s="102"/>
      <c r="CS2" s="101"/>
      <c r="CT2" s="100"/>
      <c r="CU2" s="102"/>
      <c r="CW2" s="101"/>
      <c r="CX2" s="100"/>
      <c r="CY2" s="102"/>
      <c r="DA2" s="101"/>
      <c r="DB2" s="100"/>
      <c r="DC2" s="102"/>
      <c r="DE2" s="101"/>
      <c r="DF2" s="100"/>
      <c r="DG2" s="102"/>
      <c r="DI2" s="101"/>
      <c r="DJ2" s="100"/>
      <c r="DK2" s="102"/>
      <c r="DM2" s="101"/>
      <c r="DN2" s="100"/>
      <c r="DO2" s="102"/>
      <c r="DQ2" s="101"/>
      <c r="DR2" s="100"/>
      <c r="DS2" s="102"/>
      <c r="DU2" s="101"/>
      <c r="DV2" s="100"/>
      <c r="DW2" s="102"/>
      <c r="DY2" s="101"/>
      <c r="DZ2" s="100"/>
      <c r="EA2" s="102"/>
      <c r="EC2" s="101"/>
      <c r="ED2" s="100"/>
      <c r="EE2" s="102"/>
      <c r="EG2" s="101"/>
      <c r="EH2" s="100"/>
      <c r="EI2" s="102"/>
      <c r="EK2" s="101"/>
      <c r="EL2" s="100"/>
      <c r="EM2" s="102"/>
      <c r="EO2" s="101"/>
      <c r="EP2" s="100"/>
      <c r="EQ2" s="102"/>
      <c r="ES2" s="101"/>
      <c r="ET2" s="100"/>
      <c r="EU2" s="102"/>
      <c r="EW2" s="101"/>
      <c r="EX2" s="100"/>
      <c r="EY2" s="102"/>
      <c r="FA2" s="101"/>
      <c r="FB2" s="100"/>
      <c r="FC2" s="102"/>
      <c r="FE2" s="101"/>
      <c r="FF2" s="100"/>
      <c r="FG2" s="102"/>
      <c r="FI2" s="101"/>
      <c r="FJ2" s="100"/>
      <c r="FK2" s="102"/>
      <c r="FM2" s="101"/>
      <c r="FN2" s="100"/>
      <c r="FO2" s="102"/>
      <c r="FQ2" s="101"/>
      <c r="FR2" s="100"/>
      <c r="FS2" s="102"/>
      <c r="FU2" s="101"/>
      <c r="FV2" s="100"/>
      <c r="FW2" s="102"/>
      <c r="FY2" s="101"/>
      <c r="FZ2" s="100"/>
      <c r="GA2" s="102"/>
      <c r="GC2" s="101"/>
      <c r="GD2" s="100"/>
      <c r="GE2" s="102"/>
      <c r="GG2" s="101"/>
      <c r="GH2" s="100"/>
      <c r="GI2" s="102"/>
      <c r="GK2" s="101"/>
      <c r="GL2" s="100"/>
      <c r="GM2" s="102"/>
      <c r="GO2" s="101"/>
      <c r="GP2" s="100"/>
      <c r="GQ2" s="102"/>
      <c r="GS2" s="101"/>
      <c r="GT2" s="100"/>
      <c r="GU2" s="102"/>
      <c r="GW2" s="101"/>
      <c r="GX2" s="100"/>
      <c r="GY2" s="102"/>
      <c r="HA2" s="101"/>
      <c r="HB2" s="100"/>
      <c r="HC2" s="102"/>
      <c r="HE2" s="101"/>
      <c r="HF2" s="100"/>
      <c r="HG2" s="102"/>
      <c r="HI2" s="101"/>
      <c r="HJ2" s="100"/>
      <c r="HK2" s="102"/>
      <c r="HM2" s="101"/>
      <c r="HN2" s="100"/>
      <c r="HO2" s="102"/>
      <c r="HQ2" s="101"/>
      <c r="HR2" s="100"/>
      <c r="HS2" s="102"/>
      <c r="HU2" s="101"/>
      <c r="HV2" s="100"/>
      <c r="HW2" s="102"/>
      <c r="HY2" s="101"/>
      <c r="HZ2" s="100"/>
      <c r="IA2" s="102"/>
      <c r="IC2" s="101"/>
      <c r="ID2" s="100"/>
      <c r="IE2" s="102"/>
      <c r="IG2" s="101"/>
      <c r="IH2" s="100"/>
      <c r="II2" s="102"/>
      <c r="IK2" s="101"/>
      <c r="IL2" s="100"/>
      <c r="IM2" s="102"/>
      <c r="IO2" s="101"/>
      <c r="IP2" s="100"/>
      <c r="IQ2" s="102"/>
      <c r="IS2" s="101"/>
      <c r="IT2" s="100"/>
      <c r="IU2" s="102"/>
      <c r="IW2" s="101"/>
      <c r="IX2" s="100"/>
      <c r="IY2" s="102"/>
      <c r="JA2" s="101"/>
      <c r="JB2" s="100"/>
      <c r="JC2" s="102"/>
      <c r="JE2" s="101"/>
      <c r="JF2" s="100"/>
      <c r="JG2" s="102"/>
      <c r="JI2" s="101"/>
      <c r="JJ2" s="100"/>
      <c r="JK2" s="102"/>
      <c r="JM2" s="101"/>
      <c r="JN2" s="100"/>
      <c r="JO2" s="102"/>
      <c r="JQ2" s="101"/>
      <c r="JR2" s="100"/>
      <c r="JS2" s="102"/>
      <c r="JU2" s="101"/>
      <c r="JV2" s="100"/>
      <c r="JW2" s="102"/>
      <c r="JY2" s="101"/>
      <c r="JZ2" s="100"/>
      <c r="KA2" s="102"/>
      <c r="KC2" s="101"/>
      <c r="KD2" s="100"/>
      <c r="KE2" s="102"/>
      <c r="KG2" s="101"/>
      <c r="KH2" s="100"/>
      <c r="KI2" s="102"/>
      <c r="KK2" s="101"/>
      <c r="KL2" s="100"/>
      <c r="KM2" s="102"/>
      <c r="KO2" s="101"/>
      <c r="KP2" s="100"/>
      <c r="KQ2" s="102"/>
      <c r="KS2" s="101"/>
      <c r="KT2" s="100"/>
      <c r="KU2" s="102"/>
      <c r="KW2" s="101"/>
      <c r="KX2" s="100"/>
      <c r="KY2" s="102"/>
      <c r="LA2" s="101"/>
      <c r="LB2" s="100"/>
      <c r="LC2" s="102"/>
      <c r="LE2" s="101"/>
      <c r="LF2" s="100"/>
      <c r="LG2" s="102"/>
      <c r="LI2" s="101"/>
      <c r="LJ2" s="100"/>
      <c r="LK2" s="102"/>
      <c r="LM2" s="101"/>
      <c r="LN2" s="100"/>
      <c r="LO2" s="102"/>
      <c r="LQ2" s="101"/>
      <c r="LR2" s="100"/>
      <c r="LS2" s="102"/>
      <c r="LU2" s="101"/>
      <c r="LV2" s="100"/>
      <c r="LW2" s="102"/>
      <c r="LY2" s="101"/>
      <c r="LZ2" s="100"/>
      <c r="MA2" s="102"/>
      <c r="MC2" s="101"/>
      <c r="MD2" s="100"/>
      <c r="ME2" s="102"/>
      <c r="MG2" s="101"/>
      <c r="MH2" s="100"/>
      <c r="MI2" s="102"/>
      <c r="MK2" s="101"/>
      <c r="ML2" s="100"/>
      <c r="MM2" s="102"/>
      <c r="MO2" s="101"/>
      <c r="MP2" s="100"/>
      <c r="MQ2" s="102"/>
      <c r="MS2" s="101"/>
      <c r="MT2" s="100"/>
      <c r="MU2" s="102"/>
      <c r="MW2" s="101"/>
      <c r="MX2" s="100"/>
      <c r="MY2" s="102"/>
      <c r="NA2" s="101"/>
      <c r="NB2" s="100"/>
      <c r="NC2" s="102"/>
      <c r="NE2" s="101"/>
      <c r="NF2" s="100"/>
      <c r="NG2" s="102"/>
      <c r="NI2" s="101"/>
      <c r="NJ2" s="100"/>
      <c r="NK2" s="102"/>
      <c r="NM2" s="101"/>
      <c r="NN2" s="100"/>
      <c r="NO2" s="102"/>
      <c r="NQ2" s="101"/>
      <c r="NR2" s="100"/>
      <c r="NS2" s="102"/>
      <c r="NU2" s="101"/>
      <c r="NV2" s="100"/>
      <c r="NW2" s="102"/>
      <c r="NY2" s="101"/>
      <c r="NZ2" s="100"/>
      <c r="OA2" s="102"/>
      <c r="OC2" s="101"/>
      <c r="OD2" s="100"/>
      <c r="OE2" s="102"/>
      <c r="OG2" s="101"/>
      <c r="OH2" s="100"/>
      <c r="OI2" s="102"/>
      <c r="OK2" s="101"/>
      <c r="OL2" s="100"/>
      <c r="OM2" s="102"/>
      <c r="OO2" s="101"/>
      <c r="OP2" s="100"/>
      <c r="OQ2" s="102"/>
      <c r="OS2" s="101"/>
      <c r="OT2" s="100"/>
      <c r="OU2" s="102"/>
      <c r="OW2" s="101"/>
      <c r="OX2" s="100"/>
      <c r="OY2" s="102"/>
      <c r="PA2" s="101"/>
      <c r="PB2" s="100"/>
      <c r="PC2" s="102"/>
      <c r="PE2" s="101"/>
      <c r="PF2" s="100"/>
      <c r="PG2" s="102"/>
      <c r="PI2" s="101"/>
      <c r="PJ2" s="100"/>
      <c r="PK2" s="102"/>
      <c r="PM2" s="101"/>
      <c r="PN2" s="100"/>
      <c r="PO2" s="102"/>
      <c r="PQ2" s="101"/>
      <c r="PR2" s="100"/>
      <c r="PS2" s="102"/>
      <c r="PU2" s="101"/>
      <c r="PV2" s="100"/>
      <c r="PW2" s="102"/>
      <c r="PY2" s="101"/>
      <c r="PZ2" s="100"/>
      <c r="QA2" s="102"/>
      <c r="QC2" s="101"/>
      <c r="QD2" s="100"/>
      <c r="QE2" s="102"/>
      <c r="QG2" s="101"/>
      <c r="QH2" s="100"/>
      <c r="QI2" s="102"/>
      <c r="QK2" s="101"/>
      <c r="QL2" s="100"/>
      <c r="QM2" s="102"/>
      <c r="QO2" s="101"/>
      <c r="QP2" s="100"/>
      <c r="QQ2" s="102"/>
      <c r="QS2" s="101"/>
      <c r="QT2" s="100"/>
      <c r="QU2" s="102"/>
      <c r="QW2" s="101"/>
      <c r="QX2" s="100"/>
      <c r="QY2" s="102"/>
      <c r="RA2" s="101"/>
      <c r="RB2" s="100"/>
      <c r="RC2" s="102"/>
      <c r="RE2" s="101"/>
      <c r="RF2" s="100"/>
      <c r="RG2" s="102"/>
      <c r="RI2" s="101"/>
      <c r="RJ2" s="100"/>
      <c r="RK2" s="102"/>
      <c r="RM2" s="101"/>
      <c r="RN2" s="100"/>
      <c r="RO2" s="102"/>
      <c r="RQ2" s="101"/>
      <c r="RR2" s="100"/>
      <c r="RS2" s="102"/>
      <c r="RU2" s="101"/>
      <c r="RV2" s="100"/>
      <c r="RW2" s="102"/>
      <c r="RY2" s="101"/>
      <c r="RZ2" s="100"/>
      <c r="SA2" s="102"/>
      <c r="SC2" s="101"/>
      <c r="SD2" s="100"/>
      <c r="SE2" s="102"/>
      <c r="SG2" s="101"/>
      <c r="SH2" s="100"/>
      <c r="SI2" s="102"/>
      <c r="SK2" s="101"/>
      <c r="SL2" s="100"/>
      <c r="SM2" s="102"/>
      <c r="SO2" s="101"/>
      <c r="SP2" s="100"/>
      <c r="SQ2" s="102"/>
      <c r="SS2" s="101"/>
      <c r="ST2" s="100"/>
      <c r="SU2" s="102"/>
      <c r="SW2" s="101"/>
      <c r="SX2" s="100"/>
      <c r="SY2" s="102"/>
      <c r="TA2" s="101"/>
      <c r="TB2" s="100"/>
      <c r="TC2" s="102"/>
      <c r="TE2" s="101"/>
      <c r="TF2" s="100"/>
      <c r="TG2" s="102"/>
      <c r="TI2" s="101"/>
      <c r="TJ2" s="100"/>
      <c r="TK2" s="102"/>
      <c r="TM2" s="101"/>
      <c r="TN2" s="100"/>
      <c r="TO2" s="102"/>
      <c r="TQ2" s="101"/>
      <c r="TR2" s="100"/>
      <c r="TS2" s="102"/>
      <c r="TU2" s="101"/>
      <c r="TV2" s="100"/>
      <c r="TW2" s="102"/>
      <c r="TY2" s="101"/>
      <c r="TZ2" s="100"/>
      <c r="UA2" s="102"/>
      <c r="UC2" s="101"/>
      <c r="UD2" s="100"/>
      <c r="UE2" s="102"/>
      <c r="UG2" s="101"/>
      <c r="UH2" s="100"/>
      <c r="UI2" s="102"/>
      <c r="UK2" s="101"/>
      <c r="UL2" s="100"/>
      <c r="UM2" s="102"/>
      <c r="UO2" s="101"/>
      <c r="UP2" s="100"/>
      <c r="UQ2" s="102"/>
      <c r="US2" s="101"/>
      <c r="UT2" s="100"/>
      <c r="UU2" s="102"/>
      <c r="UW2" s="101"/>
      <c r="UX2" s="100"/>
      <c r="UY2" s="102"/>
      <c r="VA2" s="101"/>
      <c r="VB2" s="100"/>
      <c r="VC2" s="102"/>
      <c r="VE2" s="101"/>
      <c r="VF2" s="100"/>
      <c r="VG2" s="102"/>
      <c r="VI2" s="101"/>
      <c r="VJ2" s="100"/>
      <c r="VK2" s="102"/>
      <c r="VM2" s="101"/>
      <c r="VN2" s="100"/>
      <c r="VO2" s="102"/>
      <c r="VQ2" s="101"/>
      <c r="VR2" s="100"/>
      <c r="VS2" s="102"/>
      <c r="VU2" s="101"/>
      <c r="VV2" s="100"/>
      <c r="VW2" s="102"/>
      <c r="VY2" s="101"/>
      <c r="VZ2" s="100"/>
      <c r="WA2" s="102"/>
      <c r="WC2" s="101"/>
      <c r="WD2" s="100"/>
      <c r="WE2" s="102"/>
      <c r="WG2" s="101"/>
      <c r="WH2" s="100"/>
      <c r="WI2" s="102"/>
      <c r="WK2" s="101"/>
      <c r="WL2" s="100"/>
      <c r="WM2" s="102"/>
      <c r="WO2" s="101"/>
      <c r="WP2" s="100"/>
      <c r="WQ2" s="102"/>
      <c r="WS2" s="101"/>
      <c r="WT2" s="100"/>
      <c r="WU2" s="102"/>
      <c r="WW2" s="101"/>
      <c r="WX2" s="100"/>
      <c r="WY2" s="102"/>
      <c r="XA2" s="101"/>
      <c r="XB2" s="100"/>
      <c r="XC2" s="102"/>
      <c r="XE2" s="101"/>
      <c r="XF2" s="100"/>
      <c r="XG2" s="102"/>
      <c r="XI2" s="101"/>
      <c r="XJ2" s="100"/>
      <c r="XK2" s="102"/>
      <c r="XM2" s="101"/>
      <c r="XN2" s="100"/>
      <c r="XO2" s="102"/>
      <c r="XQ2" s="101"/>
      <c r="XR2" s="100"/>
      <c r="XS2" s="102"/>
      <c r="XU2" s="101"/>
      <c r="XV2" s="100"/>
      <c r="XW2" s="102"/>
      <c r="XY2" s="101"/>
      <c r="XZ2" s="100"/>
      <c r="YA2" s="102"/>
      <c r="YC2" s="101"/>
      <c r="YD2" s="100"/>
      <c r="YE2" s="102"/>
      <c r="YG2" s="101"/>
      <c r="YH2" s="100"/>
      <c r="YI2" s="102"/>
      <c r="YK2" s="101"/>
      <c r="YL2" s="100"/>
      <c r="YM2" s="102"/>
      <c r="YO2" s="101"/>
      <c r="YP2" s="100"/>
      <c r="YQ2" s="102"/>
      <c r="YS2" s="101"/>
      <c r="YT2" s="100"/>
      <c r="YU2" s="102"/>
      <c r="YW2" s="101"/>
      <c r="YX2" s="100"/>
      <c r="YY2" s="102"/>
      <c r="ZA2" s="101"/>
      <c r="ZB2" s="100"/>
      <c r="ZC2" s="102"/>
      <c r="ZE2" s="101"/>
      <c r="ZF2" s="100"/>
      <c r="ZG2" s="102"/>
      <c r="ZI2" s="101"/>
      <c r="ZJ2" s="100"/>
      <c r="ZK2" s="102"/>
      <c r="ZM2" s="101"/>
      <c r="ZN2" s="100"/>
      <c r="ZO2" s="102"/>
      <c r="ZQ2" s="101"/>
      <c r="ZR2" s="100"/>
      <c r="ZS2" s="102"/>
      <c r="ZU2" s="101"/>
      <c r="ZV2" s="100"/>
      <c r="ZW2" s="102"/>
      <c r="ZY2" s="101"/>
      <c r="ZZ2" s="100"/>
      <c r="AAA2" s="102"/>
      <c r="AAC2" s="101"/>
      <c r="AAD2" s="100"/>
      <c r="AAE2" s="102"/>
      <c r="AAG2" s="101"/>
      <c r="AAH2" s="100"/>
      <c r="AAI2" s="102"/>
      <c r="AAK2" s="101"/>
      <c r="AAL2" s="100"/>
      <c r="AAM2" s="102"/>
      <c r="AAO2" s="101"/>
      <c r="AAP2" s="100"/>
      <c r="AAQ2" s="102"/>
      <c r="AAS2" s="101"/>
      <c r="AAT2" s="100"/>
      <c r="AAU2" s="102"/>
      <c r="AAW2" s="101"/>
      <c r="AAX2" s="100"/>
      <c r="AAY2" s="102"/>
      <c r="ABA2" s="101"/>
      <c r="ABB2" s="100"/>
      <c r="ABC2" s="102"/>
      <c r="ABE2" s="101"/>
      <c r="ABF2" s="100"/>
      <c r="ABG2" s="102"/>
      <c r="ABI2" s="101"/>
      <c r="ABJ2" s="100"/>
      <c r="ABK2" s="102"/>
      <c r="ABM2" s="101"/>
      <c r="ABN2" s="100"/>
      <c r="ABO2" s="102"/>
      <c r="ABQ2" s="101"/>
      <c r="ABR2" s="100"/>
      <c r="ABS2" s="102"/>
      <c r="ABU2" s="101"/>
      <c r="ABV2" s="100"/>
      <c r="ABW2" s="102"/>
      <c r="ABY2" s="101"/>
      <c r="ABZ2" s="100"/>
      <c r="ACA2" s="102"/>
      <c r="ACC2" s="101"/>
      <c r="ACD2" s="100"/>
      <c r="ACE2" s="102"/>
      <c r="ACG2" s="101"/>
      <c r="ACH2" s="100"/>
      <c r="ACI2" s="102"/>
      <c r="ACK2" s="101"/>
      <c r="ACL2" s="100"/>
      <c r="ACM2" s="102"/>
      <c r="ACO2" s="101"/>
      <c r="ACP2" s="100"/>
      <c r="ACQ2" s="102"/>
      <c r="ACS2" s="101"/>
      <c r="ACT2" s="100"/>
      <c r="ACU2" s="102"/>
      <c r="ACW2" s="101"/>
      <c r="ACX2" s="100"/>
      <c r="ACY2" s="102"/>
      <c r="ADA2" s="101"/>
      <c r="ADB2" s="100"/>
      <c r="ADC2" s="102"/>
      <c r="ADE2" s="101"/>
      <c r="ADF2" s="100"/>
      <c r="ADG2" s="102"/>
      <c r="ADI2" s="101"/>
      <c r="ADJ2" s="100"/>
      <c r="ADK2" s="102"/>
      <c r="ADM2" s="101"/>
      <c r="ADN2" s="100"/>
      <c r="ADO2" s="102"/>
      <c r="ADQ2" s="101"/>
      <c r="ADR2" s="100"/>
      <c r="ADS2" s="102"/>
      <c r="ADU2" s="101"/>
      <c r="ADV2" s="100"/>
      <c r="ADW2" s="102"/>
      <c r="ADY2" s="101"/>
      <c r="ADZ2" s="100"/>
      <c r="AEA2" s="102"/>
      <c r="AEC2" s="101"/>
      <c r="AED2" s="100"/>
      <c r="AEE2" s="102"/>
      <c r="AEG2" s="101"/>
      <c r="AEH2" s="100"/>
      <c r="AEI2" s="102"/>
      <c r="AEK2" s="101"/>
      <c r="AEL2" s="100"/>
      <c r="AEM2" s="102"/>
      <c r="AEO2" s="101"/>
      <c r="AEP2" s="100"/>
      <c r="AEQ2" s="102"/>
      <c r="AES2" s="101"/>
      <c r="AET2" s="100"/>
      <c r="AEU2" s="102"/>
      <c r="AEW2" s="101"/>
      <c r="AEX2" s="100"/>
      <c r="AEY2" s="102"/>
      <c r="AFA2" s="101"/>
      <c r="AFB2" s="100"/>
      <c r="AFC2" s="102"/>
      <c r="AFE2" s="101"/>
      <c r="AFF2" s="100"/>
      <c r="AFG2" s="102"/>
      <c r="AFI2" s="101"/>
      <c r="AFJ2" s="100"/>
      <c r="AFK2" s="102"/>
      <c r="AFM2" s="101"/>
      <c r="AFN2" s="100"/>
      <c r="AFO2" s="102"/>
      <c r="AFQ2" s="101"/>
      <c r="AFR2" s="100"/>
      <c r="AFS2" s="102"/>
      <c r="AFU2" s="101"/>
      <c r="AFV2" s="100"/>
      <c r="AFW2" s="102"/>
      <c r="AFY2" s="101"/>
      <c r="AFZ2" s="100"/>
      <c r="AGA2" s="102"/>
      <c r="AGC2" s="101"/>
      <c r="AGD2" s="100"/>
      <c r="AGE2" s="102"/>
      <c r="AGG2" s="101"/>
      <c r="AGH2" s="100"/>
      <c r="AGI2" s="102"/>
      <c r="AGK2" s="101"/>
      <c r="AGL2" s="100"/>
      <c r="AGM2" s="102"/>
      <c r="AGO2" s="101"/>
      <c r="AGP2" s="100"/>
      <c r="AGQ2" s="102"/>
      <c r="AGS2" s="101"/>
      <c r="AGT2" s="100"/>
      <c r="AGU2" s="102"/>
      <c r="AGW2" s="101"/>
      <c r="AGX2" s="100"/>
      <c r="AGY2" s="102"/>
      <c r="AHA2" s="101"/>
      <c r="AHB2" s="100"/>
      <c r="AHC2" s="102"/>
      <c r="AHE2" s="101"/>
      <c r="AHF2" s="100"/>
      <c r="AHG2" s="102"/>
      <c r="AHI2" s="101"/>
      <c r="AHJ2" s="100"/>
      <c r="AHK2" s="102"/>
      <c r="AHM2" s="101"/>
      <c r="AHN2" s="100"/>
      <c r="AHO2" s="102"/>
      <c r="AHQ2" s="101"/>
      <c r="AHR2" s="100"/>
      <c r="AHS2" s="102"/>
      <c r="AHU2" s="101"/>
      <c r="AHV2" s="100"/>
      <c r="AHW2" s="102"/>
      <c r="AHY2" s="101"/>
      <c r="AHZ2" s="100"/>
      <c r="AIA2" s="102"/>
      <c r="AIC2" s="101"/>
      <c r="AID2" s="100"/>
      <c r="AIE2" s="102"/>
      <c r="AIG2" s="101"/>
      <c r="AIH2" s="100"/>
      <c r="AII2" s="102"/>
      <c r="AIK2" s="101"/>
      <c r="AIL2" s="100"/>
      <c r="AIM2" s="102"/>
      <c r="AIO2" s="101"/>
      <c r="AIP2" s="100"/>
      <c r="AIQ2" s="102"/>
      <c r="AIS2" s="101"/>
      <c r="AIT2" s="100"/>
      <c r="AIU2" s="102"/>
      <c r="AIW2" s="101"/>
      <c r="AIX2" s="100"/>
      <c r="AIY2" s="102"/>
      <c r="AJA2" s="101"/>
      <c r="AJB2" s="100"/>
      <c r="AJC2" s="102"/>
      <c r="AJE2" s="101"/>
      <c r="AJF2" s="100"/>
      <c r="AJG2" s="102"/>
      <c r="AJI2" s="101"/>
      <c r="AJJ2" s="100"/>
      <c r="AJK2" s="102"/>
      <c r="AJM2" s="101"/>
      <c r="AJN2" s="100"/>
      <c r="AJO2" s="102"/>
      <c r="AJQ2" s="101"/>
      <c r="AJR2" s="100"/>
      <c r="AJS2" s="102"/>
      <c r="AJU2" s="101"/>
      <c r="AJV2" s="100"/>
      <c r="AJW2" s="102"/>
      <c r="AJY2" s="101"/>
      <c r="AJZ2" s="100"/>
      <c r="AKA2" s="102"/>
      <c r="AKC2" s="101"/>
      <c r="AKD2" s="100"/>
      <c r="AKE2" s="102"/>
      <c r="AKG2" s="101"/>
      <c r="AKH2" s="100"/>
      <c r="AKI2" s="102"/>
      <c r="AKK2" s="101"/>
      <c r="AKL2" s="100"/>
      <c r="AKM2" s="102"/>
      <c r="AKO2" s="101"/>
      <c r="AKP2" s="100"/>
      <c r="AKQ2" s="102"/>
      <c r="AKS2" s="101"/>
      <c r="AKT2" s="100"/>
      <c r="AKU2" s="102"/>
      <c r="AKW2" s="101"/>
      <c r="AKX2" s="100"/>
      <c r="AKY2" s="102"/>
      <c r="ALA2" s="101"/>
      <c r="ALB2" s="100"/>
      <c r="ALC2" s="102"/>
      <c r="ALE2" s="101"/>
      <c r="ALF2" s="100"/>
      <c r="ALG2" s="102"/>
      <c r="ALI2" s="101"/>
      <c r="ALJ2" s="100"/>
      <c r="ALK2" s="102"/>
      <c r="ALM2" s="101"/>
      <c r="ALN2" s="100"/>
      <c r="ALO2" s="102"/>
      <c r="ALQ2" s="101"/>
      <c r="ALR2" s="100"/>
      <c r="ALS2" s="102"/>
      <c r="ALU2" s="101"/>
      <c r="ALV2" s="100"/>
      <c r="ALW2" s="102"/>
      <c r="ALY2" s="101"/>
      <c r="ALZ2" s="100"/>
      <c r="AMA2" s="102"/>
      <c r="AMC2" s="101"/>
      <c r="AMD2" s="100"/>
      <c r="AME2" s="102"/>
      <c r="AMG2" s="101"/>
      <c r="AMH2" s="100"/>
      <c r="AMI2" s="102"/>
      <c r="AMK2" s="101"/>
      <c r="AML2" s="100"/>
      <c r="AMM2" s="102"/>
      <c r="AMO2" s="101"/>
      <c r="AMP2" s="100"/>
      <c r="AMQ2" s="102"/>
      <c r="AMS2" s="101"/>
      <c r="AMT2" s="100"/>
      <c r="AMU2" s="102"/>
      <c r="AMW2" s="101"/>
      <c r="AMX2" s="100"/>
      <c r="AMY2" s="102"/>
      <c r="ANA2" s="101"/>
      <c r="ANB2" s="100"/>
      <c r="ANC2" s="102"/>
      <c r="ANE2" s="101"/>
      <c r="ANF2" s="100"/>
      <c r="ANG2" s="102"/>
      <c r="ANI2" s="101"/>
      <c r="ANJ2" s="100"/>
      <c r="ANK2" s="102"/>
      <c r="ANM2" s="101"/>
      <c r="ANN2" s="100"/>
      <c r="ANO2" s="102"/>
      <c r="ANQ2" s="101"/>
      <c r="ANR2" s="100"/>
      <c r="ANS2" s="102"/>
      <c r="ANU2" s="101"/>
      <c r="ANV2" s="100"/>
      <c r="ANW2" s="102"/>
      <c r="ANY2" s="101"/>
      <c r="ANZ2" s="100"/>
      <c r="AOA2" s="102"/>
      <c r="AOC2" s="101"/>
      <c r="AOD2" s="100"/>
      <c r="AOE2" s="102"/>
      <c r="AOG2" s="101"/>
      <c r="AOH2" s="100"/>
      <c r="AOI2" s="102"/>
      <c r="AOK2" s="101"/>
      <c r="AOL2" s="100"/>
      <c r="AOM2" s="102"/>
      <c r="AOO2" s="101"/>
      <c r="AOP2" s="100"/>
      <c r="AOQ2" s="102"/>
      <c r="AOS2" s="101"/>
      <c r="AOT2" s="100"/>
      <c r="AOU2" s="102"/>
      <c r="AOW2" s="101"/>
      <c r="AOX2" s="100"/>
      <c r="AOY2" s="102"/>
      <c r="APA2" s="101"/>
      <c r="APB2" s="100"/>
      <c r="APC2" s="102"/>
      <c r="APE2" s="101"/>
      <c r="APF2" s="100"/>
      <c r="APG2" s="102"/>
      <c r="API2" s="101"/>
      <c r="APJ2" s="100"/>
      <c r="APK2" s="102"/>
      <c r="APM2" s="101"/>
      <c r="APN2" s="100"/>
      <c r="APO2" s="102"/>
      <c r="APQ2" s="101"/>
      <c r="APR2" s="100"/>
      <c r="APS2" s="102"/>
      <c r="APU2" s="101"/>
      <c r="APV2" s="100"/>
      <c r="APW2" s="102"/>
      <c r="APY2" s="101"/>
      <c r="APZ2" s="100"/>
      <c r="AQA2" s="102"/>
      <c r="AQC2" s="101"/>
      <c r="AQD2" s="100"/>
      <c r="AQE2" s="102"/>
      <c r="AQG2" s="101"/>
      <c r="AQH2" s="100"/>
      <c r="AQI2" s="102"/>
      <c r="AQK2" s="101"/>
      <c r="AQL2" s="100"/>
      <c r="AQM2" s="102"/>
      <c r="AQO2" s="101"/>
      <c r="AQP2" s="100"/>
      <c r="AQQ2" s="102"/>
      <c r="AQS2" s="101"/>
      <c r="AQT2" s="100"/>
      <c r="AQU2" s="102"/>
      <c r="AQW2" s="101"/>
      <c r="AQX2" s="100"/>
      <c r="AQY2" s="102"/>
      <c r="ARA2" s="101"/>
      <c r="ARB2" s="100"/>
      <c r="ARC2" s="102"/>
      <c r="ARE2" s="101"/>
      <c r="ARF2" s="100"/>
      <c r="ARG2" s="102"/>
      <c r="ARI2" s="101"/>
      <c r="ARJ2" s="100"/>
      <c r="ARK2" s="102"/>
      <c r="ARM2" s="101"/>
      <c r="ARN2" s="100"/>
      <c r="ARO2" s="102"/>
      <c r="ARQ2" s="101"/>
      <c r="ARR2" s="100"/>
      <c r="ARS2" s="102"/>
      <c r="ARU2" s="101"/>
      <c r="ARV2" s="100"/>
      <c r="ARW2" s="102"/>
      <c r="ARY2" s="101"/>
      <c r="ARZ2" s="100"/>
      <c r="ASA2" s="102"/>
      <c r="ASC2" s="101"/>
      <c r="ASD2" s="100"/>
      <c r="ASE2" s="102"/>
      <c r="ASG2" s="101"/>
      <c r="ASH2" s="100"/>
      <c r="ASI2" s="102"/>
      <c r="ASK2" s="101"/>
      <c r="ASL2" s="100"/>
      <c r="ASM2" s="102"/>
      <c r="ASO2" s="101"/>
      <c r="ASP2" s="100"/>
      <c r="ASQ2" s="102"/>
      <c r="ASS2" s="101"/>
      <c r="AST2" s="100"/>
      <c r="ASU2" s="102"/>
      <c r="ASW2" s="101"/>
      <c r="ASX2" s="100"/>
      <c r="ASY2" s="102"/>
      <c r="ATA2" s="101"/>
      <c r="ATB2" s="100"/>
      <c r="ATC2" s="102"/>
      <c r="ATE2" s="101"/>
      <c r="ATF2" s="100"/>
      <c r="ATG2" s="102"/>
      <c r="ATI2" s="101"/>
      <c r="ATJ2" s="100"/>
      <c r="ATK2" s="102"/>
      <c r="ATM2" s="101"/>
      <c r="ATN2" s="100"/>
      <c r="ATO2" s="102"/>
      <c r="ATQ2" s="101"/>
      <c r="ATR2" s="100"/>
      <c r="ATS2" s="102"/>
      <c r="ATU2" s="101"/>
      <c r="ATV2" s="100"/>
      <c r="ATW2" s="102"/>
      <c r="ATY2" s="101"/>
      <c r="ATZ2" s="100"/>
      <c r="AUA2" s="102"/>
      <c r="AUC2" s="101"/>
      <c r="AUD2" s="100"/>
      <c r="AUE2" s="102"/>
      <c r="AUG2" s="101"/>
      <c r="AUH2" s="100"/>
      <c r="AUI2" s="102"/>
      <c r="AUK2" s="101"/>
      <c r="AUL2" s="100"/>
      <c r="AUM2" s="102"/>
      <c r="AUO2" s="101"/>
      <c r="AUP2" s="100"/>
      <c r="AUQ2" s="102"/>
      <c r="AUS2" s="101"/>
      <c r="AUT2" s="100"/>
      <c r="AUU2" s="102"/>
      <c r="AUW2" s="101"/>
      <c r="AUX2" s="100"/>
      <c r="AUY2" s="102"/>
      <c r="AVA2" s="101"/>
      <c r="AVB2" s="100"/>
      <c r="AVC2" s="102"/>
      <c r="AVE2" s="101"/>
      <c r="AVF2" s="100"/>
      <c r="AVG2" s="102"/>
      <c r="AVI2" s="101"/>
      <c r="AVJ2" s="100"/>
      <c r="AVK2" s="102"/>
      <c r="AVM2" s="101"/>
      <c r="AVN2" s="100"/>
      <c r="AVO2" s="102"/>
      <c r="AVQ2" s="101"/>
      <c r="AVR2" s="100"/>
      <c r="AVS2" s="102"/>
      <c r="AVU2" s="101"/>
      <c r="AVV2" s="100"/>
      <c r="AVW2" s="102"/>
      <c r="AVY2" s="101"/>
      <c r="AVZ2" s="100"/>
      <c r="AWA2" s="102"/>
      <c r="AWC2" s="101"/>
      <c r="AWD2" s="100"/>
      <c r="AWE2" s="102"/>
      <c r="AWG2" s="101"/>
      <c r="AWH2" s="100"/>
      <c r="AWI2" s="102"/>
      <c r="AWK2" s="101"/>
      <c r="AWL2" s="100"/>
      <c r="AWM2" s="102"/>
      <c r="AWO2" s="101"/>
      <c r="AWP2" s="100"/>
      <c r="AWQ2" s="102"/>
      <c r="AWS2" s="101"/>
      <c r="AWT2" s="100"/>
      <c r="AWU2" s="102"/>
      <c r="AWW2" s="101"/>
      <c r="AWX2" s="100"/>
      <c r="AWY2" s="102"/>
      <c r="AXA2" s="101"/>
      <c r="AXB2" s="100"/>
      <c r="AXC2" s="102"/>
      <c r="AXE2" s="101"/>
      <c r="AXF2" s="100"/>
      <c r="AXG2" s="102"/>
      <c r="AXI2" s="101"/>
      <c r="AXJ2" s="100"/>
      <c r="AXK2" s="102"/>
      <c r="AXM2" s="101"/>
      <c r="AXN2" s="100"/>
      <c r="AXO2" s="102"/>
      <c r="AXQ2" s="101"/>
      <c r="AXR2" s="100"/>
      <c r="AXS2" s="102"/>
      <c r="AXU2" s="101"/>
      <c r="AXV2" s="100"/>
      <c r="AXW2" s="102"/>
      <c r="AXY2" s="101"/>
      <c r="AXZ2" s="100"/>
      <c r="AYA2" s="102"/>
      <c r="AYC2" s="101"/>
      <c r="AYD2" s="100"/>
      <c r="AYE2" s="102"/>
      <c r="AYG2" s="101"/>
      <c r="AYH2" s="100"/>
      <c r="AYI2" s="102"/>
      <c r="AYK2" s="101"/>
      <c r="AYL2" s="100"/>
      <c r="AYM2" s="102"/>
      <c r="AYO2" s="101"/>
      <c r="AYP2" s="100"/>
      <c r="AYQ2" s="102"/>
      <c r="AYS2" s="101"/>
      <c r="AYT2" s="100"/>
      <c r="AYU2" s="102"/>
      <c r="AYW2" s="101"/>
      <c r="AYX2" s="100"/>
      <c r="AYY2" s="102"/>
      <c r="AZA2" s="101"/>
      <c r="AZB2" s="100"/>
      <c r="AZC2" s="102"/>
      <c r="AZE2" s="101"/>
      <c r="AZF2" s="100"/>
      <c r="AZG2" s="102"/>
      <c r="AZI2" s="101"/>
      <c r="AZJ2" s="100"/>
      <c r="AZK2" s="102"/>
      <c r="AZM2" s="101"/>
      <c r="AZN2" s="100"/>
      <c r="AZO2" s="102"/>
      <c r="AZQ2" s="101"/>
      <c r="AZR2" s="100"/>
      <c r="AZS2" s="102"/>
      <c r="AZU2" s="101"/>
      <c r="AZV2" s="100"/>
      <c r="AZW2" s="102"/>
      <c r="AZY2" s="101"/>
      <c r="AZZ2" s="100"/>
      <c r="BAA2" s="102"/>
      <c r="BAC2" s="101"/>
      <c r="BAD2" s="100"/>
      <c r="BAE2" s="102"/>
      <c r="BAG2" s="101"/>
      <c r="BAH2" s="100"/>
      <c r="BAI2" s="102"/>
      <c r="BAK2" s="101"/>
      <c r="BAL2" s="100"/>
      <c r="BAM2" s="102"/>
      <c r="BAO2" s="101"/>
      <c r="BAP2" s="100"/>
      <c r="BAQ2" s="102"/>
      <c r="BAS2" s="101"/>
      <c r="BAT2" s="100"/>
      <c r="BAU2" s="102"/>
      <c r="BAW2" s="101"/>
      <c r="BAX2" s="100"/>
      <c r="BAY2" s="102"/>
      <c r="BBA2" s="101"/>
      <c r="BBB2" s="100"/>
      <c r="BBC2" s="102"/>
      <c r="BBE2" s="101"/>
      <c r="BBF2" s="100"/>
      <c r="BBG2" s="102"/>
      <c r="BBI2" s="101"/>
      <c r="BBJ2" s="100"/>
      <c r="BBK2" s="102"/>
      <c r="BBM2" s="101"/>
      <c r="BBN2" s="100"/>
      <c r="BBO2" s="102"/>
      <c r="BBQ2" s="101"/>
      <c r="BBR2" s="100"/>
      <c r="BBS2" s="102"/>
      <c r="BBU2" s="101"/>
      <c r="BBV2" s="100"/>
      <c r="BBW2" s="102"/>
      <c r="BBY2" s="101"/>
      <c r="BBZ2" s="100"/>
      <c r="BCA2" s="102"/>
      <c r="BCC2" s="101"/>
      <c r="BCD2" s="100"/>
      <c r="BCE2" s="102"/>
      <c r="BCG2" s="101"/>
      <c r="BCH2" s="100"/>
      <c r="BCI2" s="102"/>
      <c r="BCK2" s="101"/>
      <c r="BCL2" s="100"/>
      <c r="BCM2" s="102"/>
      <c r="BCO2" s="101"/>
      <c r="BCP2" s="100"/>
      <c r="BCQ2" s="102"/>
      <c r="BCS2" s="101"/>
      <c r="BCT2" s="100"/>
      <c r="BCU2" s="102"/>
      <c r="BCW2" s="101"/>
      <c r="BCX2" s="100"/>
      <c r="BCY2" s="102"/>
      <c r="BDA2" s="101"/>
      <c r="BDB2" s="100"/>
      <c r="BDC2" s="102"/>
      <c r="BDE2" s="101"/>
      <c r="BDF2" s="100"/>
      <c r="BDG2" s="102"/>
      <c r="BDI2" s="101"/>
      <c r="BDJ2" s="100"/>
      <c r="BDK2" s="102"/>
      <c r="BDM2" s="101"/>
      <c r="BDN2" s="100"/>
      <c r="BDO2" s="102"/>
      <c r="BDQ2" s="101"/>
      <c r="BDR2" s="100"/>
      <c r="BDS2" s="102"/>
      <c r="BDU2" s="101"/>
      <c r="BDV2" s="100"/>
      <c r="BDW2" s="102"/>
      <c r="BDY2" s="101"/>
      <c r="BDZ2" s="100"/>
      <c r="BEA2" s="102"/>
      <c r="BEC2" s="101"/>
      <c r="BED2" s="100"/>
      <c r="BEE2" s="102"/>
      <c r="BEG2" s="101"/>
      <c r="BEH2" s="100"/>
      <c r="BEI2" s="102"/>
      <c r="BEK2" s="101"/>
      <c r="BEL2" s="100"/>
      <c r="BEM2" s="102"/>
      <c r="BEO2" s="101"/>
      <c r="BEP2" s="100"/>
      <c r="BEQ2" s="102"/>
      <c r="BES2" s="101"/>
      <c r="BET2" s="100"/>
      <c r="BEU2" s="102"/>
      <c r="BEW2" s="101"/>
      <c r="BEX2" s="100"/>
      <c r="BEY2" s="102"/>
      <c r="BFA2" s="101"/>
      <c r="BFB2" s="100"/>
      <c r="BFC2" s="102"/>
      <c r="BFE2" s="101"/>
      <c r="BFF2" s="100"/>
      <c r="BFG2" s="102"/>
      <c r="BFI2" s="101"/>
      <c r="BFJ2" s="100"/>
      <c r="BFK2" s="102"/>
      <c r="BFM2" s="101"/>
      <c r="BFN2" s="100"/>
      <c r="BFO2" s="102"/>
      <c r="BFQ2" s="101"/>
      <c r="BFR2" s="100"/>
      <c r="BFS2" s="102"/>
      <c r="BFU2" s="101"/>
      <c r="BFV2" s="100"/>
      <c r="BFW2" s="102"/>
      <c r="BFY2" s="101"/>
      <c r="BFZ2" s="100"/>
      <c r="BGA2" s="102"/>
      <c r="BGC2" s="101"/>
      <c r="BGD2" s="100"/>
      <c r="BGE2" s="102"/>
      <c r="BGG2" s="101"/>
      <c r="BGH2" s="100"/>
      <c r="BGI2" s="102"/>
      <c r="BGK2" s="101"/>
      <c r="BGL2" s="100"/>
      <c r="BGM2" s="102"/>
      <c r="BGO2" s="101"/>
      <c r="BGP2" s="100"/>
      <c r="BGQ2" s="102"/>
      <c r="BGS2" s="101"/>
      <c r="BGT2" s="100"/>
      <c r="BGU2" s="102"/>
      <c r="BGW2" s="101"/>
      <c r="BGX2" s="100"/>
      <c r="BGY2" s="102"/>
      <c r="BHA2" s="101"/>
      <c r="BHB2" s="100"/>
      <c r="BHC2" s="102"/>
      <c r="BHE2" s="101"/>
      <c r="BHF2" s="100"/>
      <c r="BHG2" s="102"/>
      <c r="BHI2" s="101"/>
      <c r="BHJ2" s="100"/>
      <c r="BHK2" s="102"/>
      <c r="BHM2" s="101"/>
      <c r="BHN2" s="100"/>
      <c r="BHO2" s="102"/>
      <c r="BHQ2" s="101"/>
      <c r="BHR2" s="100"/>
      <c r="BHS2" s="102"/>
      <c r="BHU2" s="101"/>
      <c r="BHV2" s="100"/>
      <c r="BHW2" s="102"/>
      <c r="BHY2" s="101"/>
      <c r="BHZ2" s="100"/>
      <c r="BIA2" s="102"/>
      <c r="BIC2" s="101"/>
      <c r="BID2" s="100"/>
      <c r="BIE2" s="102"/>
      <c r="BIG2" s="101"/>
      <c r="BIH2" s="100"/>
      <c r="BII2" s="102"/>
      <c r="BIK2" s="101"/>
      <c r="BIL2" s="100"/>
      <c r="BIM2" s="102"/>
      <c r="BIO2" s="101"/>
      <c r="BIP2" s="100"/>
      <c r="BIQ2" s="102"/>
      <c r="BIS2" s="101"/>
      <c r="BIT2" s="100"/>
      <c r="BIU2" s="102"/>
      <c r="BIW2" s="101"/>
      <c r="BIX2" s="100"/>
      <c r="BIY2" s="102"/>
      <c r="BJA2" s="101"/>
      <c r="BJB2" s="100"/>
      <c r="BJC2" s="102"/>
      <c r="BJE2" s="101"/>
      <c r="BJF2" s="100"/>
      <c r="BJG2" s="102"/>
      <c r="BJI2" s="101"/>
      <c r="BJJ2" s="100"/>
      <c r="BJK2" s="102"/>
      <c r="BJM2" s="101"/>
      <c r="BJN2" s="100"/>
      <c r="BJO2" s="102"/>
      <c r="BJQ2" s="101"/>
      <c r="BJR2" s="100"/>
      <c r="BJS2" s="102"/>
      <c r="BJU2" s="101"/>
      <c r="BJV2" s="100"/>
      <c r="BJW2" s="102"/>
      <c r="BJY2" s="101"/>
      <c r="BJZ2" s="100"/>
      <c r="BKA2" s="102"/>
      <c r="BKC2" s="101"/>
      <c r="BKD2" s="100"/>
      <c r="BKE2" s="102"/>
      <c r="BKG2" s="101"/>
      <c r="BKH2" s="100"/>
      <c r="BKI2" s="102"/>
      <c r="BKK2" s="101"/>
      <c r="BKL2" s="100"/>
      <c r="BKM2" s="102"/>
      <c r="BKO2" s="101"/>
      <c r="BKP2" s="100"/>
      <c r="BKQ2" s="102"/>
      <c r="BKS2" s="101"/>
      <c r="BKT2" s="100"/>
      <c r="BKU2" s="102"/>
      <c r="BKW2" s="101"/>
      <c r="BKX2" s="100"/>
      <c r="BKY2" s="102"/>
      <c r="BLA2" s="101"/>
      <c r="BLB2" s="100"/>
      <c r="BLC2" s="102"/>
      <c r="BLE2" s="101"/>
      <c r="BLF2" s="100"/>
      <c r="BLG2" s="102"/>
      <c r="BLI2" s="101"/>
      <c r="BLJ2" s="100"/>
      <c r="BLK2" s="102"/>
      <c r="BLM2" s="101"/>
      <c r="BLN2" s="100"/>
      <c r="BLO2" s="102"/>
      <c r="BLQ2" s="101"/>
      <c r="BLR2" s="100"/>
      <c r="BLS2" s="102"/>
      <c r="BLU2" s="101"/>
      <c r="BLV2" s="100"/>
      <c r="BLW2" s="102"/>
      <c r="BLY2" s="101"/>
      <c r="BLZ2" s="100"/>
      <c r="BMA2" s="102"/>
      <c r="BMC2" s="101"/>
      <c r="BMD2" s="100"/>
      <c r="BME2" s="102"/>
      <c r="BMG2" s="101"/>
      <c r="BMH2" s="100"/>
      <c r="BMI2" s="102"/>
      <c r="BMK2" s="101"/>
      <c r="BML2" s="100"/>
      <c r="BMM2" s="102"/>
      <c r="BMO2" s="101"/>
      <c r="BMP2" s="100"/>
      <c r="BMQ2" s="102"/>
      <c r="BMS2" s="101"/>
      <c r="BMT2" s="100"/>
      <c r="BMU2" s="102"/>
      <c r="BMW2" s="101"/>
      <c r="BMX2" s="100"/>
      <c r="BMY2" s="102"/>
      <c r="BNA2" s="101"/>
      <c r="BNB2" s="100"/>
      <c r="BNC2" s="102"/>
      <c r="BNE2" s="101"/>
      <c r="BNF2" s="100"/>
      <c r="BNG2" s="102"/>
      <c r="BNI2" s="101"/>
      <c r="BNJ2" s="100"/>
      <c r="BNK2" s="102"/>
      <c r="BNM2" s="101"/>
      <c r="BNN2" s="100"/>
      <c r="BNO2" s="102"/>
      <c r="BNQ2" s="101"/>
      <c r="BNR2" s="100"/>
      <c r="BNS2" s="102"/>
      <c r="BNU2" s="101"/>
      <c r="BNV2" s="100"/>
      <c r="BNW2" s="102"/>
      <c r="BNY2" s="101"/>
      <c r="BNZ2" s="100"/>
      <c r="BOA2" s="102"/>
      <c r="BOC2" s="101"/>
      <c r="BOD2" s="100"/>
      <c r="BOE2" s="102"/>
      <c r="BOG2" s="101"/>
      <c r="BOH2" s="100"/>
      <c r="BOI2" s="102"/>
      <c r="BOK2" s="101"/>
      <c r="BOL2" s="100"/>
      <c r="BOM2" s="102"/>
      <c r="BOO2" s="101"/>
      <c r="BOP2" s="100"/>
      <c r="BOQ2" s="102"/>
      <c r="BOS2" s="101"/>
      <c r="BOT2" s="100"/>
      <c r="BOU2" s="102"/>
      <c r="BOW2" s="101"/>
      <c r="BOX2" s="100"/>
      <c r="BOY2" s="102"/>
      <c r="BPA2" s="101"/>
      <c r="BPB2" s="100"/>
      <c r="BPC2" s="102"/>
      <c r="BPE2" s="101"/>
      <c r="BPF2" s="100"/>
      <c r="BPG2" s="102"/>
      <c r="BPI2" s="101"/>
      <c r="BPJ2" s="100"/>
      <c r="BPK2" s="102"/>
      <c r="BPM2" s="101"/>
      <c r="BPN2" s="100"/>
      <c r="BPO2" s="102"/>
      <c r="BPQ2" s="101"/>
      <c r="BPR2" s="100"/>
      <c r="BPS2" s="102"/>
      <c r="BPU2" s="101"/>
      <c r="BPV2" s="100"/>
      <c r="BPW2" s="102"/>
      <c r="BPY2" s="101"/>
      <c r="BPZ2" s="100"/>
      <c r="BQA2" s="102"/>
      <c r="BQC2" s="101"/>
      <c r="BQD2" s="100"/>
      <c r="BQE2" s="102"/>
      <c r="BQG2" s="101"/>
      <c r="BQH2" s="100"/>
      <c r="BQI2" s="102"/>
      <c r="BQK2" s="101"/>
      <c r="BQL2" s="100"/>
      <c r="BQM2" s="102"/>
      <c r="BQO2" s="101"/>
      <c r="BQP2" s="100"/>
      <c r="BQQ2" s="102"/>
      <c r="BQS2" s="101"/>
      <c r="BQT2" s="100"/>
      <c r="BQU2" s="102"/>
      <c r="BQW2" s="101"/>
      <c r="BQX2" s="100"/>
      <c r="BQY2" s="102"/>
      <c r="BRA2" s="101"/>
      <c r="BRB2" s="100"/>
      <c r="BRC2" s="102"/>
      <c r="BRE2" s="101"/>
      <c r="BRF2" s="100"/>
      <c r="BRG2" s="102"/>
      <c r="BRI2" s="101"/>
      <c r="BRJ2" s="100"/>
      <c r="BRK2" s="102"/>
      <c r="BRM2" s="101"/>
      <c r="BRN2" s="100"/>
      <c r="BRO2" s="102"/>
      <c r="BRQ2" s="101"/>
      <c r="BRR2" s="100"/>
      <c r="BRS2" s="102"/>
      <c r="BRU2" s="101"/>
      <c r="BRV2" s="100"/>
      <c r="BRW2" s="102"/>
      <c r="BRY2" s="101"/>
      <c r="BRZ2" s="100"/>
      <c r="BSA2" s="102"/>
      <c r="BSC2" s="101"/>
      <c r="BSD2" s="100"/>
      <c r="BSE2" s="102"/>
      <c r="BSG2" s="101"/>
      <c r="BSH2" s="100"/>
      <c r="BSI2" s="102"/>
      <c r="BSK2" s="101"/>
      <c r="BSL2" s="100"/>
      <c r="BSM2" s="102"/>
      <c r="BSO2" s="101"/>
      <c r="BSP2" s="100"/>
      <c r="BSQ2" s="102"/>
      <c r="BSS2" s="101"/>
      <c r="BST2" s="100"/>
      <c r="BSU2" s="102"/>
      <c r="BSW2" s="101"/>
      <c r="BSX2" s="100"/>
      <c r="BSY2" s="102"/>
      <c r="BTA2" s="101"/>
      <c r="BTB2" s="100"/>
      <c r="BTC2" s="102"/>
      <c r="BTE2" s="101"/>
      <c r="BTF2" s="100"/>
      <c r="BTG2" s="102"/>
      <c r="BTI2" s="101"/>
      <c r="BTJ2" s="100"/>
      <c r="BTK2" s="102"/>
      <c r="BTM2" s="101"/>
      <c r="BTN2" s="100"/>
      <c r="BTO2" s="102"/>
      <c r="BTQ2" s="101"/>
      <c r="BTR2" s="100"/>
      <c r="BTS2" s="102"/>
      <c r="BTU2" s="101"/>
      <c r="BTV2" s="100"/>
      <c r="BTW2" s="102"/>
      <c r="BTY2" s="101"/>
      <c r="BTZ2" s="100"/>
      <c r="BUA2" s="102"/>
      <c r="BUC2" s="101"/>
      <c r="BUD2" s="100"/>
      <c r="BUE2" s="102"/>
      <c r="BUG2" s="101"/>
      <c r="BUH2" s="100"/>
      <c r="BUI2" s="102"/>
      <c r="BUK2" s="101"/>
      <c r="BUL2" s="100"/>
      <c r="BUM2" s="102"/>
      <c r="BUO2" s="101"/>
      <c r="BUP2" s="100"/>
      <c r="BUQ2" s="102"/>
      <c r="BUS2" s="101"/>
      <c r="BUT2" s="100"/>
      <c r="BUU2" s="102"/>
      <c r="BUW2" s="101"/>
      <c r="BUX2" s="100"/>
      <c r="BUY2" s="102"/>
      <c r="BVA2" s="101"/>
      <c r="BVB2" s="100"/>
      <c r="BVC2" s="102"/>
      <c r="BVE2" s="101"/>
      <c r="BVF2" s="100"/>
      <c r="BVG2" s="102"/>
      <c r="BVI2" s="101"/>
      <c r="BVJ2" s="100"/>
      <c r="BVK2" s="102"/>
      <c r="BVM2" s="101"/>
      <c r="BVN2" s="100"/>
      <c r="BVO2" s="102"/>
      <c r="BVQ2" s="101"/>
      <c r="BVR2" s="100"/>
      <c r="BVS2" s="102"/>
      <c r="BVU2" s="101"/>
      <c r="BVV2" s="100"/>
      <c r="BVW2" s="102"/>
      <c r="BVY2" s="101"/>
      <c r="BVZ2" s="100"/>
      <c r="BWA2" s="102"/>
      <c r="BWC2" s="101"/>
      <c r="BWD2" s="100"/>
      <c r="BWE2" s="102"/>
      <c r="BWG2" s="101"/>
      <c r="BWH2" s="100"/>
      <c r="BWI2" s="102"/>
      <c r="BWK2" s="101"/>
      <c r="BWL2" s="100"/>
      <c r="BWM2" s="102"/>
      <c r="BWO2" s="101"/>
      <c r="BWP2" s="100"/>
      <c r="BWQ2" s="102"/>
      <c r="BWS2" s="101"/>
      <c r="BWT2" s="100"/>
      <c r="BWU2" s="102"/>
      <c r="BWW2" s="101"/>
      <c r="BWX2" s="100"/>
      <c r="BWY2" s="102"/>
      <c r="BXA2" s="101"/>
      <c r="BXB2" s="100"/>
      <c r="BXC2" s="102"/>
      <c r="BXE2" s="101"/>
      <c r="BXF2" s="100"/>
      <c r="BXG2" s="102"/>
      <c r="BXI2" s="101"/>
      <c r="BXJ2" s="100"/>
      <c r="BXK2" s="102"/>
      <c r="BXM2" s="101"/>
      <c r="BXN2" s="100"/>
      <c r="BXO2" s="102"/>
      <c r="BXQ2" s="101"/>
      <c r="BXR2" s="100"/>
      <c r="BXS2" s="102"/>
      <c r="BXU2" s="101"/>
      <c r="BXV2" s="100"/>
      <c r="BXW2" s="102"/>
      <c r="BXY2" s="101"/>
      <c r="BXZ2" s="100"/>
      <c r="BYA2" s="102"/>
      <c r="BYC2" s="101"/>
      <c r="BYD2" s="100"/>
      <c r="BYE2" s="102"/>
      <c r="BYG2" s="101"/>
      <c r="BYH2" s="100"/>
      <c r="BYI2" s="102"/>
      <c r="BYK2" s="101"/>
      <c r="BYL2" s="100"/>
      <c r="BYM2" s="102"/>
      <c r="BYO2" s="101"/>
      <c r="BYP2" s="100"/>
      <c r="BYQ2" s="102"/>
      <c r="BYS2" s="101"/>
      <c r="BYT2" s="100"/>
      <c r="BYU2" s="102"/>
      <c r="BYW2" s="101"/>
      <c r="BYX2" s="100"/>
      <c r="BYY2" s="102"/>
      <c r="BZA2" s="101"/>
      <c r="BZB2" s="100"/>
      <c r="BZC2" s="102"/>
      <c r="BZE2" s="101"/>
      <c r="BZF2" s="100"/>
      <c r="BZG2" s="102"/>
      <c r="BZI2" s="101"/>
      <c r="BZJ2" s="100"/>
      <c r="BZK2" s="102"/>
      <c r="BZM2" s="101"/>
      <c r="BZN2" s="100"/>
      <c r="BZO2" s="102"/>
      <c r="BZQ2" s="101"/>
      <c r="BZR2" s="100"/>
      <c r="BZS2" s="102"/>
      <c r="BZU2" s="101"/>
      <c r="BZV2" s="100"/>
      <c r="BZW2" s="102"/>
      <c r="BZY2" s="101"/>
      <c r="BZZ2" s="100"/>
      <c r="CAA2" s="102"/>
      <c r="CAC2" s="101"/>
      <c r="CAD2" s="100"/>
      <c r="CAE2" s="102"/>
      <c r="CAG2" s="101"/>
      <c r="CAH2" s="100"/>
      <c r="CAI2" s="102"/>
      <c r="CAK2" s="101"/>
      <c r="CAL2" s="100"/>
      <c r="CAM2" s="102"/>
      <c r="CAO2" s="101"/>
      <c r="CAP2" s="100"/>
      <c r="CAQ2" s="102"/>
      <c r="CAS2" s="101"/>
      <c r="CAT2" s="100"/>
      <c r="CAU2" s="102"/>
      <c r="CAW2" s="101"/>
      <c r="CAX2" s="100"/>
      <c r="CAY2" s="102"/>
      <c r="CBA2" s="101"/>
      <c r="CBB2" s="100"/>
      <c r="CBC2" s="102"/>
      <c r="CBE2" s="101"/>
      <c r="CBF2" s="100"/>
      <c r="CBG2" s="102"/>
      <c r="CBI2" s="101"/>
      <c r="CBJ2" s="100"/>
      <c r="CBK2" s="102"/>
      <c r="CBM2" s="101"/>
      <c r="CBN2" s="100"/>
      <c r="CBO2" s="102"/>
      <c r="CBQ2" s="101"/>
      <c r="CBR2" s="100"/>
      <c r="CBS2" s="102"/>
      <c r="CBU2" s="101"/>
      <c r="CBV2" s="100"/>
      <c r="CBW2" s="102"/>
      <c r="CBY2" s="101"/>
      <c r="CBZ2" s="100"/>
      <c r="CCA2" s="102"/>
      <c r="CCC2" s="101"/>
      <c r="CCD2" s="100"/>
      <c r="CCE2" s="102"/>
      <c r="CCG2" s="101"/>
      <c r="CCH2" s="100"/>
      <c r="CCI2" s="102"/>
      <c r="CCK2" s="101"/>
      <c r="CCL2" s="100"/>
      <c r="CCM2" s="102"/>
      <c r="CCO2" s="101"/>
      <c r="CCP2" s="100"/>
      <c r="CCQ2" s="102"/>
      <c r="CCS2" s="101"/>
      <c r="CCT2" s="100"/>
      <c r="CCU2" s="102"/>
      <c r="CCW2" s="101"/>
      <c r="CCX2" s="100"/>
      <c r="CCY2" s="102"/>
      <c r="CDA2" s="101"/>
      <c r="CDB2" s="100"/>
      <c r="CDC2" s="102"/>
      <c r="CDE2" s="101"/>
      <c r="CDF2" s="100"/>
      <c r="CDG2" s="102"/>
      <c r="CDI2" s="101"/>
      <c r="CDJ2" s="100"/>
      <c r="CDK2" s="102"/>
      <c r="CDM2" s="101"/>
      <c r="CDN2" s="100"/>
      <c r="CDO2" s="102"/>
      <c r="CDQ2" s="101"/>
      <c r="CDR2" s="100"/>
      <c r="CDS2" s="102"/>
      <c r="CDU2" s="101"/>
      <c r="CDV2" s="100"/>
      <c r="CDW2" s="102"/>
      <c r="CDY2" s="101"/>
      <c r="CDZ2" s="100"/>
      <c r="CEA2" s="102"/>
      <c r="CEC2" s="101"/>
      <c r="CED2" s="100"/>
      <c r="CEE2" s="102"/>
      <c r="CEG2" s="101"/>
      <c r="CEH2" s="100"/>
      <c r="CEI2" s="102"/>
      <c r="CEK2" s="101"/>
      <c r="CEL2" s="100"/>
      <c r="CEM2" s="102"/>
      <c r="CEO2" s="101"/>
      <c r="CEP2" s="100"/>
      <c r="CEQ2" s="102"/>
      <c r="CES2" s="101"/>
      <c r="CET2" s="100"/>
      <c r="CEU2" s="102"/>
      <c r="CEW2" s="101"/>
      <c r="CEX2" s="100"/>
      <c r="CEY2" s="102"/>
      <c r="CFA2" s="101"/>
      <c r="CFB2" s="100"/>
      <c r="CFC2" s="102"/>
      <c r="CFE2" s="101"/>
      <c r="CFF2" s="100"/>
      <c r="CFG2" s="102"/>
      <c r="CFI2" s="101"/>
      <c r="CFJ2" s="100"/>
      <c r="CFK2" s="102"/>
      <c r="CFM2" s="101"/>
      <c r="CFN2" s="100"/>
      <c r="CFO2" s="102"/>
      <c r="CFQ2" s="101"/>
      <c r="CFR2" s="100"/>
      <c r="CFS2" s="102"/>
      <c r="CFU2" s="101"/>
      <c r="CFV2" s="100"/>
      <c r="CFW2" s="102"/>
      <c r="CFY2" s="101"/>
      <c r="CFZ2" s="100"/>
      <c r="CGA2" s="102"/>
      <c r="CGC2" s="101"/>
      <c r="CGD2" s="100"/>
      <c r="CGE2" s="102"/>
      <c r="CGG2" s="101"/>
      <c r="CGH2" s="100"/>
      <c r="CGI2" s="102"/>
      <c r="CGK2" s="101"/>
      <c r="CGL2" s="100"/>
      <c r="CGM2" s="102"/>
      <c r="CGO2" s="101"/>
      <c r="CGP2" s="100"/>
      <c r="CGQ2" s="102"/>
      <c r="CGS2" s="101"/>
      <c r="CGT2" s="100"/>
      <c r="CGU2" s="102"/>
      <c r="CGW2" s="101"/>
      <c r="CGX2" s="100"/>
      <c r="CGY2" s="102"/>
      <c r="CHA2" s="101"/>
      <c r="CHB2" s="100"/>
      <c r="CHC2" s="102"/>
      <c r="CHE2" s="101"/>
      <c r="CHF2" s="100"/>
      <c r="CHG2" s="102"/>
      <c r="CHI2" s="101"/>
      <c r="CHJ2" s="100"/>
      <c r="CHK2" s="102"/>
      <c r="CHM2" s="101"/>
      <c r="CHN2" s="100"/>
      <c r="CHO2" s="102"/>
      <c r="CHQ2" s="101"/>
      <c r="CHR2" s="100"/>
      <c r="CHS2" s="102"/>
      <c r="CHU2" s="101"/>
      <c r="CHV2" s="100"/>
      <c r="CHW2" s="102"/>
      <c r="CHY2" s="101"/>
      <c r="CHZ2" s="100"/>
      <c r="CIA2" s="102"/>
      <c r="CIC2" s="101"/>
      <c r="CID2" s="100"/>
      <c r="CIE2" s="102"/>
      <c r="CIG2" s="101"/>
      <c r="CIH2" s="100"/>
      <c r="CII2" s="102"/>
      <c r="CIK2" s="101"/>
      <c r="CIL2" s="100"/>
      <c r="CIM2" s="102"/>
      <c r="CIO2" s="101"/>
      <c r="CIP2" s="100"/>
      <c r="CIQ2" s="102"/>
      <c r="CIS2" s="101"/>
      <c r="CIT2" s="100"/>
      <c r="CIU2" s="102"/>
      <c r="CIW2" s="101"/>
      <c r="CIX2" s="100"/>
      <c r="CIY2" s="102"/>
      <c r="CJA2" s="101"/>
      <c r="CJB2" s="100"/>
      <c r="CJC2" s="102"/>
      <c r="CJE2" s="101"/>
      <c r="CJF2" s="100"/>
      <c r="CJG2" s="102"/>
      <c r="CJI2" s="101"/>
      <c r="CJJ2" s="100"/>
      <c r="CJK2" s="102"/>
      <c r="CJM2" s="101"/>
      <c r="CJN2" s="100"/>
      <c r="CJO2" s="102"/>
      <c r="CJQ2" s="101"/>
      <c r="CJR2" s="100"/>
      <c r="CJS2" s="102"/>
      <c r="CJU2" s="101"/>
      <c r="CJV2" s="100"/>
      <c r="CJW2" s="102"/>
      <c r="CJY2" s="101"/>
      <c r="CJZ2" s="100"/>
      <c r="CKA2" s="102"/>
      <c r="CKC2" s="101"/>
      <c r="CKD2" s="100"/>
      <c r="CKE2" s="102"/>
      <c r="CKG2" s="101"/>
      <c r="CKH2" s="100"/>
      <c r="CKI2" s="102"/>
      <c r="CKK2" s="101"/>
      <c r="CKL2" s="100"/>
      <c r="CKM2" s="102"/>
      <c r="CKO2" s="101"/>
      <c r="CKP2" s="100"/>
      <c r="CKQ2" s="102"/>
      <c r="CKS2" s="101"/>
      <c r="CKT2" s="100"/>
      <c r="CKU2" s="102"/>
      <c r="CKW2" s="101"/>
      <c r="CKX2" s="100"/>
      <c r="CKY2" s="102"/>
      <c r="CLA2" s="101"/>
      <c r="CLB2" s="100"/>
      <c r="CLC2" s="102"/>
      <c r="CLE2" s="101"/>
      <c r="CLF2" s="100"/>
      <c r="CLG2" s="102"/>
      <c r="CLI2" s="101"/>
      <c r="CLJ2" s="100"/>
      <c r="CLK2" s="102"/>
      <c r="CLM2" s="101"/>
      <c r="CLN2" s="100"/>
      <c r="CLO2" s="102"/>
      <c r="CLQ2" s="101"/>
      <c r="CLR2" s="100"/>
      <c r="CLS2" s="102"/>
      <c r="CLU2" s="101"/>
      <c r="CLV2" s="100"/>
      <c r="CLW2" s="102"/>
      <c r="CLY2" s="101"/>
      <c r="CLZ2" s="100"/>
      <c r="CMA2" s="102"/>
      <c r="CMC2" s="101"/>
      <c r="CMD2" s="100"/>
      <c r="CME2" s="102"/>
      <c r="CMG2" s="101"/>
      <c r="CMH2" s="100"/>
      <c r="CMI2" s="102"/>
      <c r="CMK2" s="101"/>
      <c r="CML2" s="100"/>
      <c r="CMM2" s="102"/>
      <c r="CMO2" s="101"/>
      <c r="CMP2" s="100"/>
      <c r="CMQ2" s="102"/>
      <c r="CMS2" s="101"/>
      <c r="CMT2" s="100"/>
      <c r="CMU2" s="102"/>
      <c r="CMW2" s="101"/>
      <c r="CMX2" s="100"/>
      <c r="CMY2" s="102"/>
      <c r="CNA2" s="101"/>
      <c r="CNB2" s="100"/>
      <c r="CNC2" s="102"/>
      <c r="CNE2" s="101"/>
      <c r="CNF2" s="100"/>
      <c r="CNG2" s="102"/>
      <c r="CNI2" s="101"/>
      <c r="CNJ2" s="100"/>
      <c r="CNK2" s="102"/>
      <c r="CNM2" s="101"/>
      <c r="CNN2" s="100"/>
      <c r="CNO2" s="102"/>
      <c r="CNQ2" s="101"/>
      <c r="CNR2" s="100"/>
      <c r="CNS2" s="102"/>
      <c r="CNU2" s="101"/>
      <c r="CNV2" s="100"/>
      <c r="CNW2" s="102"/>
      <c r="CNY2" s="101"/>
      <c r="CNZ2" s="100"/>
      <c r="COA2" s="102"/>
      <c r="COC2" s="101"/>
      <c r="COD2" s="100"/>
      <c r="COE2" s="102"/>
      <c r="COG2" s="101"/>
      <c r="COH2" s="100"/>
      <c r="COI2" s="102"/>
      <c r="COK2" s="101"/>
      <c r="COL2" s="100"/>
      <c r="COM2" s="102"/>
      <c r="COO2" s="101"/>
      <c r="COP2" s="100"/>
      <c r="COQ2" s="102"/>
      <c r="COS2" s="101"/>
      <c r="COT2" s="100"/>
      <c r="COU2" s="102"/>
      <c r="COW2" s="101"/>
      <c r="COX2" s="100"/>
      <c r="COY2" s="102"/>
      <c r="CPA2" s="101"/>
      <c r="CPB2" s="100"/>
      <c r="CPC2" s="102"/>
      <c r="CPE2" s="101"/>
      <c r="CPF2" s="100"/>
      <c r="CPG2" s="102"/>
      <c r="CPI2" s="101"/>
      <c r="CPJ2" s="100"/>
      <c r="CPK2" s="102"/>
      <c r="CPM2" s="101"/>
      <c r="CPN2" s="100"/>
      <c r="CPO2" s="102"/>
      <c r="CPQ2" s="101"/>
      <c r="CPR2" s="100"/>
      <c r="CPS2" s="102"/>
      <c r="CPU2" s="101"/>
      <c r="CPV2" s="100"/>
      <c r="CPW2" s="102"/>
      <c r="CPY2" s="101"/>
      <c r="CPZ2" s="100"/>
      <c r="CQA2" s="102"/>
      <c r="CQC2" s="101"/>
      <c r="CQD2" s="100"/>
      <c r="CQE2" s="102"/>
      <c r="CQG2" s="101"/>
      <c r="CQH2" s="100"/>
      <c r="CQI2" s="102"/>
      <c r="CQK2" s="101"/>
      <c r="CQL2" s="100"/>
      <c r="CQM2" s="102"/>
      <c r="CQO2" s="101"/>
      <c r="CQP2" s="100"/>
      <c r="CQQ2" s="102"/>
      <c r="CQS2" s="101"/>
      <c r="CQT2" s="100"/>
      <c r="CQU2" s="102"/>
      <c r="CQW2" s="101"/>
      <c r="CQX2" s="100"/>
      <c r="CQY2" s="102"/>
      <c r="CRA2" s="101"/>
      <c r="CRB2" s="100"/>
      <c r="CRC2" s="102"/>
      <c r="CRE2" s="101"/>
      <c r="CRF2" s="100"/>
      <c r="CRG2" s="102"/>
      <c r="CRI2" s="101"/>
      <c r="CRJ2" s="100"/>
      <c r="CRK2" s="102"/>
      <c r="CRM2" s="101"/>
      <c r="CRN2" s="100"/>
      <c r="CRO2" s="102"/>
      <c r="CRQ2" s="101"/>
      <c r="CRR2" s="100"/>
      <c r="CRS2" s="102"/>
      <c r="CRU2" s="101"/>
      <c r="CRV2" s="100"/>
      <c r="CRW2" s="102"/>
      <c r="CRY2" s="101"/>
      <c r="CRZ2" s="100"/>
      <c r="CSA2" s="102"/>
      <c r="CSC2" s="101"/>
      <c r="CSD2" s="100"/>
      <c r="CSE2" s="102"/>
      <c r="CSG2" s="101"/>
      <c r="CSH2" s="100"/>
      <c r="CSI2" s="102"/>
      <c r="CSK2" s="101"/>
      <c r="CSL2" s="100"/>
      <c r="CSM2" s="102"/>
      <c r="CSO2" s="101"/>
      <c r="CSP2" s="100"/>
      <c r="CSQ2" s="102"/>
      <c r="CSS2" s="101"/>
      <c r="CST2" s="100"/>
      <c r="CSU2" s="102"/>
      <c r="CSW2" s="101"/>
      <c r="CSX2" s="100"/>
      <c r="CSY2" s="102"/>
      <c r="CTA2" s="101"/>
      <c r="CTB2" s="100"/>
      <c r="CTC2" s="102"/>
      <c r="CTE2" s="101"/>
      <c r="CTF2" s="100"/>
      <c r="CTG2" s="102"/>
      <c r="CTI2" s="101"/>
      <c r="CTJ2" s="100"/>
      <c r="CTK2" s="102"/>
      <c r="CTM2" s="101"/>
      <c r="CTN2" s="100"/>
      <c r="CTO2" s="102"/>
      <c r="CTQ2" s="101"/>
      <c r="CTR2" s="100"/>
      <c r="CTS2" s="102"/>
      <c r="CTU2" s="101"/>
      <c r="CTV2" s="100"/>
      <c r="CTW2" s="102"/>
      <c r="CTY2" s="101"/>
      <c r="CTZ2" s="100"/>
      <c r="CUA2" s="102"/>
      <c r="CUC2" s="101"/>
      <c r="CUD2" s="100"/>
      <c r="CUE2" s="102"/>
      <c r="CUG2" s="101"/>
      <c r="CUH2" s="100"/>
      <c r="CUI2" s="102"/>
      <c r="CUK2" s="101"/>
      <c r="CUL2" s="100"/>
      <c r="CUM2" s="102"/>
      <c r="CUO2" s="101"/>
      <c r="CUP2" s="100"/>
      <c r="CUQ2" s="102"/>
      <c r="CUS2" s="101"/>
      <c r="CUT2" s="100"/>
      <c r="CUU2" s="102"/>
      <c r="CUW2" s="101"/>
      <c r="CUX2" s="100"/>
      <c r="CUY2" s="102"/>
      <c r="CVA2" s="101"/>
      <c r="CVB2" s="100"/>
      <c r="CVC2" s="102"/>
      <c r="CVE2" s="101"/>
      <c r="CVF2" s="100"/>
      <c r="CVG2" s="102"/>
      <c r="CVI2" s="101"/>
      <c r="CVJ2" s="100"/>
      <c r="CVK2" s="102"/>
      <c r="CVM2" s="101"/>
      <c r="CVN2" s="100"/>
      <c r="CVO2" s="102"/>
      <c r="CVQ2" s="101"/>
      <c r="CVR2" s="100"/>
      <c r="CVS2" s="102"/>
      <c r="CVU2" s="101"/>
      <c r="CVV2" s="100"/>
      <c r="CVW2" s="102"/>
      <c r="CVY2" s="101"/>
      <c r="CVZ2" s="100"/>
      <c r="CWA2" s="102"/>
      <c r="CWC2" s="101"/>
      <c r="CWD2" s="100"/>
      <c r="CWE2" s="102"/>
      <c r="CWG2" s="101"/>
      <c r="CWH2" s="100"/>
      <c r="CWI2" s="102"/>
      <c r="CWK2" s="101"/>
      <c r="CWL2" s="100"/>
      <c r="CWM2" s="102"/>
      <c r="CWO2" s="101"/>
      <c r="CWP2" s="100"/>
      <c r="CWQ2" s="102"/>
      <c r="CWS2" s="101"/>
      <c r="CWT2" s="100"/>
      <c r="CWU2" s="102"/>
      <c r="CWW2" s="101"/>
      <c r="CWX2" s="100"/>
      <c r="CWY2" s="102"/>
      <c r="CXA2" s="101"/>
      <c r="CXB2" s="100"/>
      <c r="CXC2" s="102"/>
      <c r="CXE2" s="101"/>
      <c r="CXF2" s="100"/>
      <c r="CXG2" s="102"/>
      <c r="CXI2" s="101"/>
      <c r="CXJ2" s="100"/>
      <c r="CXK2" s="102"/>
      <c r="CXM2" s="101"/>
      <c r="CXN2" s="100"/>
      <c r="CXO2" s="102"/>
      <c r="CXQ2" s="101"/>
      <c r="CXR2" s="100"/>
      <c r="CXS2" s="102"/>
      <c r="CXU2" s="101"/>
      <c r="CXV2" s="100"/>
      <c r="CXW2" s="102"/>
      <c r="CXY2" s="101"/>
      <c r="CXZ2" s="100"/>
      <c r="CYA2" s="102"/>
      <c r="CYC2" s="101"/>
      <c r="CYD2" s="100"/>
      <c r="CYE2" s="102"/>
      <c r="CYG2" s="101"/>
      <c r="CYH2" s="100"/>
      <c r="CYI2" s="102"/>
      <c r="CYK2" s="101"/>
      <c r="CYL2" s="100"/>
      <c r="CYM2" s="102"/>
      <c r="CYO2" s="101"/>
      <c r="CYP2" s="100"/>
      <c r="CYQ2" s="102"/>
      <c r="CYS2" s="101"/>
      <c r="CYT2" s="100"/>
      <c r="CYU2" s="102"/>
      <c r="CYW2" s="101"/>
      <c r="CYX2" s="100"/>
      <c r="CYY2" s="102"/>
      <c r="CZA2" s="101"/>
      <c r="CZB2" s="100"/>
      <c r="CZC2" s="102"/>
      <c r="CZE2" s="101"/>
      <c r="CZF2" s="100"/>
      <c r="CZG2" s="102"/>
      <c r="CZI2" s="101"/>
      <c r="CZJ2" s="100"/>
      <c r="CZK2" s="102"/>
      <c r="CZM2" s="101"/>
      <c r="CZN2" s="100"/>
      <c r="CZO2" s="102"/>
      <c r="CZQ2" s="101"/>
      <c r="CZR2" s="100"/>
      <c r="CZS2" s="102"/>
      <c r="CZU2" s="101"/>
      <c r="CZV2" s="100"/>
      <c r="CZW2" s="102"/>
      <c r="CZY2" s="101"/>
      <c r="CZZ2" s="100"/>
      <c r="DAA2" s="102"/>
      <c r="DAC2" s="101"/>
      <c r="DAD2" s="100"/>
      <c r="DAE2" s="102"/>
      <c r="DAG2" s="101"/>
      <c r="DAH2" s="100"/>
      <c r="DAI2" s="102"/>
      <c r="DAK2" s="101"/>
      <c r="DAL2" s="100"/>
      <c r="DAM2" s="102"/>
      <c r="DAO2" s="101"/>
      <c r="DAP2" s="100"/>
      <c r="DAQ2" s="102"/>
      <c r="DAS2" s="101"/>
      <c r="DAT2" s="100"/>
      <c r="DAU2" s="102"/>
      <c r="DAW2" s="101"/>
      <c r="DAX2" s="100"/>
      <c r="DAY2" s="102"/>
      <c r="DBA2" s="101"/>
      <c r="DBB2" s="100"/>
      <c r="DBC2" s="102"/>
      <c r="DBE2" s="101"/>
      <c r="DBF2" s="100"/>
      <c r="DBG2" s="102"/>
      <c r="DBI2" s="101"/>
      <c r="DBJ2" s="100"/>
      <c r="DBK2" s="102"/>
      <c r="DBM2" s="101"/>
      <c r="DBN2" s="100"/>
      <c r="DBO2" s="102"/>
      <c r="DBQ2" s="101"/>
      <c r="DBR2" s="100"/>
      <c r="DBS2" s="102"/>
      <c r="DBU2" s="101"/>
      <c r="DBV2" s="100"/>
      <c r="DBW2" s="102"/>
      <c r="DBY2" s="101"/>
      <c r="DBZ2" s="100"/>
      <c r="DCA2" s="102"/>
      <c r="DCC2" s="101"/>
      <c r="DCD2" s="100"/>
      <c r="DCE2" s="102"/>
      <c r="DCG2" s="101"/>
      <c r="DCH2" s="100"/>
      <c r="DCI2" s="102"/>
      <c r="DCK2" s="101"/>
      <c r="DCL2" s="100"/>
      <c r="DCM2" s="102"/>
      <c r="DCO2" s="101"/>
      <c r="DCP2" s="100"/>
      <c r="DCQ2" s="102"/>
      <c r="DCS2" s="101"/>
      <c r="DCT2" s="100"/>
      <c r="DCU2" s="102"/>
      <c r="DCW2" s="101"/>
      <c r="DCX2" s="100"/>
      <c r="DCY2" s="102"/>
      <c r="DDA2" s="101"/>
      <c r="DDB2" s="100"/>
      <c r="DDC2" s="102"/>
      <c r="DDE2" s="101"/>
      <c r="DDF2" s="100"/>
      <c r="DDG2" s="102"/>
      <c r="DDI2" s="101"/>
      <c r="DDJ2" s="100"/>
      <c r="DDK2" s="102"/>
      <c r="DDM2" s="101"/>
      <c r="DDN2" s="100"/>
      <c r="DDO2" s="102"/>
      <c r="DDQ2" s="101"/>
      <c r="DDR2" s="100"/>
      <c r="DDS2" s="102"/>
      <c r="DDU2" s="101"/>
      <c r="DDV2" s="100"/>
      <c r="DDW2" s="102"/>
      <c r="DDY2" s="101"/>
      <c r="DDZ2" s="100"/>
      <c r="DEA2" s="102"/>
      <c r="DEC2" s="101"/>
      <c r="DED2" s="100"/>
      <c r="DEE2" s="102"/>
      <c r="DEG2" s="101"/>
      <c r="DEH2" s="100"/>
      <c r="DEI2" s="102"/>
      <c r="DEK2" s="101"/>
      <c r="DEL2" s="100"/>
      <c r="DEM2" s="102"/>
      <c r="DEO2" s="101"/>
      <c r="DEP2" s="100"/>
      <c r="DEQ2" s="102"/>
      <c r="DES2" s="101"/>
      <c r="DET2" s="100"/>
      <c r="DEU2" s="102"/>
      <c r="DEW2" s="101"/>
      <c r="DEX2" s="100"/>
      <c r="DEY2" s="102"/>
      <c r="DFA2" s="101"/>
      <c r="DFB2" s="100"/>
      <c r="DFC2" s="102"/>
      <c r="DFE2" s="101"/>
      <c r="DFF2" s="100"/>
      <c r="DFG2" s="102"/>
      <c r="DFI2" s="101"/>
      <c r="DFJ2" s="100"/>
      <c r="DFK2" s="102"/>
      <c r="DFM2" s="101"/>
      <c r="DFN2" s="100"/>
      <c r="DFO2" s="102"/>
      <c r="DFQ2" s="101"/>
      <c r="DFR2" s="100"/>
      <c r="DFS2" s="102"/>
      <c r="DFU2" s="101"/>
      <c r="DFV2" s="100"/>
      <c r="DFW2" s="102"/>
      <c r="DFY2" s="101"/>
      <c r="DFZ2" s="100"/>
      <c r="DGA2" s="102"/>
      <c r="DGC2" s="101"/>
      <c r="DGD2" s="100"/>
      <c r="DGE2" s="102"/>
      <c r="DGG2" s="101"/>
      <c r="DGH2" s="100"/>
      <c r="DGI2" s="102"/>
      <c r="DGK2" s="101"/>
      <c r="DGL2" s="100"/>
      <c r="DGM2" s="102"/>
      <c r="DGO2" s="101"/>
      <c r="DGP2" s="100"/>
      <c r="DGQ2" s="102"/>
      <c r="DGS2" s="101"/>
      <c r="DGT2" s="100"/>
      <c r="DGU2" s="102"/>
      <c r="DGW2" s="101"/>
      <c r="DGX2" s="100"/>
      <c r="DGY2" s="102"/>
      <c r="DHA2" s="101"/>
      <c r="DHB2" s="100"/>
      <c r="DHC2" s="102"/>
      <c r="DHE2" s="101"/>
      <c r="DHF2" s="100"/>
      <c r="DHG2" s="102"/>
      <c r="DHI2" s="101"/>
      <c r="DHJ2" s="100"/>
      <c r="DHK2" s="102"/>
      <c r="DHM2" s="101"/>
      <c r="DHN2" s="100"/>
      <c r="DHO2" s="102"/>
      <c r="DHQ2" s="101"/>
      <c r="DHR2" s="100"/>
      <c r="DHS2" s="102"/>
      <c r="DHU2" s="101"/>
      <c r="DHV2" s="100"/>
      <c r="DHW2" s="102"/>
      <c r="DHY2" s="101"/>
      <c r="DHZ2" s="100"/>
      <c r="DIA2" s="102"/>
      <c r="DIC2" s="101"/>
      <c r="DID2" s="100"/>
      <c r="DIE2" s="102"/>
      <c r="DIG2" s="101"/>
      <c r="DIH2" s="100"/>
      <c r="DII2" s="102"/>
      <c r="DIK2" s="101"/>
      <c r="DIL2" s="100"/>
      <c r="DIM2" s="102"/>
      <c r="DIO2" s="101"/>
      <c r="DIP2" s="100"/>
      <c r="DIQ2" s="102"/>
      <c r="DIS2" s="101"/>
      <c r="DIT2" s="100"/>
      <c r="DIU2" s="102"/>
      <c r="DIW2" s="101"/>
      <c r="DIX2" s="100"/>
      <c r="DIY2" s="102"/>
      <c r="DJA2" s="101"/>
      <c r="DJB2" s="100"/>
      <c r="DJC2" s="102"/>
      <c r="DJE2" s="101"/>
      <c r="DJF2" s="100"/>
      <c r="DJG2" s="102"/>
      <c r="DJI2" s="101"/>
      <c r="DJJ2" s="100"/>
      <c r="DJK2" s="102"/>
      <c r="DJM2" s="101"/>
      <c r="DJN2" s="100"/>
      <c r="DJO2" s="102"/>
      <c r="DJQ2" s="101"/>
      <c r="DJR2" s="100"/>
      <c r="DJS2" s="102"/>
      <c r="DJU2" s="101"/>
      <c r="DJV2" s="100"/>
      <c r="DJW2" s="102"/>
      <c r="DJY2" s="101"/>
      <c r="DJZ2" s="100"/>
      <c r="DKA2" s="102"/>
      <c r="DKC2" s="101"/>
      <c r="DKD2" s="100"/>
      <c r="DKE2" s="102"/>
      <c r="DKG2" s="101"/>
      <c r="DKH2" s="100"/>
      <c r="DKI2" s="102"/>
      <c r="DKK2" s="101"/>
      <c r="DKL2" s="100"/>
      <c r="DKM2" s="102"/>
      <c r="DKO2" s="101"/>
      <c r="DKP2" s="100"/>
      <c r="DKQ2" s="102"/>
      <c r="DKS2" s="101"/>
      <c r="DKT2" s="100"/>
      <c r="DKU2" s="102"/>
      <c r="DKW2" s="101"/>
      <c r="DKX2" s="100"/>
      <c r="DKY2" s="102"/>
      <c r="DLA2" s="101"/>
      <c r="DLB2" s="100"/>
      <c r="DLC2" s="102"/>
      <c r="DLE2" s="101"/>
      <c r="DLF2" s="100"/>
      <c r="DLG2" s="102"/>
      <c r="DLI2" s="101"/>
      <c r="DLJ2" s="100"/>
      <c r="DLK2" s="102"/>
      <c r="DLM2" s="101"/>
      <c r="DLN2" s="100"/>
      <c r="DLO2" s="102"/>
      <c r="DLQ2" s="101"/>
      <c r="DLR2" s="100"/>
      <c r="DLS2" s="102"/>
      <c r="DLU2" s="101"/>
      <c r="DLV2" s="100"/>
      <c r="DLW2" s="102"/>
      <c r="DLY2" s="101"/>
      <c r="DLZ2" s="100"/>
      <c r="DMA2" s="102"/>
      <c r="DMC2" s="101"/>
      <c r="DMD2" s="100"/>
      <c r="DME2" s="102"/>
      <c r="DMG2" s="101"/>
      <c r="DMH2" s="100"/>
      <c r="DMI2" s="102"/>
      <c r="DMK2" s="101"/>
      <c r="DML2" s="100"/>
      <c r="DMM2" s="102"/>
      <c r="DMO2" s="101"/>
      <c r="DMP2" s="100"/>
      <c r="DMQ2" s="102"/>
      <c r="DMS2" s="101"/>
      <c r="DMT2" s="100"/>
      <c r="DMU2" s="102"/>
      <c r="DMW2" s="101"/>
      <c r="DMX2" s="100"/>
      <c r="DMY2" s="102"/>
      <c r="DNA2" s="101"/>
      <c r="DNB2" s="100"/>
      <c r="DNC2" s="102"/>
      <c r="DNE2" s="101"/>
      <c r="DNF2" s="100"/>
      <c r="DNG2" s="102"/>
      <c r="DNI2" s="101"/>
      <c r="DNJ2" s="100"/>
      <c r="DNK2" s="102"/>
      <c r="DNM2" s="101"/>
      <c r="DNN2" s="100"/>
      <c r="DNO2" s="102"/>
      <c r="DNQ2" s="101"/>
      <c r="DNR2" s="100"/>
      <c r="DNS2" s="102"/>
      <c r="DNU2" s="101"/>
      <c r="DNV2" s="100"/>
      <c r="DNW2" s="102"/>
      <c r="DNY2" s="101"/>
      <c r="DNZ2" s="100"/>
      <c r="DOA2" s="102"/>
      <c r="DOC2" s="101"/>
      <c r="DOD2" s="100"/>
      <c r="DOE2" s="102"/>
      <c r="DOG2" s="101"/>
      <c r="DOH2" s="100"/>
      <c r="DOI2" s="102"/>
      <c r="DOK2" s="101"/>
      <c r="DOL2" s="100"/>
      <c r="DOM2" s="102"/>
      <c r="DOO2" s="101"/>
      <c r="DOP2" s="100"/>
      <c r="DOQ2" s="102"/>
      <c r="DOS2" s="101"/>
      <c r="DOT2" s="100"/>
      <c r="DOU2" s="102"/>
      <c r="DOW2" s="101"/>
      <c r="DOX2" s="100"/>
      <c r="DOY2" s="102"/>
      <c r="DPA2" s="101"/>
      <c r="DPB2" s="100"/>
      <c r="DPC2" s="102"/>
      <c r="DPE2" s="101"/>
      <c r="DPF2" s="100"/>
      <c r="DPG2" s="102"/>
      <c r="DPI2" s="101"/>
      <c r="DPJ2" s="100"/>
      <c r="DPK2" s="102"/>
      <c r="DPM2" s="101"/>
      <c r="DPN2" s="100"/>
      <c r="DPO2" s="102"/>
      <c r="DPQ2" s="101"/>
      <c r="DPR2" s="100"/>
      <c r="DPS2" s="102"/>
      <c r="DPU2" s="101"/>
      <c r="DPV2" s="100"/>
      <c r="DPW2" s="102"/>
      <c r="DPY2" s="101"/>
      <c r="DPZ2" s="100"/>
      <c r="DQA2" s="102"/>
      <c r="DQC2" s="101"/>
      <c r="DQD2" s="100"/>
      <c r="DQE2" s="102"/>
      <c r="DQG2" s="101"/>
      <c r="DQH2" s="100"/>
      <c r="DQI2" s="102"/>
      <c r="DQK2" s="101"/>
      <c r="DQL2" s="100"/>
      <c r="DQM2" s="102"/>
      <c r="DQO2" s="101"/>
      <c r="DQP2" s="100"/>
      <c r="DQQ2" s="102"/>
      <c r="DQS2" s="101"/>
      <c r="DQT2" s="100"/>
      <c r="DQU2" s="102"/>
      <c r="DQW2" s="101"/>
      <c r="DQX2" s="100"/>
      <c r="DQY2" s="102"/>
      <c r="DRA2" s="101"/>
      <c r="DRB2" s="100"/>
      <c r="DRC2" s="102"/>
      <c r="DRE2" s="101"/>
      <c r="DRF2" s="100"/>
      <c r="DRG2" s="102"/>
      <c r="DRI2" s="101"/>
      <c r="DRJ2" s="100"/>
      <c r="DRK2" s="102"/>
      <c r="DRM2" s="101"/>
      <c r="DRN2" s="100"/>
      <c r="DRO2" s="102"/>
      <c r="DRQ2" s="101"/>
      <c r="DRR2" s="100"/>
      <c r="DRS2" s="102"/>
      <c r="DRU2" s="101"/>
      <c r="DRV2" s="100"/>
      <c r="DRW2" s="102"/>
      <c r="DRY2" s="101"/>
      <c r="DRZ2" s="100"/>
      <c r="DSA2" s="102"/>
      <c r="DSC2" s="101"/>
      <c r="DSD2" s="100"/>
      <c r="DSE2" s="102"/>
      <c r="DSG2" s="101"/>
      <c r="DSH2" s="100"/>
      <c r="DSI2" s="102"/>
      <c r="DSK2" s="101"/>
      <c r="DSL2" s="100"/>
      <c r="DSM2" s="102"/>
      <c r="DSO2" s="101"/>
      <c r="DSP2" s="100"/>
      <c r="DSQ2" s="102"/>
      <c r="DSS2" s="101"/>
      <c r="DST2" s="100"/>
      <c r="DSU2" s="102"/>
      <c r="DSW2" s="101"/>
      <c r="DSX2" s="100"/>
      <c r="DSY2" s="102"/>
      <c r="DTA2" s="101"/>
      <c r="DTB2" s="100"/>
      <c r="DTC2" s="102"/>
      <c r="DTE2" s="101"/>
      <c r="DTF2" s="100"/>
      <c r="DTG2" s="102"/>
      <c r="DTI2" s="101"/>
      <c r="DTJ2" s="100"/>
      <c r="DTK2" s="102"/>
      <c r="DTM2" s="101"/>
      <c r="DTN2" s="100"/>
      <c r="DTO2" s="102"/>
      <c r="DTQ2" s="101"/>
      <c r="DTR2" s="100"/>
      <c r="DTS2" s="102"/>
      <c r="DTU2" s="101"/>
      <c r="DTV2" s="100"/>
      <c r="DTW2" s="102"/>
      <c r="DTY2" s="101"/>
      <c r="DTZ2" s="100"/>
      <c r="DUA2" s="102"/>
      <c r="DUC2" s="101"/>
      <c r="DUD2" s="100"/>
      <c r="DUE2" s="102"/>
      <c r="DUG2" s="101"/>
      <c r="DUH2" s="100"/>
      <c r="DUI2" s="102"/>
      <c r="DUK2" s="101"/>
      <c r="DUL2" s="100"/>
      <c r="DUM2" s="102"/>
      <c r="DUO2" s="101"/>
      <c r="DUP2" s="100"/>
      <c r="DUQ2" s="102"/>
      <c r="DUS2" s="101"/>
      <c r="DUT2" s="100"/>
      <c r="DUU2" s="102"/>
      <c r="DUW2" s="101"/>
      <c r="DUX2" s="100"/>
      <c r="DUY2" s="102"/>
      <c r="DVA2" s="101"/>
      <c r="DVB2" s="100"/>
      <c r="DVC2" s="102"/>
      <c r="DVE2" s="101"/>
      <c r="DVF2" s="100"/>
      <c r="DVG2" s="102"/>
      <c r="DVI2" s="101"/>
      <c r="DVJ2" s="100"/>
      <c r="DVK2" s="102"/>
      <c r="DVM2" s="101"/>
      <c r="DVN2" s="100"/>
      <c r="DVO2" s="102"/>
      <c r="DVQ2" s="101"/>
      <c r="DVR2" s="100"/>
      <c r="DVS2" s="102"/>
      <c r="DVU2" s="101"/>
      <c r="DVV2" s="100"/>
      <c r="DVW2" s="102"/>
      <c r="DVY2" s="101"/>
      <c r="DVZ2" s="100"/>
      <c r="DWA2" s="102"/>
      <c r="DWC2" s="101"/>
      <c r="DWD2" s="100"/>
      <c r="DWE2" s="102"/>
      <c r="DWG2" s="101"/>
      <c r="DWH2" s="100"/>
      <c r="DWI2" s="102"/>
      <c r="DWK2" s="101"/>
      <c r="DWL2" s="100"/>
      <c r="DWM2" s="102"/>
      <c r="DWO2" s="101"/>
      <c r="DWP2" s="100"/>
      <c r="DWQ2" s="102"/>
      <c r="DWS2" s="101"/>
      <c r="DWT2" s="100"/>
      <c r="DWU2" s="102"/>
      <c r="DWW2" s="101"/>
      <c r="DWX2" s="100"/>
      <c r="DWY2" s="102"/>
      <c r="DXA2" s="101"/>
      <c r="DXB2" s="100"/>
      <c r="DXC2" s="102"/>
      <c r="DXE2" s="101"/>
      <c r="DXF2" s="100"/>
      <c r="DXG2" s="102"/>
      <c r="DXI2" s="101"/>
      <c r="DXJ2" s="100"/>
      <c r="DXK2" s="102"/>
      <c r="DXM2" s="101"/>
      <c r="DXN2" s="100"/>
      <c r="DXO2" s="102"/>
      <c r="DXQ2" s="101"/>
      <c r="DXR2" s="100"/>
      <c r="DXS2" s="102"/>
      <c r="DXU2" s="101"/>
      <c r="DXV2" s="100"/>
      <c r="DXW2" s="102"/>
      <c r="DXY2" s="101"/>
      <c r="DXZ2" s="100"/>
      <c r="DYA2" s="102"/>
      <c r="DYC2" s="101"/>
      <c r="DYD2" s="100"/>
      <c r="DYE2" s="102"/>
      <c r="DYG2" s="101"/>
      <c r="DYH2" s="100"/>
      <c r="DYI2" s="102"/>
      <c r="DYK2" s="101"/>
      <c r="DYL2" s="100"/>
      <c r="DYM2" s="102"/>
      <c r="DYO2" s="101"/>
      <c r="DYP2" s="100"/>
      <c r="DYQ2" s="102"/>
      <c r="DYS2" s="101"/>
      <c r="DYT2" s="100"/>
      <c r="DYU2" s="102"/>
      <c r="DYW2" s="101"/>
      <c r="DYX2" s="100"/>
      <c r="DYY2" s="102"/>
      <c r="DZA2" s="101"/>
      <c r="DZB2" s="100"/>
      <c r="DZC2" s="102"/>
      <c r="DZE2" s="101"/>
      <c r="DZF2" s="100"/>
      <c r="DZG2" s="102"/>
      <c r="DZI2" s="101"/>
      <c r="DZJ2" s="100"/>
      <c r="DZK2" s="102"/>
      <c r="DZM2" s="101"/>
      <c r="DZN2" s="100"/>
      <c r="DZO2" s="102"/>
      <c r="DZQ2" s="101"/>
      <c r="DZR2" s="100"/>
      <c r="DZS2" s="102"/>
      <c r="DZU2" s="101"/>
      <c r="DZV2" s="100"/>
      <c r="DZW2" s="102"/>
      <c r="DZY2" s="101"/>
      <c r="DZZ2" s="100"/>
      <c r="EAA2" s="102"/>
      <c r="EAC2" s="101"/>
      <c r="EAD2" s="100"/>
      <c r="EAE2" s="102"/>
      <c r="EAG2" s="101"/>
      <c r="EAH2" s="100"/>
      <c r="EAI2" s="102"/>
      <c r="EAK2" s="101"/>
      <c r="EAL2" s="100"/>
      <c r="EAM2" s="102"/>
      <c r="EAO2" s="101"/>
      <c r="EAP2" s="100"/>
      <c r="EAQ2" s="102"/>
      <c r="EAS2" s="101"/>
      <c r="EAT2" s="100"/>
      <c r="EAU2" s="102"/>
      <c r="EAW2" s="101"/>
      <c r="EAX2" s="100"/>
      <c r="EAY2" s="102"/>
      <c r="EBA2" s="101"/>
      <c r="EBB2" s="100"/>
      <c r="EBC2" s="102"/>
      <c r="EBE2" s="101"/>
      <c r="EBF2" s="100"/>
      <c r="EBG2" s="102"/>
      <c r="EBI2" s="101"/>
      <c r="EBJ2" s="100"/>
      <c r="EBK2" s="102"/>
      <c r="EBM2" s="101"/>
      <c r="EBN2" s="100"/>
      <c r="EBO2" s="102"/>
      <c r="EBQ2" s="101"/>
      <c r="EBR2" s="100"/>
      <c r="EBS2" s="102"/>
      <c r="EBU2" s="101"/>
      <c r="EBV2" s="100"/>
      <c r="EBW2" s="102"/>
      <c r="EBY2" s="101"/>
      <c r="EBZ2" s="100"/>
      <c r="ECA2" s="102"/>
      <c r="ECC2" s="101"/>
      <c r="ECD2" s="100"/>
      <c r="ECE2" s="102"/>
      <c r="ECG2" s="101"/>
      <c r="ECH2" s="100"/>
      <c r="ECI2" s="102"/>
      <c r="ECK2" s="101"/>
      <c r="ECL2" s="100"/>
      <c r="ECM2" s="102"/>
      <c r="ECO2" s="101"/>
      <c r="ECP2" s="100"/>
      <c r="ECQ2" s="102"/>
      <c r="ECS2" s="101"/>
      <c r="ECT2" s="100"/>
      <c r="ECU2" s="102"/>
      <c r="ECW2" s="101"/>
      <c r="ECX2" s="100"/>
      <c r="ECY2" s="102"/>
      <c r="EDA2" s="101"/>
      <c r="EDB2" s="100"/>
      <c r="EDC2" s="102"/>
      <c r="EDE2" s="101"/>
      <c r="EDF2" s="100"/>
      <c r="EDG2" s="102"/>
      <c r="EDI2" s="101"/>
      <c r="EDJ2" s="100"/>
      <c r="EDK2" s="102"/>
      <c r="EDM2" s="101"/>
      <c r="EDN2" s="100"/>
      <c r="EDO2" s="102"/>
      <c r="EDQ2" s="101"/>
      <c r="EDR2" s="100"/>
      <c r="EDS2" s="102"/>
      <c r="EDU2" s="101"/>
      <c r="EDV2" s="100"/>
      <c r="EDW2" s="102"/>
      <c r="EDY2" s="101"/>
      <c r="EDZ2" s="100"/>
      <c r="EEA2" s="102"/>
      <c r="EEC2" s="101"/>
      <c r="EED2" s="100"/>
      <c r="EEE2" s="102"/>
      <c r="EEG2" s="101"/>
      <c r="EEH2" s="100"/>
      <c r="EEI2" s="102"/>
      <c r="EEK2" s="101"/>
      <c r="EEL2" s="100"/>
      <c r="EEM2" s="102"/>
      <c r="EEO2" s="101"/>
      <c r="EEP2" s="100"/>
      <c r="EEQ2" s="102"/>
      <c r="EES2" s="101"/>
      <c r="EET2" s="100"/>
      <c r="EEU2" s="102"/>
      <c r="EEW2" s="101"/>
      <c r="EEX2" s="100"/>
      <c r="EEY2" s="102"/>
      <c r="EFA2" s="101"/>
      <c r="EFB2" s="100"/>
      <c r="EFC2" s="102"/>
      <c r="EFE2" s="101"/>
      <c r="EFF2" s="100"/>
      <c r="EFG2" s="102"/>
      <c r="EFI2" s="101"/>
      <c r="EFJ2" s="100"/>
      <c r="EFK2" s="102"/>
      <c r="EFM2" s="101"/>
      <c r="EFN2" s="100"/>
      <c r="EFO2" s="102"/>
      <c r="EFQ2" s="101"/>
      <c r="EFR2" s="100"/>
      <c r="EFS2" s="102"/>
      <c r="EFU2" s="101"/>
      <c r="EFV2" s="100"/>
      <c r="EFW2" s="102"/>
      <c r="EFY2" s="101"/>
      <c r="EFZ2" s="100"/>
      <c r="EGA2" s="102"/>
      <c r="EGC2" s="101"/>
      <c r="EGD2" s="100"/>
      <c r="EGE2" s="102"/>
      <c r="EGG2" s="101"/>
      <c r="EGH2" s="100"/>
      <c r="EGI2" s="102"/>
      <c r="EGK2" s="101"/>
      <c r="EGL2" s="100"/>
      <c r="EGM2" s="102"/>
      <c r="EGO2" s="101"/>
      <c r="EGP2" s="100"/>
      <c r="EGQ2" s="102"/>
      <c r="EGS2" s="101"/>
      <c r="EGT2" s="100"/>
      <c r="EGU2" s="102"/>
      <c r="EGW2" s="101"/>
      <c r="EGX2" s="100"/>
      <c r="EGY2" s="102"/>
      <c r="EHA2" s="101"/>
      <c r="EHB2" s="100"/>
      <c r="EHC2" s="102"/>
      <c r="EHE2" s="101"/>
      <c r="EHF2" s="100"/>
      <c r="EHG2" s="102"/>
      <c r="EHI2" s="101"/>
      <c r="EHJ2" s="100"/>
      <c r="EHK2" s="102"/>
      <c r="EHM2" s="101"/>
      <c r="EHN2" s="100"/>
      <c r="EHO2" s="102"/>
      <c r="EHQ2" s="101"/>
      <c r="EHR2" s="100"/>
      <c r="EHS2" s="102"/>
      <c r="EHU2" s="101"/>
      <c r="EHV2" s="100"/>
      <c r="EHW2" s="102"/>
      <c r="EHY2" s="101"/>
      <c r="EHZ2" s="100"/>
      <c r="EIA2" s="102"/>
      <c r="EIC2" s="101"/>
      <c r="EID2" s="100"/>
      <c r="EIE2" s="102"/>
      <c r="EIG2" s="101"/>
      <c r="EIH2" s="100"/>
      <c r="EII2" s="102"/>
      <c r="EIK2" s="101"/>
      <c r="EIL2" s="100"/>
      <c r="EIM2" s="102"/>
      <c r="EIO2" s="101"/>
      <c r="EIP2" s="100"/>
      <c r="EIQ2" s="102"/>
      <c r="EIS2" s="101"/>
      <c r="EIT2" s="100"/>
      <c r="EIU2" s="102"/>
      <c r="EIW2" s="101"/>
      <c r="EIX2" s="100"/>
      <c r="EIY2" s="102"/>
      <c r="EJA2" s="101"/>
      <c r="EJB2" s="100"/>
      <c r="EJC2" s="102"/>
      <c r="EJE2" s="101"/>
      <c r="EJF2" s="100"/>
      <c r="EJG2" s="102"/>
      <c r="EJI2" s="101"/>
      <c r="EJJ2" s="100"/>
      <c r="EJK2" s="102"/>
      <c r="EJM2" s="101"/>
      <c r="EJN2" s="100"/>
      <c r="EJO2" s="102"/>
      <c r="EJQ2" s="101"/>
      <c r="EJR2" s="100"/>
      <c r="EJS2" s="102"/>
      <c r="EJU2" s="101"/>
      <c r="EJV2" s="100"/>
      <c r="EJW2" s="102"/>
      <c r="EJY2" s="101"/>
      <c r="EJZ2" s="100"/>
      <c r="EKA2" s="102"/>
      <c r="EKC2" s="101"/>
      <c r="EKD2" s="100"/>
      <c r="EKE2" s="102"/>
      <c r="EKG2" s="101"/>
      <c r="EKH2" s="100"/>
      <c r="EKI2" s="102"/>
      <c r="EKK2" s="101"/>
      <c r="EKL2" s="100"/>
      <c r="EKM2" s="102"/>
      <c r="EKO2" s="101"/>
      <c r="EKP2" s="100"/>
      <c r="EKQ2" s="102"/>
      <c r="EKS2" s="101"/>
      <c r="EKT2" s="100"/>
      <c r="EKU2" s="102"/>
      <c r="EKW2" s="101"/>
      <c r="EKX2" s="100"/>
      <c r="EKY2" s="102"/>
      <c r="ELA2" s="101"/>
      <c r="ELB2" s="100"/>
      <c r="ELC2" s="102"/>
      <c r="ELE2" s="101"/>
      <c r="ELF2" s="100"/>
      <c r="ELG2" s="102"/>
      <c r="ELI2" s="101"/>
      <c r="ELJ2" s="100"/>
      <c r="ELK2" s="102"/>
      <c r="ELM2" s="101"/>
      <c r="ELN2" s="100"/>
      <c r="ELO2" s="102"/>
      <c r="ELQ2" s="101"/>
      <c r="ELR2" s="100"/>
      <c r="ELS2" s="102"/>
      <c r="ELU2" s="101"/>
      <c r="ELV2" s="100"/>
      <c r="ELW2" s="102"/>
      <c r="ELY2" s="101"/>
      <c r="ELZ2" s="100"/>
      <c r="EMA2" s="102"/>
      <c r="EMC2" s="101"/>
      <c r="EMD2" s="100"/>
      <c r="EME2" s="102"/>
      <c r="EMG2" s="101"/>
      <c r="EMH2" s="100"/>
      <c r="EMI2" s="102"/>
      <c r="EMK2" s="101"/>
      <c r="EML2" s="100"/>
      <c r="EMM2" s="102"/>
      <c r="EMO2" s="101"/>
      <c r="EMP2" s="100"/>
      <c r="EMQ2" s="102"/>
      <c r="EMS2" s="101"/>
      <c r="EMT2" s="100"/>
      <c r="EMU2" s="102"/>
      <c r="EMW2" s="101"/>
      <c r="EMX2" s="100"/>
      <c r="EMY2" s="102"/>
      <c r="ENA2" s="101"/>
      <c r="ENB2" s="100"/>
      <c r="ENC2" s="102"/>
      <c r="ENE2" s="101"/>
      <c r="ENF2" s="100"/>
      <c r="ENG2" s="102"/>
      <c r="ENI2" s="101"/>
      <c r="ENJ2" s="100"/>
      <c r="ENK2" s="102"/>
      <c r="ENM2" s="101"/>
      <c r="ENN2" s="100"/>
      <c r="ENO2" s="102"/>
      <c r="ENQ2" s="101"/>
      <c r="ENR2" s="100"/>
      <c r="ENS2" s="102"/>
      <c r="ENU2" s="101"/>
      <c r="ENV2" s="100"/>
      <c r="ENW2" s="102"/>
      <c r="ENY2" s="101"/>
      <c r="ENZ2" s="100"/>
      <c r="EOA2" s="102"/>
      <c r="EOC2" s="101"/>
      <c r="EOD2" s="100"/>
      <c r="EOE2" s="102"/>
      <c r="EOG2" s="101"/>
      <c r="EOH2" s="100"/>
      <c r="EOI2" s="102"/>
      <c r="EOK2" s="101"/>
      <c r="EOL2" s="100"/>
      <c r="EOM2" s="102"/>
      <c r="EOO2" s="101"/>
      <c r="EOP2" s="100"/>
      <c r="EOQ2" s="102"/>
      <c r="EOS2" s="101"/>
      <c r="EOT2" s="100"/>
      <c r="EOU2" s="102"/>
      <c r="EOW2" s="101"/>
      <c r="EOX2" s="100"/>
      <c r="EOY2" s="102"/>
      <c r="EPA2" s="101"/>
      <c r="EPB2" s="100"/>
      <c r="EPC2" s="102"/>
      <c r="EPE2" s="101"/>
      <c r="EPF2" s="100"/>
      <c r="EPG2" s="102"/>
      <c r="EPI2" s="101"/>
      <c r="EPJ2" s="100"/>
      <c r="EPK2" s="102"/>
      <c r="EPM2" s="101"/>
      <c r="EPN2" s="100"/>
      <c r="EPO2" s="102"/>
      <c r="EPQ2" s="101"/>
      <c r="EPR2" s="100"/>
      <c r="EPS2" s="102"/>
      <c r="EPU2" s="101"/>
      <c r="EPV2" s="100"/>
      <c r="EPW2" s="102"/>
      <c r="EPY2" s="101"/>
      <c r="EPZ2" s="100"/>
      <c r="EQA2" s="102"/>
      <c r="EQC2" s="101"/>
      <c r="EQD2" s="100"/>
      <c r="EQE2" s="102"/>
      <c r="EQG2" s="101"/>
      <c r="EQH2" s="100"/>
      <c r="EQI2" s="102"/>
      <c r="EQK2" s="101"/>
      <c r="EQL2" s="100"/>
      <c r="EQM2" s="102"/>
      <c r="EQO2" s="101"/>
      <c r="EQP2" s="100"/>
      <c r="EQQ2" s="102"/>
      <c r="EQS2" s="101"/>
      <c r="EQT2" s="100"/>
      <c r="EQU2" s="102"/>
      <c r="EQW2" s="101"/>
      <c r="EQX2" s="100"/>
      <c r="EQY2" s="102"/>
      <c r="ERA2" s="101"/>
      <c r="ERB2" s="100"/>
      <c r="ERC2" s="102"/>
      <c r="ERE2" s="101"/>
      <c r="ERF2" s="100"/>
      <c r="ERG2" s="102"/>
      <c r="ERI2" s="101"/>
      <c r="ERJ2" s="100"/>
      <c r="ERK2" s="102"/>
      <c r="ERM2" s="101"/>
      <c r="ERN2" s="100"/>
      <c r="ERO2" s="102"/>
      <c r="ERQ2" s="101"/>
      <c r="ERR2" s="100"/>
      <c r="ERS2" s="102"/>
      <c r="ERU2" s="101"/>
      <c r="ERV2" s="100"/>
      <c r="ERW2" s="102"/>
      <c r="ERY2" s="101"/>
      <c r="ERZ2" s="100"/>
      <c r="ESA2" s="102"/>
      <c r="ESC2" s="101"/>
      <c r="ESD2" s="100"/>
      <c r="ESE2" s="102"/>
      <c r="ESG2" s="101"/>
      <c r="ESH2" s="100"/>
      <c r="ESI2" s="102"/>
      <c r="ESK2" s="101"/>
      <c r="ESL2" s="100"/>
      <c r="ESM2" s="102"/>
      <c r="ESO2" s="101"/>
      <c r="ESP2" s="100"/>
      <c r="ESQ2" s="102"/>
      <c r="ESS2" s="101"/>
      <c r="EST2" s="100"/>
      <c r="ESU2" s="102"/>
      <c r="ESW2" s="101"/>
      <c r="ESX2" s="100"/>
      <c r="ESY2" s="102"/>
      <c r="ETA2" s="101"/>
      <c r="ETB2" s="100"/>
      <c r="ETC2" s="102"/>
      <c r="ETE2" s="101"/>
      <c r="ETF2" s="100"/>
      <c r="ETG2" s="102"/>
      <c r="ETI2" s="101"/>
      <c r="ETJ2" s="100"/>
      <c r="ETK2" s="102"/>
      <c r="ETM2" s="101"/>
      <c r="ETN2" s="100"/>
      <c r="ETO2" s="102"/>
      <c r="ETQ2" s="101"/>
      <c r="ETR2" s="100"/>
      <c r="ETS2" s="102"/>
      <c r="ETU2" s="101"/>
      <c r="ETV2" s="100"/>
      <c r="ETW2" s="102"/>
      <c r="ETY2" s="101"/>
      <c r="ETZ2" s="100"/>
      <c r="EUA2" s="102"/>
      <c r="EUC2" s="101"/>
      <c r="EUD2" s="100"/>
      <c r="EUE2" s="102"/>
      <c r="EUG2" s="101"/>
      <c r="EUH2" s="100"/>
      <c r="EUI2" s="102"/>
      <c r="EUK2" s="101"/>
      <c r="EUL2" s="100"/>
      <c r="EUM2" s="102"/>
      <c r="EUO2" s="101"/>
      <c r="EUP2" s="100"/>
      <c r="EUQ2" s="102"/>
      <c r="EUS2" s="101"/>
      <c r="EUT2" s="100"/>
      <c r="EUU2" s="102"/>
      <c r="EUW2" s="101"/>
      <c r="EUX2" s="100"/>
      <c r="EUY2" s="102"/>
      <c r="EVA2" s="101"/>
      <c r="EVB2" s="100"/>
      <c r="EVC2" s="102"/>
      <c r="EVE2" s="101"/>
      <c r="EVF2" s="100"/>
      <c r="EVG2" s="102"/>
      <c r="EVI2" s="101"/>
      <c r="EVJ2" s="100"/>
      <c r="EVK2" s="102"/>
      <c r="EVM2" s="101"/>
      <c r="EVN2" s="100"/>
      <c r="EVO2" s="102"/>
      <c r="EVQ2" s="101"/>
      <c r="EVR2" s="100"/>
      <c r="EVS2" s="102"/>
      <c r="EVU2" s="101"/>
      <c r="EVV2" s="100"/>
      <c r="EVW2" s="102"/>
      <c r="EVY2" s="101"/>
      <c r="EVZ2" s="100"/>
      <c r="EWA2" s="102"/>
      <c r="EWC2" s="101"/>
      <c r="EWD2" s="100"/>
      <c r="EWE2" s="102"/>
      <c r="EWG2" s="101"/>
      <c r="EWH2" s="100"/>
      <c r="EWI2" s="102"/>
      <c r="EWK2" s="101"/>
      <c r="EWL2" s="100"/>
      <c r="EWM2" s="102"/>
      <c r="EWO2" s="101"/>
      <c r="EWP2" s="100"/>
      <c r="EWQ2" s="102"/>
      <c r="EWS2" s="101"/>
      <c r="EWT2" s="100"/>
      <c r="EWU2" s="102"/>
      <c r="EWW2" s="101"/>
      <c r="EWX2" s="100"/>
      <c r="EWY2" s="102"/>
      <c r="EXA2" s="101"/>
      <c r="EXB2" s="100"/>
      <c r="EXC2" s="102"/>
      <c r="EXE2" s="101"/>
      <c r="EXF2" s="100"/>
      <c r="EXG2" s="102"/>
      <c r="EXI2" s="101"/>
      <c r="EXJ2" s="100"/>
      <c r="EXK2" s="102"/>
      <c r="EXM2" s="101"/>
      <c r="EXN2" s="100"/>
      <c r="EXO2" s="102"/>
      <c r="EXQ2" s="101"/>
      <c r="EXR2" s="100"/>
      <c r="EXS2" s="102"/>
      <c r="EXU2" s="101"/>
      <c r="EXV2" s="100"/>
      <c r="EXW2" s="102"/>
      <c r="EXY2" s="101"/>
      <c r="EXZ2" s="100"/>
      <c r="EYA2" s="102"/>
      <c r="EYC2" s="101"/>
      <c r="EYD2" s="100"/>
      <c r="EYE2" s="102"/>
      <c r="EYG2" s="101"/>
      <c r="EYH2" s="100"/>
      <c r="EYI2" s="102"/>
      <c r="EYK2" s="101"/>
      <c r="EYL2" s="100"/>
      <c r="EYM2" s="102"/>
      <c r="EYO2" s="101"/>
      <c r="EYP2" s="100"/>
      <c r="EYQ2" s="102"/>
      <c r="EYS2" s="101"/>
      <c r="EYT2" s="100"/>
      <c r="EYU2" s="102"/>
      <c r="EYW2" s="101"/>
      <c r="EYX2" s="100"/>
      <c r="EYY2" s="102"/>
      <c r="EZA2" s="101"/>
      <c r="EZB2" s="100"/>
      <c r="EZC2" s="102"/>
      <c r="EZE2" s="101"/>
      <c r="EZF2" s="100"/>
      <c r="EZG2" s="102"/>
      <c r="EZI2" s="101"/>
      <c r="EZJ2" s="100"/>
      <c r="EZK2" s="102"/>
      <c r="EZM2" s="101"/>
      <c r="EZN2" s="100"/>
      <c r="EZO2" s="102"/>
      <c r="EZQ2" s="101"/>
      <c r="EZR2" s="100"/>
      <c r="EZS2" s="102"/>
      <c r="EZU2" s="101"/>
      <c r="EZV2" s="100"/>
      <c r="EZW2" s="102"/>
      <c r="EZY2" s="101"/>
      <c r="EZZ2" s="100"/>
      <c r="FAA2" s="102"/>
      <c r="FAC2" s="101"/>
      <c r="FAD2" s="100"/>
      <c r="FAE2" s="102"/>
      <c r="FAG2" s="101"/>
      <c r="FAH2" s="100"/>
      <c r="FAI2" s="102"/>
      <c r="FAK2" s="101"/>
      <c r="FAL2" s="100"/>
      <c r="FAM2" s="102"/>
      <c r="FAO2" s="101"/>
      <c r="FAP2" s="100"/>
      <c r="FAQ2" s="102"/>
      <c r="FAS2" s="101"/>
      <c r="FAT2" s="100"/>
      <c r="FAU2" s="102"/>
      <c r="FAW2" s="101"/>
      <c r="FAX2" s="100"/>
      <c r="FAY2" s="102"/>
      <c r="FBA2" s="101"/>
      <c r="FBB2" s="100"/>
      <c r="FBC2" s="102"/>
      <c r="FBE2" s="101"/>
      <c r="FBF2" s="100"/>
      <c r="FBG2" s="102"/>
      <c r="FBI2" s="101"/>
      <c r="FBJ2" s="100"/>
      <c r="FBK2" s="102"/>
      <c r="FBM2" s="101"/>
      <c r="FBN2" s="100"/>
      <c r="FBO2" s="102"/>
      <c r="FBQ2" s="101"/>
      <c r="FBR2" s="100"/>
      <c r="FBS2" s="102"/>
      <c r="FBU2" s="101"/>
      <c r="FBV2" s="100"/>
      <c r="FBW2" s="102"/>
      <c r="FBY2" s="101"/>
      <c r="FBZ2" s="100"/>
      <c r="FCA2" s="102"/>
      <c r="FCC2" s="101"/>
      <c r="FCD2" s="100"/>
      <c r="FCE2" s="102"/>
      <c r="FCG2" s="101"/>
      <c r="FCH2" s="100"/>
      <c r="FCI2" s="102"/>
      <c r="FCK2" s="101"/>
      <c r="FCL2" s="100"/>
      <c r="FCM2" s="102"/>
      <c r="FCO2" s="101"/>
      <c r="FCP2" s="100"/>
      <c r="FCQ2" s="102"/>
      <c r="FCS2" s="101"/>
      <c r="FCT2" s="100"/>
      <c r="FCU2" s="102"/>
      <c r="FCW2" s="101"/>
      <c r="FCX2" s="100"/>
      <c r="FCY2" s="102"/>
      <c r="FDA2" s="101"/>
      <c r="FDB2" s="100"/>
      <c r="FDC2" s="102"/>
      <c r="FDE2" s="101"/>
      <c r="FDF2" s="100"/>
      <c r="FDG2" s="102"/>
      <c r="FDI2" s="101"/>
      <c r="FDJ2" s="100"/>
      <c r="FDK2" s="102"/>
      <c r="FDM2" s="101"/>
      <c r="FDN2" s="100"/>
      <c r="FDO2" s="102"/>
      <c r="FDQ2" s="101"/>
      <c r="FDR2" s="100"/>
      <c r="FDS2" s="102"/>
      <c r="FDU2" s="101"/>
      <c r="FDV2" s="100"/>
      <c r="FDW2" s="102"/>
      <c r="FDY2" s="101"/>
      <c r="FDZ2" s="100"/>
      <c r="FEA2" s="102"/>
      <c r="FEC2" s="101"/>
      <c r="FED2" s="100"/>
      <c r="FEE2" s="102"/>
      <c r="FEG2" s="101"/>
      <c r="FEH2" s="100"/>
      <c r="FEI2" s="102"/>
      <c r="FEK2" s="101"/>
      <c r="FEL2" s="100"/>
      <c r="FEM2" s="102"/>
      <c r="FEO2" s="101"/>
      <c r="FEP2" s="100"/>
      <c r="FEQ2" s="102"/>
      <c r="FES2" s="101"/>
      <c r="FET2" s="100"/>
      <c r="FEU2" s="102"/>
      <c r="FEW2" s="101"/>
      <c r="FEX2" s="100"/>
      <c r="FEY2" s="102"/>
      <c r="FFA2" s="101"/>
      <c r="FFB2" s="100"/>
      <c r="FFC2" s="102"/>
      <c r="FFE2" s="101"/>
      <c r="FFF2" s="100"/>
      <c r="FFG2" s="102"/>
      <c r="FFI2" s="101"/>
      <c r="FFJ2" s="100"/>
      <c r="FFK2" s="102"/>
      <c r="FFM2" s="101"/>
      <c r="FFN2" s="100"/>
      <c r="FFO2" s="102"/>
      <c r="FFQ2" s="101"/>
      <c r="FFR2" s="100"/>
      <c r="FFS2" s="102"/>
      <c r="FFU2" s="101"/>
      <c r="FFV2" s="100"/>
      <c r="FFW2" s="102"/>
      <c r="FFY2" s="101"/>
      <c r="FFZ2" s="100"/>
      <c r="FGA2" s="102"/>
      <c r="FGC2" s="101"/>
      <c r="FGD2" s="100"/>
      <c r="FGE2" s="102"/>
      <c r="FGG2" s="101"/>
      <c r="FGH2" s="100"/>
      <c r="FGI2" s="102"/>
      <c r="FGK2" s="101"/>
      <c r="FGL2" s="100"/>
      <c r="FGM2" s="102"/>
      <c r="FGO2" s="101"/>
      <c r="FGP2" s="100"/>
      <c r="FGQ2" s="102"/>
      <c r="FGS2" s="101"/>
      <c r="FGT2" s="100"/>
      <c r="FGU2" s="102"/>
      <c r="FGW2" s="101"/>
      <c r="FGX2" s="100"/>
      <c r="FGY2" s="102"/>
      <c r="FHA2" s="101"/>
      <c r="FHB2" s="100"/>
      <c r="FHC2" s="102"/>
      <c r="FHE2" s="101"/>
      <c r="FHF2" s="100"/>
      <c r="FHG2" s="102"/>
      <c r="FHI2" s="101"/>
      <c r="FHJ2" s="100"/>
      <c r="FHK2" s="102"/>
      <c r="FHM2" s="101"/>
      <c r="FHN2" s="100"/>
      <c r="FHO2" s="102"/>
      <c r="FHQ2" s="101"/>
      <c r="FHR2" s="100"/>
      <c r="FHS2" s="102"/>
      <c r="FHU2" s="101"/>
      <c r="FHV2" s="100"/>
      <c r="FHW2" s="102"/>
      <c r="FHY2" s="101"/>
      <c r="FHZ2" s="100"/>
      <c r="FIA2" s="102"/>
      <c r="FIC2" s="101"/>
      <c r="FID2" s="100"/>
      <c r="FIE2" s="102"/>
      <c r="FIG2" s="101"/>
      <c r="FIH2" s="100"/>
      <c r="FII2" s="102"/>
      <c r="FIK2" s="101"/>
      <c r="FIL2" s="100"/>
      <c r="FIM2" s="102"/>
      <c r="FIO2" s="101"/>
      <c r="FIP2" s="100"/>
      <c r="FIQ2" s="102"/>
      <c r="FIS2" s="101"/>
      <c r="FIT2" s="100"/>
      <c r="FIU2" s="102"/>
      <c r="FIW2" s="101"/>
      <c r="FIX2" s="100"/>
      <c r="FIY2" s="102"/>
      <c r="FJA2" s="101"/>
      <c r="FJB2" s="100"/>
      <c r="FJC2" s="102"/>
      <c r="FJE2" s="101"/>
      <c r="FJF2" s="100"/>
      <c r="FJG2" s="102"/>
      <c r="FJI2" s="101"/>
      <c r="FJJ2" s="100"/>
      <c r="FJK2" s="102"/>
      <c r="FJM2" s="101"/>
      <c r="FJN2" s="100"/>
      <c r="FJO2" s="102"/>
      <c r="FJQ2" s="101"/>
      <c r="FJR2" s="100"/>
      <c r="FJS2" s="102"/>
      <c r="FJU2" s="101"/>
      <c r="FJV2" s="100"/>
      <c r="FJW2" s="102"/>
      <c r="FJY2" s="101"/>
      <c r="FJZ2" s="100"/>
      <c r="FKA2" s="102"/>
      <c r="FKC2" s="101"/>
      <c r="FKD2" s="100"/>
      <c r="FKE2" s="102"/>
      <c r="FKG2" s="101"/>
      <c r="FKH2" s="100"/>
      <c r="FKI2" s="102"/>
      <c r="FKK2" s="101"/>
      <c r="FKL2" s="100"/>
      <c r="FKM2" s="102"/>
      <c r="FKO2" s="101"/>
      <c r="FKP2" s="100"/>
      <c r="FKQ2" s="102"/>
      <c r="FKS2" s="101"/>
      <c r="FKT2" s="100"/>
      <c r="FKU2" s="102"/>
      <c r="FKW2" s="101"/>
      <c r="FKX2" s="100"/>
      <c r="FKY2" s="102"/>
      <c r="FLA2" s="101"/>
      <c r="FLB2" s="100"/>
      <c r="FLC2" s="102"/>
      <c r="FLE2" s="101"/>
      <c r="FLF2" s="100"/>
      <c r="FLG2" s="102"/>
      <c r="FLI2" s="101"/>
      <c r="FLJ2" s="100"/>
      <c r="FLK2" s="102"/>
      <c r="FLM2" s="101"/>
      <c r="FLN2" s="100"/>
      <c r="FLO2" s="102"/>
      <c r="FLQ2" s="101"/>
      <c r="FLR2" s="100"/>
      <c r="FLS2" s="102"/>
      <c r="FLU2" s="101"/>
      <c r="FLV2" s="100"/>
      <c r="FLW2" s="102"/>
      <c r="FLY2" s="101"/>
      <c r="FLZ2" s="100"/>
      <c r="FMA2" s="102"/>
      <c r="FMC2" s="101"/>
      <c r="FMD2" s="100"/>
      <c r="FME2" s="102"/>
      <c r="FMG2" s="101"/>
      <c r="FMH2" s="100"/>
      <c r="FMI2" s="102"/>
      <c r="FMK2" s="101"/>
      <c r="FML2" s="100"/>
      <c r="FMM2" s="102"/>
      <c r="FMO2" s="101"/>
      <c r="FMP2" s="100"/>
      <c r="FMQ2" s="102"/>
      <c r="FMS2" s="101"/>
      <c r="FMT2" s="100"/>
      <c r="FMU2" s="102"/>
      <c r="FMW2" s="101"/>
      <c r="FMX2" s="100"/>
      <c r="FMY2" s="102"/>
      <c r="FNA2" s="101"/>
      <c r="FNB2" s="100"/>
      <c r="FNC2" s="102"/>
      <c r="FNE2" s="101"/>
      <c r="FNF2" s="100"/>
      <c r="FNG2" s="102"/>
      <c r="FNI2" s="101"/>
      <c r="FNJ2" s="100"/>
      <c r="FNK2" s="102"/>
      <c r="FNM2" s="101"/>
      <c r="FNN2" s="100"/>
      <c r="FNO2" s="102"/>
      <c r="FNQ2" s="101"/>
      <c r="FNR2" s="100"/>
      <c r="FNS2" s="102"/>
      <c r="FNU2" s="101"/>
      <c r="FNV2" s="100"/>
      <c r="FNW2" s="102"/>
      <c r="FNY2" s="101"/>
      <c r="FNZ2" s="100"/>
      <c r="FOA2" s="102"/>
      <c r="FOC2" s="101"/>
      <c r="FOD2" s="100"/>
      <c r="FOE2" s="102"/>
      <c r="FOG2" s="101"/>
      <c r="FOH2" s="100"/>
      <c r="FOI2" s="102"/>
      <c r="FOK2" s="101"/>
      <c r="FOL2" s="100"/>
      <c r="FOM2" s="102"/>
      <c r="FOO2" s="101"/>
      <c r="FOP2" s="100"/>
      <c r="FOQ2" s="102"/>
      <c r="FOS2" s="101"/>
      <c r="FOT2" s="100"/>
      <c r="FOU2" s="102"/>
      <c r="FOW2" s="101"/>
      <c r="FOX2" s="100"/>
      <c r="FOY2" s="102"/>
      <c r="FPA2" s="101"/>
      <c r="FPB2" s="100"/>
      <c r="FPC2" s="102"/>
      <c r="FPE2" s="101"/>
      <c r="FPF2" s="100"/>
      <c r="FPG2" s="102"/>
      <c r="FPI2" s="101"/>
      <c r="FPJ2" s="100"/>
      <c r="FPK2" s="102"/>
      <c r="FPM2" s="101"/>
      <c r="FPN2" s="100"/>
      <c r="FPO2" s="102"/>
      <c r="FPQ2" s="101"/>
      <c r="FPR2" s="100"/>
      <c r="FPS2" s="102"/>
      <c r="FPU2" s="101"/>
      <c r="FPV2" s="100"/>
      <c r="FPW2" s="102"/>
      <c r="FPY2" s="101"/>
      <c r="FPZ2" s="100"/>
      <c r="FQA2" s="102"/>
      <c r="FQC2" s="101"/>
      <c r="FQD2" s="100"/>
      <c r="FQE2" s="102"/>
      <c r="FQG2" s="101"/>
      <c r="FQH2" s="100"/>
      <c r="FQI2" s="102"/>
      <c r="FQK2" s="101"/>
      <c r="FQL2" s="100"/>
      <c r="FQM2" s="102"/>
      <c r="FQO2" s="101"/>
      <c r="FQP2" s="100"/>
      <c r="FQQ2" s="102"/>
      <c r="FQS2" s="101"/>
      <c r="FQT2" s="100"/>
      <c r="FQU2" s="102"/>
      <c r="FQW2" s="101"/>
      <c r="FQX2" s="100"/>
      <c r="FQY2" s="102"/>
      <c r="FRA2" s="101"/>
      <c r="FRB2" s="100"/>
      <c r="FRC2" s="102"/>
      <c r="FRE2" s="101"/>
      <c r="FRF2" s="100"/>
      <c r="FRG2" s="102"/>
      <c r="FRI2" s="101"/>
      <c r="FRJ2" s="100"/>
      <c r="FRK2" s="102"/>
      <c r="FRM2" s="101"/>
      <c r="FRN2" s="100"/>
      <c r="FRO2" s="102"/>
      <c r="FRQ2" s="101"/>
      <c r="FRR2" s="100"/>
      <c r="FRS2" s="102"/>
      <c r="FRU2" s="101"/>
      <c r="FRV2" s="100"/>
      <c r="FRW2" s="102"/>
      <c r="FRY2" s="101"/>
      <c r="FRZ2" s="100"/>
      <c r="FSA2" s="102"/>
      <c r="FSC2" s="101"/>
      <c r="FSD2" s="100"/>
      <c r="FSE2" s="102"/>
      <c r="FSG2" s="101"/>
      <c r="FSH2" s="100"/>
      <c r="FSI2" s="102"/>
      <c r="FSK2" s="101"/>
      <c r="FSL2" s="100"/>
      <c r="FSM2" s="102"/>
      <c r="FSO2" s="101"/>
      <c r="FSP2" s="100"/>
      <c r="FSQ2" s="102"/>
      <c r="FSS2" s="101"/>
      <c r="FST2" s="100"/>
      <c r="FSU2" s="102"/>
      <c r="FSW2" s="101"/>
      <c r="FSX2" s="100"/>
      <c r="FSY2" s="102"/>
      <c r="FTA2" s="101"/>
      <c r="FTB2" s="100"/>
      <c r="FTC2" s="102"/>
      <c r="FTE2" s="101"/>
      <c r="FTF2" s="100"/>
      <c r="FTG2" s="102"/>
      <c r="FTI2" s="101"/>
      <c r="FTJ2" s="100"/>
      <c r="FTK2" s="102"/>
      <c r="FTM2" s="101"/>
      <c r="FTN2" s="100"/>
      <c r="FTO2" s="102"/>
      <c r="FTQ2" s="101"/>
      <c r="FTR2" s="100"/>
      <c r="FTS2" s="102"/>
      <c r="FTU2" s="101"/>
      <c r="FTV2" s="100"/>
      <c r="FTW2" s="102"/>
      <c r="FTY2" s="101"/>
      <c r="FTZ2" s="100"/>
      <c r="FUA2" s="102"/>
      <c r="FUC2" s="101"/>
      <c r="FUD2" s="100"/>
      <c r="FUE2" s="102"/>
      <c r="FUG2" s="101"/>
      <c r="FUH2" s="100"/>
      <c r="FUI2" s="102"/>
      <c r="FUK2" s="101"/>
      <c r="FUL2" s="100"/>
      <c r="FUM2" s="102"/>
      <c r="FUO2" s="101"/>
      <c r="FUP2" s="100"/>
      <c r="FUQ2" s="102"/>
      <c r="FUS2" s="101"/>
      <c r="FUT2" s="100"/>
      <c r="FUU2" s="102"/>
      <c r="FUW2" s="101"/>
      <c r="FUX2" s="100"/>
      <c r="FUY2" s="102"/>
      <c r="FVA2" s="101"/>
      <c r="FVB2" s="100"/>
      <c r="FVC2" s="102"/>
      <c r="FVE2" s="101"/>
      <c r="FVF2" s="100"/>
      <c r="FVG2" s="102"/>
      <c r="FVI2" s="101"/>
      <c r="FVJ2" s="100"/>
      <c r="FVK2" s="102"/>
      <c r="FVM2" s="101"/>
      <c r="FVN2" s="100"/>
      <c r="FVO2" s="102"/>
      <c r="FVQ2" s="101"/>
      <c r="FVR2" s="100"/>
      <c r="FVS2" s="102"/>
      <c r="FVU2" s="101"/>
      <c r="FVV2" s="100"/>
      <c r="FVW2" s="102"/>
      <c r="FVY2" s="101"/>
      <c r="FVZ2" s="100"/>
      <c r="FWA2" s="102"/>
      <c r="FWC2" s="101"/>
      <c r="FWD2" s="100"/>
      <c r="FWE2" s="102"/>
      <c r="FWG2" s="101"/>
      <c r="FWH2" s="100"/>
      <c r="FWI2" s="102"/>
      <c r="FWK2" s="101"/>
      <c r="FWL2" s="100"/>
      <c r="FWM2" s="102"/>
      <c r="FWO2" s="101"/>
      <c r="FWP2" s="100"/>
      <c r="FWQ2" s="102"/>
      <c r="FWS2" s="101"/>
      <c r="FWT2" s="100"/>
      <c r="FWU2" s="102"/>
      <c r="FWW2" s="101"/>
      <c r="FWX2" s="100"/>
      <c r="FWY2" s="102"/>
      <c r="FXA2" s="101"/>
      <c r="FXB2" s="100"/>
      <c r="FXC2" s="102"/>
      <c r="FXE2" s="101"/>
      <c r="FXF2" s="100"/>
      <c r="FXG2" s="102"/>
      <c r="FXI2" s="101"/>
      <c r="FXJ2" s="100"/>
      <c r="FXK2" s="102"/>
      <c r="FXM2" s="101"/>
      <c r="FXN2" s="100"/>
      <c r="FXO2" s="102"/>
      <c r="FXQ2" s="101"/>
      <c r="FXR2" s="100"/>
      <c r="FXS2" s="102"/>
      <c r="FXU2" s="101"/>
      <c r="FXV2" s="100"/>
      <c r="FXW2" s="102"/>
      <c r="FXY2" s="101"/>
      <c r="FXZ2" s="100"/>
      <c r="FYA2" s="102"/>
      <c r="FYC2" s="101"/>
      <c r="FYD2" s="100"/>
      <c r="FYE2" s="102"/>
      <c r="FYG2" s="101"/>
      <c r="FYH2" s="100"/>
      <c r="FYI2" s="102"/>
      <c r="FYK2" s="101"/>
      <c r="FYL2" s="100"/>
      <c r="FYM2" s="102"/>
      <c r="FYO2" s="101"/>
      <c r="FYP2" s="100"/>
      <c r="FYQ2" s="102"/>
      <c r="FYS2" s="101"/>
      <c r="FYT2" s="100"/>
      <c r="FYU2" s="102"/>
      <c r="FYW2" s="101"/>
      <c r="FYX2" s="100"/>
      <c r="FYY2" s="102"/>
      <c r="FZA2" s="101"/>
      <c r="FZB2" s="100"/>
      <c r="FZC2" s="102"/>
      <c r="FZE2" s="101"/>
      <c r="FZF2" s="100"/>
      <c r="FZG2" s="102"/>
      <c r="FZI2" s="101"/>
      <c r="FZJ2" s="100"/>
      <c r="FZK2" s="102"/>
      <c r="FZM2" s="101"/>
      <c r="FZN2" s="100"/>
      <c r="FZO2" s="102"/>
      <c r="FZQ2" s="101"/>
      <c r="FZR2" s="100"/>
      <c r="FZS2" s="102"/>
      <c r="FZU2" s="101"/>
      <c r="FZV2" s="100"/>
      <c r="FZW2" s="102"/>
      <c r="FZY2" s="101"/>
      <c r="FZZ2" s="100"/>
      <c r="GAA2" s="102"/>
      <c r="GAC2" s="101"/>
      <c r="GAD2" s="100"/>
      <c r="GAE2" s="102"/>
      <c r="GAG2" s="101"/>
      <c r="GAH2" s="100"/>
      <c r="GAI2" s="102"/>
      <c r="GAK2" s="101"/>
      <c r="GAL2" s="100"/>
      <c r="GAM2" s="102"/>
      <c r="GAO2" s="101"/>
      <c r="GAP2" s="100"/>
      <c r="GAQ2" s="102"/>
      <c r="GAS2" s="101"/>
      <c r="GAT2" s="100"/>
      <c r="GAU2" s="102"/>
      <c r="GAW2" s="101"/>
      <c r="GAX2" s="100"/>
      <c r="GAY2" s="102"/>
      <c r="GBA2" s="101"/>
      <c r="GBB2" s="100"/>
      <c r="GBC2" s="102"/>
      <c r="GBE2" s="101"/>
      <c r="GBF2" s="100"/>
      <c r="GBG2" s="102"/>
      <c r="GBI2" s="101"/>
      <c r="GBJ2" s="100"/>
      <c r="GBK2" s="102"/>
      <c r="GBM2" s="101"/>
      <c r="GBN2" s="100"/>
      <c r="GBO2" s="102"/>
      <c r="GBQ2" s="101"/>
      <c r="GBR2" s="100"/>
      <c r="GBS2" s="102"/>
      <c r="GBU2" s="101"/>
      <c r="GBV2" s="100"/>
      <c r="GBW2" s="102"/>
      <c r="GBY2" s="101"/>
      <c r="GBZ2" s="100"/>
      <c r="GCA2" s="102"/>
      <c r="GCC2" s="101"/>
      <c r="GCD2" s="100"/>
      <c r="GCE2" s="102"/>
      <c r="GCG2" s="101"/>
      <c r="GCH2" s="100"/>
      <c r="GCI2" s="102"/>
      <c r="GCK2" s="101"/>
      <c r="GCL2" s="100"/>
      <c r="GCM2" s="102"/>
      <c r="GCO2" s="101"/>
      <c r="GCP2" s="100"/>
      <c r="GCQ2" s="102"/>
      <c r="GCS2" s="101"/>
      <c r="GCT2" s="100"/>
      <c r="GCU2" s="102"/>
      <c r="GCW2" s="101"/>
      <c r="GCX2" s="100"/>
      <c r="GCY2" s="102"/>
      <c r="GDA2" s="101"/>
      <c r="GDB2" s="100"/>
      <c r="GDC2" s="102"/>
      <c r="GDE2" s="101"/>
      <c r="GDF2" s="100"/>
      <c r="GDG2" s="102"/>
      <c r="GDI2" s="101"/>
      <c r="GDJ2" s="100"/>
      <c r="GDK2" s="102"/>
      <c r="GDM2" s="101"/>
      <c r="GDN2" s="100"/>
      <c r="GDO2" s="102"/>
      <c r="GDQ2" s="101"/>
      <c r="GDR2" s="100"/>
      <c r="GDS2" s="102"/>
      <c r="GDU2" s="101"/>
      <c r="GDV2" s="100"/>
      <c r="GDW2" s="102"/>
      <c r="GDY2" s="101"/>
      <c r="GDZ2" s="100"/>
      <c r="GEA2" s="102"/>
      <c r="GEC2" s="101"/>
      <c r="GED2" s="100"/>
      <c r="GEE2" s="102"/>
      <c r="GEG2" s="101"/>
      <c r="GEH2" s="100"/>
      <c r="GEI2" s="102"/>
      <c r="GEK2" s="101"/>
      <c r="GEL2" s="100"/>
      <c r="GEM2" s="102"/>
      <c r="GEO2" s="101"/>
      <c r="GEP2" s="100"/>
      <c r="GEQ2" s="102"/>
      <c r="GES2" s="101"/>
      <c r="GET2" s="100"/>
      <c r="GEU2" s="102"/>
      <c r="GEW2" s="101"/>
      <c r="GEX2" s="100"/>
      <c r="GEY2" s="102"/>
      <c r="GFA2" s="101"/>
      <c r="GFB2" s="100"/>
      <c r="GFC2" s="102"/>
      <c r="GFE2" s="101"/>
      <c r="GFF2" s="100"/>
      <c r="GFG2" s="102"/>
      <c r="GFI2" s="101"/>
      <c r="GFJ2" s="100"/>
      <c r="GFK2" s="102"/>
      <c r="GFM2" s="101"/>
      <c r="GFN2" s="100"/>
      <c r="GFO2" s="102"/>
      <c r="GFQ2" s="101"/>
      <c r="GFR2" s="100"/>
      <c r="GFS2" s="102"/>
      <c r="GFU2" s="101"/>
      <c r="GFV2" s="100"/>
      <c r="GFW2" s="102"/>
      <c r="GFY2" s="101"/>
      <c r="GFZ2" s="100"/>
      <c r="GGA2" s="102"/>
      <c r="GGC2" s="101"/>
      <c r="GGD2" s="100"/>
      <c r="GGE2" s="102"/>
      <c r="GGG2" s="101"/>
      <c r="GGH2" s="100"/>
      <c r="GGI2" s="102"/>
      <c r="GGK2" s="101"/>
      <c r="GGL2" s="100"/>
      <c r="GGM2" s="102"/>
      <c r="GGO2" s="101"/>
      <c r="GGP2" s="100"/>
      <c r="GGQ2" s="102"/>
      <c r="GGS2" s="101"/>
      <c r="GGT2" s="100"/>
      <c r="GGU2" s="102"/>
      <c r="GGW2" s="101"/>
      <c r="GGX2" s="100"/>
      <c r="GGY2" s="102"/>
      <c r="GHA2" s="101"/>
      <c r="GHB2" s="100"/>
      <c r="GHC2" s="102"/>
      <c r="GHE2" s="101"/>
      <c r="GHF2" s="100"/>
      <c r="GHG2" s="102"/>
      <c r="GHI2" s="101"/>
      <c r="GHJ2" s="100"/>
      <c r="GHK2" s="102"/>
      <c r="GHM2" s="101"/>
      <c r="GHN2" s="100"/>
      <c r="GHO2" s="102"/>
      <c r="GHQ2" s="101"/>
      <c r="GHR2" s="100"/>
      <c r="GHS2" s="102"/>
      <c r="GHU2" s="101"/>
      <c r="GHV2" s="100"/>
      <c r="GHW2" s="102"/>
      <c r="GHY2" s="101"/>
      <c r="GHZ2" s="100"/>
      <c r="GIA2" s="102"/>
      <c r="GIC2" s="101"/>
      <c r="GID2" s="100"/>
      <c r="GIE2" s="102"/>
      <c r="GIG2" s="101"/>
      <c r="GIH2" s="100"/>
      <c r="GII2" s="102"/>
      <c r="GIK2" s="101"/>
      <c r="GIL2" s="100"/>
      <c r="GIM2" s="102"/>
      <c r="GIO2" s="101"/>
      <c r="GIP2" s="100"/>
      <c r="GIQ2" s="102"/>
      <c r="GIS2" s="101"/>
      <c r="GIT2" s="100"/>
      <c r="GIU2" s="102"/>
      <c r="GIW2" s="101"/>
      <c r="GIX2" s="100"/>
      <c r="GIY2" s="102"/>
      <c r="GJA2" s="101"/>
      <c r="GJB2" s="100"/>
      <c r="GJC2" s="102"/>
      <c r="GJE2" s="101"/>
      <c r="GJF2" s="100"/>
      <c r="GJG2" s="102"/>
      <c r="GJI2" s="101"/>
      <c r="GJJ2" s="100"/>
      <c r="GJK2" s="102"/>
      <c r="GJM2" s="101"/>
      <c r="GJN2" s="100"/>
      <c r="GJO2" s="102"/>
      <c r="GJQ2" s="101"/>
      <c r="GJR2" s="100"/>
      <c r="GJS2" s="102"/>
      <c r="GJU2" s="101"/>
      <c r="GJV2" s="100"/>
      <c r="GJW2" s="102"/>
      <c r="GJY2" s="101"/>
      <c r="GJZ2" s="100"/>
      <c r="GKA2" s="102"/>
      <c r="GKC2" s="101"/>
      <c r="GKD2" s="100"/>
      <c r="GKE2" s="102"/>
      <c r="GKG2" s="101"/>
      <c r="GKH2" s="100"/>
      <c r="GKI2" s="102"/>
      <c r="GKK2" s="101"/>
      <c r="GKL2" s="100"/>
      <c r="GKM2" s="102"/>
      <c r="GKO2" s="101"/>
      <c r="GKP2" s="100"/>
      <c r="GKQ2" s="102"/>
      <c r="GKS2" s="101"/>
      <c r="GKT2" s="100"/>
      <c r="GKU2" s="102"/>
      <c r="GKW2" s="101"/>
      <c r="GKX2" s="100"/>
      <c r="GKY2" s="102"/>
      <c r="GLA2" s="101"/>
      <c r="GLB2" s="100"/>
      <c r="GLC2" s="102"/>
      <c r="GLE2" s="101"/>
      <c r="GLF2" s="100"/>
      <c r="GLG2" s="102"/>
      <c r="GLI2" s="101"/>
      <c r="GLJ2" s="100"/>
      <c r="GLK2" s="102"/>
      <c r="GLM2" s="101"/>
      <c r="GLN2" s="100"/>
      <c r="GLO2" s="102"/>
      <c r="GLQ2" s="101"/>
      <c r="GLR2" s="100"/>
      <c r="GLS2" s="102"/>
      <c r="GLU2" s="101"/>
      <c r="GLV2" s="100"/>
      <c r="GLW2" s="102"/>
      <c r="GLY2" s="101"/>
      <c r="GLZ2" s="100"/>
      <c r="GMA2" s="102"/>
      <c r="GMC2" s="101"/>
      <c r="GMD2" s="100"/>
      <c r="GME2" s="102"/>
      <c r="GMG2" s="101"/>
      <c r="GMH2" s="100"/>
      <c r="GMI2" s="102"/>
      <c r="GMK2" s="101"/>
      <c r="GML2" s="100"/>
      <c r="GMM2" s="102"/>
      <c r="GMO2" s="101"/>
      <c r="GMP2" s="100"/>
      <c r="GMQ2" s="102"/>
      <c r="GMS2" s="101"/>
      <c r="GMT2" s="100"/>
      <c r="GMU2" s="102"/>
      <c r="GMW2" s="101"/>
      <c r="GMX2" s="100"/>
      <c r="GMY2" s="102"/>
      <c r="GNA2" s="101"/>
      <c r="GNB2" s="100"/>
      <c r="GNC2" s="102"/>
      <c r="GNE2" s="101"/>
      <c r="GNF2" s="100"/>
      <c r="GNG2" s="102"/>
      <c r="GNI2" s="101"/>
      <c r="GNJ2" s="100"/>
      <c r="GNK2" s="102"/>
      <c r="GNM2" s="101"/>
      <c r="GNN2" s="100"/>
      <c r="GNO2" s="102"/>
      <c r="GNQ2" s="101"/>
      <c r="GNR2" s="100"/>
      <c r="GNS2" s="102"/>
      <c r="GNU2" s="101"/>
      <c r="GNV2" s="100"/>
      <c r="GNW2" s="102"/>
      <c r="GNY2" s="101"/>
      <c r="GNZ2" s="100"/>
      <c r="GOA2" s="102"/>
      <c r="GOC2" s="101"/>
      <c r="GOD2" s="100"/>
      <c r="GOE2" s="102"/>
      <c r="GOG2" s="101"/>
      <c r="GOH2" s="100"/>
      <c r="GOI2" s="102"/>
      <c r="GOK2" s="101"/>
      <c r="GOL2" s="100"/>
      <c r="GOM2" s="102"/>
      <c r="GOO2" s="101"/>
      <c r="GOP2" s="100"/>
      <c r="GOQ2" s="102"/>
      <c r="GOS2" s="101"/>
      <c r="GOT2" s="100"/>
      <c r="GOU2" s="102"/>
      <c r="GOW2" s="101"/>
      <c r="GOX2" s="100"/>
      <c r="GOY2" s="102"/>
      <c r="GPA2" s="101"/>
      <c r="GPB2" s="100"/>
      <c r="GPC2" s="102"/>
      <c r="GPE2" s="101"/>
      <c r="GPF2" s="100"/>
      <c r="GPG2" s="102"/>
      <c r="GPI2" s="101"/>
      <c r="GPJ2" s="100"/>
      <c r="GPK2" s="102"/>
      <c r="GPM2" s="101"/>
      <c r="GPN2" s="100"/>
      <c r="GPO2" s="102"/>
      <c r="GPQ2" s="101"/>
      <c r="GPR2" s="100"/>
      <c r="GPS2" s="102"/>
      <c r="GPU2" s="101"/>
      <c r="GPV2" s="100"/>
      <c r="GPW2" s="102"/>
      <c r="GPY2" s="101"/>
      <c r="GPZ2" s="100"/>
      <c r="GQA2" s="102"/>
      <c r="GQC2" s="101"/>
      <c r="GQD2" s="100"/>
      <c r="GQE2" s="102"/>
      <c r="GQG2" s="101"/>
      <c r="GQH2" s="100"/>
      <c r="GQI2" s="102"/>
      <c r="GQK2" s="101"/>
      <c r="GQL2" s="100"/>
      <c r="GQM2" s="102"/>
      <c r="GQO2" s="101"/>
      <c r="GQP2" s="100"/>
      <c r="GQQ2" s="102"/>
      <c r="GQS2" s="101"/>
      <c r="GQT2" s="100"/>
      <c r="GQU2" s="102"/>
      <c r="GQW2" s="101"/>
      <c r="GQX2" s="100"/>
      <c r="GQY2" s="102"/>
      <c r="GRA2" s="101"/>
      <c r="GRB2" s="100"/>
      <c r="GRC2" s="102"/>
      <c r="GRE2" s="101"/>
      <c r="GRF2" s="100"/>
      <c r="GRG2" s="102"/>
      <c r="GRI2" s="101"/>
      <c r="GRJ2" s="100"/>
      <c r="GRK2" s="102"/>
      <c r="GRM2" s="101"/>
      <c r="GRN2" s="100"/>
      <c r="GRO2" s="102"/>
      <c r="GRQ2" s="101"/>
      <c r="GRR2" s="100"/>
      <c r="GRS2" s="102"/>
      <c r="GRU2" s="101"/>
      <c r="GRV2" s="100"/>
      <c r="GRW2" s="102"/>
      <c r="GRY2" s="101"/>
      <c r="GRZ2" s="100"/>
      <c r="GSA2" s="102"/>
      <c r="GSC2" s="101"/>
      <c r="GSD2" s="100"/>
      <c r="GSE2" s="102"/>
      <c r="GSG2" s="101"/>
      <c r="GSH2" s="100"/>
      <c r="GSI2" s="102"/>
      <c r="GSK2" s="101"/>
      <c r="GSL2" s="100"/>
      <c r="GSM2" s="102"/>
      <c r="GSO2" s="101"/>
      <c r="GSP2" s="100"/>
      <c r="GSQ2" s="102"/>
      <c r="GSS2" s="101"/>
      <c r="GST2" s="100"/>
      <c r="GSU2" s="102"/>
      <c r="GSW2" s="101"/>
      <c r="GSX2" s="100"/>
      <c r="GSY2" s="102"/>
      <c r="GTA2" s="101"/>
      <c r="GTB2" s="100"/>
      <c r="GTC2" s="102"/>
      <c r="GTE2" s="101"/>
      <c r="GTF2" s="100"/>
      <c r="GTG2" s="102"/>
      <c r="GTI2" s="101"/>
      <c r="GTJ2" s="100"/>
      <c r="GTK2" s="102"/>
      <c r="GTM2" s="101"/>
      <c r="GTN2" s="100"/>
      <c r="GTO2" s="102"/>
      <c r="GTQ2" s="101"/>
      <c r="GTR2" s="100"/>
      <c r="GTS2" s="102"/>
      <c r="GTU2" s="101"/>
      <c r="GTV2" s="100"/>
      <c r="GTW2" s="102"/>
      <c r="GTY2" s="101"/>
      <c r="GTZ2" s="100"/>
      <c r="GUA2" s="102"/>
      <c r="GUC2" s="101"/>
      <c r="GUD2" s="100"/>
      <c r="GUE2" s="102"/>
      <c r="GUG2" s="101"/>
      <c r="GUH2" s="100"/>
      <c r="GUI2" s="102"/>
      <c r="GUK2" s="101"/>
      <c r="GUL2" s="100"/>
      <c r="GUM2" s="102"/>
      <c r="GUO2" s="101"/>
      <c r="GUP2" s="100"/>
      <c r="GUQ2" s="102"/>
      <c r="GUS2" s="101"/>
      <c r="GUT2" s="100"/>
      <c r="GUU2" s="102"/>
      <c r="GUW2" s="101"/>
      <c r="GUX2" s="100"/>
      <c r="GUY2" s="102"/>
      <c r="GVA2" s="101"/>
      <c r="GVB2" s="100"/>
      <c r="GVC2" s="102"/>
      <c r="GVE2" s="101"/>
      <c r="GVF2" s="100"/>
      <c r="GVG2" s="102"/>
      <c r="GVI2" s="101"/>
      <c r="GVJ2" s="100"/>
      <c r="GVK2" s="102"/>
      <c r="GVM2" s="101"/>
      <c r="GVN2" s="100"/>
      <c r="GVO2" s="102"/>
      <c r="GVQ2" s="101"/>
      <c r="GVR2" s="100"/>
      <c r="GVS2" s="102"/>
      <c r="GVU2" s="101"/>
      <c r="GVV2" s="100"/>
      <c r="GVW2" s="102"/>
      <c r="GVY2" s="101"/>
      <c r="GVZ2" s="100"/>
      <c r="GWA2" s="102"/>
      <c r="GWC2" s="101"/>
      <c r="GWD2" s="100"/>
      <c r="GWE2" s="102"/>
      <c r="GWG2" s="101"/>
      <c r="GWH2" s="100"/>
      <c r="GWI2" s="102"/>
      <c r="GWK2" s="101"/>
      <c r="GWL2" s="100"/>
      <c r="GWM2" s="102"/>
      <c r="GWO2" s="101"/>
      <c r="GWP2" s="100"/>
      <c r="GWQ2" s="102"/>
      <c r="GWS2" s="101"/>
      <c r="GWT2" s="100"/>
      <c r="GWU2" s="102"/>
      <c r="GWW2" s="101"/>
      <c r="GWX2" s="100"/>
      <c r="GWY2" s="102"/>
      <c r="GXA2" s="101"/>
      <c r="GXB2" s="100"/>
      <c r="GXC2" s="102"/>
      <c r="GXE2" s="101"/>
      <c r="GXF2" s="100"/>
      <c r="GXG2" s="102"/>
      <c r="GXI2" s="101"/>
      <c r="GXJ2" s="100"/>
      <c r="GXK2" s="102"/>
      <c r="GXM2" s="101"/>
      <c r="GXN2" s="100"/>
      <c r="GXO2" s="102"/>
      <c r="GXQ2" s="101"/>
      <c r="GXR2" s="100"/>
      <c r="GXS2" s="102"/>
      <c r="GXU2" s="101"/>
      <c r="GXV2" s="100"/>
      <c r="GXW2" s="102"/>
      <c r="GXY2" s="101"/>
      <c r="GXZ2" s="100"/>
      <c r="GYA2" s="102"/>
      <c r="GYC2" s="101"/>
      <c r="GYD2" s="100"/>
      <c r="GYE2" s="102"/>
      <c r="GYG2" s="101"/>
      <c r="GYH2" s="100"/>
      <c r="GYI2" s="102"/>
      <c r="GYK2" s="101"/>
      <c r="GYL2" s="100"/>
      <c r="GYM2" s="102"/>
      <c r="GYO2" s="101"/>
      <c r="GYP2" s="100"/>
      <c r="GYQ2" s="102"/>
      <c r="GYS2" s="101"/>
      <c r="GYT2" s="100"/>
      <c r="GYU2" s="102"/>
      <c r="GYW2" s="101"/>
      <c r="GYX2" s="100"/>
      <c r="GYY2" s="102"/>
      <c r="GZA2" s="101"/>
      <c r="GZB2" s="100"/>
      <c r="GZC2" s="102"/>
      <c r="GZE2" s="101"/>
      <c r="GZF2" s="100"/>
      <c r="GZG2" s="102"/>
      <c r="GZI2" s="101"/>
      <c r="GZJ2" s="100"/>
      <c r="GZK2" s="102"/>
      <c r="GZM2" s="101"/>
      <c r="GZN2" s="100"/>
      <c r="GZO2" s="102"/>
      <c r="GZQ2" s="101"/>
      <c r="GZR2" s="100"/>
      <c r="GZS2" s="102"/>
      <c r="GZU2" s="101"/>
      <c r="GZV2" s="100"/>
      <c r="GZW2" s="102"/>
      <c r="GZY2" s="101"/>
      <c r="GZZ2" s="100"/>
      <c r="HAA2" s="102"/>
      <c r="HAC2" s="101"/>
      <c r="HAD2" s="100"/>
      <c r="HAE2" s="102"/>
      <c r="HAG2" s="101"/>
      <c r="HAH2" s="100"/>
      <c r="HAI2" s="102"/>
      <c r="HAK2" s="101"/>
      <c r="HAL2" s="100"/>
      <c r="HAM2" s="102"/>
      <c r="HAO2" s="101"/>
      <c r="HAP2" s="100"/>
      <c r="HAQ2" s="102"/>
      <c r="HAS2" s="101"/>
      <c r="HAT2" s="100"/>
      <c r="HAU2" s="102"/>
      <c r="HAW2" s="101"/>
      <c r="HAX2" s="100"/>
      <c r="HAY2" s="102"/>
      <c r="HBA2" s="101"/>
      <c r="HBB2" s="100"/>
      <c r="HBC2" s="102"/>
      <c r="HBE2" s="101"/>
      <c r="HBF2" s="100"/>
      <c r="HBG2" s="102"/>
      <c r="HBI2" s="101"/>
      <c r="HBJ2" s="100"/>
      <c r="HBK2" s="102"/>
      <c r="HBM2" s="101"/>
      <c r="HBN2" s="100"/>
      <c r="HBO2" s="102"/>
      <c r="HBQ2" s="101"/>
      <c r="HBR2" s="100"/>
      <c r="HBS2" s="102"/>
      <c r="HBU2" s="101"/>
      <c r="HBV2" s="100"/>
      <c r="HBW2" s="102"/>
      <c r="HBY2" s="101"/>
      <c r="HBZ2" s="100"/>
      <c r="HCA2" s="102"/>
      <c r="HCC2" s="101"/>
      <c r="HCD2" s="100"/>
      <c r="HCE2" s="102"/>
      <c r="HCG2" s="101"/>
      <c r="HCH2" s="100"/>
      <c r="HCI2" s="102"/>
      <c r="HCK2" s="101"/>
      <c r="HCL2" s="100"/>
      <c r="HCM2" s="102"/>
      <c r="HCO2" s="101"/>
      <c r="HCP2" s="100"/>
      <c r="HCQ2" s="102"/>
      <c r="HCS2" s="101"/>
      <c r="HCT2" s="100"/>
      <c r="HCU2" s="102"/>
      <c r="HCW2" s="101"/>
      <c r="HCX2" s="100"/>
      <c r="HCY2" s="102"/>
      <c r="HDA2" s="101"/>
      <c r="HDB2" s="100"/>
      <c r="HDC2" s="102"/>
      <c r="HDE2" s="101"/>
      <c r="HDF2" s="100"/>
      <c r="HDG2" s="102"/>
      <c r="HDI2" s="101"/>
      <c r="HDJ2" s="100"/>
      <c r="HDK2" s="102"/>
      <c r="HDM2" s="101"/>
      <c r="HDN2" s="100"/>
      <c r="HDO2" s="102"/>
      <c r="HDQ2" s="101"/>
      <c r="HDR2" s="100"/>
      <c r="HDS2" s="102"/>
      <c r="HDU2" s="101"/>
      <c r="HDV2" s="100"/>
      <c r="HDW2" s="102"/>
      <c r="HDY2" s="101"/>
      <c r="HDZ2" s="100"/>
      <c r="HEA2" s="102"/>
      <c r="HEC2" s="101"/>
      <c r="HED2" s="100"/>
      <c r="HEE2" s="102"/>
      <c r="HEG2" s="101"/>
      <c r="HEH2" s="100"/>
      <c r="HEI2" s="102"/>
      <c r="HEK2" s="101"/>
      <c r="HEL2" s="100"/>
      <c r="HEM2" s="102"/>
      <c r="HEO2" s="101"/>
      <c r="HEP2" s="100"/>
      <c r="HEQ2" s="102"/>
      <c r="HES2" s="101"/>
      <c r="HET2" s="100"/>
      <c r="HEU2" s="102"/>
      <c r="HEW2" s="101"/>
      <c r="HEX2" s="100"/>
      <c r="HEY2" s="102"/>
      <c r="HFA2" s="101"/>
      <c r="HFB2" s="100"/>
      <c r="HFC2" s="102"/>
      <c r="HFE2" s="101"/>
      <c r="HFF2" s="100"/>
      <c r="HFG2" s="102"/>
      <c r="HFI2" s="101"/>
      <c r="HFJ2" s="100"/>
      <c r="HFK2" s="102"/>
      <c r="HFM2" s="101"/>
      <c r="HFN2" s="100"/>
      <c r="HFO2" s="102"/>
      <c r="HFQ2" s="101"/>
      <c r="HFR2" s="100"/>
      <c r="HFS2" s="102"/>
      <c r="HFU2" s="101"/>
      <c r="HFV2" s="100"/>
      <c r="HFW2" s="102"/>
      <c r="HFY2" s="101"/>
      <c r="HFZ2" s="100"/>
      <c r="HGA2" s="102"/>
      <c r="HGC2" s="101"/>
      <c r="HGD2" s="100"/>
      <c r="HGE2" s="102"/>
      <c r="HGG2" s="101"/>
      <c r="HGH2" s="100"/>
      <c r="HGI2" s="102"/>
      <c r="HGK2" s="101"/>
      <c r="HGL2" s="100"/>
      <c r="HGM2" s="102"/>
      <c r="HGO2" s="101"/>
      <c r="HGP2" s="100"/>
      <c r="HGQ2" s="102"/>
      <c r="HGS2" s="101"/>
      <c r="HGT2" s="100"/>
      <c r="HGU2" s="102"/>
      <c r="HGW2" s="101"/>
      <c r="HGX2" s="100"/>
      <c r="HGY2" s="102"/>
      <c r="HHA2" s="101"/>
      <c r="HHB2" s="100"/>
      <c r="HHC2" s="102"/>
      <c r="HHE2" s="101"/>
      <c r="HHF2" s="100"/>
      <c r="HHG2" s="102"/>
      <c r="HHI2" s="101"/>
      <c r="HHJ2" s="100"/>
      <c r="HHK2" s="102"/>
      <c r="HHM2" s="101"/>
      <c r="HHN2" s="100"/>
      <c r="HHO2" s="102"/>
      <c r="HHQ2" s="101"/>
      <c r="HHR2" s="100"/>
      <c r="HHS2" s="102"/>
      <c r="HHU2" s="101"/>
      <c r="HHV2" s="100"/>
      <c r="HHW2" s="102"/>
      <c r="HHY2" s="101"/>
      <c r="HHZ2" s="100"/>
      <c r="HIA2" s="102"/>
      <c r="HIC2" s="101"/>
      <c r="HID2" s="100"/>
      <c r="HIE2" s="102"/>
      <c r="HIG2" s="101"/>
      <c r="HIH2" s="100"/>
      <c r="HII2" s="102"/>
      <c r="HIK2" s="101"/>
      <c r="HIL2" s="100"/>
      <c r="HIM2" s="102"/>
      <c r="HIO2" s="101"/>
      <c r="HIP2" s="100"/>
      <c r="HIQ2" s="102"/>
      <c r="HIS2" s="101"/>
      <c r="HIT2" s="100"/>
      <c r="HIU2" s="102"/>
      <c r="HIW2" s="101"/>
      <c r="HIX2" s="100"/>
      <c r="HIY2" s="102"/>
      <c r="HJA2" s="101"/>
      <c r="HJB2" s="100"/>
      <c r="HJC2" s="102"/>
      <c r="HJE2" s="101"/>
      <c r="HJF2" s="100"/>
      <c r="HJG2" s="102"/>
      <c r="HJI2" s="101"/>
      <c r="HJJ2" s="100"/>
      <c r="HJK2" s="102"/>
      <c r="HJM2" s="101"/>
      <c r="HJN2" s="100"/>
      <c r="HJO2" s="102"/>
      <c r="HJQ2" s="101"/>
      <c r="HJR2" s="100"/>
      <c r="HJS2" s="102"/>
      <c r="HJU2" s="101"/>
      <c r="HJV2" s="100"/>
      <c r="HJW2" s="102"/>
      <c r="HJY2" s="101"/>
      <c r="HJZ2" s="100"/>
      <c r="HKA2" s="102"/>
      <c r="HKC2" s="101"/>
      <c r="HKD2" s="100"/>
      <c r="HKE2" s="102"/>
      <c r="HKG2" s="101"/>
      <c r="HKH2" s="100"/>
      <c r="HKI2" s="102"/>
      <c r="HKK2" s="101"/>
      <c r="HKL2" s="100"/>
      <c r="HKM2" s="102"/>
      <c r="HKO2" s="101"/>
      <c r="HKP2" s="100"/>
      <c r="HKQ2" s="102"/>
      <c r="HKS2" s="101"/>
      <c r="HKT2" s="100"/>
      <c r="HKU2" s="102"/>
      <c r="HKW2" s="101"/>
      <c r="HKX2" s="100"/>
      <c r="HKY2" s="102"/>
      <c r="HLA2" s="101"/>
      <c r="HLB2" s="100"/>
      <c r="HLC2" s="102"/>
      <c r="HLE2" s="101"/>
      <c r="HLF2" s="100"/>
      <c r="HLG2" s="102"/>
      <c r="HLI2" s="101"/>
      <c r="HLJ2" s="100"/>
      <c r="HLK2" s="102"/>
      <c r="HLM2" s="101"/>
      <c r="HLN2" s="100"/>
      <c r="HLO2" s="102"/>
      <c r="HLQ2" s="101"/>
      <c r="HLR2" s="100"/>
      <c r="HLS2" s="102"/>
      <c r="HLU2" s="101"/>
      <c r="HLV2" s="100"/>
      <c r="HLW2" s="102"/>
      <c r="HLY2" s="101"/>
      <c r="HLZ2" s="100"/>
      <c r="HMA2" s="102"/>
      <c r="HMC2" s="101"/>
      <c r="HMD2" s="100"/>
      <c r="HME2" s="102"/>
      <c r="HMG2" s="101"/>
      <c r="HMH2" s="100"/>
      <c r="HMI2" s="102"/>
      <c r="HMK2" s="101"/>
      <c r="HML2" s="100"/>
      <c r="HMM2" s="102"/>
      <c r="HMO2" s="101"/>
      <c r="HMP2" s="100"/>
      <c r="HMQ2" s="102"/>
      <c r="HMS2" s="101"/>
      <c r="HMT2" s="100"/>
      <c r="HMU2" s="102"/>
      <c r="HMW2" s="101"/>
      <c r="HMX2" s="100"/>
      <c r="HMY2" s="102"/>
      <c r="HNA2" s="101"/>
      <c r="HNB2" s="100"/>
      <c r="HNC2" s="102"/>
      <c r="HNE2" s="101"/>
      <c r="HNF2" s="100"/>
      <c r="HNG2" s="102"/>
      <c r="HNI2" s="101"/>
      <c r="HNJ2" s="100"/>
      <c r="HNK2" s="102"/>
      <c r="HNM2" s="101"/>
      <c r="HNN2" s="100"/>
      <c r="HNO2" s="102"/>
      <c r="HNQ2" s="101"/>
      <c r="HNR2" s="100"/>
      <c r="HNS2" s="102"/>
      <c r="HNU2" s="101"/>
      <c r="HNV2" s="100"/>
      <c r="HNW2" s="102"/>
      <c r="HNY2" s="101"/>
      <c r="HNZ2" s="100"/>
      <c r="HOA2" s="102"/>
      <c r="HOC2" s="101"/>
      <c r="HOD2" s="100"/>
      <c r="HOE2" s="102"/>
      <c r="HOG2" s="101"/>
      <c r="HOH2" s="100"/>
      <c r="HOI2" s="102"/>
      <c r="HOK2" s="101"/>
      <c r="HOL2" s="100"/>
      <c r="HOM2" s="102"/>
      <c r="HOO2" s="101"/>
      <c r="HOP2" s="100"/>
      <c r="HOQ2" s="102"/>
      <c r="HOS2" s="101"/>
      <c r="HOT2" s="100"/>
      <c r="HOU2" s="102"/>
      <c r="HOW2" s="101"/>
      <c r="HOX2" s="100"/>
      <c r="HOY2" s="102"/>
      <c r="HPA2" s="101"/>
      <c r="HPB2" s="100"/>
      <c r="HPC2" s="102"/>
      <c r="HPE2" s="101"/>
      <c r="HPF2" s="100"/>
      <c r="HPG2" s="102"/>
      <c r="HPI2" s="101"/>
      <c r="HPJ2" s="100"/>
      <c r="HPK2" s="102"/>
      <c r="HPM2" s="101"/>
      <c r="HPN2" s="100"/>
      <c r="HPO2" s="102"/>
      <c r="HPQ2" s="101"/>
      <c r="HPR2" s="100"/>
      <c r="HPS2" s="102"/>
      <c r="HPU2" s="101"/>
      <c r="HPV2" s="100"/>
      <c r="HPW2" s="102"/>
      <c r="HPY2" s="101"/>
      <c r="HPZ2" s="100"/>
      <c r="HQA2" s="102"/>
      <c r="HQC2" s="101"/>
      <c r="HQD2" s="100"/>
      <c r="HQE2" s="102"/>
      <c r="HQG2" s="101"/>
      <c r="HQH2" s="100"/>
      <c r="HQI2" s="102"/>
      <c r="HQK2" s="101"/>
      <c r="HQL2" s="100"/>
      <c r="HQM2" s="102"/>
      <c r="HQO2" s="101"/>
      <c r="HQP2" s="100"/>
      <c r="HQQ2" s="102"/>
      <c r="HQS2" s="101"/>
      <c r="HQT2" s="100"/>
      <c r="HQU2" s="102"/>
      <c r="HQW2" s="101"/>
      <c r="HQX2" s="100"/>
      <c r="HQY2" s="102"/>
      <c r="HRA2" s="101"/>
      <c r="HRB2" s="100"/>
      <c r="HRC2" s="102"/>
      <c r="HRE2" s="101"/>
      <c r="HRF2" s="100"/>
      <c r="HRG2" s="102"/>
      <c r="HRI2" s="101"/>
      <c r="HRJ2" s="100"/>
      <c r="HRK2" s="102"/>
      <c r="HRM2" s="101"/>
      <c r="HRN2" s="100"/>
      <c r="HRO2" s="102"/>
      <c r="HRQ2" s="101"/>
      <c r="HRR2" s="100"/>
      <c r="HRS2" s="102"/>
      <c r="HRU2" s="101"/>
      <c r="HRV2" s="100"/>
      <c r="HRW2" s="102"/>
      <c r="HRY2" s="101"/>
      <c r="HRZ2" s="100"/>
      <c r="HSA2" s="102"/>
      <c r="HSC2" s="101"/>
      <c r="HSD2" s="100"/>
      <c r="HSE2" s="102"/>
      <c r="HSG2" s="101"/>
      <c r="HSH2" s="100"/>
      <c r="HSI2" s="102"/>
      <c r="HSK2" s="101"/>
      <c r="HSL2" s="100"/>
      <c r="HSM2" s="102"/>
      <c r="HSO2" s="101"/>
      <c r="HSP2" s="100"/>
      <c r="HSQ2" s="102"/>
      <c r="HSS2" s="101"/>
      <c r="HST2" s="100"/>
      <c r="HSU2" s="102"/>
      <c r="HSW2" s="101"/>
      <c r="HSX2" s="100"/>
      <c r="HSY2" s="102"/>
      <c r="HTA2" s="101"/>
      <c r="HTB2" s="100"/>
      <c r="HTC2" s="102"/>
      <c r="HTE2" s="101"/>
      <c r="HTF2" s="100"/>
      <c r="HTG2" s="102"/>
      <c r="HTI2" s="101"/>
      <c r="HTJ2" s="100"/>
      <c r="HTK2" s="102"/>
      <c r="HTM2" s="101"/>
      <c r="HTN2" s="100"/>
      <c r="HTO2" s="102"/>
      <c r="HTQ2" s="101"/>
      <c r="HTR2" s="100"/>
      <c r="HTS2" s="102"/>
      <c r="HTU2" s="101"/>
      <c r="HTV2" s="100"/>
      <c r="HTW2" s="102"/>
      <c r="HTY2" s="101"/>
      <c r="HTZ2" s="100"/>
      <c r="HUA2" s="102"/>
      <c r="HUC2" s="101"/>
      <c r="HUD2" s="100"/>
      <c r="HUE2" s="102"/>
      <c r="HUG2" s="101"/>
      <c r="HUH2" s="100"/>
      <c r="HUI2" s="102"/>
      <c r="HUK2" s="101"/>
      <c r="HUL2" s="100"/>
      <c r="HUM2" s="102"/>
      <c r="HUO2" s="101"/>
      <c r="HUP2" s="100"/>
      <c r="HUQ2" s="102"/>
      <c r="HUS2" s="101"/>
      <c r="HUT2" s="100"/>
      <c r="HUU2" s="102"/>
      <c r="HUW2" s="101"/>
      <c r="HUX2" s="100"/>
      <c r="HUY2" s="102"/>
      <c r="HVA2" s="101"/>
      <c r="HVB2" s="100"/>
      <c r="HVC2" s="102"/>
      <c r="HVE2" s="101"/>
      <c r="HVF2" s="100"/>
      <c r="HVG2" s="102"/>
      <c r="HVI2" s="101"/>
      <c r="HVJ2" s="100"/>
      <c r="HVK2" s="102"/>
      <c r="HVM2" s="101"/>
      <c r="HVN2" s="100"/>
      <c r="HVO2" s="102"/>
      <c r="HVQ2" s="101"/>
      <c r="HVR2" s="100"/>
      <c r="HVS2" s="102"/>
      <c r="HVU2" s="101"/>
      <c r="HVV2" s="100"/>
      <c r="HVW2" s="102"/>
      <c r="HVY2" s="101"/>
      <c r="HVZ2" s="100"/>
      <c r="HWA2" s="102"/>
      <c r="HWC2" s="101"/>
      <c r="HWD2" s="100"/>
      <c r="HWE2" s="102"/>
      <c r="HWG2" s="101"/>
      <c r="HWH2" s="100"/>
      <c r="HWI2" s="102"/>
      <c r="HWK2" s="101"/>
      <c r="HWL2" s="100"/>
      <c r="HWM2" s="102"/>
      <c r="HWO2" s="101"/>
      <c r="HWP2" s="100"/>
      <c r="HWQ2" s="102"/>
      <c r="HWS2" s="101"/>
      <c r="HWT2" s="100"/>
      <c r="HWU2" s="102"/>
      <c r="HWW2" s="101"/>
      <c r="HWX2" s="100"/>
      <c r="HWY2" s="102"/>
      <c r="HXA2" s="101"/>
      <c r="HXB2" s="100"/>
      <c r="HXC2" s="102"/>
      <c r="HXE2" s="101"/>
      <c r="HXF2" s="100"/>
      <c r="HXG2" s="102"/>
      <c r="HXI2" s="101"/>
      <c r="HXJ2" s="100"/>
      <c r="HXK2" s="102"/>
      <c r="HXM2" s="101"/>
      <c r="HXN2" s="100"/>
      <c r="HXO2" s="102"/>
      <c r="HXQ2" s="101"/>
      <c r="HXR2" s="100"/>
      <c r="HXS2" s="102"/>
      <c r="HXU2" s="101"/>
      <c r="HXV2" s="100"/>
      <c r="HXW2" s="102"/>
      <c r="HXY2" s="101"/>
      <c r="HXZ2" s="100"/>
      <c r="HYA2" s="102"/>
      <c r="HYC2" s="101"/>
      <c r="HYD2" s="100"/>
      <c r="HYE2" s="102"/>
      <c r="HYG2" s="101"/>
      <c r="HYH2" s="100"/>
      <c r="HYI2" s="102"/>
      <c r="HYK2" s="101"/>
      <c r="HYL2" s="100"/>
      <c r="HYM2" s="102"/>
      <c r="HYO2" s="101"/>
      <c r="HYP2" s="100"/>
      <c r="HYQ2" s="102"/>
      <c r="HYS2" s="101"/>
      <c r="HYT2" s="100"/>
      <c r="HYU2" s="102"/>
      <c r="HYW2" s="101"/>
      <c r="HYX2" s="100"/>
      <c r="HYY2" s="102"/>
      <c r="HZA2" s="101"/>
      <c r="HZB2" s="100"/>
      <c r="HZC2" s="102"/>
      <c r="HZE2" s="101"/>
      <c r="HZF2" s="100"/>
      <c r="HZG2" s="102"/>
      <c r="HZI2" s="101"/>
      <c r="HZJ2" s="100"/>
      <c r="HZK2" s="102"/>
      <c r="HZM2" s="101"/>
      <c r="HZN2" s="100"/>
      <c r="HZO2" s="102"/>
      <c r="HZQ2" s="101"/>
      <c r="HZR2" s="100"/>
      <c r="HZS2" s="102"/>
      <c r="HZU2" s="101"/>
      <c r="HZV2" s="100"/>
      <c r="HZW2" s="102"/>
      <c r="HZY2" s="101"/>
      <c r="HZZ2" s="100"/>
      <c r="IAA2" s="102"/>
      <c r="IAC2" s="101"/>
      <c r="IAD2" s="100"/>
      <c r="IAE2" s="102"/>
      <c r="IAG2" s="101"/>
      <c r="IAH2" s="100"/>
      <c r="IAI2" s="102"/>
      <c r="IAK2" s="101"/>
      <c r="IAL2" s="100"/>
      <c r="IAM2" s="102"/>
      <c r="IAO2" s="101"/>
      <c r="IAP2" s="100"/>
      <c r="IAQ2" s="102"/>
      <c r="IAS2" s="101"/>
      <c r="IAT2" s="100"/>
      <c r="IAU2" s="102"/>
      <c r="IAW2" s="101"/>
      <c r="IAX2" s="100"/>
      <c r="IAY2" s="102"/>
      <c r="IBA2" s="101"/>
      <c r="IBB2" s="100"/>
      <c r="IBC2" s="102"/>
      <c r="IBE2" s="101"/>
      <c r="IBF2" s="100"/>
      <c r="IBG2" s="102"/>
      <c r="IBI2" s="101"/>
      <c r="IBJ2" s="100"/>
      <c r="IBK2" s="102"/>
      <c r="IBM2" s="101"/>
      <c r="IBN2" s="100"/>
      <c r="IBO2" s="102"/>
      <c r="IBQ2" s="101"/>
      <c r="IBR2" s="100"/>
      <c r="IBS2" s="102"/>
      <c r="IBU2" s="101"/>
      <c r="IBV2" s="100"/>
      <c r="IBW2" s="102"/>
      <c r="IBY2" s="101"/>
      <c r="IBZ2" s="100"/>
      <c r="ICA2" s="102"/>
      <c r="ICC2" s="101"/>
      <c r="ICD2" s="100"/>
      <c r="ICE2" s="102"/>
      <c r="ICG2" s="101"/>
      <c r="ICH2" s="100"/>
      <c r="ICI2" s="102"/>
      <c r="ICK2" s="101"/>
      <c r="ICL2" s="100"/>
      <c r="ICM2" s="102"/>
      <c r="ICO2" s="101"/>
      <c r="ICP2" s="100"/>
      <c r="ICQ2" s="102"/>
      <c r="ICS2" s="101"/>
      <c r="ICT2" s="100"/>
      <c r="ICU2" s="102"/>
      <c r="ICW2" s="101"/>
      <c r="ICX2" s="100"/>
      <c r="ICY2" s="102"/>
      <c r="IDA2" s="101"/>
      <c r="IDB2" s="100"/>
      <c r="IDC2" s="102"/>
      <c r="IDE2" s="101"/>
      <c r="IDF2" s="100"/>
      <c r="IDG2" s="102"/>
      <c r="IDI2" s="101"/>
      <c r="IDJ2" s="100"/>
      <c r="IDK2" s="102"/>
      <c r="IDM2" s="101"/>
      <c r="IDN2" s="100"/>
      <c r="IDO2" s="102"/>
      <c r="IDQ2" s="101"/>
      <c r="IDR2" s="100"/>
      <c r="IDS2" s="102"/>
      <c r="IDU2" s="101"/>
      <c r="IDV2" s="100"/>
      <c r="IDW2" s="102"/>
      <c r="IDY2" s="101"/>
      <c r="IDZ2" s="100"/>
      <c r="IEA2" s="102"/>
      <c r="IEC2" s="101"/>
      <c r="IED2" s="100"/>
      <c r="IEE2" s="102"/>
      <c r="IEG2" s="101"/>
      <c r="IEH2" s="100"/>
      <c r="IEI2" s="102"/>
      <c r="IEK2" s="101"/>
      <c r="IEL2" s="100"/>
      <c r="IEM2" s="102"/>
      <c r="IEO2" s="101"/>
      <c r="IEP2" s="100"/>
      <c r="IEQ2" s="102"/>
      <c r="IES2" s="101"/>
      <c r="IET2" s="100"/>
      <c r="IEU2" s="102"/>
      <c r="IEW2" s="101"/>
      <c r="IEX2" s="100"/>
      <c r="IEY2" s="102"/>
      <c r="IFA2" s="101"/>
      <c r="IFB2" s="100"/>
      <c r="IFC2" s="102"/>
      <c r="IFE2" s="101"/>
      <c r="IFF2" s="100"/>
      <c r="IFG2" s="102"/>
      <c r="IFI2" s="101"/>
      <c r="IFJ2" s="100"/>
      <c r="IFK2" s="102"/>
      <c r="IFM2" s="101"/>
      <c r="IFN2" s="100"/>
      <c r="IFO2" s="102"/>
      <c r="IFQ2" s="101"/>
      <c r="IFR2" s="100"/>
      <c r="IFS2" s="102"/>
      <c r="IFU2" s="101"/>
      <c r="IFV2" s="100"/>
      <c r="IFW2" s="102"/>
      <c r="IFY2" s="101"/>
      <c r="IFZ2" s="100"/>
      <c r="IGA2" s="102"/>
      <c r="IGC2" s="101"/>
      <c r="IGD2" s="100"/>
      <c r="IGE2" s="102"/>
      <c r="IGG2" s="101"/>
      <c r="IGH2" s="100"/>
      <c r="IGI2" s="102"/>
      <c r="IGK2" s="101"/>
      <c r="IGL2" s="100"/>
      <c r="IGM2" s="102"/>
      <c r="IGO2" s="101"/>
      <c r="IGP2" s="100"/>
      <c r="IGQ2" s="102"/>
      <c r="IGS2" s="101"/>
      <c r="IGT2" s="100"/>
      <c r="IGU2" s="102"/>
      <c r="IGW2" s="101"/>
      <c r="IGX2" s="100"/>
      <c r="IGY2" s="102"/>
      <c r="IHA2" s="101"/>
      <c r="IHB2" s="100"/>
      <c r="IHC2" s="102"/>
      <c r="IHE2" s="101"/>
      <c r="IHF2" s="100"/>
      <c r="IHG2" s="102"/>
      <c r="IHI2" s="101"/>
      <c r="IHJ2" s="100"/>
      <c r="IHK2" s="102"/>
      <c r="IHM2" s="101"/>
      <c r="IHN2" s="100"/>
      <c r="IHO2" s="102"/>
      <c r="IHQ2" s="101"/>
      <c r="IHR2" s="100"/>
      <c r="IHS2" s="102"/>
      <c r="IHU2" s="101"/>
      <c r="IHV2" s="100"/>
      <c r="IHW2" s="102"/>
      <c r="IHY2" s="101"/>
      <c r="IHZ2" s="100"/>
      <c r="IIA2" s="102"/>
      <c r="IIC2" s="101"/>
      <c r="IID2" s="100"/>
      <c r="IIE2" s="102"/>
      <c r="IIG2" s="101"/>
      <c r="IIH2" s="100"/>
      <c r="III2" s="102"/>
      <c r="IIK2" s="101"/>
      <c r="IIL2" s="100"/>
      <c r="IIM2" s="102"/>
      <c r="IIO2" s="101"/>
      <c r="IIP2" s="100"/>
      <c r="IIQ2" s="102"/>
      <c r="IIS2" s="101"/>
      <c r="IIT2" s="100"/>
      <c r="IIU2" s="102"/>
      <c r="IIW2" s="101"/>
      <c r="IIX2" s="100"/>
      <c r="IIY2" s="102"/>
      <c r="IJA2" s="101"/>
      <c r="IJB2" s="100"/>
      <c r="IJC2" s="102"/>
      <c r="IJE2" s="101"/>
      <c r="IJF2" s="100"/>
      <c r="IJG2" s="102"/>
      <c r="IJI2" s="101"/>
      <c r="IJJ2" s="100"/>
      <c r="IJK2" s="102"/>
      <c r="IJM2" s="101"/>
      <c r="IJN2" s="100"/>
      <c r="IJO2" s="102"/>
      <c r="IJQ2" s="101"/>
      <c r="IJR2" s="100"/>
      <c r="IJS2" s="102"/>
      <c r="IJU2" s="101"/>
      <c r="IJV2" s="100"/>
      <c r="IJW2" s="102"/>
      <c r="IJY2" s="101"/>
      <c r="IJZ2" s="100"/>
      <c r="IKA2" s="102"/>
      <c r="IKC2" s="101"/>
      <c r="IKD2" s="100"/>
      <c r="IKE2" s="102"/>
      <c r="IKG2" s="101"/>
      <c r="IKH2" s="100"/>
      <c r="IKI2" s="102"/>
      <c r="IKK2" s="101"/>
      <c r="IKL2" s="100"/>
      <c r="IKM2" s="102"/>
      <c r="IKO2" s="101"/>
      <c r="IKP2" s="100"/>
      <c r="IKQ2" s="102"/>
      <c r="IKS2" s="101"/>
      <c r="IKT2" s="100"/>
      <c r="IKU2" s="102"/>
      <c r="IKW2" s="101"/>
      <c r="IKX2" s="100"/>
      <c r="IKY2" s="102"/>
      <c r="ILA2" s="101"/>
      <c r="ILB2" s="100"/>
      <c r="ILC2" s="102"/>
      <c r="ILE2" s="101"/>
      <c r="ILF2" s="100"/>
      <c r="ILG2" s="102"/>
      <c r="ILI2" s="101"/>
      <c r="ILJ2" s="100"/>
      <c r="ILK2" s="102"/>
      <c r="ILM2" s="101"/>
      <c r="ILN2" s="100"/>
      <c r="ILO2" s="102"/>
      <c r="ILQ2" s="101"/>
      <c r="ILR2" s="100"/>
      <c r="ILS2" s="102"/>
      <c r="ILU2" s="101"/>
      <c r="ILV2" s="100"/>
      <c r="ILW2" s="102"/>
      <c r="ILY2" s="101"/>
      <c r="ILZ2" s="100"/>
      <c r="IMA2" s="102"/>
      <c r="IMC2" s="101"/>
      <c r="IMD2" s="100"/>
      <c r="IME2" s="102"/>
      <c r="IMG2" s="101"/>
      <c r="IMH2" s="100"/>
      <c r="IMI2" s="102"/>
      <c r="IMK2" s="101"/>
      <c r="IML2" s="100"/>
      <c r="IMM2" s="102"/>
      <c r="IMO2" s="101"/>
      <c r="IMP2" s="100"/>
      <c r="IMQ2" s="102"/>
      <c r="IMS2" s="101"/>
      <c r="IMT2" s="100"/>
      <c r="IMU2" s="102"/>
      <c r="IMW2" s="101"/>
      <c r="IMX2" s="100"/>
      <c r="IMY2" s="102"/>
      <c r="INA2" s="101"/>
      <c r="INB2" s="100"/>
      <c r="INC2" s="102"/>
      <c r="INE2" s="101"/>
      <c r="INF2" s="100"/>
      <c r="ING2" s="102"/>
      <c r="INI2" s="101"/>
      <c r="INJ2" s="100"/>
      <c r="INK2" s="102"/>
      <c r="INM2" s="101"/>
      <c r="INN2" s="100"/>
      <c r="INO2" s="102"/>
      <c r="INQ2" s="101"/>
      <c r="INR2" s="100"/>
      <c r="INS2" s="102"/>
      <c r="INU2" s="101"/>
      <c r="INV2" s="100"/>
      <c r="INW2" s="102"/>
      <c r="INY2" s="101"/>
      <c r="INZ2" s="100"/>
      <c r="IOA2" s="102"/>
      <c r="IOC2" s="101"/>
      <c r="IOD2" s="100"/>
      <c r="IOE2" s="102"/>
      <c r="IOG2" s="101"/>
      <c r="IOH2" s="100"/>
      <c r="IOI2" s="102"/>
      <c r="IOK2" s="101"/>
      <c r="IOL2" s="100"/>
      <c r="IOM2" s="102"/>
      <c r="IOO2" s="101"/>
      <c r="IOP2" s="100"/>
      <c r="IOQ2" s="102"/>
      <c r="IOS2" s="101"/>
      <c r="IOT2" s="100"/>
      <c r="IOU2" s="102"/>
      <c r="IOW2" s="101"/>
      <c r="IOX2" s="100"/>
      <c r="IOY2" s="102"/>
      <c r="IPA2" s="101"/>
      <c r="IPB2" s="100"/>
      <c r="IPC2" s="102"/>
      <c r="IPE2" s="101"/>
      <c r="IPF2" s="100"/>
      <c r="IPG2" s="102"/>
      <c r="IPI2" s="101"/>
      <c r="IPJ2" s="100"/>
      <c r="IPK2" s="102"/>
      <c r="IPM2" s="101"/>
      <c r="IPN2" s="100"/>
      <c r="IPO2" s="102"/>
      <c r="IPQ2" s="101"/>
      <c r="IPR2" s="100"/>
      <c r="IPS2" s="102"/>
      <c r="IPU2" s="101"/>
      <c r="IPV2" s="100"/>
      <c r="IPW2" s="102"/>
      <c r="IPY2" s="101"/>
      <c r="IPZ2" s="100"/>
      <c r="IQA2" s="102"/>
      <c r="IQC2" s="101"/>
      <c r="IQD2" s="100"/>
      <c r="IQE2" s="102"/>
      <c r="IQG2" s="101"/>
      <c r="IQH2" s="100"/>
      <c r="IQI2" s="102"/>
      <c r="IQK2" s="101"/>
      <c r="IQL2" s="100"/>
      <c r="IQM2" s="102"/>
      <c r="IQO2" s="101"/>
      <c r="IQP2" s="100"/>
      <c r="IQQ2" s="102"/>
      <c r="IQS2" s="101"/>
      <c r="IQT2" s="100"/>
      <c r="IQU2" s="102"/>
      <c r="IQW2" s="101"/>
      <c r="IQX2" s="100"/>
      <c r="IQY2" s="102"/>
      <c r="IRA2" s="101"/>
      <c r="IRB2" s="100"/>
      <c r="IRC2" s="102"/>
      <c r="IRE2" s="101"/>
      <c r="IRF2" s="100"/>
      <c r="IRG2" s="102"/>
      <c r="IRI2" s="101"/>
      <c r="IRJ2" s="100"/>
      <c r="IRK2" s="102"/>
      <c r="IRM2" s="101"/>
      <c r="IRN2" s="100"/>
      <c r="IRO2" s="102"/>
      <c r="IRQ2" s="101"/>
      <c r="IRR2" s="100"/>
      <c r="IRS2" s="102"/>
      <c r="IRU2" s="101"/>
      <c r="IRV2" s="100"/>
      <c r="IRW2" s="102"/>
      <c r="IRY2" s="101"/>
      <c r="IRZ2" s="100"/>
      <c r="ISA2" s="102"/>
      <c r="ISC2" s="101"/>
      <c r="ISD2" s="100"/>
      <c r="ISE2" s="102"/>
      <c r="ISG2" s="101"/>
      <c r="ISH2" s="100"/>
      <c r="ISI2" s="102"/>
      <c r="ISK2" s="101"/>
      <c r="ISL2" s="100"/>
      <c r="ISM2" s="102"/>
      <c r="ISO2" s="101"/>
      <c r="ISP2" s="100"/>
      <c r="ISQ2" s="102"/>
      <c r="ISS2" s="101"/>
      <c r="IST2" s="100"/>
      <c r="ISU2" s="102"/>
      <c r="ISW2" s="101"/>
      <c r="ISX2" s="100"/>
      <c r="ISY2" s="102"/>
      <c r="ITA2" s="101"/>
      <c r="ITB2" s="100"/>
      <c r="ITC2" s="102"/>
      <c r="ITE2" s="101"/>
      <c r="ITF2" s="100"/>
      <c r="ITG2" s="102"/>
      <c r="ITI2" s="101"/>
      <c r="ITJ2" s="100"/>
      <c r="ITK2" s="102"/>
      <c r="ITM2" s="101"/>
      <c r="ITN2" s="100"/>
      <c r="ITO2" s="102"/>
      <c r="ITQ2" s="101"/>
      <c r="ITR2" s="100"/>
      <c r="ITS2" s="102"/>
      <c r="ITU2" s="101"/>
      <c r="ITV2" s="100"/>
      <c r="ITW2" s="102"/>
      <c r="ITY2" s="101"/>
      <c r="ITZ2" s="100"/>
      <c r="IUA2" s="102"/>
      <c r="IUC2" s="101"/>
      <c r="IUD2" s="100"/>
      <c r="IUE2" s="102"/>
      <c r="IUG2" s="101"/>
      <c r="IUH2" s="100"/>
      <c r="IUI2" s="102"/>
      <c r="IUK2" s="101"/>
      <c r="IUL2" s="100"/>
      <c r="IUM2" s="102"/>
      <c r="IUO2" s="101"/>
      <c r="IUP2" s="100"/>
      <c r="IUQ2" s="102"/>
      <c r="IUS2" s="101"/>
      <c r="IUT2" s="100"/>
      <c r="IUU2" s="102"/>
      <c r="IUW2" s="101"/>
      <c r="IUX2" s="100"/>
      <c r="IUY2" s="102"/>
      <c r="IVA2" s="101"/>
      <c r="IVB2" s="100"/>
      <c r="IVC2" s="102"/>
      <c r="IVE2" s="101"/>
      <c r="IVF2" s="100"/>
      <c r="IVG2" s="102"/>
      <c r="IVI2" s="101"/>
      <c r="IVJ2" s="100"/>
      <c r="IVK2" s="102"/>
      <c r="IVM2" s="101"/>
      <c r="IVN2" s="100"/>
      <c r="IVO2" s="102"/>
      <c r="IVQ2" s="101"/>
      <c r="IVR2" s="100"/>
      <c r="IVS2" s="102"/>
      <c r="IVU2" s="101"/>
      <c r="IVV2" s="100"/>
      <c r="IVW2" s="102"/>
      <c r="IVY2" s="101"/>
      <c r="IVZ2" s="100"/>
      <c r="IWA2" s="102"/>
      <c r="IWC2" s="101"/>
      <c r="IWD2" s="100"/>
      <c r="IWE2" s="102"/>
      <c r="IWG2" s="101"/>
      <c r="IWH2" s="100"/>
      <c r="IWI2" s="102"/>
      <c r="IWK2" s="101"/>
      <c r="IWL2" s="100"/>
      <c r="IWM2" s="102"/>
      <c r="IWO2" s="101"/>
      <c r="IWP2" s="100"/>
      <c r="IWQ2" s="102"/>
      <c r="IWS2" s="101"/>
      <c r="IWT2" s="100"/>
      <c r="IWU2" s="102"/>
      <c r="IWW2" s="101"/>
      <c r="IWX2" s="100"/>
      <c r="IWY2" s="102"/>
      <c r="IXA2" s="101"/>
      <c r="IXB2" s="100"/>
      <c r="IXC2" s="102"/>
      <c r="IXE2" s="101"/>
      <c r="IXF2" s="100"/>
      <c r="IXG2" s="102"/>
      <c r="IXI2" s="101"/>
      <c r="IXJ2" s="100"/>
      <c r="IXK2" s="102"/>
      <c r="IXM2" s="101"/>
      <c r="IXN2" s="100"/>
      <c r="IXO2" s="102"/>
      <c r="IXQ2" s="101"/>
      <c r="IXR2" s="100"/>
      <c r="IXS2" s="102"/>
      <c r="IXU2" s="101"/>
      <c r="IXV2" s="100"/>
      <c r="IXW2" s="102"/>
      <c r="IXY2" s="101"/>
      <c r="IXZ2" s="100"/>
      <c r="IYA2" s="102"/>
      <c r="IYC2" s="101"/>
      <c r="IYD2" s="100"/>
      <c r="IYE2" s="102"/>
      <c r="IYG2" s="101"/>
      <c r="IYH2" s="100"/>
      <c r="IYI2" s="102"/>
      <c r="IYK2" s="101"/>
      <c r="IYL2" s="100"/>
      <c r="IYM2" s="102"/>
      <c r="IYO2" s="101"/>
      <c r="IYP2" s="100"/>
      <c r="IYQ2" s="102"/>
      <c r="IYS2" s="101"/>
      <c r="IYT2" s="100"/>
      <c r="IYU2" s="102"/>
      <c r="IYW2" s="101"/>
      <c r="IYX2" s="100"/>
      <c r="IYY2" s="102"/>
      <c r="IZA2" s="101"/>
      <c r="IZB2" s="100"/>
      <c r="IZC2" s="102"/>
      <c r="IZE2" s="101"/>
      <c r="IZF2" s="100"/>
      <c r="IZG2" s="102"/>
      <c r="IZI2" s="101"/>
      <c r="IZJ2" s="100"/>
      <c r="IZK2" s="102"/>
      <c r="IZM2" s="101"/>
      <c r="IZN2" s="100"/>
      <c r="IZO2" s="102"/>
      <c r="IZQ2" s="101"/>
      <c r="IZR2" s="100"/>
      <c r="IZS2" s="102"/>
      <c r="IZU2" s="101"/>
      <c r="IZV2" s="100"/>
      <c r="IZW2" s="102"/>
      <c r="IZY2" s="101"/>
      <c r="IZZ2" s="100"/>
      <c r="JAA2" s="102"/>
      <c r="JAC2" s="101"/>
      <c r="JAD2" s="100"/>
      <c r="JAE2" s="102"/>
      <c r="JAG2" s="101"/>
      <c r="JAH2" s="100"/>
      <c r="JAI2" s="102"/>
      <c r="JAK2" s="101"/>
      <c r="JAL2" s="100"/>
      <c r="JAM2" s="102"/>
      <c r="JAO2" s="101"/>
      <c r="JAP2" s="100"/>
      <c r="JAQ2" s="102"/>
      <c r="JAS2" s="101"/>
      <c r="JAT2" s="100"/>
      <c r="JAU2" s="102"/>
      <c r="JAW2" s="101"/>
      <c r="JAX2" s="100"/>
      <c r="JAY2" s="102"/>
      <c r="JBA2" s="101"/>
      <c r="JBB2" s="100"/>
      <c r="JBC2" s="102"/>
      <c r="JBE2" s="101"/>
      <c r="JBF2" s="100"/>
      <c r="JBG2" s="102"/>
      <c r="JBI2" s="101"/>
      <c r="JBJ2" s="100"/>
      <c r="JBK2" s="102"/>
      <c r="JBM2" s="101"/>
      <c r="JBN2" s="100"/>
      <c r="JBO2" s="102"/>
      <c r="JBQ2" s="101"/>
      <c r="JBR2" s="100"/>
      <c r="JBS2" s="102"/>
      <c r="JBU2" s="101"/>
      <c r="JBV2" s="100"/>
      <c r="JBW2" s="102"/>
      <c r="JBY2" s="101"/>
      <c r="JBZ2" s="100"/>
      <c r="JCA2" s="102"/>
      <c r="JCC2" s="101"/>
      <c r="JCD2" s="100"/>
      <c r="JCE2" s="102"/>
      <c r="JCG2" s="101"/>
      <c r="JCH2" s="100"/>
      <c r="JCI2" s="102"/>
      <c r="JCK2" s="101"/>
      <c r="JCL2" s="100"/>
      <c r="JCM2" s="102"/>
      <c r="JCO2" s="101"/>
      <c r="JCP2" s="100"/>
      <c r="JCQ2" s="102"/>
      <c r="JCS2" s="101"/>
      <c r="JCT2" s="100"/>
      <c r="JCU2" s="102"/>
      <c r="JCW2" s="101"/>
      <c r="JCX2" s="100"/>
      <c r="JCY2" s="102"/>
      <c r="JDA2" s="101"/>
      <c r="JDB2" s="100"/>
      <c r="JDC2" s="102"/>
      <c r="JDE2" s="101"/>
      <c r="JDF2" s="100"/>
      <c r="JDG2" s="102"/>
      <c r="JDI2" s="101"/>
      <c r="JDJ2" s="100"/>
      <c r="JDK2" s="102"/>
      <c r="JDM2" s="101"/>
      <c r="JDN2" s="100"/>
      <c r="JDO2" s="102"/>
      <c r="JDQ2" s="101"/>
      <c r="JDR2" s="100"/>
      <c r="JDS2" s="102"/>
      <c r="JDU2" s="101"/>
      <c r="JDV2" s="100"/>
      <c r="JDW2" s="102"/>
      <c r="JDY2" s="101"/>
      <c r="JDZ2" s="100"/>
      <c r="JEA2" s="102"/>
      <c r="JEC2" s="101"/>
      <c r="JED2" s="100"/>
      <c r="JEE2" s="102"/>
      <c r="JEG2" s="101"/>
      <c r="JEH2" s="100"/>
      <c r="JEI2" s="102"/>
      <c r="JEK2" s="101"/>
      <c r="JEL2" s="100"/>
      <c r="JEM2" s="102"/>
      <c r="JEO2" s="101"/>
      <c r="JEP2" s="100"/>
      <c r="JEQ2" s="102"/>
      <c r="JES2" s="101"/>
      <c r="JET2" s="100"/>
      <c r="JEU2" s="102"/>
      <c r="JEW2" s="101"/>
      <c r="JEX2" s="100"/>
      <c r="JEY2" s="102"/>
      <c r="JFA2" s="101"/>
      <c r="JFB2" s="100"/>
      <c r="JFC2" s="102"/>
      <c r="JFE2" s="101"/>
      <c r="JFF2" s="100"/>
      <c r="JFG2" s="102"/>
      <c r="JFI2" s="101"/>
      <c r="JFJ2" s="100"/>
      <c r="JFK2" s="102"/>
      <c r="JFM2" s="101"/>
      <c r="JFN2" s="100"/>
      <c r="JFO2" s="102"/>
      <c r="JFQ2" s="101"/>
      <c r="JFR2" s="100"/>
      <c r="JFS2" s="102"/>
      <c r="JFU2" s="101"/>
      <c r="JFV2" s="100"/>
      <c r="JFW2" s="102"/>
      <c r="JFY2" s="101"/>
      <c r="JFZ2" s="100"/>
      <c r="JGA2" s="102"/>
      <c r="JGC2" s="101"/>
      <c r="JGD2" s="100"/>
      <c r="JGE2" s="102"/>
      <c r="JGG2" s="101"/>
      <c r="JGH2" s="100"/>
      <c r="JGI2" s="102"/>
      <c r="JGK2" s="101"/>
      <c r="JGL2" s="100"/>
      <c r="JGM2" s="102"/>
      <c r="JGO2" s="101"/>
      <c r="JGP2" s="100"/>
      <c r="JGQ2" s="102"/>
      <c r="JGS2" s="101"/>
      <c r="JGT2" s="100"/>
      <c r="JGU2" s="102"/>
      <c r="JGW2" s="101"/>
      <c r="JGX2" s="100"/>
      <c r="JGY2" s="102"/>
      <c r="JHA2" s="101"/>
      <c r="JHB2" s="100"/>
      <c r="JHC2" s="102"/>
      <c r="JHE2" s="101"/>
      <c r="JHF2" s="100"/>
      <c r="JHG2" s="102"/>
      <c r="JHI2" s="101"/>
      <c r="JHJ2" s="100"/>
      <c r="JHK2" s="102"/>
      <c r="JHM2" s="101"/>
      <c r="JHN2" s="100"/>
      <c r="JHO2" s="102"/>
      <c r="JHQ2" s="101"/>
      <c r="JHR2" s="100"/>
      <c r="JHS2" s="102"/>
      <c r="JHU2" s="101"/>
      <c r="JHV2" s="100"/>
      <c r="JHW2" s="102"/>
      <c r="JHY2" s="101"/>
      <c r="JHZ2" s="100"/>
      <c r="JIA2" s="102"/>
      <c r="JIC2" s="101"/>
      <c r="JID2" s="100"/>
      <c r="JIE2" s="102"/>
      <c r="JIG2" s="101"/>
      <c r="JIH2" s="100"/>
      <c r="JII2" s="102"/>
      <c r="JIK2" s="101"/>
      <c r="JIL2" s="100"/>
      <c r="JIM2" s="102"/>
      <c r="JIO2" s="101"/>
      <c r="JIP2" s="100"/>
      <c r="JIQ2" s="102"/>
      <c r="JIS2" s="101"/>
      <c r="JIT2" s="100"/>
      <c r="JIU2" s="102"/>
      <c r="JIW2" s="101"/>
      <c r="JIX2" s="100"/>
      <c r="JIY2" s="102"/>
      <c r="JJA2" s="101"/>
      <c r="JJB2" s="100"/>
      <c r="JJC2" s="102"/>
      <c r="JJE2" s="101"/>
      <c r="JJF2" s="100"/>
      <c r="JJG2" s="102"/>
      <c r="JJI2" s="101"/>
      <c r="JJJ2" s="100"/>
      <c r="JJK2" s="102"/>
      <c r="JJM2" s="101"/>
      <c r="JJN2" s="100"/>
      <c r="JJO2" s="102"/>
      <c r="JJQ2" s="101"/>
      <c r="JJR2" s="100"/>
      <c r="JJS2" s="102"/>
      <c r="JJU2" s="101"/>
      <c r="JJV2" s="100"/>
      <c r="JJW2" s="102"/>
      <c r="JJY2" s="101"/>
      <c r="JJZ2" s="100"/>
      <c r="JKA2" s="102"/>
      <c r="JKC2" s="101"/>
      <c r="JKD2" s="100"/>
      <c r="JKE2" s="102"/>
      <c r="JKG2" s="101"/>
      <c r="JKH2" s="100"/>
      <c r="JKI2" s="102"/>
      <c r="JKK2" s="101"/>
      <c r="JKL2" s="100"/>
      <c r="JKM2" s="102"/>
      <c r="JKO2" s="101"/>
      <c r="JKP2" s="100"/>
      <c r="JKQ2" s="102"/>
      <c r="JKS2" s="101"/>
      <c r="JKT2" s="100"/>
      <c r="JKU2" s="102"/>
      <c r="JKW2" s="101"/>
      <c r="JKX2" s="100"/>
      <c r="JKY2" s="102"/>
      <c r="JLA2" s="101"/>
      <c r="JLB2" s="100"/>
      <c r="JLC2" s="102"/>
      <c r="JLE2" s="101"/>
      <c r="JLF2" s="100"/>
      <c r="JLG2" s="102"/>
      <c r="JLI2" s="101"/>
      <c r="JLJ2" s="100"/>
      <c r="JLK2" s="102"/>
      <c r="JLM2" s="101"/>
      <c r="JLN2" s="100"/>
      <c r="JLO2" s="102"/>
      <c r="JLQ2" s="101"/>
      <c r="JLR2" s="100"/>
      <c r="JLS2" s="102"/>
      <c r="JLU2" s="101"/>
      <c r="JLV2" s="100"/>
      <c r="JLW2" s="102"/>
      <c r="JLY2" s="101"/>
      <c r="JLZ2" s="100"/>
      <c r="JMA2" s="102"/>
      <c r="JMC2" s="101"/>
      <c r="JMD2" s="100"/>
      <c r="JME2" s="102"/>
      <c r="JMG2" s="101"/>
      <c r="JMH2" s="100"/>
      <c r="JMI2" s="102"/>
      <c r="JMK2" s="101"/>
      <c r="JML2" s="100"/>
      <c r="JMM2" s="102"/>
      <c r="JMO2" s="101"/>
      <c r="JMP2" s="100"/>
      <c r="JMQ2" s="102"/>
      <c r="JMS2" s="101"/>
      <c r="JMT2" s="100"/>
      <c r="JMU2" s="102"/>
      <c r="JMW2" s="101"/>
      <c r="JMX2" s="100"/>
      <c r="JMY2" s="102"/>
      <c r="JNA2" s="101"/>
      <c r="JNB2" s="100"/>
      <c r="JNC2" s="102"/>
      <c r="JNE2" s="101"/>
      <c r="JNF2" s="100"/>
      <c r="JNG2" s="102"/>
      <c r="JNI2" s="101"/>
      <c r="JNJ2" s="100"/>
      <c r="JNK2" s="102"/>
      <c r="JNM2" s="101"/>
      <c r="JNN2" s="100"/>
      <c r="JNO2" s="102"/>
      <c r="JNQ2" s="101"/>
      <c r="JNR2" s="100"/>
      <c r="JNS2" s="102"/>
      <c r="JNU2" s="101"/>
      <c r="JNV2" s="100"/>
      <c r="JNW2" s="102"/>
      <c r="JNY2" s="101"/>
      <c r="JNZ2" s="100"/>
      <c r="JOA2" s="102"/>
      <c r="JOC2" s="101"/>
      <c r="JOD2" s="100"/>
      <c r="JOE2" s="102"/>
      <c r="JOG2" s="101"/>
      <c r="JOH2" s="100"/>
      <c r="JOI2" s="102"/>
      <c r="JOK2" s="101"/>
      <c r="JOL2" s="100"/>
      <c r="JOM2" s="102"/>
      <c r="JOO2" s="101"/>
      <c r="JOP2" s="100"/>
      <c r="JOQ2" s="102"/>
      <c r="JOS2" s="101"/>
      <c r="JOT2" s="100"/>
      <c r="JOU2" s="102"/>
      <c r="JOW2" s="101"/>
      <c r="JOX2" s="100"/>
      <c r="JOY2" s="102"/>
      <c r="JPA2" s="101"/>
      <c r="JPB2" s="100"/>
      <c r="JPC2" s="102"/>
      <c r="JPE2" s="101"/>
      <c r="JPF2" s="100"/>
      <c r="JPG2" s="102"/>
      <c r="JPI2" s="101"/>
      <c r="JPJ2" s="100"/>
      <c r="JPK2" s="102"/>
      <c r="JPM2" s="101"/>
      <c r="JPN2" s="100"/>
      <c r="JPO2" s="102"/>
      <c r="JPQ2" s="101"/>
      <c r="JPR2" s="100"/>
      <c r="JPS2" s="102"/>
      <c r="JPU2" s="101"/>
      <c r="JPV2" s="100"/>
      <c r="JPW2" s="102"/>
      <c r="JPY2" s="101"/>
      <c r="JPZ2" s="100"/>
      <c r="JQA2" s="102"/>
      <c r="JQC2" s="101"/>
      <c r="JQD2" s="100"/>
      <c r="JQE2" s="102"/>
      <c r="JQG2" s="101"/>
      <c r="JQH2" s="100"/>
      <c r="JQI2" s="102"/>
      <c r="JQK2" s="101"/>
      <c r="JQL2" s="100"/>
      <c r="JQM2" s="102"/>
      <c r="JQO2" s="101"/>
      <c r="JQP2" s="100"/>
      <c r="JQQ2" s="102"/>
      <c r="JQS2" s="101"/>
      <c r="JQT2" s="100"/>
      <c r="JQU2" s="102"/>
      <c r="JQW2" s="101"/>
      <c r="JQX2" s="100"/>
      <c r="JQY2" s="102"/>
      <c r="JRA2" s="101"/>
      <c r="JRB2" s="100"/>
      <c r="JRC2" s="102"/>
      <c r="JRE2" s="101"/>
      <c r="JRF2" s="100"/>
      <c r="JRG2" s="102"/>
      <c r="JRI2" s="101"/>
      <c r="JRJ2" s="100"/>
      <c r="JRK2" s="102"/>
      <c r="JRM2" s="101"/>
      <c r="JRN2" s="100"/>
      <c r="JRO2" s="102"/>
      <c r="JRQ2" s="101"/>
      <c r="JRR2" s="100"/>
      <c r="JRS2" s="102"/>
      <c r="JRU2" s="101"/>
      <c r="JRV2" s="100"/>
      <c r="JRW2" s="102"/>
      <c r="JRY2" s="101"/>
      <c r="JRZ2" s="100"/>
      <c r="JSA2" s="102"/>
      <c r="JSC2" s="101"/>
      <c r="JSD2" s="100"/>
      <c r="JSE2" s="102"/>
      <c r="JSG2" s="101"/>
      <c r="JSH2" s="100"/>
      <c r="JSI2" s="102"/>
      <c r="JSK2" s="101"/>
      <c r="JSL2" s="100"/>
      <c r="JSM2" s="102"/>
      <c r="JSO2" s="101"/>
      <c r="JSP2" s="100"/>
      <c r="JSQ2" s="102"/>
      <c r="JSS2" s="101"/>
      <c r="JST2" s="100"/>
      <c r="JSU2" s="102"/>
      <c r="JSW2" s="101"/>
      <c r="JSX2" s="100"/>
      <c r="JSY2" s="102"/>
      <c r="JTA2" s="101"/>
      <c r="JTB2" s="100"/>
      <c r="JTC2" s="102"/>
      <c r="JTE2" s="101"/>
      <c r="JTF2" s="100"/>
      <c r="JTG2" s="102"/>
      <c r="JTI2" s="101"/>
      <c r="JTJ2" s="100"/>
      <c r="JTK2" s="102"/>
      <c r="JTM2" s="101"/>
      <c r="JTN2" s="100"/>
      <c r="JTO2" s="102"/>
      <c r="JTQ2" s="101"/>
      <c r="JTR2" s="100"/>
      <c r="JTS2" s="102"/>
      <c r="JTU2" s="101"/>
      <c r="JTV2" s="100"/>
      <c r="JTW2" s="102"/>
      <c r="JTY2" s="101"/>
      <c r="JTZ2" s="100"/>
      <c r="JUA2" s="102"/>
      <c r="JUC2" s="101"/>
      <c r="JUD2" s="100"/>
      <c r="JUE2" s="102"/>
      <c r="JUG2" s="101"/>
      <c r="JUH2" s="100"/>
      <c r="JUI2" s="102"/>
      <c r="JUK2" s="101"/>
      <c r="JUL2" s="100"/>
      <c r="JUM2" s="102"/>
      <c r="JUO2" s="101"/>
      <c r="JUP2" s="100"/>
      <c r="JUQ2" s="102"/>
      <c r="JUS2" s="101"/>
      <c r="JUT2" s="100"/>
      <c r="JUU2" s="102"/>
      <c r="JUW2" s="101"/>
      <c r="JUX2" s="100"/>
      <c r="JUY2" s="102"/>
      <c r="JVA2" s="101"/>
      <c r="JVB2" s="100"/>
      <c r="JVC2" s="102"/>
      <c r="JVE2" s="101"/>
      <c r="JVF2" s="100"/>
      <c r="JVG2" s="102"/>
      <c r="JVI2" s="101"/>
      <c r="JVJ2" s="100"/>
      <c r="JVK2" s="102"/>
      <c r="JVM2" s="101"/>
      <c r="JVN2" s="100"/>
      <c r="JVO2" s="102"/>
      <c r="JVQ2" s="101"/>
      <c r="JVR2" s="100"/>
      <c r="JVS2" s="102"/>
      <c r="JVU2" s="101"/>
      <c r="JVV2" s="100"/>
      <c r="JVW2" s="102"/>
      <c r="JVY2" s="101"/>
      <c r="JVZ2" s="100"/>
      <c r="JWA2" s="102"/>
      <c r="JWC2" s="101"/>
      <c r="JWD2" s="100"/>
      <c r="JWE2" s="102"/>
      <c r="JWG2" s="101"/>
      <c r="JWH2" s="100"/>
      <c r="JWI2" s="102"/>
      <c r="JWK2" s="101"/>
      <c r="JWL2" s="100"/>
      <c r="JWM2" s="102"/>
      <c r="JWO2" s="101"/>
      <c r="JWP2" s="100"/>
      <c r="JWQ2" s="102"/>
      <c r="JWS2" s="101"/>
      <c r="JWT2" s="100"/>
      <c r="JWU2" s="102"/>
      <c r="JWW2" s="101"/>
      <c r="JWX2" s="100"/>
      <c r="JWY2" s="102"/>
      <c r="JXA2" s="101"/>
      <c r="JXB2" s="100"/>
      <c r="JXC2" s="102"/>
      <c r="JXE2" s="101"/>
      <c r="JXF2" s="100"/>
      <c r="JXG2" s="102"/>
      <c r="JXI2" s="101"/>
      <c r="JXJ2" s="100"/>
      <c r="JXK2" s="102"/>
      <c r="JXM2" s="101"/>
      <c r="JXN2" s="100"/>
      <c r="JXO2" s="102"/>
      <c r="JXQ2" s="101"/>
      <c r="JXR2" s="100"/>
      <c r="JXS2" s="102"/>
      <c r="JXU2" s="101"/>
      <c r="JXV2" s="100"/>
      <c r="JXW2" s="102"/>
      <c r="JXY2" s="101"/>
      <c r="JXZ2" s="100"/>
      <c r="JYA2" s="102"/>
      <c r="JYC2" s="101"/>
      <c r="JYD2" s="100"/>
      <c r="JYE2" s="102"/>
      <c r="JYG2" s="101"/>
      <c r="JYH2" s="100"/>
      <c r="JYI2" s="102"/>
      <c r="JYK2" s="101"/>
      <c r="JYL2" s="100"/>
      <c r="JYM2" s="102"/>
      <c r="JYO2" s="101"/>
      <c r="JYP2" s="100"/>
      <c r="JYQ2" s="102"/>
      <c r="JYS2" s="101"/>
      <c r="JYT2" s="100"/>
      <c r="JYU2" s="102"/>
      <c r="JYW2" s="101"/>
      <c r="JYX2" s="100"/>
      <c r="JYY2" s="102"/>
      <c r="JZA2" s="101"/>
      <c r="JZB2" s="100"/>
      <c r="JZC2" s="102"/>
      <c r="JZE2" s="101"/>
      <c r="JZF2" s="100"/>
      <c r="JZG2" s="102"/>
      <c r="JZI2" s="101"/>
      <c r="JZJ2" s="100"/>
      <c r="JZK2" s="102"/>
      <c r="JZM2" s="101"/>
      <c r="JZN2" s="100"/>
      <c r="JZO2" s="102"/>
      <c r="JZQ2" s="101"/>
      <c r="JZR2" s="100"/>
      <c r="JZS2" s="102"/>
      <c r="JZU2" s="101"/>
      <c r="JZV2" s="100"/>
      <c r="JZW2" s="102"/>
      <c r="JZY2" s="101"/>
      <c r="JZZ2" s="100"/>
      <c r="KAA2" s="102"/>
      <c r="KAC2" s="101"/>
      <c r="KAD2" s="100"/>
      <c r="KAE2" s="102"/>
      <c r="KAG2" s="101"/>
      <c r="KAH2" s="100"/>
      <c r="KAI2" s="102"/>
      <c r="KAK2" s="101"/>
      <c r="KAL2" s="100"/>
      <c r="KAM2" s="102"/>
      <c r="KAO2" s="101"/>
      <c r="KAP2" s="100"/>
      <c r="KAQ2" s="102"/>
      <c r="KAS2" s="101"/>
      <c r="KAT2" s="100"/>
      <c r="KAU2" s="102"/>
      <c r="KAW2" s="101"/>
      <c r="KAX2" s="100"/>
      <c r="KAY2" s="102"/>
      <c r="KBA2" s="101"/>
      <c r="KBB2" s="100"/>
      <c r="KBC2" s="102"/>
      <c r="KBE2" s="101"/>
      <c r="KBF2" s="100"/>
      <c r="KBG2" s="102"/>
      <c r="KBI2" s="101"/>
      <c r="KBJ2" s="100"/>
      <c r="KBK2" s="102"/>
      <c r="KBM2" s="101"/>
      <c r="KBN2" s="100"/>
      <c r="KBO2" s="102"/>
      <c r="KBQ2" s="101"/>
      <c r="KBR2" s="100"/>
      <c r="KBS2" s="102"/>
      <c r="KBU2" s="101"/>
      <c r="KBV2" s="100"/>
      <c r="KBW2" s="102"/>
      <c r="KBY2" s="101"/>
      <c r="KBZ2" s="100"/>
      <c r="KCA2" s="102"/>
      <c r="KCC2" s="101"/>
      <c r="KCD2" s="100"/>
      <c r="KCE2" s="102"/>
      <c r="KCG2" s="101"/>
      <c r="KCH2" s="100"/>
      <c r="KCI2" s="102"/>
      <c r="KCK2" s="101"/>
      <c r="KCL2" s="100"/>
      <c r="KCM2" s="102"/>
      <c r="KCO2" s="101"/>
      <c r="KCP2" s="100"/>
      <c r="KCQ2" s="102"/>
      <c r="KCS2" s="101"/>
      <c r="KCT2" s="100"/>
      <c r="KCU2" s="102"/>
      <c r="KCW2" s="101"/>
      <c r="KCX2" s="100"/>
      <c r="KCY2" s="102"/>
      <c r="KDA2" s="101"/>
      <c r="KDB2" s="100"/>
      <c r="KDC2" s="102"/>
      <c r="KDE2" s="101"/>
      <c r="KDF2" s="100"/>
      <c r="KDG2" s="102"/>
      <c r="KDI2" s="101"/>
      <c r="KDJ2" s="100"/>
      <c r="KDK2" s="102"/>
      <c r="KDM2" s="101"/>
      <c r="KDN2" s="100"/>
      <c r="KDO2" s="102"/>
      <c r="KDQ2" s="101"/>
      <c r="KDR2" s="100"/>
      <c r="KDS2" s="102"/>
      <c r="KDU2" s="101"/>
      <c r="KDV2" s="100"/>
      <c r="KDW2" s="102"/>
      <c r="KDY2" s="101"/>
      <c r="KDZ2" s="100"/>
      <c r="KEA2" s="102"/>
      <c r="KEC2" s="101"/>
      <c r="KED2" s="100"/>
      <c r="KEE2" s="102"/>
      <c r="KEG2" s="101"/>
      <c r="KEH2" s="100"/>
      <c r="KEI2" s="102"/>
      <c r="KEK2" s="101"/>
      <c r="KEL2" s="100"/>
      <c r="KEM2" s="102"/>
      <c r="KEO2" s="101"/>
      <c r="KEP2" s="100"/>
      <c r="KEQ2" s="102"/>
      <c r="KES2" s="101"/>
      <c r="KET2" s="100"/>
      <c r="KEU2" s="102"/>
      <c r="KEW2" s="101"/>
      <c r="KEX2" s="100"/>
      <c r="KEY2" s="102"/>
      <c r="KFA2" s="101"/>
      <c r="KFB2" s="100"/>
      <c r="KFC2" s="102"/>
      <c r="KFE2" s="101"/>
      <c r="KFF2" s="100"/>
      <c r="KFG2" s="102"/>
      <c r="KFI2" s="101"/>
      <c r="KFJ2" s="100"/>
      <c r="KFK2" s="102"/>
      <c r="KFM2" s="101"/>
      <c r="KFN2" s="100"/>
      <c r="KFO2" s="102"/>
      <c r="KFQ2" s="101"/>
      <c r="KFR2" s="100"/>
      <c r="KFS2" s="102"/>
      <c r="KFU2" s="101"/>
      <c r="KFV2" s="100"/>
      <c r="KFW2" s="102"/>
      <c r="KFY2" s="101"/>
      <c r="KFZ2" s="100"/>
      <c r="KGA2" s="102"/>
      <c r="KGC2" s="101"/>
      <c r="KGD2" s="100"/>
      <c r="KGE2" s="102"/>
      <c r="KGG2" s="101"/>
      <c r="KGH2" s="100"/>
      <c r="KGI2" s="102"/>
      <c r="KGK2" s="101"/>
      <c r="KGL2" s="100"/>
      <c r="KGM2" s="102"/>
      <c r="KGO2" s="101"/>
      <c r="KGP2" s="100"/>
      <c r="KGQ2" s="102"/>
      <c r="KGS2" s="101"/>
      <c r="KGT2" s="100"/>
      <c r="KGU2" s="102"/>
      <c r="KGW2" s="101"/>
      <c r="KGX2" s="100"/>
      <c r="KGY2" s="102"/>
      <c r="KHA2" s="101"/>
      <c r="KHB2" s="100"/>
      <c r="KHC2" s="102"/>
      <c r="KHE2" s="101"/>
      <c r="KHF2" s="100"/>
      <c r="KHG2" s="102"/>
      <c r="KHI2" s="101"/>
      <c r="KHJ2" s="100"/>
      <c r="KHK2" s="102"/>
      <c r="KHM2" s="101"/>
      <c r="KHN2" s="100"/>
      <c r="KHO2" s="102"/>
      <c r="KHQ2" s="101"/>
      <c r="KHR2" s="100"/>
      <c r="KHS2" s="102"/>
      <c r="KHU2" s="101"/>
      <c r="KHV2" s="100"/>
      <c r="KHW2" s="102"/>
      <c r="KHY2" s="101"/>
      <c r="KHZ2" s="100"/>
      <c r="KIA2" s="102"/>
      <c r="KIC2" s="101"/>
      <c r="KID2" s="100"/>
      <c r="KIE2" s="102"/>
      <c r="KIG2" s="101"/>
      <c r="KIH2" s="100"/>
      <c r="KII2" s="102"/>
      <c r="KIK2" s="101"/>
      <c r="KIL2" s="100"/>
      <c r="KIM2" s="102"/>
      <c r="KIO2" s="101"/>
      <c r="KIP2" s="100"/>
      <c r="KIQ2" s="102"/>
      <c r="KIS2" s="101"/>
      <c r="KIT2" s="100"/>
      <c r="KIU2" s="102"/>
      <c r="KIW2" s="101"/>
      <c r="KIX2" s="100"/>
      <c r="KIY2" s="102"/>
      <c r="KJA2" s="101"/>
      <c r="KJB2" s="100"/>
      <c r="KJC2" s="102"/>
      <c r="KJE2" s="101"/>
      <c r="KJF2" s="100"/>
      <c r="KJG2" s="102"/>
      <c r="KJI2" s="101"/>
      <c r="KJJ2" s="100"/>
      <c r="KJK2" s="102"/>
      <c r="KJM2" s="101"/>
      <c r="KJN2" s="100"/>
      <c r="KJO2" s="102"/>
      <c r="KJQ2" s="101"/>
      <c r="KJR2" s="100"/>
      <c r="KJS2" s="102"/>
      <c r="KJU2" s="101"/>
      <c r="KJV2" s="100"/>
      <c r="KJW2" s="102"/>
      <c r="KJY2" s="101"/>
      <c r="KJZ2" s="100"/>
      <c r="KKA2" s="102"/>
      <c r="KKC2" s="101"/>
      <c r="KKD2" s="100"/>
      <c r="KKE2" s="102"/>
      <c r="KKG2" s="101"/>
      <c r="KKH2" s="100"/>
      <c r="KKI2" s="102"/>
      <c r="KKK2" s="101"/>
      <c r="KKL2" s="100"/>
      <c r="KKM2" s="102"/>
      <c r="KKO2" s="101"/>
      <c r="KKP2" s="100"/>
      <c r="KKQ2" s="102"/>
      <c r="KKS2" s="101"/>
      <c r="KKT2" s="100"/>
      <c r="KKU2" s="102"/>
      <c r="KKW2" s="101"/>
      <c r="KKX2" s="100"/>
      <c r="KKY2" s="102"/>
      <c r="KLA2" s="101"/>
      <c r="KLB2" s="100"/>
      <c r="KLC2" s="102"/>
      <c r="KLE2" s="101"/>
      <c r="KLF2" s="100"/>
      <c r="KLG2" s="102"/>
      <c r="KLI2" s="101"/>
      <c r="KLJ2" s="100"/>
      <c r="KLK2" s="102"/>
      <c r="KLM2" s="101"/>
      <c r="KLN2" s="100"/>
      <c r="KLO2" s="102"/>
      <c r="KLQ2" s="101"/>
      <c r="KLR2" s="100"/>
      <c r="KLS2" s="102"/>
      <c r="KLU2" s="101"/>
      <c r="KLV2" s="100"/>
      <c r="KLW2" s="102"/>
      <c r="KLY2" s="101"/>
      <c r="KLZ2" s="100"/>
      <c r="KMA2" s="102"/>
      <c r="KMC2" s="101"/>
      <c r="KMD2" s="100"/>
      <c r="KME2" s="102"/>
      <c r="KMG2" s="101"/>
      <c r="KMH2" s="100"/>
      <c r="KMI2" s="102"/>
      <c r="KMK2" s="101"/>
      <c r="KML2" s="100"/>
      <c r="KMM2" s="102"/>
      <c r="KMO2" s="101"/>
      <c r="KMP2" s="100"/>
      <c r="KMQ2" s="102"/>
      <c r="KMS2" s="101"/>
      <c r="KMT2" s="100"/>
      <c r="KMU2" s="102"/>
      <c r="KMW2" s="101"/>
      <c r="KMX2" s="100"/>
      <c r="KMY2" s="102"/>
      <c r="KNA2" s="101"/>
      <c r="KNB2" s="100"/>
      <c r="KNC2" s="102"/>
      <c r="KNE2" s="101"/>
      <c r="KNF2" s="100"/>
      <c r="KNG2" s="102"/>
      <c r="KNI2" s="101"/>
      <c r="KNJ2" s="100"/>
      <c r="KNK2" s="102"/>
      <c r="KNM2" s="101"/>
      <c r="KNN2" s="100"/>
      <c r="KNO2" s="102"/>
      <c r="KNQ2" s="101"/>
      <c r="KNR2" s="100"/>
      <c r="KNS2" s="102"/>
      <c r="KNU2" s="101"/>
      <c r="KNV2" s="100"/>
      <c r="KNW2" s="102"/>
      <c r="KNY2" s="101"/>
      <c r="KNZ2" s="100"/>
      <c r="KOA2" s="102"/>
      <c r="KOC2" s="101"/>
      <c r="KOD2" s="100"/>
      <c r="KOE2" s="102"/>
      <c r="KOG2" s="101"/>
      <c r="KOH2" s="100"/>
      <c r="KOI2" s="102"/>
      <c r="KOK2" s="101"/>
      <c r="KOL2" s="100"/>
      <c r="KOM2" s="102"/>
      <c r="KOO2" s="101"/>
      <c r="KOP2" s="100"/>
      <c r="KOQ2" s="102"/>
      <c r="KOS2" s="101"/>
      <c r="KOT2" s="100"/>
      <c r="KOU2" s="102"/>
      <c r="KOW2" s="101"/>
      <c r="KOX2" s="100"/>
      <c r="KOY2" s="102"/>
      <c r="KPA2" s="101"/>
      <c r="KPB2" s="100"/>
      <c r="KPC2" s="102"/>
      <c r="KPE2" s="101"/>
      <c r="KPF2" s="100"/>
      <c r="KPG2" s="102"/>
      <c r="KPI2" s="101"/>
      <c r="KPJ2" s="100"/>
      <c r="KPK2" s="102"/>
      <c r="KPM2" s="101"/>
      <c r="KPN2" s="100"/>
      <c r="KPO2" s="102"/>
      <c r="KPQ2" s="101"/>
      <c r="KPR2" s="100"/>
      <c r="KPS2" s="102"/>
      <c r="KPU2" s="101"/>
      <c r="KPV2" s="100"/>
      <c r="KPW2" s="102"/>
      <c r="KPY2" s="101"/>
      <c r="KPZ2" s="100"/>
      <c r="KQA2" s="102"/>
      <c r="KQC2" s="101"/>
      <c r="KQD2" s="100"/>
      <c r="KQE2" s="102"/>
      <c r="KQG2" s="101"/>
      <c r="KQH2" s="100"/>
      <c r="KQI2" s="102"/>
      <c r="KQK2" s="101"/>
      <c r="KQL2" s="100"/>
      <c r="KQM2" s="102"/>
      <c r="KQO2" s="101"/>
      <c r="KQP2" s="100"/>
      <c r="KQQ2" s="102"/>
      <c r="KQS2" s="101"/>
      <c r="KQT2" s="100"/>
      <c r="KQU2" s="102"/>
      <c r="KQW2" s="101"/>
      <c r="KQX2" s="100"/>
      <c r="KQY2" s="102"/>
      <c r="KRA2" s="101"/>
      <c r="KRB2" s="100"/>
      <c r="KRC2" s="102"/>
      <c r="KRE2" s="101"/>
      <c r="KRF2" s="100"/>
      <c r="KRG2" s="102"/>
      <c r="KRI2" s="101"/>
      <c r="KRJ2" s="100"/>
      <c r="KRK2" s="102"/>
      <c r="KRM2" s="101"/>
      <c r="KRN2" s="100"/>
      <c r="KRO2" s="102"/>
      <c r="KRQ2" s="101"/>
      <c r="KRR2" s="100"/>
      <c r="KRS2" s="102"/>
      <c r="KRU2" s="101"/>
      <c r="KRV2" s="100"/>
      <c r="KRW2" s="102"/>
      <c r="KRY2" s="101"/>
      <c r="KRZ2" s="100"/>
      <c r="KSA2" s="102"/>
      <c r="KSC2" s="101"/>
      <c r="KSD2" s="100"/>
      <c r="KSE2" s="102"/>
      <c r="KSG2" s="101"/>
      <c r="KSH2" s="100"/>
      <c r="KSI2" s="102"/>
      <c r="KSK2" s="101"/>
      <c r="KSL2" s="100"/>
      <c r="KSM2" s="102"/>
      <c r="KSO2" s="101"/>
      <c r="KSP2" s="100"/>
      <c r="KSQ2" s="102"/>
      <c r="KSS2" s="101"/>
      <c r="KST2" s="100"/>
      <c r="KSU2" s="102"/>
      <c r="KSW2" s="101"/>
      <c r="KSX2" s="100"/>
      <c r="KSY2" s="102"/>
      <c r="KTA2" s="101"/>
      <c r="KTB2" s="100"/>
      <c r="KTC2" s="102"/>
      <c r="KTE2" s="101"/>
      <c r="KTF2" s="100"/>
      <c r="KTG2" s="102"/>
      <c r="KTI2" s="101"/>
      <c r="KTJ2" s="100"/>
      <c r="KTK2" s="102"/>
      <c r="KTM2" s="101"/>
      <c r="KTN2" s="100"/>
      <c r="KTO2" s="102"/>
      <c r="KTQ2" s="101"/>
      <c r="KTR2" s="100"/>
      <c r="KTS2" s="102"/>
      <c r="KTU2" s="101"/>
      <c r="KTV2" s="100"/>
      <c r="KTW2" s="102"/>
      <c r="KTY2" s="101"/>
      <c r="KTZ2" s="100"/>
      <c r="KUA2" s="102"/>
      <c r="KUC2" s="101"/>
      <c r="KUD2" s="100"/>
      <c r="KUE2" s="102"/>
      <c r="KUG2" s="101"/>
      <c r="KUH2" s="100"/>
      <c r="KUI2" s="102"/>
      <c r="KUK2" s="101"/>
      <c r="KUL2" s="100"/>
      <c r="KUM2" s="102"/>
      <c r="KUO2" s="101"/>
      <c r="KUP2" s="100"/>
      <c r="KUQ2" s="102"/>
      <c r="KUS2" s="101"/>
      <c r="KUT2" s="100"/>
      <c r="KUU2" s="102"/>
      <c r="KUW2" s="101"/>
      <c r="KUX2" s="100"/>
      <c r="KUY2" s="102"/>
      <c r="KVA2" s="101"/>
      <c r="KVB2" s="100"/>
      <c r="KVC2" s="102"/>
      <c r="KVE2" s="101"/>
      <c r="KVF2" s="100"/>
      <c r="KVG2" s="102"/>
      <c r="KVI2" s="101"/>
      <c r="KVJ2" s="100"/>
      <c r="KVK2" s="102"/>
      <c r="KVM2" s="101"/>
      <c r="KVN2" s="100"/>
      <c r="KVO2" s="102"/>
      <c r="KVQ2" s="101"/>
      <c r="KVR2" s="100"/>
      <c r="KVS2" s="102"/>
      <c r="KVU2" s="101"/>
      <c r="KVV2" s="100"/>
      <c r="KVW2" s="102"/>
      <c r="KVY2" s="101"/>
      <c r="KVZ2" s="100"/>
      <c r="KWA2" s="102"/>
      <c r="KWC2" s="101"/>
      <c r="KWD2" s="100"/>
      <c r="KWE2" s="102"/>
      <c r="KWG2" s="101"/>
      <c r="KWH2" s="100"/>
      <c r="KWI2" s="102"/>
      <c r="KWK2" s="101"/>
      <c r="KWL2" s="100"/>
      <c r="KWM2" s="102"/>
      <c r="KWO2" s="101"/>
      <c r="KWP2" s="100"/>
      <c r="KWQ2" s="102"/>
      <c r="KWS2" s="101"/>
      <c r="KWT2" s="100"/>
      <c r="KWU2" s="102"/>
      <c r="KWW2" s="101"/>
      <c r="KWX2" s="100"/>
      <c r="KWY2" s="102"/>
      <c r="KXA2" s="101"/>
      <c r="KXB2" s="100"/>
      <c r="KXC2" s="102"/>
      <c r="KXE2" s="101"/>
      <c r="KXF2" s="100"/>
      <c r="KXG2" s="102"/>
      <c r="KXI2" s="101"/>
      <c r="KXJ2" s="100"/>
      <c r="KXK2" s="102"/>
      <c r="KXM2" s="101"/>
      <c r="KXN2" s="100"/>
      <c r="KXO2" s="102"/>
      <c r="KXQ2" s="101"/>
      <c r="KXR2" s="100"/>
      <c r="KXS2" s="102"/>
      <c r="KXU2" s="101"/>
      <c r="KXV2" s="100"/>
      <c r="KXW2" s="102"/>
      <c r="KXY2" s="101"/>
      <c r="KXZ2" s="100"/>
      <c r="KYA2" s="102"/>
      <c r="KYC2" s="101"/>
      <c r="KYD2" s="100"/>
      <c r="KYE2" s="102"/>
      <c r="KYG2" s="101"/>
      <c r="KYH2" s="100"/>
      <c r="KYI2" s="102"/>
      <c r="KYK2" s="101"/>
      <c r="KYL2" s="100"/>
      <c r="KYM2" s="102"/>
      <c r="KYO2" s="101"/>
      <c r="KYP2" s="100"/>
      <c r="KYQ2" s="102"/>
      <c r="KYS2" s="101"/>
      <c r="KYT2" s="100"/>
      <c r="KYU2" s="102"/>
      <c r="KYW2" s="101"/>
      <c r="KYX2" s="100"/>
      <c r="KYY2" s="102"/>
      <c r="KZA2" s="101"/>
      <c r="KZB2" s="100"/>
      <c r="KZC2" s="102"/>
      <c r="KZE2" s="101"/>
      <c r="KZF2" s="100"/>
      <c r="KZG2" s="102"/>
      <c r="KZI2" s="101"/>
      <c r="KZJ2" s="100"/>
      <c r="KZK2" s="102"/>
      <c r="KZM2" s="101"/>
      <c r="KZN2" s="100"/>
      <c r="KZO2" s="102"/>
      <c r="KZQ2" s="101"/>
      <c r="KZR2" s="100"/>
      <c r="KZS2" s="102"/>
      <c r="KZU2" s="101"/>
      <c r="KZV2" s="100"/>
      <c r="KZW2" s="102"/>
      <c r="KZY2" s="101"/>
      <c r="KZZ2" s="100"/>
      <c r="LAA2" s="102"/>
      <c r="LAC2" s="101"/>
      <c r="LAD2" s="100"/>
      <c r="LAE2" s="102"/>
      <c r="LAG2" s="101"/>
      <c r="LAH2" s="100"/>
      <c r="LAI2" s="102"/>
      <c r="LAK2" s="101"/>
      <c r="LAL2" s="100"/>
      <c r="LAM2" s="102"/>
      <c r="LAO2" s="101"/>
      <c r="LAP2" s="100"/>
      <c r="LAQ2" s="102"/>
      <c r="LAS2" s="101"/>
      <c r="LAT2" s="100"/>
      <c r="LAU2" s="102"/>
      <c r="LAW2" s="101"/>
      <c r="LAX2" s="100"/>
      <c r="LAY2" s="102"/>
      <c r="LBA2" s="101"/>
      <c r="LBB2" s="100"/>
      <c r="LBC2" s="102"/>
      <c r="LBE2" s="101"/>
      <c r="LBF2" s="100"/>
      <c r="LBG2" s="102"/>
      <c r="LBI2" s="101"/>
      <c r="LBJ2" s="100"/>
      <c r="LBK2" s="102"/>
      <c r="LBM2" s="101"/>
      <c r="LBN2" s="100"/>
      <c r="LBO2" s="102"/>
      <c r="LBQ2" s="101"/>
      <c r="LBR2" s="100"/>
      <c r="LBS2" s="102"/>
      <c r="LBU2" s="101"/>
      <c r="LBV2" s="100"/>
      <c r="LBW2" s="102"/>
      <c r="LBY2" s="101"/>
      <c r="LBZ2" s="100"/>
      <c r="LCA2" s="102"/>
      <c r="LCC2" s="101"/>
      <c r="LCD2" s="100"/>
      <c r="LCE2" s="102"/>
      <c r="LCG2" s="101"/>
      <c r="LCH2" s="100"/>
      <c r="LCI2" s="102"/>
      <c r="LCK2" s="101"/>
      <c r="LCL2" s="100"/>
      <c r="LCM2" s="102"/>
      <c r="LCO2" s="101"/>
      <c r="LCP2" s="100"/>
      <c r="LCQ2" s="102"/>
      <c r="LCS2" s="101"/>
      <c r="LCT2" s="100"/>
      <c r="LCU2" s="102"/>
      <c r="LCW2" s="101"/>
      <c r="LCX2" s="100"/>
      <c r="LCY2" s="102"/>
      <c r="LDA2" s="101"/>
      <c r="LDB2" s="100"/>
      <c r="LDC2" s="102"/>
      <c r="LDE2" s="101"/>
      <c r="LDF2" s="100"/>
      <c r="LDG2" s="102"/>
      <c r="LDI2" s="101"/>
      <c r="LDJ2" s="100"/>
      <c r="LDK2" s="102"/>
      <c r="LDM2" s="101"/>
      <c r="LDN2" s="100"/>
      <c r="LDO2" s="102"/>
      <c r="LDQ2" s="101"/>
      <c r="LDR2" s="100"/>
      <c r="LDS2" s="102"/>
      <c r="LDU2" s="101"/>
      <c r="LDV2" s="100"/>
      <c r="LDW2" s="102"/>
      <c r="LDY2" s="101"/>
      <c r="LDZ2" s="100"/>
      <c r="LEA2" s="102"/>
      <c r="LEC2" s="101"/>
      <c r="LED2" s="100"/>
      <c r="LEE2" s="102"/>
      <c r="LEG2" s="101"/>
      <c r="LEH2" s="100"/>
      <c r="LEI2" s="102"/>
      <c r="LEK2" s="101"/>
      <c r="LEL2" s="100"/>
      <c r="LEM2" s="102"/>
      <c r="LEO2" s="101"/>
      <c r="LEP2" s="100"/>
      <c r="LEQ2" s="102"/>
      <c r="LES2" s="101"/>
      <c r="LET2" s="100"/>
      <c r="LEU2" s="102"/>
      <c r="LEW2" s="101"/>
      <c r="LEX2" s="100"/>
      <c r="LEY2" s="102"/>
      <c r="LFA2" s="101"/>
      <c r="LFB2" s="100"/>
      <c r="LFC2" s="102"/>
      <c r="LFE2" s="101"/>
      <c r="LFF2" s="100"/>
      <c r="LFG2" s="102"/>
      <c r="LFI2" s="101"/>
      <c r="LFJ2" s="100"/>
      <c r="LFK2" s="102"/>
      <c r="LFM2" s="101"/>
      <c r="LFN2" s="100"/>
      <c r="LFO2" s="102"/>
      <c r="LFQ2" s="101"/>
      <c r="LFR2" s="100"/>
      <c r="LFS2" s="102"/>
      <c r="LFU2" s="101"/>
      <c r="LFV2" s="100"/>
      <c r="LFW2" s="102"/>
      <c r="LFY2" s="101"/>
      <c r="LFZ2" s="100"/>
      <c r="LGA2" s="102"/>
      <c r="LGC2" s="101"/>
      <c r="LGD2" s="100"/>
      <c r="LGE2" s="102"/>
      <c r="LGG2" s="101"/>
      <c r="LGH2" s="100"/>
      <c r="LGI2" s="102"/>
      <c r="LGK2" s="101"/>
      <c r="LGL2" s="100"/>
      <c r="LGM2" s="102"/>
      <c r="LGO2" s="101"/>
      <c r="LGP2" s="100"/>
      <c r="LGQ2" s="102"/>
      <c r="LGS2" s="101"/>
      <c r="LGT2" s="100"/>
      <c r="LGU2" s="102"/>
      <c r="LGW2" s="101"/>
      <c r="LGX2" s="100"/>
      <c r="LGY2" s="102"/>
      <c r="LHA2" s="101"/>
      <c r="LHB2" s="100"/>
      <c r="LHC2" s="102"/>
      <c r="LHE2" s="101"/>
      <c r="LHF2" s="100"/>
      <c r="LHG2" s="102"/>
      <c r="LHI2" s="101"/>
      <c r="LHJ2" s="100"/>
      <c r="LHK2" s="102"/>
      <c r="LHM2" s="101"/>
      <c r="LHN2" s="100"/>
      <c r="LHO2" s="102"/>
      <c r="LHQ2" s="101"/>
      <c r="LHR2" s="100"/>
      <c r="LHS2" s="102"/>
      <c r="LHU2" s="101"/>
      <c r="LHV2" s="100"/>
      <c r="LHW2" s="102"/>
      <c r="LHY2" s="101"/>
      <c r="LHZ2" s="100"/>
      <c r="LIA2" s="102"/>
      <c r="LIC2" s="101"/>
      <c r="LID2" s="100"/>
      <c r="LIE2" s="102"/>
      <c r="LIG2" s="101"/>
      <c r="LIH2" s="100"/>
      <c r="LII2" s="102"/>
      <c r="LIK2" s="101"/>
      <c r="LIL2" s="100"/>
      <c r="LIM2" s="102"/>
      <c r="LIO2" s="101"/>
      <c r="LIP2" s="100"/>
      <c r="LIQ2" s="102"/>
      <c r="LIS2" s="101"/>
      <c r="LIT2" s="100"/>
      <c r="LIU2" s="102"/>
      <c r="LIW2" s="101"/>
      <c r="LIX2" s="100"/>
      <c r="LIY2" s="102"/>
      <c r="LJA2" s="101"/>
      <c r="LJB2" s="100"/>
      <c r="LJC2" s="102"/>
      <c r="LJE2" s="101"/>
      <c r="LJF2" s="100"/>
      <c r="LJG2" s="102"/>
      <c r="LJI2" s="101"/>
      <c r="LJJ2" s="100"/>
      <c r="LJK2" s="102"/>
      <c r="LJM2" s="101"/>
      <c r="LJN2" s="100"/>
      <c r="LJO2" s="102"/>
      <c r="LJQ2" s="101"/>
      <c r="LJR2" s="100"/>
      <c r="LJS2" s="102"/>
      <c r="LJU2" s="101"/>
      <c r="LJV2" s="100"/>
      <c r="LJW2" s="102"/>
      <c r="LJY2" s="101"/>
      <c r="LJZ2" s="100"/>
      <c r="LKA2" s="102"/>
      <c r="LKC2" s="101"/>
      <c r="LKD2" s="100"/>
      <c r="LKE2" s="102"/>
      <c r="LKG2" s="101"/>
      <c r="LKH2" s="100"/>
      <c r="LKI2" s="102"/>
      <c r="LKK2" s="101"/>
      <c r="LKL2" s="100"/>
      <c r="LKM2" s="102"/>
      <c r="LKO2" s="101"/>
      <c r="LKP2" s="100"/>
      <c r="LKQ2" s="102"/>
      <c r="LKS2" s="101"/>
      <c r="LKT2" s="100"/>
      <c r="LKU2" s="102"/>
      <c r="LKW2" s="101"/>
      <c r="LKX2" s="100"/>
      <c r="LKY2" s="102"/>
      <c r="LLA2" s="101"/>
      <c r="LLB2" s="100"/>
      <c r="LLC2" s="102"/>
      <c r="LLE2" s="101"/>
      <c r="LLF2" s="100"/>
      <c r="LLG2" s="102"/>
      <c r="LLI2" s="101"/>
      <c r="LLJ2" s="100"/>
      <c r="LLK2" s="102"/>
      <c r="LLM2" s="101"/>
      <c r="LLN2" s="100"/>
      <c r="LLO2" s="102"/>
      <c r="LLQ2" s="101"/>
      <c r="LLR2" s="100"/>
      <c r="LLS2" s="102"/>
      <c r="LLU2" s="101"/>
      <c r="LLV2" s="100"/>
      <c r="LLW2" s="102"/>
      <c r="LLY2" s="101"/>
      <c r="LLZ2" s="100"/>
      <c r="LMA2" s="102"/>
      <c r="LMC2" s="101"/>
      <c r="LMD2" s="100"/>
      <c r="LME2" s="102"/>
      <c r="LMG2" s="101"/>
      <c r="LMH2" s="100"/>
      <c r="LMI2" s="102"/>
      <c r="LMK2" s="101"/>
      <c r="LML2" s="100"/>
      <c r="LMM2" s="102"/>
      <c r="LMO2" s="101"/>
      <c r="LMP2" s="100"/>
      <c r="LMQ2" s="102"/>
      <c r="LMS2" s="101"/>
      <c r="LMT2" s="100"/>
      <c r="LMU2" s="102"/>
      <c r="LMW2" s="101"/>
      <c r="LMX2" s="100"/>
      <c r="LMY2" s="102"/>
      <c r="LNA2" s="101"/>
      <c r="LNB2" s="100"/>
      <c r="LNC2" s="102"/>
      <c r="LNE2" s="101"/>
      <c r="LNF2" s="100"/>
      <c r="LNG2" s="102"/>
      <c r="LNI2" s="101"/>
      <c r="LNJ2" s="100"/>
      <c r="LNK2" s="102"/>
      <c r="LNM2" s="101"/>
      <c r="LNN2" s="100"/>
      <c r="LNO2" s="102"/>
      <c r="LNQ2" s="101"/>
      <c r="LNR2" s="100"/>
      <c r="LNS2" s="102"/>
      <c r="LNU2" s="101"/>
      <c r="LNV2" s="100"/>
      <c r="LNW2" s="102"/>
      <c r="LNY2" s="101"/>
      <c r="LNZ2" s="100"/>
      <c r="LOA2" s="102"/>
      <c r="LOC2" s="101"/>
      <c r="LOD2" s="100"/>
      <c r="LOE2" s="102"/>
      <c r="LOG2" s="101"/>
      <c r="LOH2" s="100"/>
      <c r="LOI2" s="102"/>
      <c r="LOK2" s="101"/>
      <c r="LOL2" s="100"/>
      <c r="LOM2" s="102"/>
      <c r="LOO2" s="101"/>
      <c r="LOP2" s="100"/>
      <c r="LOQ2" s="102"/>
      <c r="LOS2" s="101"/>
      <c r="LOT2" s="100"/>
      <c r="LOU2" s="102"/>
      <c r="LOW2" s="101"/>
      <c r="LOX2" s="100"/>
      <c r="LOY2" s="102"/>
      <c r="LPA2" s="101"/>
      <c r="LPB2" s="100"/>
      <c r="LPC2" s="102"/>
      <c r="LPE2" s="101"/>
      <c r="LPF2" s="100"/>
      <c r="LPG2" s="102"/>
      <c r="LPI2" s="101"/>
      <c r="LPJ2" s="100"/>
      <c r="LPK2" s="102"/>
      <c r="LPM2" s="101"/>
      <c r="LPN2" s="100"/>
      <c r="LPO2" s="102"/>
      <c r="LPQ2" s="101"/>
      <c r="LPR2" s="100"/>
      <c r="LPS2" s="102"/>
      <c r="LPU2" s="101"/>
      <c r="LPV2" s="100"/>
      <c r="LPW2" s="102"/>
      <c r="LPY2" s="101"/>
      <c r="LPZ2" s="100"/>
      <c r="LQA2" s="102"/>
      <c r="LQC2" s="101"/>
      <c r="LQD2" s="100"/>
      <c r="LQE2" s="102"/>
      <c r="LQG2" s="101"/>
      <c r="LQH2" s="100"/>
      <c r="LQI2" s="102"/>
      <c r="LQK2" s="101"/>
      <c r="LQL2" s="100"/>
      <c r="LQM2" s="102"/>
      <c r="LQO2" s="101"/>
      <c r="LQP2" s="100"/>
      <c r="LQQ2" s="102"/>
      <c r="LQS2" s="101"/>
      <c r="LQT2" s="100"/>
      <c r="LQU2" s="102"/>
      <c r="LQW2" s="101"/>
      <c r="LQX2" s="100"/>
      <c r="LQY2" s="102"/>
      <c r="LRA2" s="101"/>
      <c r="LRB2" s="100"/>
      <c r="LRC2" s="102"/>
      <c r="LRE2" s="101"/>
      <c r="LRF2" s="100"/>
      <c r="LRG2" s="102"/>
      <c r="LRI2" s="101"/>
      <c r="LRJ2" s="100"/>
      <c r="LRK2" s="102"/>
      <c r="LRM2" s="101"/>
      <c r="LRN2" s="100"/>
      <c r="LRO2" s="102"/>
      <c r="LRQ2" s="101"/>
      <c r="LRR2" s="100"/>
      <c r="LRS2" s="102"/>
      <c r="LRU2" s="101"/>
      <c r="LRV2" s="100"/>
      <c r="LRW2" s="102"/>
      <c r="LRY2" s="101"/>
      <c r="LRZ2" s="100"/>
      <c r="LSA2" s="102"/>
      <c r="LSC2" s="101"/>
      <c r="LSD2" s="100"/>
      <c r="LSE2" s="102"/>
      <c r="LSG2" s="101"/>
      <c r="LSH2" s="100"/>
      <c r="LSI2" s="102"/>
      <c r="LSK2" s="101"/>
      <c r="LSL2" s="100"/>
      <c r="LSM2" s="102"/>
      <c r="LSO2" s="101"/>
      <c r="LSP2" s="100"/>
      <c r="LSQ2" s="102"/>
      <c r="LSS2" s="101"/>
      <c r="LST2" s="100"/>
      <c r="LSU2" s="102"/>
      <c r="LSW2" s="101"/>
      <c r="LSX2" s="100"/>
      <c r="LSY2" s="102"/>
      <c r="LTA2" s="101"/>
      <c r="LTB2" s="100"/>
      <c r="LTC2" s="102"/>
      <c r="LTE2" s="101"/>
      <c r="LTF2" s="100"/>
      <c r="LTG2" s="102"/>
      <c r="LTI2" s="101"/>
      <c r="LTJ2" s="100"/>
      <c r="LTK2" s="102"/>
      <c r="LTM2" s="101"/>
      <c r="LTN2" s="100"/>
      <c r="LTO2" s="102"/>
      <c r="LTQ2" s="101"/>
      <c r="LTR2" s="100"/>
      <c r="LTS2" s="102"/>
      <c r="LTU2" s="101"/>
      <c r="LTV2" s="100"/>
      <c r="LTW2" s="102"/>
      <c r="LTY2" s="101"/>
      <c r="LTZ2" s="100"/>
      <c r="LUA2" s="102"/>
      <c r="LUC2" s="101"/>
      <c r="LUD2" s="100"/>
      <c r="LUE2" s="102"/>
      <c r="LUG2" s="101"/>
      <c r="LUH2" s="100"/>
      <c r="LUI2" s="102"/>
      <c r="LUK2" s="101"/>
      <c r="LUL2" s="100"/>
      <c r="LUM2" s="102"/>
      <c r="LUO2" s="101"/>
      <c r="LUP2" s="100"/>
      <c r="LUQ2" s="102"/>
      <c r="LUS2" s="101"/>
      <c r="LUT2" s="100"/>
      <c r="LUU2" s="102"/>
      <c r="LUW2" s="101"/>
      <c r="LUX2" s="100"/>
      <c r="LUY2" s="102"/>
      <c r="LVA2" s="101"/>
      <c r="LVB2" s="100"/>
      <c r="LVC2" s="102"/>
      <c r="LVE2" s="101"/>
      <c r="LVF2" s="100"/>
      <c r="LVG2" s="102"/>
      <c r="LVI2" s="101"/>
      <c r="LVJ2" s="100"/>
      <c r="LVK2" s="102"/>
      <c r="LVM2" s="101"/>
      <c r="LVN2" s="100"/>
      <c r="LVO2" s="102"/>
      <c r="LVQ2" s="101"/>
      <c r="LVR2" s="100"/>
      <c r="LVS2" s="102"/>
      <c r="LVU2" s="101"/>
      <c r="LVV2" s="100"/>
      <c r="LVW2" s="102"/>
      <c r="LVY2" s="101"/>
      <c r="LVZ2" s="100"/>
      <c r="LWA2" s="102"/>
      <c r="LWC2" s="101"/>
      <c r="LWD2" s="100"/>
      <c r="LWE2" s="102"/>
      <c r="LWG2" s="101"/>
      <c r="LWH2" s="100"/>
      <c r="LWI2" s="102"/>
      <c r="LWK2" s="101"/>
      <c r="LWL2" s="100"/>
      <c r="LWM2" s="102"/>
      <c r="LWO2" s="101"/>
      <c r="LWP2" s="100"/>
      <c r="LWQ2" s="102"/>
      <c r="LWS2" s="101"/>
      <c r="LWT2" s="100"/>
      <c r="LWU2" s="102"/>
      <c r="LWW2" s="101"/>
      <c r="LWX2" s="100"/>
      <c r="LWY2" s="102"/>
      <c r="LXA2" s="101"/>
      <c r="LXB2" s="100"/>
      <c r="LXC2" s="102"/>
      <c r="LXE2" s="101"/>
      <c r="LXF2" s="100"/>
      <c r="LXG2" s="102"/>
      <c r="LXI2" s="101"/>
      <c r="LXJ2" s="100"/>
      <c r="LXK2" s="102"/>
      <c r="LXM2" s="101"/>
      <c r="LXN2" s="100"/>
      <c r="LXO2" s="102"/>
      <c r="LXQ2" s="101"/>
      <c r="LXR2" s="100"/>
      <c r="LXS2" s="102"/>
      <c r="LXU2" s="101"/>
      <c r="LXV2" s="100"/>
      <c r="LXW2" s="102"/>
      <c r="LXY2" s="101"/>
      <c r="LXZ2" s="100"/>
      <c r="LYA2" s="102"/>
      <c r="LYC2" s="101"/>
      <c r="LYD2" s="100"/>
      <c r="LYE2" s="102"/>
      <c r="LYG2" s="101"/>
      <c r="LYH2" s="100"/>
      <c r="LYI2" s="102"/>
      <c r="LYK2" s="101"/>
      <c r="LYL2" s="100"/>
      <c r="LYM2" s="102"/>
      <c r="LYO2" s="101"/>
      <c r="LYP2" s="100"/>
      <c r="LYQ2" s="102"/>
      <c r="LYS2" s="101"/>
      <c r="LYT2" s="100"/>
      <c r="LYU2" s="102"/>
      <c r="LYW2" s="101"/>
      <c r="LYX2" s="100"/>
      <c r="LYY2" s="102"/>
      <c r="LZA2" s="101"/>
      <c r="LZB2" s="100"/>
      <c r="LZC2" s="102"/>
      <c r="LZE2" s="101"/>
      <c r="LZF2" s="100"/>
      <c r="LZG2" s="102"/>
      <c r="LZI2" s="101"/>
      <c r="LZJ2" s="100"/>
      <c r="LZK2" s="102"/>
      <c r="LZM2" s="101"/>
      <c r="LZN2" s="100"/>
      <c r="LZO2" s="102"/>
      <c r="LZQ2" s="101"/>
      <c r="LZR2" s="100"/>
      <c r="LZS2" s="102"/>
      <c r="LZU2" s="101"/>
      <c r="LZV2" s="100"/>
      <c r="LZW2" s="102"/>
      <c r="LZY2" s="101"/>
      <c r="LZZ2" s="100"/>
      <c r="MAA2" s="102"/>
      <c r="MAC2" s="101"/>
      <c r="MAD2" s="100"/>
      <c r="MAE2" s="102"/>
      <c r="MAG2" s="101"/>
      <c r="MAH2" s="100"/>
      <c r="MAI2" s="102"/>
      <c r="MAK2" s="101"/>
      <c r="MAL2" s="100"/>
      <c r="MAM2" s="102"/>
      <c r="MAO2" s="101"/>
      <c r="MAP2" s="100"/>
      <c r="MAQ2" s="102"/>
      <c r="MAS2" s="101"/>
      <c r="MAT2" s="100"/>
      <c r="MAU2" s="102"/>
      <c r="MAW2" s="101"/>
      <c r="MAX2" s="100"/>
      <c r="MAY2" s="102"/>
      <c r="MBA2" s="101"/>
      <c r="MBB2" s="100"/>
      <c r="MBC2" s="102"/>
      <c r="MBE2" s="101"/>
      <c r="MBF2" s="100"/>
      <c r="MBG2" s="102"/>
      <c r="MBI2" s="101"/>
      <c r="MBJ2" s="100"/>
      <c r="MBK2" s="102"/>
      <c r="MBM2" s="101"/>
      <c r="MBN2" s="100"/>
      <c r="MBO2" s="102"/>
      <c r="MBQ2" s="101"/>
      <c r="MBR2" s="100"/>
      <c r="MBS2" s="102"/>
      <c r="MBU2" s="101"/>
      <c r="MBV2" s="100"/>
      <c r="MBW2" s="102"/>
      <c r="MBY2" s="101"/>
      <c r="MBZ2" s="100"/>
      <c r="MCA2" s="102"/>
      <c r="MCC2" s="101"/>
      <c r="MCD2" s="100"/>
      <c r="MCE2" s="102"/>
      <c r="MCG2" s="101"/>
      <c r="MCH2" s="100"/>
      <c r="MCI2" s="102"/>
      <c r="MCK2" s="101"/>
      <c r="MCL2" s="100"/>
      <c r="MCM2" s="102"/>
      <c r="MCO2" s="101"/>
      <c r="MCP2" s="100"/>
      <c r="MCQ2" s="102"/>
      <c r="MCS2" s="101"/>
      <c r="MCT2" s="100"/>
      <c r="MCU2" s="102"/>
      <c r="MCW2" s="101"/>
      <c r="MCX2" s="100"/>
      <c r="MCY2" s="102"/>
      <c r="MDA2" s="101"/>
      <c r="MDB2" s="100"/>
      <c r="MDC2" s="102"/>
      <c r="MDE2" s="101"/>
      <c r="MDF2" s="100"/>
      <c r="MDG2" s="102"/>
      <c r="MDI2" s="101"/>
      <c r="MDJ2" s="100"/>
      <c r="MDK2" s="102"/>
      <c r="MDM2" s="101"/>
      <c r="MDN2" s="100"/>
      <c r="MDO2" s="102"/>
      <c r="MDQ2" s="101"/>
      <c r="MDR2" s="100"/>
      <c r="MDS2" s="102"/>
      <c r="MDU2" s="101"/>
      <c r="MDV2" s="100"/>
      <c r="MDW2" s="102"/>
      <c r="MDY2" s="101"/>
      <c r="MDZ2" s="100"/>
      <c r="MEA2" s="102"/>
      <c r="MEC2" s="101"/>
      <c r="MED2" s="100"/>
      <c r="MEE2" s="102"/>
      <c r="MEG2" s="101"/>
      <c r="MEH2" s="100"/>
      <c r="MEI2" s="102"/>
      <c r="MEK2" s="101"/>
      <c r="MEL2" s="100"/>
      <c r="MEM2" s="102"/>
      <c r="MEO2" s="101"/>
      <c r="MEP2" s="100"/>
      <c r="MEQ2" s="102"/>
      <c r="MES2" s="101"/>
      <c r="MET2" s="100"/>
      <c r="MEU2" s="102"/>
      <c r="MEW2" s="101"/>
      <c r="MEX2" s="100"/>
      <c r="MEY2" s="102"/>
      <c r="MFA2" s="101"/>
      <c r="MFB2" s="100"/>
      <c r="MFC2" s="102"/>
      <c r="MFE2" s="101"/>
      <c r="MFF2" s="100"/>
      <c r="MFG2" s="102"/>
      <c r="MFI2" s="101"/>
      <c r="MFJ2" s="100"/>
      <c r="MFK2" s="102"/>
      <c r="MFM2" s="101"/>
      <c r="MFN2" s="100"/>
      <c r="MFO2" s="102"/>
      <c r="MFQ2" s="101"/>
      <c r="MFR2" s="100"/>
      <c r="MFS2" s="102"/>
      <c r="MFU2" s="101"/>
      <c r="MFV2" s="100"/>
      <c r="MFW2" s="102"/>
      <c r="MFY2" s="101"/>
      <c r="MFZ2" s="100"/>
      <c r="MGA2" s="102"/>
      <c r="MGC2" s="101"/>
      <c r="MGD2" s="100"/>
      <c r="MGE2" s="102"/>
      <c r="MGG2" s="101"/>
      <c r="MGH2" s="100"/>
      <c r="MGI2" s="102"/>
      <c r="MGK2" s="101"/>
      <c r="MGL2" s="100"/>
      <c r="MGM2" s="102"/>
      <c r="MGO2" s="101"/>
      <c r="MGP2" s="100"/>
      <c r="MGQ2" s="102"/>
      <c r="MGS2" s="101"/>
      <c r="MGT2" s="100"/>
      <c r="MGU2" s="102"/>
      <c r="MGW2" s="101"/>
      <c r="MGX2" s="100"/>
      <c r="MGY2" s="102"/>
      <c r="MHA2" s="101"/>
      <c r="MHB2" s="100"/>
      <c r="MHC2" s="102"/>
      <c r="MHE2" s="101"/>
      <c r="MHF2" s="100"/>
      <c r="MHG2" s="102"/>
      <c r="MHI2" s="101"/>
      <c r="MHJ2" s="100"/>
      <c r="MHK2" s="102"/>
      <c r="MHM2" s="101"/>
      <c r="MHN2" s="100"/>
      <c r="MHO2" s="102"/>
      <c r="MHQ2" s="101"/>
      <c r="MHR2" s="100"/>
      <c r="MHS2" s="102"/>
      <c r="MHU2" s="101"/>
      <c r="MHV2" s="100"/>
      <c r="MHW2" s="102"/>
      <c r="MHY2" s="101"/>
      <c r="MHZ2" s="100"/>
      <c r="MIA2" s="102"/>
      <c r="MIC2" s="101"/>
      <c r="MID2" s="100"/>
      <c r="MIE2" s="102"/>
      <c r="MIG2" s="101"/>
      <c r="MIH2" s="100"/>
      <c r="MII2" s="102"/>
      <c r="MIK2" s="101"/>
      <c r="MIL2" s="100"/>
      <c r="MIM2" s="102"/>
      <c r="MIO2" s="101"/>
      <c r="MIP2" s="100"/>
      <c r="MIQ2" s="102"/>
      <c r="MIS2" s="101"/>
      <c r="MIT2" s="100"/>
      <c r="MIU2" s="102"/>
      <c r="MIW2" s="101"/>
      <c r="MIX2" s="100"/>
      <c r="MIY2" s="102"/>
      <c r="MJA2" s="101"/>
      <c r="MJB2" s="100"/>
      <c r="MJC2" s="102"/>
      <c r="MJE2" s="101"/>
      <c r="MJF2" s="100"/>
      <c r="MJG2" s="102"/>
      <c r="MJI2" s="101"/>
      <c r="MJJ2" s="100"/>
      <c r="MJK2" s="102"/>
      <c r="MJM2" s="101"/>
      <c r="MJN2" s="100"/>
      <c r="MJO2" s="102"/>
      <c r="MJQ2" s="101"/>
      <c r="MJR2" s="100"/>
      <c r="MJS2" s="102"/>
      <c r="MJU2" s="101"/>
      <c r="MJV2" s="100"/>
      <c r="MJW2" s="102"/>
      <c r="MJY2" s="101"/>
      <c r="MJZ2" s="100"/>
      <c r="MKA2" s="102"/>
      <c r="MKC2" s="101"/>
      <c r="MKD2" s="100"/>
      <c r="MKE2" s="102"/>
      <c r="MKG2" s="101"/>
      <c r="MKH2" s="100"/>
      <c r="MKI2" s="102"/>
      <c r="MKK2" s="101"/>
      <c r="MKL2" s="100"/>
      <c r="MKM2" s="102"/>
      <c r="MKO2" s="101"/>
      <c r="MKP2" s="100"/>
      <c r="MKQ2" s="102"/>
      <c r="MKS2" s="101"/>
      <c r="MKT2" s="100"/>
      <c r="MKU2" s="102"/>
      <c r="MKW2" s="101"/>
      <c r="MKX2" s="100"/>
      <c r="MKY2" s="102"/>
      <c r="MLA2" s="101"/>
      <c r="MLB2" s="100"/>
      <c r="MLC2" s="102"/>
      <c r="MLE2" s="101"/>
      <c r="MLF2" s="100"/>
      <c r="MLG2" s="102"/>
      <c r="MLI2" s="101"/>
      <c r="MLJ2" s="100"/>
      <c r="MLK2" s="102"/>
      <c r="MLM2" s="101"/>
      <c r="MLN2" s="100"/>
      <c r="MLO2" s="102"/>
      <c r="MLQ2" s="101"/>
      <c r="MLR2" s="100"/>
      <c r="MLS2" s="102"/>
      <c r="MLU2" s="101"/>
      <c r="MLV2" s="100"/>
      <c r="MLW2" s="102"/>
      <c r="MLY2" s="101"/>
      <c r="MLZ2" s="100"/>
      <c r="MMA2" s="102"/>
      <c r="MMC2" s="101"/>
      <c r="MMD2" s="100"/>
      <c r="MME2" s="102"/>
      <c r="MMG2" s="101"/>
      <c r="MMH2" s="100"/>
      <c r="MMI2" s="102"/>
      <c r="MMK2" s="101"/>
      <c r="MML2" s="100"/>
      <c r="MMM2" s="102"/>
      <c r="MMO2" s="101"/>
      <c r="MMP2" s="100"/>
      <c r="MMQ2" s="102"/>
      <c r="MMS2" s="101"/>
      <c r="MMT2" s="100"/>
      <c r="MMU2" s="102"/>
      <c r="MMW2" s="101"/>
      <c r="MMX2" s="100"/>
      <c r="MMY2" s="102"/>
      <c r="MNA2" s="101"/>
      <c r="MNB2" s="100"/>
      <c r="MNC2" s="102"/>
      <c r="MNE2" s="101"/>
      <c r="MNF2" s="100"/>
      <c r="MNG2" s="102"/>
      <c r="MNI2" s="101"/>
      <c r="MNJ2" s="100"/>
      <c r="MNK2" s="102"/>
      <c r="MNM2" s="101"/>
      <c r="MNN2" s="100"/>
      <c r="MNO2" s="102"/>
      <c r="MNQ2" s="101"/>
      <c r="MNR2" s="100"/>
      <c r="MNS2" s="102"/>
      <c r="MNU2" s="101"/>
      <c r="MNV2" s="100"/>
      <c r="MNW2" s="102"/>
      <c r="MNY2" s="101"/>
      <c r="MNZ2" s="100"/>
      <c r="MOA2" s="102"/>
      <c r="MOC2" s="101"/>
      <c r="MOD2" s="100"/>
      <c r="MOE2" s="102"/>
      <c r="MOG2" s="101"/>
      <c r="MOH2" s="100"/>
      <c r="MOI2" s="102"/>
      <c r="MOK2" s="101"/>
      <c r="MOL2" s="100"/>
      <c r="MOM2" s="102"/>
      <c r="MOO2" s="101"/>
      <c r="MOP2" s="100"/>
      <c r="MOQ2" s="102"/>
      <c r="MOS2" s="101"/>
      <c r="MOT2" s="100"/>
      <c r="MOU2" s="102"/>
      <c r="MOW2" s="101"/>
      <c r="MOX2" s="100"/>
      <c r="MOY2" s="102"/>
      <c r="MPA2" s="101"/>
      <c r="MPB2" s="100"/>
      <c r="MPC2" s="102"/>
      <c r="MPE2" s="101"/>
      <c r="MPF2" s="100"/>
      <c r="MPG2" s="102"/>
      <c r="MPI2" s="101"/>
      <c r="MPJ2" s="100"/>
      <c r="MPK2" s="102"/>
      <c r="MPM2" s="101"/>
      <c r="MPN2" s="100"/>
      <c r="MPO2" s="102"/>
      <c r="MPQ2" s="101"/>
      <c r="MPR2" s="100"/>
      <c r="MPS2" s="102"/>
      <c r="MPU2" s="101"/>
      <c r="MPV2" s="100"/>
      <c r="MPW2" s="102"/>
      <c r="MPY2" s="101"/>
      <c r="MPZ2" s="100"/>
      <c r="MQA2" s="102"/>
      <c r="MQC2" s="101"/>
      <c r="MQD2" s="100"/>
      <c r="MQE2" s="102"/>
      <c r="MQG2" s="101"/>
      <c r="MQH2" s="100"/>
      <c r="MQI2" s="102"/>
      <c r="MQK2" s="101"/>
      <c r="MQL2" s="100"/>
      <c r="MQM2" s="102"/>
      <c r="MQO2" s="101"/>
      <c r="MQP2" s="100"/>
      <c r="MQQ2" s="102"/>
      <c r="MQS2" s="101"/>
      <c r="MQT2" s="100"/>
      <c r="MQU2" s="102"/>
      <c r="MQW2" s="101"/>
      <c r="MQX2" s="100"/>
      <c r="MQY2" s="102"/>
      <c r="MRA2" s="101"/>
      <c r="MRB2" s="100"/>
      <c r="MRC2" s="102"/>
      <c r="MRE2" s="101"/>
      <c r="MRF2" s="100"/>
      <c r="MRG2" s="102"/>
      <c r="MRI2" s="101"/>
      <c r="MRJ2" s="100"/>
      <c r="MRK2" s="102"/>
      <c r="MRM2" s="101"/>
      <c r="MRN2" s="100"/>
      <c r="MRO2" s="102"/>
      <c r="MRQ2" s="101"/>
      <c r="MRR2" s="100"/>
      <c r="MRS2" s="102"/>
      <c r="MRU2" s="101"/>
      <c r="MRV2" s="100"/>
      <c r="MRW2" s="102"/>
      <c r="MRY2" s="101"/>
      <c r="MRZ2" s="100"/>
      <c r="MSA2" s="102"/>
      <c r="MSC2" s="101"/>
      <c r="MSD2" s="100"/>
      <c r="MSE2" s="102"/>
      <c r="MSG2" s="101"/>
      <c r="MSH2" s="100"/>
      <c r="MSI2" s="102"/>
      <c r="MSK2" s="101"/>
      <c r="MSL2" s="100"/>
      <c r="MSM2" s="102"/>
      <c r="MSO2" s="101"/>
      <c r="MSP2" s="100"/>
      <c r="MSQ2" s="102"/>
      <c r="MSS2" s="101"/>
      <c r="MST2" s="100"/>
      <c r="MSU2" s="102"/>
      <c r="MSW2" s="101"/>
      <c r="MSX2" s="100"/>
      <c r="MSY2" s="102"/>
      <c r="MTA2" s="101"/>
      <c r="MTB2" s="100"/>
      <c r="MTC2" s="102"/>
      <c r="MTE2" s="101"/>
      <c r="MTF2" s="100"/>
      <c r="MTG2" s="102"/>
      <c r="MTI2" s="101"/>
      <c r="MTJ2" s="100"/>
      <c r="MTK2" s="102"/>
      <c r="MTM2" s="101"/>
      <c r="MTN2" s="100"/>
      <c r="MTO2" s="102"/>
      <c r="MTQ2" s="101"/>
      <c r="MTR2" s="100"/>
      <c r="MTS2" s="102"/>
      <c r="MTU2" s="101"/>
      <c r="MTV2" s="100"/>
      <c r="MTW2" s="102"/>
      <c r="MTY2" s="101"/>
      <c r="MTZ2" s="100"/>
      <c r="MUA2" s="102"/>
      <c r="MUC2" s="101"/>
      <c r="MUD2" s="100"/>
      <c r="MUE2" s="102"/>
      <c r="MUG2" s="101"/>
      <c r="MUH2" s="100"/>
      <c r="MUI2" s="102"/>
      <c r="MUK2" s="101"/>
      <c r="MUL2" s="100"/>
      <c r="MUM2" s="102"/>
      <c r="MUO2" s="101"/>
      <c r="MUP2" s="100"/>
      <c r="MUQ2" s="102"/>
      <c r="MUS2" s="101"/>
      <c r="MUT2" s="100"/>
      <c r="MUU2" s="102"/>
      <c r="MUW2" s="101"/>
      <c r="MUX2" s="100"/>
      <c r="MUY2" s="102"/>
      <c r="MVA2" s="101"/>
      <c r="MVB2" s="100"/>
      <c r="MVC2" s="102"/>
      <c r="MVE2" s="101"/>
      <c r="MVF2" s="100"/>
      <c r="MVG2" s="102"/>
      <c r="MVI2" s="101"/>
      <c r="MVJ2" s="100"/>
      <c r="MVK2" s="102"/>
      <c r="MVM2" s="101"/>
      <c r="MVN2" s="100"/>
      <c r="MVO2" s="102"/>
      <c r="MVQ2" s="101"/>
      <c r="MVR2" s="100"/>
      <c r="MVS2" s="102"/>
      <c r="MVU2" s="101"/>
      <c r="MVV2" s="100"/>
      <c r="MVW2" s="102"/>
      <c r="MVY2" s="101"/>
      <c r="MVZ2" s="100"/>
      <c r="MWA2" s="102"/>
      <c r="MWC2" s="101"/>
      <c r="MWD2" s="100"/>
      <c r="MWE2" s="102"/>
      <c r="MWG2" s="101"/>
      <c r="MWH2" s="100"/>
      <c r="MWI2" s="102"/>
      <c r="MWK2" s="101"/>
      <c r="MWL2" s="100"/>
      <c r="MWM2" s="102"/>
      <c r="MWO2" s="101"/>
      <c r="MWP2" s="100"/>
      <c r="MWQ2" s="102"/>
      <c r="MWS2" s="101"/>
      <c r="MWT2" s="100"/>
      <c r="MWU2" s="102"/>
      <c r="MWW2" s="101"/>
      <c r="MWX2" s="100"/>
      <c r="MWY2" s="102"/>
      <c r="MXA2" s="101"/>
      <c r="MXB2" s="100"/>
      <c r="MXC2" s="102"/>
      <c r="MXE2" s="101"/>
      <c r="MXF2" s="100"/>
      <c r="MXG2" s="102"/>
      <c r="MXI2" s="101"/>
      <c r="MXJ2" s="100"/>
      <c r="MXK2" s="102"/>
      <c r="MXM2" s="101"/>
      <c r="MXN2" s="100"/>
      <c r="MXO2" s="102"/>
      <c r="MXQ2" s="101"/>
      <c r="MXR2" s="100"/>
      <c r="MXS2" s="102"/>
      <c r="MXU2" s="101"/>
      <c r="MXV2" s="100"/>
      <c r="MXW2" s="102"/>
      <c r="MXY2" s="101"/>
      <c r="MXZ2" s="100"/>
      <c r="MYA2" s="102"/>
      <c r="MYC2" s="101"/>
      <c r="MYD2" s="100"/>
      <c r="MYE2" s="102"/>
      <c r="MYG2" s="101"/>
      <c r="MYH2" s="100"/>
      <c r="MYI2" s="102"/>
      <c r="MYK2" s="101"/>
      <c r="MYL2" s="100"/>
      <c r="MYM2" s="102"/>
      <c r="MYO2" s="101"/>
      <c r="MYP2" s="100"/>
      <c r="MYQ2" s="102"/>
      <c r="MYS2" s="101"/>
      <c r="MYT2" s="100"/>
      <c r="MYU2" s="102"/>
      <c r="MYW2" s="101"/>
      <c r="MYX2" s="100"/>
      <c r="MYY2" s="102"/>
      <c r="MZA2" s="101"/>
      <c r="MZB2" s="100"/>
      <c r="MZC2" s="102"/>
      <c r="MZE2" s="101"/>
      <c r="MZF2" s="100"/>
      <c r="MZG2" s="102"/>
      <c r="MZI2" s="101"/>
      <c r="MZJ2" s="100"/>
      <c r="MZK2" s="102"/>
      <c r="MZM2" s="101"/>
      <c r="MZN2" s="100"/>
      <c r="MZO2" s="102"/>
      <c r="MZQ2" s="101"/>
      <c r="MZR2" s="100"/>
      <c r="MZS2" s="102"/>
      <c r="MZU2" s="101"/>
      <c r="MZV2" s="100"/>
      <c r="MZW2" s="102"/>
      <c r="MZY2" s="101"/>
      <c r="MZZ2" s="100"/>
      <c r="NAA2" s="102"/>
      <c r="NAC2" s="101"/>
      <c r="NAD2" s="100"/>
      <c r="NAE2" s="102"/>
      <c r="NAG2" s="101"/>
      <c r="NAH2" s="100"/>
      <c r="NAI2" s="102"/>
      <c r="NAK2" s="101"/>
      <c r="NAL2" s="100"/>
      <c r="NAM2" s="102"/>
      <c r="NAO2" s="101"/>
      <c r="NAP2" s="100"/>
      <c r="NAQ2" s="102"/>
      <c r="NAS2" s="101"/>
      <c r="NAT2" s="100"/>
      <c r="NAU2" s="102"/>
      <c r="NAW2" s="101"/>
      <c r="NAX2" s="100"/>
      <c r="NAY2" s="102"/>
      <c r="NBA2" s="101"/>
      <c r="NBB2" s="100"/>
      <c r="NBC2" s="102"/>
      <c r="NBE2" s="101"/>
      <c r="NBF2" s="100"/>
      <c r="NBG2" s="102"/>
      <c r="NBI2" s="101"/>
      <c r="NBJ2" s="100"/>
      <c r="NBK2" s="102"/>
      <c r="NBM2" s="101"/>
      <c r="NBN2" s="100"/>
      <c r="NBO2" s="102"/>
      <c r="NBQ2" s="101"/>
      <c r="NBR2" s="100"/>
      <c r="NBS2" s="102"/>
      <c r="NBU2" s="101"/>
      <c r="NBV2" s="100"/>
      <c r="NBW2" s="102"/>
      <c r="NBY2" s="101"/>
      <c r="NBZ2" s="100"/>
      <c r="NCA2" s="102"/>
      <c r="NCC2" s="101"/>
      <c r="NCD2" s="100"/>
      <c r="NCE2" s="102"/>
      <c r="NCG2" s="101"/>
      <c r="NCH2" s="100"/>
      <c r="NCI2" s="102"/>
      <c r="NCK2" s="101"/>
      <c r="NCL2" s="100"/>
      <c r="NCM2" s="102"/>
      <c r="NCO2" s="101"/>
      <c r="NCP2" s="100"/>
      <c r="NCQ2" s="102"/>
      <c r="NCS2" s="101"/>
      <c r="NCT2" s="100"/>
      <c r="NCU2" s="102"/>
      <c r="NCW2" s="101"/>
      <c r="NCX2" s="100"/>
      <c r="NCY2" s="102"/>
      <c r="NDA2" s="101"/>
      <c r="NDB2" s="100"/>
      <c r="NDC2" s="102"/>
      <c r="NDE2" s="101"/>
      <c r="NDF2" s="100"/>
      <c r="NDG2" s="102"/>
      <c r="NDI2" s="101"/>
      <c r="NDJ2" s="100"/>
      <c r="NDK2" s="102"/>
      <c r="NDM2" s="101"/>
      <c r="NDN2" s="100"/>
      <c r="NDO2" s="102"/>
      <c r="NDQ2" s="101"/>
      <c r="NDR2" s="100"/>
      <c r="NDS2" s="102"/>
      <c r="NDU2" s="101"/>
      <c r="NDV2" s="100"/>
      <c r="NDW2" s="102"/>
      <c r="NDY2" s="101"/>
      <c r="NDZ2" s="100"/>
      <c r="NEA2" s="102"/>
      <c r="NEC2" s="101"/>
      <c r="NED2" s="100"/>
      <c r="NEE2" s="102"/>
      <c r="NEG2" s="101"/>
      <c r="NEH2" s="100"/>
      <c r="NEI2" s="102"/>
      <c r="NEK2" s="101"/>
      <c r="NEL2" s="100"/>
      <c r="NEM2" s="102"/>
      <c r="NEO2" s="101"/>
      <c r="NEP2" s="100"/>
      <c r="NEQ2" s="102"/>
      <c r="NES2" s="101"/>
      <c r="NET2" s="100"/>
      <c r="NEU2" s="102"/>
      <c r="NEW2" s="101"/>
      <c r="NEX2" s="100"/>
      <c r="NEY2" s="102"/>
      <c r="NFA2" s="101"/>
      <c r="NFB2" s="100"/>
      <c r="NFC2" s="102"/>
      <c r="NFE2" s="101"/>
      <c r="NFF2" s="100"/>
      <c r="NFG2" s="102"/>
      <c r="NFI2" s="101"/>
      <c r="NFJ2" s="100"/>
      <c r="NFK2" s="102"/>
      <c r="NFM2" s="101"/>
      <c r="NFN2" s="100"/>
      <c r="NFO2" s="102"/>
      <c r="NFQ2" s="101"/>
      <c r="NFR2" s="100"/>
      <c r="NFS2" s="102"/>
      <c r="NFU2" s="101"/>
      <c r="NFV2" s="100"/>
      <c r="NFW2" s="102"/>
      <c r="NFY2" s="101"/>
      <c r="NFZ2" s="100"/>
      <c r="NGA2" s="102"/>
      <c r="NGC2" s="101"/>
      <c r="NGD2" s="100"/>
      <c r="NGE2" s="102"/>
      <c r="NGG2" s="101"/>
      <c r="NGH2" s="100"/>
      <c r="NGI2" s="102"/>
      <c r="NGK2" s="101"/>
      <c r="NGL2" s="100"/>
      <c r="NGM2" s="102"/>
      <c r="NGO2" s="101"/>
      <c r="NGP2" s="100"/>
      <c r="NGQ2" s="102"/>
      <c r="NGS2" s="101"/>
      <c r="NGT2" s="100"/>
      <c r="NGU2" s="102"/>
      <c r="NGW2" s="101"/>
      <c r="NGX2" s="100"/>
      <c r="NGY2" s="102"/>
      <c r="NHA2" s="101"/>
      <c r="NHB2" s="100"/>
      <c r="NHC2" s="102"/>
      <c r="NHE2" s="101"/>
      <c r="NHF2" s="100"/>
      <c r="NHG2" s="102"/>
      <c r="NHI2" s="101"/>
      <c r="NHJ2" s="100"/>
      <c r="NHK2" s="102"/>
      <c r="NHM2" s="101"/>
      <c r="NHN2" s="100"/>
      <c r="NHO2" s="102"/>
      <c r="NHQ2" s="101"/>
      <c r="NHR2" s="100"/>
      <c r="NHS2" s="102"/>
      <c r="NHU2" s="101"/>
      <c r="NHV2" s="100"/>
      <c r="NHW2" s="102"/>
      <c r="NHY2" s="101"/>
      <c r="NHZ2" s="100"/>
      <c r="NIA2" s="102"/>
      <c r="NIC2" s="101"/>
      <c r="NID2" s="100"/>
      <c r="NIE2" s="102"/>
      <c r="NIG2" s="101"/>
      <c r="NIH2" s="100"/>
      <c r="NII2" s="102"/>
      <c r="NIK2" s="101"/>
      <c r="NIL2" s="100"/>
      <c r="NIM2" s="102"/>
      <c r="NIO2" s="101"/>
      <c r="NIP2" s="100"/>
      <c r="NIQ2" s="102"/>
      <c r="NIS2" s="101"/>
      <c r="NIT2" s="100"/>
      <c r="NIU2" s="102"/>
      <c r="NIW2" s="101"/>
      <c r="NIX2" s="100"/>
      <c r="NIY2" s="102"/>
      <c r="NJA2" s="101"/>
      <c r="NJB2" s="100"/>
      <c r="NJC2" s="102"/>
      <c r="NJE2" s="101"/>
      <c r="NJF2" s="100"/>
      <c r="NJG2" s="102"/>
      <c r="NJI2" s="101"/>
      <c r="NJJ2" s="100"/>
      <c r="NJK2" s="102"/>
      <c r="NJM2" s="101"/>
      <c r="NJN2" s="100"/>
      <c r="NJO2" s="102"/>
      <c r="NJQ2" s="101"/>
      <c r="NJR2" s="100"/>
      <c r="NJS2" s="102"/>
      <c r="NJU2" s="101"/>
      <c r="NJV2" s="100"/>
      <c r="NJW2" s="102"/>
      <c r="NJY2" s="101"/>
      <c r="NJZ2" s="100"/>
      <c r="NKA2" s="102"/>
      <c r="NKC2" s="101"/>
      <c r="NKD2" s="100"/>
      <c r="NKE2" s="102"/>
      <c r="NKG2" s="101"/>
      <c r="NKH2" s="100"/>
      <c r="NKI2" s="102"/>
      <c r="NKK2" s="101"/>
      <c r="NKL2" s="100"/>
      <c r="NKM2" s="102"/>
      <c r="NKO2" s="101"/>
      <c r="NKP2" s="100"/>
      <c r="NKQ2" s="102"/>
      <c r="NKS2" s="101"/>
      <c r="NKT2" s="100"/>
      <c r="NKU2" s="102"/>
      <c r="NKW2" s="101"/>
      <c r="NKX2" s="100"/>
      <c r="NKY2" s="102"/>
      <c r="NLA2" s="101"/>
      <c r="NLB2" s="100"/>
      <c r="NLC2" s="102"/>
      <c r="NLE2" s="101"/>
      <c r="NLF2" s="100"/>
      <c r="NLG2" s="102"/>
      <c r="NLI2" s="101"/>
      <c r="NLJ2" s="100"/>
      <c r="NLK2" s="102"/>
      <c r="NLM2" s="101"/>
      <c r="NLN2" s="100"/>
      <c r="NLO2" s="102"/>
      <c r="NLQ2" s="101"/>
      <c r="NLR2" s="100"/>
      <c r="NLS2" s="102"/>
      <c r="NLU2" s="101"/>
      <c r="NLV2" s="100"/>
      <c r="NLW2" s="102"/>
      <c r="NLY2" s="101"/>
      <c r="NLZ2" s="100"/>
      <c r="NMA2" s="102"/>
      <c r="NMC2" s="101"/>
      <c r="NMD2" s="100"/>
      <c r="NME2" s="102"/>
      <c r="NMG2" s="101"/>
      <c r="NMH2" s="100"/>
      <c r="NMI2" s="102"/>
      <c r="NMK2" s="101"/>
      <c r="NML2" s="100"/>
      <c r="NMM2" s="102"/>
      <c r="NMO2" s="101"/>
      <c r="NMP2" s="100"/>
      <c r="NMQ2" s="102"/>
      <c r="NMS2" s="101"/>
      <c r="NMT2" s="100"/>
      <c r="NMU2" s="102"/>
      <c r="NMW2" s="101"/>
      <c r="NMX2" s="100"/>
      <c r="NMY2" s="102"/>
      <c r="NNA2" s="101"/>
      <c r="NNB2" s="100"/>
      <c r="NNC2" s="102"/>
      <c r="NNE2" s="101"/>
      <c r="NNF2" s="100"/>
      <c r="NNG2" s="102"/>
      <c r="NNI2" s="101"/>
      <c r="NNJ2" s="100"/>
      <c r="NNK2" s="102"/>
      <c r="NNM2" s="101"/>
      <c r="NNN2" s="100"/>
      <c r="NNO2" s="102"/>
      <c r="NNQ2" s="101"/>
      <c r="NNR2" s="100"/>
      <c r="NNS2" s="102"/>
      <c r="NNU2" s="101"/>
      <c r="NNV2" s="100"/>
      <c r="NNW2" s="102"/>
      <c r="NNY2" s="101"/>
      <c r="NNZ2" s="100"/>
      <c r="NOA2" s="102"/>
      <c r="NOC2" s="101"/>
      <c r="NOD2" s="100"/>
      <c r="NOE2" s="102"/>
      <c r="NOG2" s="101"/>
      <c r="NOH2" s="100"/>
      <c r="NOI2" s="102"/>
      <c r="NOK2" s="101"/>
      <c r="NOL2" s="100"/>
      <c r="NOM2" s="102"/>
      <c r="NOO2" s="101"/>
      <c r="NOP2" s="100"/>
      <c r="NOQ2" s="102"/>
      <c r="NOS2" s="101"/>
      <c r="NOT2" s="100"/>
      <c r="NOU2" s="102"/>
      <c r="NOW2" s="101"/>
      <c r="NOX2" s="100"/>
      <c r="NOY2" s="102"/>
      <c r="NPA2" s="101"/>
      <c r="NPB2" s="100"/>
      <c r="NPC2" s="102"/>
      <c r="NPE2" s="101"/>
      <c r="NPF2" s="100"/>
      <c r="NPG2" s="102"/>
      <c r="NPI2" s="101"/>
      <c r="NPJ2" s="100"/>
      <c r="NPK2" s="102"/>
      <c r="NPM2" s="101"/>
      <c r="NPN2" s="100"/>
      <c r="NPO2" s="102"/>
      <c r="NPQ2" s="101"/>
      <c r="NPR2" s="100"/>
      <c r="NPS2" s="102"/>
      <c r="NPU2" s="101"/>
      <c r="NPV2" s="100"/>
      <c r="NPW2" s="102"/>
      <c r="NPY2" s="101"/>
      <c r="NPZ2" s="100"/>
      <c r="NQA2" s="102"/>
      <c r="NQC2" s="101"/>
      <c r="NQD2" s="100"/>
      <c r="NQE2" s="102"/>
      <c r="NQG2" s="101"/>
      <c r="NQH2" s="100"/>
      <c r="NQI2" s="102"/>
      <c r="NQK2" s="101"/>
      <c r="NQL2" s="100"/>
      <c r="NQM2" s="102"/>
      <c r="NQO2" s="101"/>
      <c r="NQP2" s="100"/>
      <c r="NQQ2" s="102"/>
      <c r="NQS2" s="101"/>
      <c r="NQT2" s="100"/>
      <c r="NQU2" s="102"/>
      <c r="NQW2" s="101"/>
      <c r="NQX2" s="100"/>
      <c r="NQY2" s="102"/>
      <c r="NRA2" s="101"/>
      <c r="NRB2" s="100"/>
      <c r="NRC2" s="102"/>
      <c r="NRE2" s="101"/>
      <c r="NRF2" s="100"/>
      <c r="NRG2" s="102"/>
      <c r="NRI2" s="101"/>
      <c r="NRJ2" s="100"/>
      <c r="NRK2" s="102"/>
      <c r="NRM2" s="101"/>
      <c r="NRN2" s="100"/>
      <c r="NRO2" s="102"/>
      <c r="NRQ2" s="101"/>
      <c r="NRR2" s="100"/>
      <c r="NRS2" s="102"/>
      <c r="NRU2" s="101"/>
      <c r="NRV2" s="100"/>
      <c r="NRW2" s="102"/>
      <c r="NRY2" s="101"/>
      <c r="NRZ2" s="100"/>
      <c r="NSA2" s="102"/>
      <c r="NSC2" s="101"/>
      <c r="NSD2" s="100"/>
      <c r="NSE2" s="102"/>
      <c r="NSG2" s="101"/>
      <c r="NSH2" s="100"/>
      <c r="NSI2" s="102"/>
      <c r="NSK2" s="101"/>
      <c r="NSL2" s="100"/>
      <c r="NSM2" s="102"/>
      <c r="NSO2" s="101"/>
      <c r="NSP2" s="100"/>
      <c r="NSQ2" s="102"/>
      <c r="NSS2" s="101"/>
      <c r="NST2" s="100"/>
      <c r="NSU2" s="102"/>
      <c r="NSW2" s="101"/>
      <c r="NSX2" s="100"/>
      <c r="NSY2" s="102"/>
      <c r="NTA2" s="101"/>
      <c r="NTB2" s="100"/>
      <c r="NTC2" s="102"/>
      <c r="NTE2" s="101"/>
      <c r="NTF2" s="100"/>
      <c r="NTG2" s="102"/>
      <c r="NTI2" s="101"/>
      <c r="NTJ2" s="100"/>
      <c r="NTK2" s="102"/>
      <c r="NTM2" s="101"/>
      <c r="NTN2" s="100"/>
      <c r="NTO2" s="102"/>
      <c r="NTQ2" s="101"/>
      <c r="NTR2" s="100"/>
      <c r="NTS2" s="102"/>
      <c r="NTU2" s="101"/>
      <c r="NTV2" s="100"/>
      <c r="NTW2" s="102"/>
      <c r="NTY2" s="101"/>
      <c r="NTZ2" s="100"/>
      <c r="NUA2" s="102"/>
      <c r="NUC2" s="101"/>
      <c r="NUD2" s="100"/>
      <c r="NUE2" s="102"/>
      <c r="NUG2" s="101"/>
      <c r="NUH2" s="100"/>
      <c r="NUI2" s="102"/>
      <c r="NUK2" s="101"/>
      <c r="NUL2" s="100"/>
      <c r="NUM2" s="102"/>
      <c r="NUO2" s="101"/>
      <c r="NUP2" s="100"/>
      <c r="NUQ2" s="102"/>
      <c r="NUS2" s="101"/>
      <c r="NUT2" s="100"/>
      <c r="NUU2" s="102"/>
      <c r="NUW2" s="101"/>
      <c r="NUX2" s="100"/>
      <c r="NUY2" s="102"/>
      <c r="NVA2" s="101"/>
      <c r="NVB2" s="100"/>
      <c r="NVC2" s="102"/>
      <c r="NVE2" s="101"/>
      <c r="NVF2" s="100"/>
      <c r="NVG2" s="102"/>
      <c r="NVI2" s="101"/>
      <c r="NVJ2" s="100"/>
      <c r="NVK2" s="102"/>
      <c r="NVM2" s="101"/>
      <c r="NVN2" s="100"/>
      <c r="NVO2" s="102"/>
      <c r="NVQ2" s="101"/>
      <c r="NVR2" s="100"/>
      <c r="NVS2" s="102"/>
      <c r="NVU2" s="101"/>
      <c r="NVV2" s="100"/>
      <c r="NVW2" s="102"/>
      <c r="NVY2" s="101"/>
      <c r="NVZ2" s="100"/>
      <c r="NWA2" s="102"/>
      <c r="NWC2" s="101"/>
      <c r="NWD2" s="100"/>
      <c r="NWE2" s="102"/>
      <c r="NWG2" s="101"/>
      <c r="NWH2" s="100"/>
      <c r="NWI2" s="102"/>
      <c r="NWK2" s="101"/>
      <c r="NWL2" s="100"/>
      <c r="NWM2" s="102"/>
      <c r="NWO2" s="101"/>
      <c r="NWP2" s="100"/>
      <c r="NWQ2" s="102"/>
      <c r="NWS2" s="101"/>
      <c r="NWT2" s="100"/>
      <c r="NWU2" s="102"/>
      <c r="NWW2" s="101"/>
      <c r="NWX2" s="100"/>
      <c r="NWY2" s="102"/>
      <c r="NXA2" s="101"/>
      <c r="NXB2" s="100"/>
      <c r="NXC2" s="102"/>
      <c r="NXE2" s="101"/>
      <c r="NXF2" s="100"/>
      <c r="NXG2" s="102"/>
      <c r="NXI2" s="101"/>
      <c r="NXJ2" s="100"/>
      <c r="NXK2" s="102"/>
      <c r="NXM2" s="101"/>
      <c r="NXN2" s="100"/>
      <c r="NXO2" s="102"/>
      <c r="NXQ2" s="101"/>
      <c r="NXR2" s="100"/>
      <c r="NXS2" s="102"/>
      <c r="NXU2" s="101"/>
      <c r="NXV2" s="100"/>
      <c r="NXW2" s="102"/>
      <c r="NXY2" s="101"/>
      <c r="NXZ2" s="100"/>
      <c r="NYA2" s="102"/>
      <c r="NYC2" s="101"/>
      <c r="NYD2" s="100"/>
      <c r="NYE2" s="102"/>
      <c r="NYG2" s="101"/>
      <c r="NYH2" s="100"/>
      <c r="NYI2" s="102"/>
      <c r="NYK2" s="101"/>
      <c r="NYL2" s="100"/>
      <c r="NYM2" s="102"/>
      <c r="NYO2" s="101"/>
      <c r="NYP2" s="100"/>
      <c r="NYQ2" s="102"/>
      <c r="NYS2" s="101"/>
      <c r="NYT2" s="100"/>
      <c r="NYU2" s="102"/>
      <c r="NYW2" s="101"/>
      <c r="NYX2" s="100"/>
      <c r="NYY2" s="102"/>
      <c r="NZA2" s="101"/>
      <c r="NZB2" s="100"/>
      <c r="NZC2" s="102"/>
      <c r="NZE2" s="101"/>
      <c r="NZF2" s="100"/>
      <c r="NZG2" s="102"/>
      <c r="NZI2" s="101"/>
      <c r="NZJ2" s="100"/>
      <c r="NZK2" s="102"/>
      <c r="NZM2" s="101"/>
      <c r="NZN2" s="100"/>
      <c r="NZO2" s="102"/>
      <c r="NZQ2" s="101"/>
      <c r="NZR2" s="100"/>
      <c r="NZS2" s="102"/>
      <c r="NZU2" s="101"/>
      <c r="NZV2" s="100"/>
      <c r="NZW2" s="102"/>
      <c r="NZY2" s="101"/>
      <c r="NZZ2" s="100"/>
      <c r="OAA2" s="102"/>
      <c r="OAC2" s="101"/>
      <c r="OAD2" s="100"/>
      <c r="OAE2" s="102"/>
      <c r="OAG2" s="101"/>
      <c r="OAH2" s="100"/>
      <c r="OAI2" s="102"/>
      <c r="OAK2" s="101"/>
      <c r="OAL2" s="100"/>
      <c r="OAM2" s="102"/>
      <c r="OAO2" s="101"/>
      <c r="OAP2" s="100"/>
      <c r="OAQ2" s="102"/>
      <c r="OAS2" s="101"/>
      <c r="OAT2" s="100"/>
      <c r="OAU2" s="102"/>
      <c r="OAW2" s="101"/>
      <c r="OAX2" s="100"/>
      <c r="OAY2" s="102"/>
      <c r="OBA2" s="101"/>
      <c r="OBB2" s="100"/>
      <c r="OBC2" s="102"/>
      <c r="OBE2" s="101"/>
      <c r="OBF2" s="100"/>
      <c r="OBG2" s="102"/>
      <c r="OBI2" s="101"/>
      <c r="OBJ2" s="100"/>
      <c r="OBK2" s="102"/>
      <c r="OBM2" s="101"/>
      <c r="OBN2" s="100"/>
      <c r="OBO2" s="102"/>
      <c r="OBQ2" s="101"/>
      <c r="OBR2" s="100"/>
      <c r="OBS2" s="102"/>
      <c r="OBU2" s="101"/>
      <c r="OBV2" s="100"/>
      <c r="OBW2" s="102"/>
      <c r="OBY2" s="101"/>
      <c r="OBZ2" s="100"/>
      <c r="OCA2" s="102"/>
      <c r="OCC2" s="101"/>
      <c r="OCD2" s="100"/>
      <c r="OCE2" s="102"/>
      <c r="OCG2" s="101"/>
      <c r="OCH2" s="100"/>
      <c r="OCI2" s="102"/>
      <c r="OCK2" s="101"/>
      <c r="OCL2" s="100"/>
      <c r="OCM2" s="102"/>
      <c r="OCO2" s="101"/>
      <c r="OCP2" s="100"/>
      <c r="OCQ2" s="102"/>
      <c r="OCS2" s="101"/>
      <c r="OCT2" s="100"/>
      <c r="OCU2" s="102"/>
      <c r="OCW2" s="101"/>
      <c r="OCX2" s="100"/>
      <c r="OCY2" s="102"/>
      <c r="ODA2" s="101"/>
      <c r="ODB2" s="100"/>
      <c r="ODC2" s="102"/>
      <c r="ODE2" s="101"/>
      <c r="ODF2" s="100"/>
      <c r="ODG2" s="102"/>
      <c r="ODI2" s="101"/>
      <c r="ODJ2" s="100"/>
      <c r="ODK2" s="102"/>
      <c r="ODM2" s="101"/>
      <c r="ODN2" s="100"/>
      <c r="ODO2" s="102"/>
      <c r="ODQ2" s="101"/>
      <c r="ODR2" s="100"/>
      <c r="ODS2" s="102"/>
      <c r="ODU2" s="101"/>
      <c r="ODV2" s="100"/>
      <c r="ODW2" s="102"/>
      <c r="ODY2" s="101"/>
      <c r="ODZ2" s="100"/>
      <c r="OEA2" s="102"/>
      <c r="OEC2" s="101"/>
      <c r="OED2" s="100"/>
      <c r="OEE2" s="102"/>
      <c r="OEG2" s="101"/>
      <c r="OEH2" s="100"/>
      <c r="OEI2" s="102"/>
      <c r="OEK2" s="101"/>
      <c r="OEL2" s="100"/>
      <c r="OEM2" s="102"/>
      <c r="OEO2" s="101"/>
      <c r="OEP2" s="100"/>
      <c r="OEQ2" s="102"/>
      <c r="OES2" s="101"/>
      <c r="OET2" s="100"/>
      <c r="OEU2" s="102"/>
      <c r="OEW2" s="101"/>
      <c r="OEX2" s="100"/>
      <c r="OEY2" s="102"/>
      <c r="OFA2" s="101"/>
      <c r="OFB2" s="100"/>
      <c r="OFC2" s="102"/>
      <c r="OFE2" s="101"/>
      <c r="OFF2" s="100"/>
      <c r="OFG2" s="102"/>
      <c r="OFI2" s="101"/>
      <c r="OFJ2" s="100"/>
      <c r="OFK2" s="102"/>
      <c r="OFM2" s="101"/>
      <c r="OFN2" s="100"/>
      <c r="OFO2" s="102"/>
      <c r="OFQ2" s="101"/>
      <c r="OFR2" s="100"/>
      <c r="OFS2" s="102"/>
      <c r="OFU2" s="101"/>
      <c r="OFV2" s="100"/>
      <c r="OFW2" s="102"/>
      <c r="OFY2" s="101"/>
      <c r="OFZ2" s="100"/>
      <c r="OGA2" s="102"/>
      <c r="OGC2" s="101"/>
      <c r="OGD2" s="100"/>
      <c r="OGE2" s="102"/>
      <c r="OGG2" s="101"/>
      <c r="OGH2" s="100"/>
      <c r="OGI2" s="102"/>
      <c r="OGK2" s="101"/>
      <c r="OGL2" s="100"/>
      <c r="OGM2" s="102"/>
      <c r="OGO2" s="101"/>
      <c r="OGP2" s="100"/>
      <c r="OGQ2" s="102"/>
      <c r="OGS2" s="101"/>
      <c r="OGT2" s="100"/>
      <c r="OGU2" s="102"/>
      <c r="OGW2" s="101"/>
      <c r="OGX2" s="100"/>
      <c r="OGY2" s="102"/>
      <c r="OHA2" s="101"/>
      <c r="OHB2" s="100"/>
      <c r="OHC2" s="102"/>
      <c r="OHE2" s="101"/>
      <c r="OHF2" s="100"/>
      <c r="OHG2" s="102"/>
      <c r="OHI2" s="101"/>
      <c r="OHJ2" s="100"/>
      <c r="OHK2" s="102"/>
      <c r="OHM2" s="101"/>
      <c r="OHN2" s="100"/>
      <c r="OHO2" s="102"/>
      <c r="OHQ2" s="101"/>
      <c r="OHR2" s="100"/>
      <c r="OHS2" s="102"/>
      <c r="OHU2" s="101"/>
      <c r="OHV2" s="100"/>
      <c r="OHW2" s="102"/>
      <c r="OHY2" s="101"/>
      <c r="OHZ2" s="100"/>
      <c r="OIA2" s="102"/>
      <c r="OIC2" s="101"/>
      <c r="OID2" s="100"/>
      <c r="OIE2" s="102"/>
      <c r="OIG2" s="101"/>
      <c r="OIH2" s="100"/>
      <c r="OII2" s="102"/>
      <c r="OIK2" s="101"/>
      <c r="OIL2" s="100"/>
      <c r="OIM2" s="102"/>
      <c r="OIO2" s="101"/>
      <c r="OIP2" s="100"/>
      <c r="OIQ2" s="102"/>
      <c r="OIS2" s="101"/>
      <c r="OIT2" s="100"/>
      <c r="OIU2" s="102"/>
      <c r="OIW2" s="101"/>
      <c r="OIX2" s="100"/>
      <c r="OIY2" s="102"/>
      <c r="OJA2" s="101"/>
      <c r="OJB2" s="100"/>
      <c r="OJC2" s="102"/>
      <c r="OJE2" s="101"/>
      <c r="OJF2" s="100"/>
      <c r="OJG2" s="102"/>
      <c r="OJI2" s="101"/>
      <c r="OJJ2" s="100"/>
      <c r="OJK2" s="102"/>
      <c r="OJM2" s="101"/>
      <c r="OJN2" s="100"/>
      <c r="OJO2" s="102"/>
      <c r="OJQ2" s="101"/>
      <c r="OJR2" s="100"/>
      <c r="OJS2" s="102"/>
      <c r="OJU2" s="101"/>
      <c r="OJV2" s="100"/>
      <c r="OJW2" s="102"/>
      <c r="OJY2" s="101"/>
      <c r="OJZ2" s="100"/>
      <c r="OKA2" s="102"/>
      <c r="OKC2" s="101"/>
      <c r="OKD2" s="100"/>
      <c r="OKE2" s="102"/>
      <c r="OKG2" s="101"/>
      <c r="OKH2" s="100"/>
      <c r="OKI2" s="102"/>
      <c r="OKK2" s="101"/>
      <c r="OKL2" s="100"/>
      <c r="OKM2" s="102"/>
      <c r="OKO2" s="101"/>
      <c r="OKP2" s="100"/>
      <c r="OKQ2" s="102"/>
      <c r="OKS2" s="101"/>
      <c r="OKT2" s="100"/>
      <c r="OKU2" s="102"/>
      <c r="OKW2" s="101"/>
      <c r="OKX2" s="100"/>
      <c r="OKY2" s="102"/>
      <c r="OLA2" s="101"/>
      <c r="OLB2" s="100"/>
      <c r="OLC2" s="102"/>
      <c r="OLE2" s="101"/>
      <c r="OLF2" s="100"/>
      <c r="OLG2" s="102"/>
      <c r="OLI2" s="101"/>
      <c r="OLJ2" s="100"/>
      <c r="OLK2" s="102"/>
      <c r="OLM2" s="101"/>
      <c r="OLN2" s="100"/>
      <c r="OLO2" s="102"/>
      <c r="OLQ2" s="101"/>
      <c r="OLR2" s="100"/>
      <c r="OLS2" s="102"/>
      <c r="OLU2" s="101"/>
      <c r="OLV2" s="100"/>
      <c r="OLW2" s="102"/>
      <c r="OLY2" s="101"/>
      <c r="OLZ2" s="100"/>
      <c r="OMA2" s="102"/>
      <c r="OMC2" s="101"/>
      <c r="OMD2" s="100"/>
      <c r="OME2" s="102"/>
      <c r="OMG2" s="101"/>
      <c r="OMH2" s="100"/>
      <c r="OMI2" s="102"/>
      <c r="OMK2" s="101"/>
      <c r="OML2" s="100"/>
      <c r="OMM2" s="102"/>
      <c r="OMO2" s="101"/>
      <c r="OMP2" s="100"/>
      <c r="OMQ2" s="102"/>
      <c r="OMS2" s="101"/>
      <c r="OMT2" s="100"/>
      <c r="OMU2" s="102"/>
      <c r="OMW2" s="101"/>
      <c r="OMX2" s="100"/>
      <c r="OMY2" s="102"/>
      <c r="ONA2" s="101"/>
      <c r="ONB2" s="100"/>
      <c r="ONC2" s="102"/>
      <c r="ONE2" s="101"/>
      <c r="ONF2" s="100"/>
      <c r="ONG2" s="102"/>
      <c r="ONI2" s="101"/>
      <c r="ONJ2" s="100"/>
      <c r="ONK2" s="102"/>
      <c r="ONM2" s="101"/>
      <c r="ONN2" s="100"/>
      <c r="ONO2" s="102"/>
      <c r="ONQ2" s="101"/>
      <c r="ONR2" s="100"/>
      <c r="ONS2" s="102"/>
      <c r="ONU2" s="101"/>
      <c r="ONV2" s="100"/>
      <c r="ONW2" s="102"/>
      <c r="ONY2" s="101"/>
      <c r="ONZ2" s="100"/>
      <c r="OOA2" s="102"/>
      <c r="OOC2" s="101"/>
      <c r="OOD2" s="100"/>
      <c r="OOE2" s="102"/>
      <c r="OOG2" s="101"/>
      <c r="OOH2" s="100"/>
      <c r="OOI2" s="102"/>
      <c r="OOK2" s="101"/>
      <c r="OOL2" s="100"/>
      <c r="OOM2" s="102"/>
      <c r="OOO2" s="101"/>
      <c r="OOP2" s="100"/>
      <c r="OOQ2" s="102"/>
      <c r="OOS2" s="101"/>
      <c r="OOT2" s="100"/>
      <c r="OOU2" s="102"/>
      <c r="OOW2" s="101"/>
      <c r="OOX2" s="100"/>
      <c r="OOY2" s="102"/>
      <c r="OPA2" s="101"/>
      <c r="OPB2" s="100"/>
      <c r="OPC2" s="102"/>
      <c r="OPE2" s="101"/>
      <c r="OPF2" s="100"/>
      <c r="OPG2" s="102"/>
      <c r="OPI2" s="101"/>
      <c r="OPJ2" s="100"/>
      <c r="OPK2" s="102"/>
      <c r="OPM2" s="101"/>
      <c r="OPN2" s="100"/>
      <c r="OPO2" s="102"/>
      <c r="OPQ2" s="101"/>
      <c r="OPR2" s="100"/>
      <c r="OPS2" s="102"/>
      <c r="OPU2" s="101"/>
      <c r="OPV2" s="100"/>
      <c r="OPW2" s="102"/>
      <c r="OPY2" s="101"/>
      <c r="OPZ2" s="100"/>
      <c r="OQA2" s="102"/>
      <c r="OQC2" s="101"/>
      <c r="OQD2" s="100"/>
      <c r="OQE2" s="102"/>
      <c r="OQG2" s="101"/>
      <c r="OQH2" s="100"/>
      <c r="OQI2" s="102"/>
      <c r="OQK2" s="101"/>
      <c r="OQL2" s="100"/>
      <c r="OQM2" s="102"/>
      <c r="OQO2" s="101"/>
      <c r="OQP2" s="100"/>
      <c r="OQQ2" s="102"/>
      <c r="OQS2" s="101"/>
      <c r="OQT2" s="100"/>
      <c r="OQU2" s="102"/>
      <c r="OQW2" s="101"/>
      <c r="OQX2" s="100"/>
      <c r="OQY2" s="102"/>
      <c r="ORA2" s="101"/>
      <c r="ORB2" s="100"/>
      <c r="ORC2" s="102"/>
      <c r="ORE2" s="101"/>
      <c r="ORF2" s="100"/>
      <c r="ORG2" s="102"/>
      <c r="ORI2" s="101"/>
      <c r="ORJ2" s="100"/>
      <c r="ORK2" s="102"/>
      <c r="ORM2" s="101"/>
      <c r="ORN2" s="100"/>
      <c r="ORO2" s="102"/>
      <c r="ORQ2" s="101"/>
      <c r="ORR2" s="100"/>
      <c r="ORS2" s="102"/>
      <c r="ORU2" s="101"/>
      <c r="ORV2" s="100"/>
      <c r="ORW2" s="102"/>
      <c r="ORY2" s="101"/>
      <c r="ORZ2" s="100"/>
      <c r="OSA2" s="102"/>
      <c r="OSC2" s="101"/>
      <c r="OSD2" s="100"/>
      <c r="OSE2" s="102"/>
      <c r="OSG2" s="101"/>
      <c r="OSH2" s="100"/>
      <c r="OSI2" s="102"/>
      <c r="OSK2" s="101"/>
      <c r="OSL2" s="100"/>
      <c r="OSM2" s="102"/>
      <c r="OSO2" s="101"/>
      <c r="OSP2" s="100"/>
      <c r="OSQ2" s="102"/>
      <c r="OSS2" s="101"/>
      <c r="OST2" s="100"/>
      <c r="OSU2" s="102"/>
      <c r="OSW2" s="101"/>
      <c r="OSX2" s="100"/>
      <c r="OSY2" s="102"/>
      <c r="OTA2" s="101"/>
      <c r="OTB2" s="100"/>
      <c r="OTC2" s="102"/>
      <c r="OTE2" s="101"/>
      <c r="OTF2" s="100"/>
      <c r="OTG2" s="102"/>
      <c r="OTI2" s="101"/>
      <c r="OTJ2" s="100"/>
      <c r="OTK2" s="102"/>
      <c r="OTM2" s="101"/>
      <c r="OTN2" s="100"/>
      <c r="OTO2" s="102"/>
      <c r="OTQ2" s="101"/>
      <c r="OTR2" s="100"/>
      <c r="OTS2" s="102"/>
      <c r="OTU2" s="101"/>
      <c r="OTV2" s="100"/>
      <c r="OTW2" s="102"/>
      <c r="OTY2" s="101"/>
      <c r="OTZ2" s="100"/>
      <c r="OUA2" s="102"/>
      <c r="OUC2" s="101"/>
      <c r="OUD2" s="100"/>
      <c r="OUE2" s="102"/>
      <c r="OUG2" s="101"/>
      <c r="OUH2" s="100"/>
      <c r="OUI2" s="102"/>
      <c r="OUK2" s="101"/>
      <c r="OUL2" s="100"/>
      <c r="OUM2" s="102"/>
      <c r="OUO2" s="101"/>
      <c r="OUP2" s="100"/>
      <c r="OUQ2" s="102"/>
      <c r="OUS2" s="101"/>
      <c r="OUT2" s="100"/>
      <c r="OUU2" s="102"/>
      <c r="OUW2" s="101"/>
      <c r="OUX2" s="100"/>
      <c r="OUY2" s="102"/>
      <c r="OVA2" s="101"/>
      <c r="OVB2" s="100"/>
      <c r="OVC2" s="102"/>
      <c r="OVE2" s="101"/>
      <c r="OVF2" s="100"/>
      <c r="OVG2" s="102"/>
      <c r="OVI2" s="101"/>
      <c r="OVJ2" s="100"/>
      <c r="OVK2" s="102"/>
      <c r="OVM2" s="101"/>
      <c r="OVN2" s="100"/>
      <c r="OVO2" s="102"/>
      <c r="OVQ2" s="101"/>
      <c r="OVR2" s="100"/>
      <c r="OVS2" s="102"/>
      <c r="OVU2" s="101"/>
      <c r="OVV2" s="100"/>
      <c r="OVW2" s="102"/>
      <c r="OVY2" s="101"/>
      <c r="OVZ2" s="100"/>
      <c r="OWA2" s="102"/>
      <c r="OWC2" s="101"/>
      <c r="OWD2" s="100"/>
      <c r="OWE2" s="102"/>
      <c r="OWG2" s="101"/>
      <c r="OWH2" s="100"/>
      <c r="OWI2" s="102"/>
      <c r="OWK2" s="101"/>
      <c r="OWL2" s="100"/>
      <c r="OWM2" s="102"/>
      <c r="OWO2" s="101"/>
      <c r="OWP2" s="100"/>
      <c r="OWQ2" s="102"/>
      <c r="OWS2" s="101"/>
      <c r="OWT2" s="100"/>
      <c r="OWU2" s="102"/>
      <c r="OWW2" s="101"/>
      <c r="OWX2" s="100"/>
      <c r="OWY2" s="102"/>
      <c r="OXA2" s="101"/>
      <c r="OXB2" s="100"/>
      <c r="OXC2" s="102"/>
      <c r="OXE2" s="101"/>
      <c r="OXF2" s="100"/>
      <c r="OXG2" s="102"/>
      <c r="OXI2" s="101"/>
      <c r="OXJ2" s="100"/>
      <c r="OXK2" s="102"/>
      <c r="OXM2" s="101"/>
      <c r="OXN2" s="100"/>
      <c r="OXO2" s="102"/>
      <c r="OXQ2" s="101"/>
      <c r="OXR2" s="100"/>
      <c r="OXS2" s="102"/>
      <c r="OXU2" s="101"/>
      <c r="OXV2" s="100"/>
      <c r="OXW2" s="102"/>
      <c r="OXY2" s="101"/>
      <c r="OXZ2" s="100"/>
      <c r="OYA2" s="102"/>
      <c r="OYC2" s="101"/>
      <c r="OYD2" s="100"/>
      <c r="OYE2" s="102"/>
      <c r="OYG2" s="101"/>
      <c r="OYH2" s="100"/>
      <c r="OYI2" s="102"/>
      <c r="OYK2" s="101"/>
      <c r="OYL2" s="100"/>
      <c r="OYM2" s="102"/>
      <c r="OYO2" s="101"/>
      <c r="OYP2" s="100"/>
      <c r="OYQ2" s="102"/>
      <c r="OYS2" s="101"/>
      <c r="OYT2" s="100"/>
      <c r="OYU2" s="102"/>
      <c r="OYW2" s="101"/>
      <c r="OYX2" s="100"/>
      <c r="OYY2" s="102"/>
      <c r="OZA2" s="101"/>
      <c r="OZB2" s="100"/>
      <c r="OZC2" s="102"/>
      <c r="OZE2" s="101"/>
      <c r="OZF2" s="100"/>
      <c r="OZG2" s="102"/>
      <c r="OZI2" s="101"/>
      <c r="OZJ2" s="100"/>
      <c r="OZK2" s="102"/>
      <c r="OZM2" s="101"/>
      <c r="OZN2" s="100"/>
      <c r="OZO2" s="102"/>
      <c r="OZQ2" s="101"/>
      <c r="OZR2" s="100"/>
      <c r="OZS2" s="102"/>
      <c r="OZU2" s="101"/>
      <c r="OZV2" s="100"/>
      <c r="OZW2" s="102"/>
      <c r="OZY2" s="101"/>
      <c r="OZZ2" s="100"/>
      <c r="PAA2" s="102"/>
      <c r="PAC2" s="101"/>
      <c r="PAD2" s="100"/>
      <c r="PAE2" s="102"/>
      <c r="PAG2" s="101"/>
      <c r="PAH2" s="100"/>
      <c r="PAI2" s="102"/>
      <c r="PAK2" s="101"/>
      <c r="PAL2" s="100"/>
      <c r="PAM2" s="102"/>
      <c r="PAO2" s="101"/>
      <c r="PAP2" s="100"/>
      <c r="PAQ2" s="102"/>
      <c r="PAS2" s="101"/>
      <c r="PAT2" s="100"/>
      <c r="PAU2" s="102"/>
      <c r="PAW2" s="101"/>
      <c r="PAX2" s="100"/>
      <c r="PAY2" s="102"/>
      <c r="PBA2" s="101"/>
      <c r="PBB2" s="100"/>
      <c r="PBC2" s="102"/>
      <c r="PBE2" s="101"/>
      <c r="PBF2" s="100"/>
      <c r="PBG2" s="102"/>
      <c r="PBI2" s="101"/>
      <c r="PBJ2" s="100"/>
      <c r="PBK2" s="102"/>
      <c r="PBM2" s="101"/>
      <c r="PBN2" s="100"/>
      <c r="PBO2" s="102"/>
      <c r="PBQ2" s="101"/>
      <c r="PBR2" s="100"/>
      <c r="PBS2" s="102"/>
      <c r="PBU2" s="101"/>
      <c r="PBV2" s="100"/>
      <c r="PBW2" s="102"/>
      <c r="PBY2" s="101"/>
      <c r="PBZ2" s="100"/>
      <c r="PCA2" s="102"/>
      <c r="PCC2" s="101"/>
      <c r="PCD2" s="100"/>
      <c r="PCE2" s="102"/>
      <c r="PCG2" s="101"/>
      <c r="PCH2" s="100"/>
      <c r="PCI2" s="102"/>
      <c r="PCK2" s="101"/>
      <c r="PCL2" s="100"/>
      <c r="PCM2" s="102"/>
      <c r="PCO2" s="101"/>
      <c r="PCP2" s="100"/>
      <c r="PCQ2" s="102"/>
      <c r="PCS2" s="101"/>
      <c r="PCT2" s="100"/>
      <c r="PCU2" s="102"/>
      <c r="PCW2" s="101"/>
      <c r="PCX2" s="100"/>
      <c r="PCY2" s="102"/>
      <c r="PDA2" s="101"/>
      <c r="PDB2" s="100"/>
      <c r="PDC2" s="102"/>
      <c r="PDE2" s="101"/>
      <c r="PDF2" s="100"/>
      <c r="PDG2" s="102"/>
      <c r="PDI2" s="101"/>
      <c r="PDJ2" s="100"/>
      <c r="PDK2" s="102"/>
      <c r="PDM2" s="101"/>
      <c r="PDN2" s="100"/>
      <c r="PDO2" s="102"/>
      <c r="PDQ2" s="101"/>
      <c r="PDR2" s="100"/>
      <c r="PDS2" s="102"/>
      <c r="PDU2" s="101"/>
      <c r="PDV2" s="100"/>
      <c r="PDW2" s="102"/>
      <c r="PDY2" s="101"/>
      <c r="PDZ2" s="100"/>
      <c r="PEA2" s="102"/>
      <c r="PEC2" s="101"/>
      <c r="PED2" s="100"/>
      <c r="PEE2" s="102"/>
      <c r="PEG2" s="101"/>
      <c r="PEH2" s="100"/>
      <c r="PEI2" s="102"/>
      <c r="PEK2" s="101"/>
      <c r="PEL2" s="100"/>
      <c r="PEM2" s="102"/>
      <c r="PEO2" s="101"/>
      <c r="PEP2" s="100"/>
      <c r="PEQ2" s="102"/>
      <c r="PES2" s="101"/>
      <c r="PET2" s="100"/>
      <c r="PEU2" s="102"/>
      <c r="PEW2" s="101"/>
      <c r="PEX2" s="100"/>
      <c r="PEY2" s="102"/>
      <c r="PFA2" s="101"/>
      <c r="PFB2" s="100"/>
      <c r="PFC2" s="102"/>
      <c r="PFE2" s="101"/>
      <c r="PFF2" s="100"/>
      <c r="PFG2" s="102"/>
      <c r="PFI2" s="101"/>
      <c r="PFJ2" s="100"/>
      <c r="PFK2" s="102"/>
      <c r="PFM2" s="101"/>
      <c r="PFN2" s="100"/>
      <c r="PFO2" s="102"/>
      <c r="PFQ2" s="101"/>
      <c r="PFR2" s="100"/>
      <c r="PFS2" s="102"/>
      <c r="PFU2" s="101"/>
      <c r="PFV2" s="100"/>
      <c r="PFW2" s="102"/>
      <c r="PFY2" s="101"/>
      <c r="PFZ2" s="100"/>
      <c r="PGA2" s="102"/>
      <c r="PGC2" s="101"/>
      <c r="PGD2" s="100"/>
      <c r="PGE2" s="102"/>
      <c r="PGG2" s="101"/>
      <c r="PGH2" s="100"/>
      <c r="PGI2" s="102"/>
      <c r="PGK2" s="101"/>
      <c r="PGL2" s="100"/>
      <c r="PGM2" s="102"/>
      <c r="PGO2" s="101"/>
      <c r="PGP2" s="100"/>
      <c r="PGQ2" s="102"/>
      <c r="PGS2" s="101"/>
      <c r="PGT2" s="100"/>
      <c r="PGU2" s="102"/>
      <c r="PGW2" s="101"/>
      <c r="PGX2" s="100"/>
      <c r="PGY2" s="102"/>
      <c r="PHA2" s="101"/>
      <c r="PHB2" s="100"/>
      <c r="PHC2" s="102"/>
      <c r="PHE2" s="101"/>
      <c r="PHF2" s="100"/>
      <c r="PHG2" s="102"/>
      <c r="PHI2" s="101"/>
      <c r="PHJ2" s="100"/>
      <c r="PHK2" s="102"/>
      <c r="PHM2" s="101"/>
      <c r="PHN2" s="100"/>
      <c r="PHO2" s="102"/>
      <c r="PHQ2" s="101"/>
      <c r="PHR2" s="100"/>
      <c r="PHS2" s="102"/>
      <c r="PHU2" s="101"/>
      <c r="PHV2" s="100"/>
      <c r="PHW2" s="102"/>
      <c r="PHY2" s="101"/>
      <c r="PHZ2" s="100"/>
      <c r="PIA2" s="102"/>
      <c r="PIC2" s="101"/>
      <c r="PID2" s="100"/>
      <c r="PIE2" s="102"/>
      <c r="PIG2" s="101"/>
      <c r="PIH2" s="100"/>
      <c r="PII2" s="102"/>
      <c r="PIK2" s="101"/>
      <c r="PIL2" s="100"/>
      <c r="PIM2" s="102"/>
      <c r="PIO2" s="101"/>
      <c r="PIP2" s="100"/>
      <c r="PIQ2" s="102"/>
      <c r="PIS2" s="101"/>
      <c r="PIT2" s="100"/>
      <c r="PIU2" s="102"/>
      <c r="PIW2" s="101"/>
      <c r="PIX2" s="100"/>
      <c r="PIY2" s="102"/>
      <c r="PJA2" s="101"/>
      <c r="PJB2" s="100"/>
      <c r="PJC2" s="102"/>
      <c r="PJE2" s="101"/>
      <c r="PJF2" s="100"/>
      <c r="PJG2" s="102"/>
      <c r="PJI2" s="101"/>
      <c r="PJJ2" s="100"/>
      <c r="PJK2" s="102"/>
      <c r="PJM2" s="101"/>
      <c r="PJN2" s="100"/>
      <c r="PJO2" s="102"/>
      <c r="PJQ2" s="101"/>
      <c r="PJR2" s="100"/>
      <c r="PJS2" s="102"/>
      <c r="PJU2" s="101"/>
      <c r="PJV2" s="100"/>
      <c r="PJW2" s="102"/>
      <c r="PJY2" s="101"/>
      <c r="PJZ2" s="100"/>
      <c r="PKA2" s="102"/>
      <c r="PKC2" s="101"/>
      <c r="PKD2" s="100"/>
      <c r="PKE2" s="102"/>
      <c r="PKG2" s="101"/>
      <c r="PKH2" s="100"/>
      <c r="PKI2" s="102"/>
      <c r="PKK2" s="101"/>
      <c r="PKL2" s="100"/>
      <c r="PKM2" s="102"/>
      <c r="PKO2" s="101"/>
      <c r="PKP2" s="100"/>
      <c r="PKQ2" s="102"/>
      <c r="PKS2" s="101"/>
      <c r="PKT2" s="100"/>
      <c r="PKU2" s="102"/>
      <c r="PKW2" s="101"/>
      <c r="PKX2" s="100"/>
      <c r="PKY2" s="102"/>
      <c r="PLA2" s="101"/>
      <c r="PLB2" s="100"/>
      <c r="PLC2" s="102"/>
      <c r="PLE2" s="101"/>
      <c r="PLF2" s="100"/>
      <c r="PLG2" s="102"/>
      <c r="PLI2" s="101"/>
      <c r="PLJ2" s="100"/>
      <c r="PLK2" s="102"/>
      <c r="PLM2" s="101"/>
      <c r="PLN2" s="100"/>
      <c r="PLO2" s="102"/>
      <c r="PLQ2" s="101"/>
      <c r="PLR2" s="100"/>
      <c r="PLS2" s="102"/>
      <c r="PLU2" s="101"/>
      <c r="PLV2" s="100"/>
      <c r="PLW2" s="102"/>
      <c r="PLY2" s="101"/>
      <c r="PLZ2" s="100"/>
      <c r="PMA2" s="102"/>
      <c r="PMC2" s="101"/>
      <c r="PMD2" s="100"/>
      <c r="PME2" s="102"/>
      <c r="PMG2" s="101"/>
      <c r="PMH2" s="100"/>
      <c r="PMI2" s="102"/>
      <c r="PMK2" s="101"/>
      <c r="PML2" s="100"/>
      <c r="PMM2" s="102"/>
      <c r="PMO2" s="101"/>
      <c r="PMP2" s="100"/>
      <c r="PMQ2" s="102"/>
      <c r="PMS2" s="101"/>
      <c r="PMT2" s="100"/>
      <c r="PMU2" s="102"/>
      <c r="PMW2" s="101"/>
      <c r="PMX2" s="100"/>
      <c r="PMY2" s="102"/>
      <c r="PNA2" s="101"/>
      <c r="PNB2" s="100"/>
      <c r="PNC2" s="102"/>
      <c r="PNE2" s="101"/>
      <c r="PNF2" s="100"/>
      <c r="PNG2" s="102"/>
      <c r="PNI2" s="101"/>
      <c r="PNJ2" s="100"/>
      <c r="PNK2" s="102"/>
      <c r="PNM2" s="101"/>
      <c r="PNN2" s="100"/>
      <c r="PNO2" s="102"/>
      <c r="PNQ2" s="101"/>
      <c r="PNR2" s="100"/>
      <c r="PNS2" s="102"/>
      <c r="PNU2" s="101"/>
      <c r="PNV2" s="100"/>
      <c r="PNW2" s="102"/>
      <c r="PNY2" s="101"/>
      <c r="PNZ2" s="100"/>
      <c r="POA2" s="102"/>
      <c r="POC2" s="101"/>
      <c r="POD2" s="100"/>
      <c r="POE2" s="102"/>
      <c r="POG2" s="101"/>
      <c r="POH2" s="100"/>
      <c r="POI2" s="102"/>
      <c r="POK2" s="101"/>
      <c r="POL2" s="100"/>
      <c r="POM2" s="102"/>
      <c r="POO2" s="101"/>
      <c r="POP2" s="100"/>
      <c r="POQ2" s="102"/>
      <c r="POS2" s="101"/>
      <c r="POT2" s="100"/>
      <c r="POU2" s="102"/>
      <c r="POW2" s="101"/>
      <c r="POX2" s="100"/>
      <c r="POY2" s="102"/>
      <c r="PPA2" s="101"/>
      <c r="PPB2" s="100"/>
      <c r="PPC2" s="102"/>
      <c r="PPE2" s="101"/>
      <c r="PPF2" s="100"/>
      <c r="PPG2" s="102"/>
      <c r="PPI2" s="101"/>
      <c r="PPJ2" s="100"/>
      <c r="PPK2" s="102"/>
      <c r="PPM2" s="101"/>
      <c r="PPN2" s="100"/>
      <c r="PPO2" s="102"/>
      <c r="PPQ2" s="101"/>
      <c r="PPR2" s="100"/>
      <c r="PPS2" s="102"/>
      <c r="PPU2" s="101"/>
      <c r="PPV2" s="100"/>
      <c r="PPW2" s="102"/>
      <c r="PPY2" s="101"/>
      <c r="PPZ2" s="100"/>
      <c r="PQA2" s="102"/>
      <c r="PQC2" s="101"/>
      <c r="PQD2" s="100"/>
      <c r="PQE2" s="102"/>
      <c r="PQG2" s="101"/>
      <c r="PQH2" s="100"/>
      <c r="PQI2" s="102"/>
      <c r="PQK2" s="101"/>
      <c r="PQL2" s="100"/>
      <c r="PQM2" s="102"/>
      <c r="PQO2" s="101"/>
      <c r="PQP2" s="100"/>
      <c r="PQQ2" s="102"/>
      <c r="PQS2" s="101"/>
      <c r="PQT2" s="100"/>
      <c r="PQU2" s="102"/>
      <c r="PQW2" s="101"/>
      <c r="PQX2" s="100"/>
      <c r="PQY2" s="102"/>
      <c r="PRA2" s="101"/>
      <c r="PRB2" s="100"/>
      <c r="PRC2" s="102"/>
      <c r="PRE2" s="101"/>
      <c r="PRF2" s="100"/>
      <c r="PRG2" s="102"/>
      <c r="PRI2" s="101"/>
      <c r="PRJ2" s="100"/>
      <c r="PRK2" s="102"/>
      <c r="PRM2" s="101"/>
      <c r="PRN2" s="100"/>
      <c r="PRO2" s="102"/>
      <c r="PRQ2" s="101"/>
      <c r="PRR2" s="100"/>
      <c r="PRS2" s="102"/>
      <c r="PRU2" s="101"/>
      <c r="PRV2" s="100"/>
      <c r="PRW2" s="102"/>
      <c r="PRY2" s="101"/>
      <c r="PRZ2" s="100"/>
      <c r="PSA2" s="102"/>
      <c r="PSC2" s="101"/>
      <c r="PSD2" s="100"/>
      <c r="PSE2" s="102"/>
      <c r="PSG2" s="101"/>
      <c r="PSH2" s="100"/>
      <c r="PSI2" s="102"/>
      <c r="PSK2" s="101"/>
      <c r="PSL2" s="100"/>
      <c r="PSM2" s="102"/>
      <c r="PSO2" s="101"/>
      <c r="PSP2" s="100"/>
      <c r="PSQ2" s="102"/>
      <c r="PSS2" s="101"/>
      <c r="PST2" s="100"/>
      <c r="PSU2" s="102"/>
      <c r="PSW2" s="101"/>
      <c r="PSX2" s="100"/>
      <c r="PSY2" s="102"/>
      <c r="PTA2" s="101"/>
      <c r="PTB2" s="100"/>
      <c r="PTC2" s="102"/>
      <c r="PTE2" s="101"/>
      <c r="PTF2" s="100"/>
      <c r="PTG2" s="102"/>
      <c r="PTI2" s="101"/>
      <c r="PTJ2" s="100"/>
      <c r="PTK2" s="102"/>
      <c r="PTM2" s="101"/>
      <c r="PTN2" s="100"/>
      <c r="PTO2" s="102"/>
      <c r="PTQ2" s="101"/>
      <c r="PTR2" s="100"/>
      <c r="PTS2" s="102"/>
      <c r="PTU2" s="101"/>
      <c r="PTV2" s="100"/>
      <c r="PTW2" s="102"/>
      <c r="PTY2" s="101"/>
      <c r="PTZ2" s="100"/>
      <c r="PUA2" s="102"/>
      <c r="PUC2" s="101"/>
      <c r="PUD2" s="100"/>
      <c r="PUE2" s="102"/>
      <c r="PUG2" s="101"/>
      <c r="PUH2" s="100"/>
      <c r="PUI2" s="102"/>
      <c r="PUK2" s="101"/>
      <c r="PUL2" s="100"/>
      <c r="PUM2" s="102"/>
      <c r="PUO2" s="101"/>
      <c r="PUP2" s="100"/>
      <c r="PUQ2" s="102"/>
      <c r="PUS2" s="101"/>
      <c r="PUT2" s="100"/>
      <c r="PUU2" s="102"/>
      <c r="PUW2" s="101"/>
      <c r="PUX2" s="100"/>
      <c r="PUY2" s="102"/>
      <c r="PVA2" s="101"/>
      <c r="PVB2" s="100"/>
      <c r="PVC2" s="102"/>
      <c r="PVE2" s="101"/>
      <c r="PVF2" s="100"/>
      <c r="PVG2" s="102"/>
      <c r="PVI2" s="101"/>
      <c r="PVJ2" s="100"/>
      <c r="PVK2" s="102"/>
      <c r="PVM2" s="101"/>
      <c r="PVN2" s="100"/>
      <c r="PVO2" s="102"/>
      <c r="PVQ2" s="101"/>
      <c r="PVR2" s="100"/>
      <c r="PVS2" s="102"/>
      <c r="PVU2" s="101"/>
      <c r="PVV2" s="100"/>
      <c r="PVW2" s="102"/>
      <c r="PVY2" s="101"/>
      <c r="PVZ2" s="100"/>
      <c r="PWA2" s="102"/>
      <c r="PWC2" s="101"/>
      <c r="PWD2" s="100"/>
      <c r="PWE2" s="102"/>
      <c r="PWG2" s="101"/>
      <c r="PWH2" s="100"/>
      <c r="PWI2" s="102"/>
      <c r="PWK2" s="101"/>
      <c r="PWL2" s="100"/>
      <c r="PWM2" s="102"/>
      <c r="PWO2" s="101"/>
      <c r="PWP2" s="100"/>
      <c r="PWQ2" s="102"/>
      <c r="PWS2" s="101"/>
      <c r="PWT2" s="100"/>
      <c r="PWU2" s="102"/>
      <c r="PWW2" s="101"/>
      <c r="PWX2" s="100"/>
      <c r="PWY2" s="102"/>
      <c r="PXA2" s="101"/>
      <c r="PXB2" s="100"/>
      <c r="PXC2" s="102"/>
      <c r="PXE2" s="101"/>
      <c r="PXF2" s="100"/>
      <c r="PXG2" s="102"/>
      <c r="PXI2" s="101"/>
      <c r="PXJ2" s="100"/>
      <c r="PXK2" s="102"/>
      <c r="PXM2" s="101"/>
      <c r="PXN2" s="100"/>
      <c r="PXO2" s="102"/>
      <c r="PXQ2" s="101"/>
      <c r="PXR2" s="100"/>
      <c r="PXS2" s="102"/>
      <c r="PXU2" s="101"/>
      <c r="PXV2" s="100"/>
      <c r="PXW2" s="102"/>
      <c r="PXY2" s="101"/>
      <c r="PXZ2" s="100"/>
      <c r="PYA2" s="102"/>
      <c r="PYC2" s="101"/>
      <c r="PYD2" s="100"/>
      <c r="PYE2" s="102"/>
      <c r="PYG2" s="101"/>
      <c r="PYH2" s="100"/>
      <c r="PYI2" s="102"/>
      <c r="PYK2" s="101"/>
      <c r="PYL2" s="100"/>
      <c r="PYM2" s="102"/>
      <c r="PYO2" s="101"/>
      <c r="PYP2" s="100"/>
      <c r="PYQ2" s="102"/>
      <c r="PYS2" s="101"/>
      <c r="PYT2" s="100"/>
      <c r="PYU2" s="102"/>
      <c r="PYW2" s="101"/>
      <c r="PYX2" s="100"/>
      <c r="PYY2" s="102"/>
      <c r="PZA2" s="101"/>
      <c r="PZB2" s="100"/>
      <c r="PZC2" s="102"/>
      <c r="PZE2" s="101"/>
      <c r="PZF2" s="100"/>
      <c r="PZG2" s="102"/>
      <c r="PZI2" s="101"/>
      <c r="PZJ2" s="100"/>
      <c r="PZK2" s="102"/>
      <c r="PZM2" s="101"/>
      <c r="PZN2" s="100"/>
      <c r="PZO2" s="102"/>
      <c r="PZQ2" s="101"/>
      <c r="PZR2" s="100"/>
      <c r="PZS2" s="102"/>
      <c r="PZU2" s="101"/>
      <c r="PZV2" s="100"/>
      <c r="PZW2" s="102"/>
      <c r="PZY2" s="101"/>
      <c r="PZZ2" s="100"/>
      <c r="QAA2" s="102"/>
      <c r="QAC2" s="101"/>
      <c r="QAD2" s="100"/>
      <c r="QAE2" s="102"/>
      <c r="QAG2" s="101"/>
      <c r="QAH2" s="100"/>
      <c r="QAI2" s="102"/>
      <c r="QAK2" s="101"/>
      <c r="QAL2" s="100"/>
      <c r="QAM2" s="102"/>
      <c r="QAO2" s="101"/>
      <c r="QAP2" s="100"/>
      <c r="QAQ2" s="102"/>
      <c r="QAS2" s="101"/>
      <c r="QAT2" s="100"/>
      <c r="QAU2" s="102"/>
      <c r="QAW2" s="101"/>
      <c r="QAX2" s="100"/>
      <c r="QAY2" s="102"/>
      <c r="QBA2" s="101"/>
      <c r="QBB2" s="100"/>
      <c r="QBC2" s="102"/>
      <c r="QBE2" s="101"/>
      <c r="QBF2" s="100"/>
      <c r="QBG2" s="102"/>
      <c r="QBI2" s="101"/>
      <c r="QBJ2" s="100"/>
      <c r="QBK2" s="102"/>
      <c r="QBM2" s="101"/>
      <c r="QBN2" s="100"/>
      <c r="QBO2" s="102"/>
      <c r="QBQ2" s="101"/>
      <c r="QBR2" s="100"/>
      <c r="QBS2" s="102"/>
      <c r="QBU2" s="101"/>
      <c r="QBV2" s="100"/>
      <c r="QBW2" s="102"/>
      <c r="QBY2" s="101"/>
      <c r="QBZ2" s="100"/>
      <c r="QCA2" s="102"/>
      <c r="QCC2" s="101"/>
      <c r="QCD2" s="100"/>
      <c r="QCE2" s="102"/>
      <c r="QCG2" s="101"/>
      <c r="QCH2" s="100"/>
      <c r="QCI2" s="102"/>
      <c r="QCK2" s="101"/>
      <c r="QCL2" s="100"/>
      <c r="QCM2" s="102"/>
      <c r="QCO2" s="101"/>
      <c r="QCP2" s="100"/>
      <c r="QCQ2" s="102"/>
      <c r="QCS2" s="101"/>
      <c r="QCT2" s="100"/>
      <c r="QCU2" s="102"/>
      <c r="QCW2" s="101"/>
      <c r="QCX2" s="100"/>
      <c r="QCY2" s="102"/>
      <c r="QDA2" s="101"/>
      <c r="QDB2" s="100"/>
      <c r="QDC2" s="102"/>
      <c r="QDE2" s="101"/>
      <c r="QDF2" s="100"/>
      <c r="QDG2" s="102"/>
      <c r="QDI2" s="101"/>
      <c r="QDJ2" s="100"/>
      <c r="QDK2" s="102"/>
      <c r="QDM2" s="101"/>
      <c r="QDN2" s="100"/>
      <c r="QDO2" s="102"/>
      <c r="QDQ2" s="101"/>
      <c r="QDR2" s="100"/>
      <c r="QDS2" s="102"/>
      <c r="QDU2" s="101"/>
      <c r="QDV2" s="100"/>
      <c r="QDW2" s="102"/>
      <c r="QDY2" s="101"/>
      <c r="QDZ2" s="100"/>
      <c r="QEA2" s="102"/>
      <c r="QEC2" s="101"/>
      <c r="QED2" s="100"/>
      <c r="QEE2" s="102"/>
      <c r="QEG2" s="101"/>
      <c r="QEH2" s="100"/>
      <c r="QEI2" s="102"/>
      <c r="QEK2" s="101"/>
      <c r="QEL2" s="100"/>
      <c r="QEM2" s="102"/>
      <c r="QEO2" s="101"/>
      <c r="QEP2" s="100"/>
      <c r="QEQ2" s="102"/>
      <c r="QES2" s="101"/>
      <c r="QET2" s="100"/>
      <c r="QEU2" s="102"/>
      <c r="QEW2" s="101"/>
      <c r="QEX2" s="100"/>
      <c r="QEY2" s="102"/>
      <c r="QFA2" s="101"/>
      <c r="QFB2" s="100"/>
      <c r="QFC2" s="102"/>
      <c r="QFE2" s="101"/>
      <c r="QFF2" s="100"/>
      <c r="QFG2" s="102"/>
      <c r="QFI2" s="101"/>
      <c r="QFJ2" s="100"/>
      <c r="QFK2" s="102"/>
      <c r="QFM2" s="101"/>
      <c r="QFN2" s="100"/>
      <c r="QFO2" s="102"/>
      <c r="QFQ2" s="101"/>
      <c r="QFR2" s="100"/>
      <c r="QFS2" s="102"/>
      <c r="QFU2" s="101"/>
      <c r="QFV2" s="100"/>
      <c r="QFW2" s="102"/>
      <c r="QFY2" s="101"/>
      <c r="QFZ2" s="100"/>
      <c r="QGA2" s="102"/>
      <c r="QGC2" s="101"/>
      <c r="QGD2" s="100"/>
      <c r="QGE2" s="102"/>
      <c r="QGG2" s="101"/>
      <c r="QGH2" s="100"/>
      <c r="QGI2" s="102"/>
      <c r="QGK2" s="101"/>
      <c r="QGL2" s="100"/>
      <c r="QGM2" s="102"/>
      <c r="QGO2" s="101"/>
      <c r="QGP2" s="100"/>
      <c r="QGQ2" s="102"/>
      <c r="QGS2" s="101"/>
      <c r="QGT2" s="100"/>
      <c r="QGU2" s="102"/>
      <c r="QGW2" s="101"/>
      <c r="QGX2" s="100"/>
      <c r="QGY2" s="102"/>
      <c r="QHA2" s="101"/>
      <c r="QHB2" s="100"/>
      <c r="QHC2" s="102"/>
      <c r="QHE2" s="101"/>
      <c r="QHF2" s="100"/>
      <c r="QHG2" s="102"/>
      <c r="QHI2" s="101"/>
      <c r="QHJ2" s="100"/>
      <c r="QHK2" s="102"/>
      <c r="QHM2" s="101"/>
      <c r="QHN2" s="100"/>
      <c r="QHO2" s="102"/>
      <c r="QHQ2" s="101"/>
      <c r="QHR2" s="100"/>
      <c r="QHS2" s="102"/>
      <c r="QHU2" s="101"/>
      <c r="QHV2" s="100"/>
      <c r="QHW2" s="102"/>
      <c r="QHY2" s="101"/>
      <c r="QHZ2" s="100"/>
      <c r="QIA2" s="102"/>
      <c r="QIC2" s="101"/>
      <c r="QID2" s="100"/>
      <c r="QIE2" s="102"/>
      <c r="QIG2" s="101"/>
      <c r="QIH2" s="100"/>
      <c r="QII2" s="102"/>
      <c r="QIK2" s="101"/>
      <c r="QIL2" s="100"/>
      <c r="QIM2" s="102"/>
      <c r="QIO2" s="101"/>
      <c r="QIP2" s="100"/>
      <c r="QIQ2" s="102"/>
      <c r="QIS2" s="101"/>
      <c r="QIT2" s="100"/>
      <c r="QIU2" s="102"/>
      <c r="QIW2" s="101"/>
      <c r="QIX2" s="100"/>
      <c r="QIY2" s="102"/>
      <c r="QJA2" s="101"/>
      <c r="QJB2" s="100"/>
      <c r="QJC2" s="102"/>
      <c r="QJE2" s="101"/>
      <c r="QJF2" s="100"/>
      <c r="QJG2" s="102"/>
      <c r="QJI2" s="101"/>
      <c r="QJJ2" s="100"/>
      <c r="QJK2" s="102"/>
      <c r="QJM2" s="101"/>
      <c r="QJN2" s="100"/>
      <c r="QJO2" s="102"/>
      <c r="QJQ2" s="101"/>
      <c r="QJR2" s="100"/>
      <c r="QJS2" s="102"/>
      <c r="QJU2" s="101"/>
      <c r="QJV2" s="100"/>
      <c r="QJW2" s="102"/>
      <c r="QJY2" s="101"/>
      <c r="QJZ2" s="100"/>
      <c r="QKA2" s="102"/>
      <c r="QKC2" s="101"/>
      <c r="QKD2" s="100"/>
      <c r="QKE2" s="102"/>
      <c r="QKG2" s="101"/>
      <c r="QKH2" s="100"/>
      <c r="QKI2" s="102"/>
      <c r="QKK2" s="101"/>
      <c r="QKL2" s="100"/>
      <c r="QKM2" s="102"/>
      <c r="QKO2" s="101"/>
      <c r="QKP2" s="100"/>
      <c r="QKQ2" s="102"/>
      <c r="QKS2" s="101"/>
      <c r="QKT2" s="100"/>
      <c r="QKU2" s="102"/>
      <c r="QKW2" s="101"/>
      <c r="QKX2" s="100"/>
      <c r="QKY2" s="102"/>
      <c r="QLA2" s="101"/>
      <c r="QLB2" s="100"/>
      <c r="QLC2" s="102"/>
      <c r="QLE2" s="101"/>
      <c r="QLF2" s="100"/>
      <c r="QLG2" s="102"/>
      <c r="QLI2" s="101"/>
      <c r="QLJ2" s="100"/>
      <c r="QLK2" s="102"/>
      <c r="QLM2" s="101"/>
      <c r="QLN2" s="100"/>
      <c r="QLO2" s="102"/>
      <c r="QLQ2" s="101"/>
      <c r="QLR2" s="100"/>
      <c r="QLS2" s="102"/>
      <c r="QLU2" s="101"/>
      <c r="QLV2" s="100"/>
      <c r="QLW2" s="102"/>
      <c r="QLY2" s="101"/>
      <c r="QLZ2" s="100"/>
      <c r="QMA2" s="102"/>
      <c r="QMC2" s="101"/>
      <c r="QMD2" s="100"/>
      <c r="QME2" s="102"/>
      <c r="QMG2" s="101"/>
      <c r="QMH2" s="100"/>
      <c r="QMI2" s="102"/>
      <c r="QMK2" s="101"/>
      <c r="QML2" s="100"/>
      <c r="QMM2" s="102"/>
      <c r="QMO2" s="101"/>
      <c r="QMP2" s="100"/>
      <c r="QMQ2" s="102"/>
      <c r="QMS2" s="101"/>
      <c r="QMT2" s="100"/>
      <c r="QMU2" s="102"/>
      <c r="QMW2" s="101"/>
      <c r="QMX2" s="100"/>
      <c r="QMY2" s="102"/>
      <c r="QNA2" s="101"/>
      <c r="QNB2" s="100"/>
      <c r="QNC2" s="102"/>
      <c r="QNE2" s="101"/>
      <c r="QNF2" s="100"/>
      <c r="QNG2" s="102"/>
      <c r="QNI2" s="101"/>
      <c r="QNJ2" s="100"/>
      <c r="QNK2" s="102"/>
      <c r="QNM2" s="101"/>
      <c r="QNN2" s="100"/>
      <c r="QNO2" s="102"/>
      <c r="QNQ2" s="101"/>
      <c r="QNR2" s="100"/>
      <c r="QNS2" s="102"/>
      <c r="QNU2" s="101"/>
      <c r="QNV2" s="100"/>
      <c r="QNW2" s="102"/>
      <c r="QNY2" s="101"/>
      <c r="QNZ2" s="100"/>
      <c r="QOA2" s="102"/>
      <c r="QOC2" s="101"/>
      <c r="QOD2" s="100"/>
      <c r="QOE2" s="102"/>
      <c r="QOG2" s="101"/>
      <c r="QOH2" s="100"/>
      <c r="QOI2" s="102"/>
      <c r="QOK2" s="101"/>
      <c r="QOL2" s="100"/>
      <c r="QOM2" s="102"/>
      <c r="QOO2" s="101"/>
      <c r="QOP2" s="100"/>
      <c r="QOQ2" s="102"/>
      <c r="QOS2" s="101"/>
      <c r="QOT2" s="100"/>
      <c r="QOU2" s="102"/>
      <c r="QOW2" s="101"/>
      <c r="QOX2" s="100"/>
      <c r="QOY2" s="102"/>
      <c r="QPA2" s="101"/>
      <c r="QPB2" s="100"/>
      <c r="QPC2" s="102"/>
      <c r="QPE2" s="101"/>
      <c r="QPF2" s="100"/>
      <c r="QPG2" s="102"/>
      <c r="QPI2" s="101"/>
      <c r="QPJ2" s="100"/>
      <c r="QPK2" s="102"/>
      <c r="QPM2" s="101"/>
      <c r="QPN2" s="100"/>
      <c r="QPO2" s="102"/>
      <c r="QPQ2" s="101"/>
      <c r="QPR2" s="100"/>
      <c r="QPS2" s="102"/>
      <c r="QPU2" s="101"/>
      <c r="QPV2" s="100"/>
      <c r="QPW2" s="102"/>
      <c r="QPY2" s="101"/>
      <c r="QPZ2" s="100"/>
      <c r="QQA2" s="102"/>
      <c r="QQC2" s="101"/>
      <c r="QQD2" s="100"/>
      <c r="QQE2" s="102"/>
      <c r="QQG2" s="101"/>
      <c r="QQH2" s="100"/>
      <c r="QQI2" s="102"/>
      <c r="QQK2" s="101"/>
      <c r="QQL2" s="100"/>
      <c r="QQM2" s="102"/>
      <c r="QQO2" s="101"/>
      <c r="QQP2" s="100"/>
      <c r="QQQ2" s="102"/>
      <c r="QQS2" s="101"/>
      <c r="QQT2" s="100"/>
      <c r="QQU2" s="102"/>
      <c r="QQW2" s="101"/>
      <c r="QQX2" s="100"/>
      <c r="QQY2" s="102"/>
      <c r="QRA2" s="101"/>
      <c r="QRB2" s="100"/>
      <c r="QRC2" s="102"/>
      <c r="QRE2" s="101"/>
      <c r="QRF2" s="100"/>
      <c r="QRG2" s="102"/>
      <c r="QRI2" s="101"/>
      <c r="QRJ2" s="100"/>
      <c r="QRK2" s="102"/>
      <c r="QRM2" s="101"/>
      <c r="QRN2" s="100"/>
      <c r="QRO2" s="102"/>
      <c r="QRQ2" s="101"/>
      <c r="QRR2" s="100"/>
      <c r="QRS2" s="102"/>
      <c r="QRU2" s="101"/>
      <c r="QRV2" s="100"/>
      <c r="QRW2" s="102"/>
      <c r="QRY2" s="101"/>
      <c r="QRZ2" s="100"/>
      <c r="QSA2" s="102"/>
      <c r="QSC2" s="101"/>
      <c r="QSD2" s="100"/>
      <c r="QSE2" s="102"/>
      <c r="QSG2" s="101"/>
      <c r="QSH2" s="100"/>
      <c r="QSI2" s="102"/>
      <c r="QSK2" s="101"/>
      <c r="QSL2" s="100"/>
      <c r="QSM2" s="102"/>
      <c r="QSO2" s="101"/>
      <c r="QSP2" s="100"/>
      <c r="QSQ2" s="102"/>
      <c r="QSS2" s="101"/>
      <c r="QST2" s="100"/>
      <c r="QSU2" s="102"/>
      <c r="QSW2" s="101"/>
      <c r="QSX2" s="100"/>
      <c r="QSY2" s="102"/>
      <c r="QTA2" s="101"/>
      <c r="QTB2" s="100"/>
      <c r="QTC2" s="102"/>
      <c r="QTE2" s="101"/>
      <c r="QTF2" s="100"/>
      <c r="QTG2" s="102"/>
      <c r="QTI2" s="101"/>
      <c r="QTJ2" s="100"/>
      <c r="QTK2" s="102"/>
      <c r="QTM2" s="101"/>
      <c r="QTN2" s="100"/>
      <c r="QTO2" s="102"/>
      <c r="QTQ2" s="101"/>
      <c r="QTR2" s="100"/>
      <c r="QTS2" s="102"/>
      <c r="QTU2" s="101"/>
      <c r="QTV2" s="100"/>
      <c r="QTW2" s="102"/>
      <c r="QTY2" s="101"/>
      <c r="QTZ2" s="100"/>
      <c r="QUA2" s="102"/>
      <c r="QUC2" s="101"/>
      <c r="QUD2" s="100"/>
      <c r="QUE2" s="102"/>
      <c r="QUG2" s="101"/>
      <c r="QUH2" s="100"/>
      <c r="QUI2" s="102"/>
      <c r="QUK2" s="101"/>
      <c r="QUL2" s="100"/>
      <c r="QUM2" s="102"/>
      <c r="QUO2" s="101"/>
      <c r="QUP2" s="100"/>
      <c r="QUQ2" s="102"/>
      <c r="QUS2" s="101"/>
      <c r="QUT2" s="100"/>
      <c r="QUU2" s="102"/>
      <c r="QUW2" s="101"/>
      <c r="QUX2" s="100"/>
      <c r="QUY2" s="102"/>
      <c r="QVA2" s="101"/>
      <c r="QVB2" s="100"/>
      <c r="QVC2" s="102"/>
      <c r="QVE2" s="101"/>
      <c r="QVF2" s="100"/>
      <c r="QVG2" s="102"/>
      <c r="QVI2" s="101"/>
      <c r="QVJ2" s="100"/>
      <c r="QVK2" s="102"/>
      <c r="QVM2" s="101"/>
      <c r="QVN2" s="100"/>
      <c r="QVO2" s="102"/>
      <c r="QVQ2" s="101"/>
      <c r="QVR2" s="100"/>
      <c r="QVS2" s="102"/>
      <c r="QVU2" s="101"/>
      <c r="QVV2" s="100"/>
      <c r="QVW2" s="102"/>
      <c r="QVY2" s="101"/>
      <c r="QVZ2" s="100"/>
      <c r="QWA2" s="102"/>
      <c r="QWC2" s="101"/>
      <c r="QWD2" s="100"/>
      <c r="QWE2" s="102"/>
      <c r="QWG2" s="101"/>
      <c r="QWH2" s="100"/>
      <c r="QWI2" s="102"/>
      <c r="QWK2" s="101"/>
      <c r="QWL2" s="100"/>
      <c r="QWM2" s="102"/>
      <c r="QWO2" s="101"/>
      <c r="QWP2" s="100"/>
      <c r="QWQ2" s="102"/>
      <c r="QWS2" s="101"/>
      <c r="QWT2" s="100"/>
      <c r="QWU2" s="102"/>
      <c r="QWW2" s="101"/>
      <c r="QWX2" s="100"/>
      <c r="QWY2" s="102"/>
      <c r="QXA2" s="101"/>
      <c r="QXB2" s="100"/>
      <c r="QXC2" s="102"/>
      <c r="QXE2" s="101"/>
      <c r="QXF2" s="100"/>
      <c r="QXG2" s="102"/>
      <c r="QXI2" s="101"/>
      <c r="QXJ2" s="100"/>
      <c r="QXK2" s="102"/>
      <c r="QXM2" s="101"/>
      <c r="QXN2" s="100"/>
      <c r="QXO2" s="102"/>
      <c r="QXQ2" s="101"/>
      <c r="QXR2" s="100"/>
      <c r="QXS2" s="102"/>
      <c r="QXU2" s="101"/>
      <c r="QXV2" s="100"/>
      <c r="QXW2" s="102"/>
      <c r="QXY2" s="101"/>
      <c r="QXZ2" s="100"/>
      <c r="QYA2" s="102"/>
      <c r="QYC2" s="101"/>
      <c r="QYD2" s="100"/>
      <c r="QYE2" s="102"/>
      <c r="QYG2" s="101"/>
      <c r="QYH2" s="100"/>
      <c r="QYI2" s="102"/>
      <c r="QYK2" s="101"/>
      <c r="QYL2" s="100"/>
      <c r="QYM2" s="102"/>
      <c r="QYO2" s="101"/>
      <c r="QYP2" s="100"/>
      <c r="QYQ2" s="102"/>
      <c r="QYS2" s="101"/>
      <c r="QYT2" s="100"/>
      <c r="QYU2" s="102"/>
      <c r="QYW2" s="101"/>
      <c r="QYX2" s="100"/>
      <c r="QYY2" s="102"/>
      <c r="QZA2" s="101"/>
      <c r="QZB2" s="100"/>
      <c r="QZC2" s="102"/>
      <c r="QZE2" s="101"/>
      <c r="QZF2" s="100"/>
      <c r="QZG2" s="102"/>
      <c r="QZI2" s="101"/>
      <c r="QZJ2" s="100"/>
      <c r="QZK2" s="102"/>
      <c r="QZM2" s="101"/>
      <c r="QZN2" s="100"/>
      <c r="QZO2" s="102"/>
      <c r="QZQ2" s="101"/>
      <c r="QZR2" s="100"/>
      <c r="QZS2" s="102"/>
      <c r="QZU2" s="101"/>
      <c r="QZV2" s="100"/>
      <c r="QZW2" s="102"/>
      <c r="QZY2" s="101"/>
      <c r="QZZ2" s="100"/>
      <c r="RAA2" s="102"/>
      <c r="RAC2" s="101"/>
      <c r="RAD2" s="100"/>
      <c r="RAE2" s="102"/>
      <c r="RAG2" s="101"/>
      <c r="RAH2" s="100"/>
      <c r="RAI2" s="102"/>
      <c r="RAK2" s="101"/>
      <c r="RAL2" s="100"/>
      <c r="RAM2" s="102"/>
      <c r="RAO2" s="101"/>
      <c r="RAP2" s="100"/>
      <c r="RAQ2" s="102"/>
      <c r="RAS2" s="101"/>
      <c r="RAT2" s="100"/>
      <c r="RAU2" s="102"/>
      <c r="RAW2" s="101"/>
      <c r="RAX2" s="100"/>
      <c r="RAY2" s="102"/>
      <c r="RBA2" s="101"/>
      <c r="RBB2" s="100"/>
      <c r="RBC2" s="102"/>
      <c r="RBE2" s="101"/>
      <c r="RBF2" s="100"/>
      <c r="RBG2" s="102"/>
      <c r="RBI2" s="101"/>
      <c r="RBJ2" s="100"/>
      <c r="RBK2" s="102"/>
      <c r="RBM2" s="101"/>
      <c r="RBN2" s="100"/>
      <c r="RBO2" s="102"/>
      <c r="RBQ2" s="101"/>
      <c r="RBR2" s="100"/>
      <c r="RBS2" s="102"/>
      <c r="RBU2" s="101"/>
      <c r="RBV2" s="100"/>
      <c r="RBW2" s="102"/>
      <c r="RBY2" s="101"/>
      <c r="RBZ2" s="100"/>
      <c r="RCA2" s="102"/>
      <c r="RCC2" s="101"/>
      <c r="RCD2" s="100"/>
      <c r="RCE2" s="102"/>
      <c r="RCG2" s="101"/>
      <c r="RCH2" s="100"/>
      <c r="RCI2" s="102"/>
      <c r="RCK2" s="101"/>
      <c r="RCL2" s="100"/>
      <c r="RCM2" s="102"/>
      <c r="RCO2" s="101"/>
      <c r="RCP2" s="100"/>
      <c r="RCQ2" s="102"/>
      <c r="RCS2" s="101"/>
      <c r="RCT2" s="100"/>
      <c r="RCU2" s="102"/>
      <c r="RCW2" s="101"/>
      <c r="RCX2" s="100"/>
      <c r="RCY2" s="102"/>
      <c r="RDA2" s="101"/>
      <c r="RDB2" s="100"/>
      <c r="RDC2" s="102"/>
      <c r="RDE2" s="101"/>
      <c r="RDF2" s="100"/>
      <c r="RDG2" s="102"/>
      <c r="RDI2" s="101"/>
      <c r="RDJ2" s="100"/>
      <c r="RDK2" s="102"/>
      <c r="RDM2" s="101"/>
      <c r="RDN2" s="100"/>
      <c r="RDO2" s="102"/>
      <c r="RDQ2" s="101"/>
      <c r="RDR2" s="100"/>
      <c r="RDS2" s="102"/>
      <c r="RDU2" s="101"/>
      <c r="RDV2" s="100"/>
      <c r="RDW2" s="102"/>
      <c r="RDY2" s="101"/>
      <c r="RDZ2" s="100"/>
      <c r="REA2" s="102"/>
      <c r="REC2" s="101"/>
      <c r="RED2" s="100"/>
      <c r="REE2" s="102"/>
      <c r="REG2" s="101"/>
      <c r="REH2" s="100"/>
      <c r="REI2" s="102"/>
      <c r="REK2" s="101"/>
      <c r="REL2" s="100"/>
      <c r="REM2" s="102"/>
      <c r="REO2" s="101"/>
      <c r="REP2" s="100"/>
      <c r="REQ2" s="102"/>
      <c r="RES2" s="101"/>
      <c r="RET2" s="100"/>
      <c r="REU2" s="102"/>
      <c r="REW2" s="101"/>
      <c r="REX2" s="100"/>
      <c r="REY2" s="102"/>
      <c r="RFA2" s="101"/>
      <c r="RFB2" s="100"/>
      <c r="RFC2" s="102"/>
      <c r="RFE2" s="101"/>
      <c r="RFF2" s="100"/>
      <c r="RFG2" s="102"/>
      <c r="RFI2" s="101"/>
      <c r="RFJ2" s="100"/>
      <c r="RFK2" s="102"/>
      <c r="RFM2" s="101"/>
      <c r="RFN2" s="100"/>
      <c r="RFO2" s="102"/>
      <c r="RFQ2" s="101"/>
      <c r="RFR2" s="100"/>
      <c r="RFS2" s="102"/>
      <c r="RFU2" s="101"/>
      <c r="RFV2" s="100"/>
      <c r="RFW2" s="102"/>
      <c r="RFY2" s="101"/>
      <c r="RFZ2" s="100"/>
      <c r="RGA2" s="102"/>
      <c r="RGC2" s="101"/>
      <c r="RGD2" s="100"/>
      <c r="RGE2" s="102"/>
      <c r="RGG2" s="101"/>
      <c r="RGH2" s="100"/>
      <c r="RGI2" s="102"/>
      <c r="RGK2" s="101"/>
      <c r="RGL2" s="100"/>
      <c r="RGM2" s="102"/>
      <c r="RGO2" s="101"/>
      <c r="RGP2" s="100"/>
      <c r="RGQ2" s="102"/>
      <c r="RGS2" s="101"/>
      <c r="RGT2" s="100"/>
      <c r="RGU2" s="102"/>
      <c r="RGW2" s="101"/>
      <c r="RGX2" s="100"/>
      <c r="RGY2" s="102"/>
      <c r="RHA2" s="101"/>
      <c r="RHB2" s="100"/>
      <c r="RHC2" s="102"/>
      <c r="RHE2" s="101"/>
      <c r="RHF2" s="100"/>
      <c r="RHG2" s="102"/>
      <c r="RHI2" s="101"/>
      <c r="RHJ2" s="100"/>
      <c r="RHK2" s="102"/>
      <c r="RHM2" s="101"/>
      <c r="RHN2" s="100"/>
      <c r="RHO2" s="102"/>
      <c r="RHQ2" s="101"/>
      <c r="RHR2" s="100"/>
      <c r="RHS2" s="102"/>
      <c r="RHU2" s="101"/>
      <c r="RHV2" s="100"/>
      <c r="RHW2" s="102"/>
      <c r="RHY2" s="101"/>
      <c r="RHZ2" s="100"/>
      <c r="RIA2" s="102"/>
      <c r="RIC2" s="101"/>
      <c r="RID2" s="100"/>
      <c r="RIE2" s="102"/>
      <c r="RIG2" s="101"/>
      <c r="RIH2" s="100"/>
      <c r="RII2" s="102"/>
      <c r="RIK2" s="101"/>
      <c r="RIL2" s="100"/>
      <c r="RIM2" s="102"/>
      <c r="RIO2" s="101"/>
      <c r="RIP2" s="100"/>
      <c r="RIQ2" s="102"/>
      <c r="RIS2" s="101"/>
      <c r="RIT2" s="100"/>
      <c r="RIU2" s="102"/>
      <c r="RIW2" s="101"/>
      <c r="RIX2" s="100"/>
      <c r="RIY2" s="102"/>
      <c r="RJA2" s="101"/>
      <c r="RJB2" s="100"/>
      <c r="RJC2" s="102"/>
      <c r="RJE2" s="101"/>
      <c r="RJF2" s="100"/>
      <c r="RJG2" s="102"/>
      <c r="RJI2" s="101"/>
      <c r="RJJ2" s="100"/>
      <c r="RJK2" s="102"/>
      <c r="RJM2" s="101"/>
      <c r="RJN2" s="100"/>
      <c r="RJO2" s="102"/>
      <c r="RJQ2" s="101"/>
      <c r="RJR2" s="100"/>
      <c r="RJS2" s="102"/>
      <c r="RJU2" s="101"/>
      <c r="RJV2" s="100"/>
      <c r="RJW2" s="102"/>
      <c r="RJY2" s="101"/>
      <c r="RJZ2" s="100"/>
      <c r="RKA2" s="102"/>
      <c r="RKC2" s="101"/>
      <c r="RKD2" s="100"/>
      <c r="RKE2" s="102"/>
      <c r="RKG2" s="101"/>
      <c r="RKH2" s="100"/>
      <c r="RKI2" s="102"/>
      <c r="RKK2" s="101"/>
      <c r="RKL2" s="100"/>
      <c r="RKM2" s="102"/>
      <c r="RKO2" s="101"/>
      <c r="RKP2" s="100"/>
      <c r="RKQ2" s="102"/>
      <c r="RKS2" s="101"/>
      <c r="RKT2" s="100"/>
      <c r="RKU2" s="102"/>
      <c r="RKW2" s="101"/>
      <c r="RKX2" s="100"/>
      <c r="RKY2" s="102"/>
      <c r="RLA2" s="101"/>
      <c r="RLB2" s="100"/>
      <c r="RLC2" s="102"/>
      <c r="RLE2" s="101"/>
      <c r="RLF2" s="100"/>
      <c r="RLG2" s="102"/>
      <c r="RLI2" s="101"/>
      <c r="RLJ2" s="100"/>
      <c r="RLK2" s="102"/>
      <c r="RLM2" s="101"/>
      <c r="RLN2" s="100"/>
      <c r="RLO2" s="102"/>
      <c r="RLQ2" s="101"/>
      <c r="RLR2" s="100"/>
      <c r="RLS2" s="102"/>
      <c r="RLU2" s="101"/>
      <c r="RLV2" s="100"/>
      <c r="RLW2" s="102"/>
      <c r="RLY2" s="101"/>
      <c r="RLZ2" s="100"/>
      <c r="RMA2" s="102"/>
      <c r="RMC2" s="101"/>
      <c r="RMD2" s="100"/>
      <c r="RME2" s="102"/>
      <c r="RMG2" s="101"/>
      <c r="RMH2" s="100"/>
      <c r="RMI2" s="102"/>
      <c r="RMK2" s="101"/>
      <c r="RML2" s="100"/>
      <c r="RMM2" s="102"/>
      <c r="RMO2" s="101"/>
      <c r="RMP2" s="100"/>
      <c r="RMQ2" s="102"/>
      <c r="RMS2" s="101"/>
      <c r="RMT2" s="100"/>
      <c r="RMU2" s="102"/>
      <c r="RMW2" s="101"/>
      <c r="RMX2" s="100"/>
      <c r="RMY2" s="102"/>
      <c r="RNA2" s="101"/>
      <c r="RNB2" s="100"/>
      <c r="RNC2" s="102"/>
      <c r="RNE2" s="101"/>
      <c r="RNF2" s="100"/>
      <c r="RNG2" s="102"/>
      <c r="RNI2" s="101"/>
      <c r="RNJ2" s="100"/>
      <c r="RNK2" s="102"/>
      <c r="RNM2" s="101"/>
      <c r="RNN2" s="100"/>
      <c r="RNO2" s="102"/>
      <c r="RNQ2" s="101"/>
      <c r="RNR2" s="100"/>
      <c r="RNS2" s="102"/>
      <c r="RNU2" s="101"/>
      <c r="RNV2" s="100"/>
      <c r="RNW2" s="102"/>
      <c r="RNY2" s="101"/>
      <c r="RNZ2" s="100"/>
      <c r="ROA2" s="102"/>
      <c r="ROC2" s="101"/>
      <c r="ROD2" s="100"/>
      <c r="ROE2" s="102"/>
      <c r="ROG2" s="101"/>
      <c r="ROH2" s="100"/>
      <c r="ROI2" s="102"/>
      <c r="ROK2" s="101"/>
      <c r="ROL2" s="100"/>
      <c r="ROM2" s="102"/>
      <c r="ROO2" s="101"/>
      <c r="ROP2" s="100"/>
      <c r="ROQ2" s="102"/>
      <c r="ROS2" s="101"/>
      <c r="ROT2" s="100"/>
      <c r="ROU2" s="102"/>
      <c r="ROW2" s="101"/>
      <c r="ROX2" s="100"/>
      <c r="ROY2" s="102"/>
      <c r="RPA2" s="101"/>
      <c r="RPB2" s="100"/>
      <c r="RPC2" s="102"/>
      <c r="RPE2" s="101"/>
      <c r="RPF2" s="100"/>
      <c r="RPG2" s="102"/>
      <c r="RPI2" s="101"/>
      <c r="RPJ2" s="100"/>
      <c r="RPK2" s="102"/>
      <c r="RPM2" s="101"/>
      <c r="RPN2" s="100"/>
      <c r="RPO2" s="102"/>
      <c r="RPQ2" s="101"/>
      <c r="RPR2" s="100"/>
      <c r="RPS2" s="102"/>
      <c r="RPU2" s="101"/>
      <c r="RPV2" s="100"/>
      <c r="RPW2" s="102"/>
      <c r="RPY2" s="101"/>
      <c r="RPZ2" s="100"/>
      <c r="RQA2" s="102"/>
      <c r="RQC2" s="101"/>
      <c r="RQD2" s="100"/>
      <c r="RQE2" s="102"/>
      <c r="RQG2" s="101"/>
      <c r="RQH2" s="100"/>
      <c r="RQI2" s="102"/>
      <c r="RQK2" s="101"/>
      <c r="RQL2" s="100"/>
      <c r="RQM2" s="102"/>
      <c r="RQO2" s="101"/>
      <c r="RQP2" s="100"/>
      <c r="RQQ2" s="102"/>
      <c r="RQS2" s="101"/>
      <c r="RQT2" s="100"/>
      <c r="RQU2" s="102"/>
      <c r="RQW2" s="101"/>
      <c r="RQX2" s="100"/>
      <c r="RQY2" s="102"/>
      <c r="RRA2" s="101"/>
      <c r="RRB2" s="100"/>
      <c r="RRC2" s="102"/>
      <c r="RRE2" s="101"/>
      <c r="RRF2" s="100"/>
      <c r="RRG2" s="102"/>
      <c r="RRI2" s="101"/>
      <c r="RRJ2" s="100"/>
      <c r="RRK2" s="102"/>
      <c r="RRM2" s="101"/>
      <c r="RRN2" s="100"/>
      <c r="RRO2" s="102"/>
      <c r="RRQ2" s="101"/>
      <c r="RRR2" s="100"/>
      <c r="RRS2" s="102"/>
      <c r="RRU2" s="101"/>
      <c r="RRV2" s="100"/>
      <c r="RRW2" s="102"/>
      <c r="RRY2" s="101"/>
      <c r="RRZ2" s="100"/>
      <c r="RSA2" s="102"/>
      <c r="RSC2" s="101"/>
      <c r="RSD2" s="100"/>
      <c r="RSE2" s="102"/>
      <c r="RSG2" s="101"/>
      <c r="RSH2" s="100"/>
      <c r="RSI2" s="102"/>
      <c r="RSK2" s="101"/>
      <c r="RSL2" s="100"/>
      <c r="RSM2" s="102"/>
      <c r="RSO2" s="101"/>
      <c r="RSP2" s="100"/>
      <c r="RSQ2" s="102"/>
      <c r="RSS2" s="101"/>
      <c r="RST2" s="100"/>
      <c r="RSU2" s="102"/>
      <c r="RSW2" s="101"/>
      <c r="RSX2" s="100"/>
      <c r="RSY2" s="102"/>
      <c r="RTA2" s="101"/>
      <c r="RTB2" s="100"/>
      <c r="RTC2" s="102"/>
      <c r="RTE2" s="101"/>
      <c r="RTF2" s="100"/>
      <c r="RTG2" s="102"/>
      <c r="RTI2" s="101"/>
      <c r="RTJ2" s="100"/>
      <c r="RTK2" s="102"/>
      <c r="RTM2" s="101"/>
      <c r="RTN2" s="100"/>
      <c r="RTO2" s="102"/>
      <c r="RTQ2" s="101"/>
      <c r="RTR2" s="100"/>
      <c r="RTS2" s="102"/>
      <c r="RTU2" s="101"/>
      <c r="RTV2" s="100"/>
      <c r="RTW2" s="102"/>
      <c r="RTY2" s="101"/>
      <c r="RTZ2" s="100"/>
      <c r="RUA2" s="102"/>
      <c r="RUC2" s="101"/>
      <c r="RUD2" s="100"/>
      <c r="RUE2" s="102"/>
      <c r="RUG2" s="101"/>
      <c r="RUH2" s="100"/>
      <c r="RUI2" s="102"/>
      <c r="RUK2" s="101"/>
      <c r="RUL2" s="100"/>
      <c r="RUM2" s="102"/>
      <c r="RUO2" s="101"/>
      <c r="RUP2" s="100"/>
      <c r="RUQ2" s="102"/>
      <c r="RUS2" s="101"/>
      <c r="RUT2" s="100"/>
      <c r="RUU2" s="102"/>
      <c r="RUW2" s="101"/>
      <c r="RUX2" s="100"/>
      <c r="RUY2" s="102"/>
      <c r="RVA2" s="101"/>
      <c r="RVB2" s="100"/>
      <c r="RVC2" s="102"/>
      <c r="RVE2" s="101"/>
      <c r="RVF2" s="100"/>
      <c r="RVG2" s="102"/>
      <c r="RVI2" s="101"/>
      <c r="RVJ2" s="100"/>
      <c r="RVK2" s="102"/>
      <c r="RVM2" s="101"/>
      <c r="RVN2" s="100"/>
      <c r="RVO2" s="102"/>
      <c r="RVQ2" s="101"/>
      <c r="RVR2" s="100"/>
      <c r="RVS2" s="102"/>
      <c r="RVU2" s="101"/>
      <c r="RVV2" s="100"/>
      <c r="RVW2" s="102"/>
      <c r="RVY2" s="101"/>
      <c r="RVZ2" s="100"/>
      <c r="RWA2" s="102"/>
      <c r="RWC2" s="101"/>
      <c r="RWD2" s="100"/>
      <c r="RWE2" s="102"/>
      <c r="RWG2" s="101"/>
      <c r="RWH2" s="100"/>
      <c r="RWI2" s="102"/>
      <c r="RWK2" s="101"/>
      <c r="RWL2" s="100"/>
      <c r="RWM2" s="102"/>
      <c r="RWO2" s="101"/>
      <c r="RWP2" s="100"/>
      <c r="RWQ2" s="102"/>
      <c r="RWS2" s="101"/>
      <c r="RWT2" s="100"/>
      <c r="RWU2" s="102"/>
      <c r="RWW2" s="101"/>
      <c r="RWX2" s="100"/>
      <c r="RWY2" s="102"/>
      <c r="RXA2" s="101"/>
      <c r="RXB2" s="100"/>
      <c r="RXC2" s="102"/>
      <c r="RXE2" s="101"/>
      <c r="RXF2" s="100"/>
      <c r="RXG2" s="102"/>
      <c r="RXI2" s="101"/>
      <c r="RXJ2" s="100"/>
      <c r="RXK2" s="102"/>
      <c r="RXM2" s="101"/>
      <c r="RXN2" s="100"/>
      <c r="RXO2" s="102"/>
      <c r="RXQ2" s="101"/>
      <c r="RXR2" s="100"/>
      <c r="RXS2" s="102"/>
      <c r="RXU2" s="101"/>
      <c r="RXV2" s="100"/>
      <c r="RXW2" s="102"/>
      <c r="RXY2" s="101"/>
      <c r="RXZ2" s="100"/>
      <c r="RYA2" s="102"/>
      <c r="RYC2" s="101"/>
      <c r="RYD2" s="100"/>
      <c r="RYE2" s="102"/>
      <c r="RYG2" s="101"/>
      <c r="RYH2" s="100"/>
      <c r="RYI2" s="102"/>
      <c r="RYK2" s="101"/>
      <c r="RYL2" s="100"/>
      <c r="RYM2" s="102"/>
      <c r="RYO2" s="101"/>
      <c r="RYP2" s="100"/>
      <c r="RYQ2" s="102"/>
      <c r="RYS2" s="101"/>
      <c r="RYT2" s="100"/>
      <c r="RYU2" s="102"/>
      <c r="RYW2" s="101"/>
      <c r="RYX2" s="100"/>
      <c r="RYY2" s="102"/>
      <c r="RZA2" s="101"/>
      <c r="RZB2" s="100"/>
      <c r="RZC2" s="102"/>
      <c r="RZE2" s="101"/>
      <c r="RZF2" s="100"/>
      <c r="RZG2" s="102"/>
      <c r="RZI2" s="101"/>
      <c r="RZJ2" s="100"/>
      <c r="RZK2" s="102"/>
      <c r="RZM2" s="101"/>
      <c r="RZN2" s="100"/>
      <c r="RZO2" s="102"/>
      <c r="RZQ2" s="101"/>
      <c r="RZR2" s="100"/>
      <c r="RZS2" s="102"/>
      <c r="RZU2" s="101"/>
      <c r="RZV2" s="100"/>
      <c r="RZW2" s="102"/>
      <c r="RZY2" s="101"/>
      <c r="RZZ2" s="100"/>
      <c r="SAA2" s="102"/>
      <c r="SAC2" s="101"/>
      <c r="SAD2" s="100"/>
      <c r="SAE2" s="102"/>
      <c r="SAG2" s="101"/>
      <c r="SAH2" s="100"/>
      <c r="SAI2" s="102"/>
      <c r="SAK2" s="101"/>
      <c r="SAL2" s="100"/>
      <c r="SAM2" s="102"/>
      <c r="SAO2" s="101"/>
      <c r="SAP2" s="100"/>
      <c r="SAQ2" s="102"/>
      <c r="SAS2" s="101"/>
      <c r="SAT2" s="100"/>
      <c r="SAU2" s="102"/>
      <c r="SAW2" s="101"/>
      <c r="SAX2" s="100"/>
      <c r="SAY2" s="102"/>
      <c r="SBA2" s="101"/>
      <c r="SBB2" s="100"/>
      <c r="SBC2" s="102"/>
      <c r="SBE2" s="101"/>
      <c r="SBF2" s="100"/>
      <c r="SBG2" s="102"/>
      <c r="SBI2" s="101"/>
      <c r="SBJ2" s="100"/>
      <c r="SBK2" s="102"/>
      <c r="SBM2" s="101"/>
      <c r="SBN2" s="100"/>
      <c r="SBO2" s="102"/>
      <c r="SBQ2" s="101"/>
      <c r="SBR2" s="100"/>
      <c r="SBS2" s="102"/>
      <c r="SBU2" s="101"/>
      <c r="SBV2" s="100"/>
      <c r="SBW2" s="102"/>
      <c r="SBY2" s="101"/>
      <c r="SBZ2" s="100"/>
      <c r="SCA2" s="102"/>
      <c r="SCC2" s="101"/>
      <c r="SCD2" s="100"/>
      <c r="SCE2" s="102"/>
      <c r="SCG2" s="101"/>
      <c r="SCH2" s="100"/>
      <c r="SCI2" s="102"/>
      <c r="SCK2" s="101"/>
      <c r="SCL2" s="100"/>
      <c r="SCM2" s="102"/>
      <c r="SCO2" s="101"/>
      <c r="SCP2" s="100"/>
      <c r="SCQ2" s="102"/>
      <c r="SCS2" s="101"/>
      <c r="SCT2" s="100"/>
      <c r="SCU2" s="102"/>
      <c r="SCW2" s="101"/>
      <c r="SCX2" s="100"/>
      <c r="SCY2" s="102"/>
      <c r="SDA2" s="101"/>
      <c r="SDB2" s="100"/>
      <c r="SDC2" s="102"/>
      <c r="SDE2" s="101"/>
      <c r="SDF2" s="100"/>
      <c r="SDG2" s="102"/>
      <c r="SDI2" s="101"/>
      <c r="SDJ2" s="100"/>
      <c r="SDK2" s="102"/>
      <c r="SDM2" s="101"/>
      <c r="SDN2" s="100"/>
      <c r="SDO2" s="102"/>
      <c r="SDQ2" s="101"/>
      <c r="SDR2" s="100"/>
      <c r="SDS2" s="102"/>
      <c r="SDU2" s="101"/>
      <c r="SDV2" s="100"/>
      <c r="SDW2" s="102"/>
      <c r="SDY2" s="101"/>
      <c r="SDZ2" s="100"/>
      <c r="SEA2" s="102"/>
      <c r="SEC2" s="101"/>
      <c r="SED2" s="100"/>
      <c r="SEE2" s="102"/>
      <c r="SEG2" s="101"/>
      <c r="SEH2" s="100"/>
      <c r="SEI2" s="102"/>
      <c r="SEK2" s="101"/>
      <c r="SEL2" s="100"/>
      <c r="SEM2" s="102"/>
      <c r="SEO2" s="101"/>
      <c r="SEP2" s="100"/>
      <c r="SEQ2" s="102"/>
      <c r="SES2" s="101"/>
      <c r="SET2" s="100"/>
      <c r="SEU2" s="102"/>
      <c r="SEW2" s="101"/>
      <c r="SEX2" s="100"/>
      <c r="SEY2" s="102"/>
      <c r="SFA2" s="101"/>
      <c r="SFB2" s="100"/>
      <c r="SFC2" s="102"/>
      <c r="SFE2" s="101"/>
      <c r="SFF2" s="100"/>
      <c r="SFG2" s="102"/>
      <c r="SFI2" s="101"/>
      <c r="SFJ2" s="100"/>
      <c r="SFK2" s="102"/>
      <c r="SFM2" s="101"/>
      <c r="SFN2" s="100"/>
      <c r="SFO2" s="102"/>
      <c r="SFQ2" s="101"/>
      <c r="SFR2" s="100"/>
      <c r="SFS2" s="102"/>
      <c r="SFU2" s="101"/>
      <c r="SFV2" s="100"/>
      <c r="SFW2" s="102"/>
      <c r="SFY2" s="101"/>
      <c r="SFZ2" s="100"/>
      <c r="SGA2" s="102"/>
      <c r="SGC2" s="101"/>
      <c r="SGD2" s="100"/>
      <c r="SGE2" s="102"/>
      <c r="SGG2" s="101"/>
      <c r="SGH2" s="100"/>
      <c r="SGI2" s="102"/>
      <c r="SGK2" s="101"/>
      <c r="SGL2" s="100"/>
      <c r="SGM2" s="102"/>
      <c r="SGO2" s="101"/>
      <c r="SGP2" s="100"/>
      <c r="SGQ2" s="102"/>
      <c r="SGS2" s="101"/>
      <c r="SGT2" s="100"/>
      <c r="SGU2" s="102"/>
      <c r="SGW2" s="101"/>
      <c r="SGX2" s="100"/>
      <c r="SGY2" s="102"/>
      <c r="SHA2" s="101"/>
      <c r="SHB2" s="100"/>
      <c r="SHC2" s="102"/>
      <c r="SHE2" s="101"/>
      <c r="SHF2" s="100"/>
      <c r="SHG2" s="102"/>
      <c r="SHI2" s="101"/>
      <c r="SHJ2" s="100"/>
      <c r="SHK2" s="102"/>
      <c r="SHM2" s="101"/>
      <c r="SHN2" s="100"/>
      <c r="SHO2" s="102"/>
      <c r="SHQ2" s="101"/>
      <c r="SHR2" s="100"/>
      <c r="SHS2" s="102"/>
      <c r="SHU2" s="101"/>
      <c r="SHV2" s="100"/>
      <c r="SHW2" s="102"/>
      <c r="SHY2" s="101"/>
      <c r="SHZ2" s="100"/>
      <c r="SIA2" s="102"/>
      <c r="SIC2" s="101"/>
      <c r="SID2" s="100"/>
      <c r="SIE2" s="102"/>
      <c r="SIG2" s="101"/>
      <c r="SIH2" s="100"/>
      <c r="SII2" s="102"/>
      <c r="SIK2" s="101"/>
      <c r="SIL2" s="100"/>
      <c r="SIM2" s="102"/>
      <c r="SIO2" s="101"/>
      <c r="SIP2" s="100"/>
      <c r="SIQ2" s="102"/>
      <c r="SIS2" s="101"/>
      <c r="SIT2" s="100"/>
      <c r="SIU2" s="102"/>
      <c r="SIW2" s="101"/>
      <c r="SIX2" s="100"/>
      <c r="SIY2" s="102"/>
      <c r="SJA2" s="101"/>
      <c r="SJB2" s="100"/>
      <c r="SJC2" s="102"/>
      <c r="SJE2" s="101"/>
      <c r="SJF2" s="100"/>
      <c r="SJG2" s="102"/>
      <c r="SJI2" s="101"/>
      <c r="SJJ2" s="100"/>
      <c r="SJK2" s="102"/>
      <c r="SJM2" s="101"/>
      <c r="SJN2" s="100"/>
      <c r="SJO2" s="102"/>
      <c r="SJQ2" s="101"/>
      <c r="SJR2" s="100"/>
      <c r="SJS2" s="102"/>
      <c r="SJU2" s="101"/>
      <c r="SJV2" s="100"/>
      <c r="SJW2" s="102"/>
      <c r="SJY2" s="101"/>
      <c r="SJZ2" s="100"/>
      <c r="SKA2" s="102"/>
      <c r="SKC2" s="101"/>
      <c r="SKD2" s="100"/>
      <c r="SKE2" s="102"/>
      <c r="SKG2" s="101"/>
      <c r="SKH2" s="100"/>
      <c r="SKI2" s="102"/>
      <c r="SKK2" s="101"/>
      <c r="SKL2" s="100"/>
      <c r="SKM2" s="102"/>
      <c r="SKO2" s="101"/>
      <c r="SKP2" s="100"/>
      <c r="SKQ2" s="102"/>
      <c r="SKS2" s="101"/>
      <c r="SKT2" s="100"/>
      <c r="SKU2" s="102"/>
      <c r="SKW2" s="101"/>
      <c r="SKX2" s="100"/>
      <c r="SKY2" s="102"/>
      <c r="SLA2" s="101"/>
      <c r="SLB2" s="100"/>
      <c r="SLC2" s="102"/>
      <c r="SLE2" s="101"/>
      <c r="SLF2" s="100"/>
      <c r="SLG2" s="102"/>
      <c r="SLI2" s="101"/>
      <c r="SLJ2" s="100"/>
      <c r="SLK2" s="102"/>
      <c r="SLM2" s="101"/>
      <c r="SLN2" s="100"/>
      <c r="SLO2" s="102"/>
      <c r="SLQ2" s="101"/>
      <c r="SLR2" s="100"/>
      <c r="SLS2" s="102"/>
      <c r="SLU2" s="101"/>
      <c r="SLV2" s="100"/>
      <c r="SLW2" s="102"/>
      <c r="SLY2" s="101"/>
      <c r="SLZ2" s="100"/>
      <c r="SMA2" s="102"/>
      <c r="SMC2" s="101"/>
      <c r="SMD2" s="100"/>
      <c r="SME2" s="102"/>
      <c r="SMG2" s="101"/>
      <c r="SMH2" s="100"/>
      <c r="SMI2" s="102"/>
      <c r="SMK2" s="101"/>
      <c r="SML2" s="100"/>
      <c r="SMM2" s="102"/>
      <c r="SMO2" s="101"/>
      <c r="SMP2" s="100"/>
      <c r="SMQ2" s="102"/>
      <c r="SMS2" s="101"/>
      <c r="SMT2" s="100"/>
      <c r="SMU2" s="102"/>
      <c r="SMW2" s="101"/>
      <c r="SMX2" s="100"/>
      <c r="SMY2" s="102"/>
      <c r="SNA2" s="101"/>
      <c r="SNB2" s="100"/>
      <c r="SNC2" s="102"/>
      <c r="SNE2" s="101"/>
      <c r="SNF2" s="100"/>
      <c r="SNG2" s="102"/>
      <c r="SNI2" s="101"/>
      <c r="SNJ2" s="100"/>
      <c r="SNK2" s="102"/>
      <c r="SNM2" s="101"/>
      <c r="SNN2" s="100"/>
      <c r="SNO2" s="102"/>
      <c r="SNQ2" s="101"/>
      <c r="SNR2" s="100"/>
      <c r="SNS2" s="102"/>
      <c r="SNU2" s="101"/>
      <c r="SNV2" s="100"/>
      <c r="SNW2" s="102"/>
      <c r="SNY2" s="101"/>
      <c r="SNZ2" s="100"/>
      <c r="SOA2" s="102"/>
      <c r="SOC2" s="101"/>
      <c r="SOD2" s="100"/>
      <c r="SOE2" s="102"/>
      <c r="SOG2" s="101"/>
      <c r="SOH2" s="100"/>
      <c r="SOI2" s="102"/>
      <c r="SOK2" s="101"/>
      <c r="SOL2" s="100"/>
      <c r="SOM2" s="102"/>
      <c r="SOO2" s="101"/>
      <c r="SOP2" s="100"/>
      <c r="SOQ2" s="102"/>
      <c r="SOS2" s="101"/>
      <c r="SOT2" s="100"/>
      <c r="SOU2" s="102"/>
      <c r="SOW2" s="101"/>
      <c r="SOX2" s="100"/>
      <c r="SOY2" s="102"/>
      <c r="SPA2" s="101"/>
      <c r="SPB2" s="100"/>
      <c r="SPC2" s="102"/>
      <c r="SPE2" s="101"/>
      <c r="SPF2" s="100"/>
      <c r="SPG2" s="102"/>
      <c r="SPI2" s="101"/>
      <c r="SPJ2" s="100"/>
      <c r="SPK2" s="102"/>
      <c r="SPM2" s="101"/>
      <c r="SPN2" s="100"/>
      <c r="SPO2" s="102"/>
      <c r="SPQ2" s="101"/>
      <c r="SPR2" s="100"/>
      <c r="SPS2" s="102"/>
      <c r="SPU2" s="101"/>
      <c r="SPV2" s="100"/>
      <c r="SPW2" s="102"/>
      <c r="SPY2" s="101"/>
      <c r="SPZ2" s="100"/>
      <c r="SQA2" s="102"/>
      <c r="SQC2" s="101"/>
      <c r="SQD2" s="100"/>
      <c r="SQE2" s="102"/>
      <c r="SQG2" s="101"/>
      <c r="SQH2" s="100"/>
      <c r="SQI2" s="102"/>
      <c r="SQK2" s="101"/>
      <c r="SQL2" s="100"/>
      <c r="SQM2" s="102"/>
      <c r="SQO2" s="101"/>
      <c r="SQP2" s="100"/>
      <c r="SQQ2" s="102"/>
      <c r="SQS2" s="101"/>
      <c r="SQT2" s="100"/>
      <c r="SQU2" s="102"/>
      <c r="SQW2" s="101"/>
      <c r="SQX2" s="100"/>
      <c r="SQY2" s="102"/>
      <c r="SRA2" s="101"/>
      <c r="SRB2" s="100"/>
      <c r="SRC2" s="102"/>
      <c r="SRE2" s="101"/>
      <c r="SRF2" s="100"/>
      <c r="SRG2" s="102"/>
      <c r="SRI2" s="101"/>
      <c r="SRJ2" s="100"/>
      <c r="SRK2" s="102"/>
      <c r="SRM2" s="101"/>
      <c r="SRN2" s="100"/>
      <c r="SRO2" s="102"/>
      <c r="SRQ2" s="101"/>
      <c r="SRR2" s="100"/>
      <c r="SRS2" s="102"/>
      <c r="SRU2" s="101"/>
      <c r="SRV2" s="100"/>
      <c r="SRW2" s="102"/>
      <c r="SRY2" s="101"/>
      <c r="SRZ2" s="100"/>
      <c r="SSA2" s="102"/>
      <c r="SSC2" s="101"/>
      <c r="SSD2" s="100"/>
      <c r="SSE2" s="102"/>
      <c r="SSG2" s="101"/>
      <c r="SSH2" s="100"/>
      <c r="SSI2" s="102"/>
      <c r="SSK2" s="101"/>
      <c r="SSL2" s="100"/>
      <c r="SSM2" s="102"/>
      <c r="SSO2" s="101"/>
      <c r="SSP2" s="100"/>
      <c r="SSQ2" s="102"/>
      <c r="SSS2" s="101"/>
      <c r="SST2" s="100"/>
      <c r="SSU2" s="102"/>
      <c r="SSW2" s="101"/>
      <c r="SSX2" s="100"/>
      <c r="SSY2" s="102"/>
      <c r="STA2" s="101"/>
      <c r="STB2" s="100"/>
      <c r="STC2" s="102"/>
      <c r="STE2" s="101"/>
      <c r="STF2" s="100"/>
      <c r="STG2" s="102"/>
      <c r="STI2" s="101"/>
      <c r="STJ2" s="100"/>
      <c r="STK2" s="102"/>
      <c r="STM2" s="101"/>
      <c r="STN2" s="100"/>
      <c r="STO2" s="102"/>
      <c r="STQ2" s="101"/>
      <c r="STR2" s="100"/>
      <c r="STS2" s="102"/>
      <c r="STU2" s="101"/>
      <c r="STV2" s="100"/>
      <c r="STW2" s="102"/>
      <c r="STY2" s="101"/>
      <c r="STZ2" s="100"/>
      <c r="SUA2" s="102"/>
      <c r="SUC2" s="101"/>
      <c r="SUD2" s="100"/>
      <c r="SUE2" s="102"/>
      <c r="SUG2" s="101"/>
      <c r="SUH2" s="100"/>
      <c r="SUI2" s="102"/>
      <c r="SUK2" s="101"/>
      <c r="SUL2" s="100"/>
      <c r="SUM2" s="102"/>
      <c r="SUO2" s="101"/>
      <c r="SUP2" s="100"/>
      <c r="SUQ2" s="102"/>
      <c r="SUS2" s="101"/>
      <c r="SUT2" s="100"/>
      <c r="SUU2" s="102"/>
      <c r="SUW2" s="101"/>
      <c r="SUX2" s="100"/>
      <c r="SUY2" s="102"/>
      <c r="SVA2" s="101"/>
      <c r="SVB2" s="100"/>
      <c r="SVC2" s="102"/>
      <c r="SVE2" s="101"/>
      <c r="SVF2" s="100"/>
      <c r="SVG2" s="102"/>
      <c r="SVI2" s="101"/>
      <c r="SVJ2" s="100"/>
      <c r="SVK2" s="102"/>
      <c r="SVM2" s="101"/>
      <c r="SVN2" s="100"/>
      <c r="SVO2" s="102"/>
      <c r="SVQ2" s="101"/>
      <c r="SVR2" s="100"/>
      <c r="SVS2" s="102"/>
      <c r="SVU2" s="101"/>
      <c r="SVV2" s="100"/>
      <c r="SVW2" s="102"/>
      <c r="SVY2" s="101"/>
      <c r="SVZ2" s="100"/>
      <c r="SWA2" s="102"/>
      <c r="SWC2" s="101"/>
      <c r="SWD2" s="100"/>
      <c r="SWE2" s="102"/>
      <c r="SWG2" s="101"/>
      <c r="SWH2" s="100"/>
      <c r="SWI2" s="102"/>
      <c r="SWK2" s="101"/>
      <c r="SWL2" s="100"/>
      <c r="SWM2" s="102"/>
      <c r="SWO2" s="101"/>
      <c r="SWP2" s="100"/>
      <c r="SWQ2" s="102"/>
      <c r="SWS2" s="101"/>
      <c r="SWT2" s="100"/>
      <c r="SWU2" s="102"/>
      <c r="SWW2" s="101"/>
      <c r="SWX2" s="100"/>
      <c r="SWY2" s="102"/>
      <c r="SXA2" s="101"/>
      <c r="SXB2" s="100"/>
      <c r="SXC2" s="102"/>
      <c r="SXE2" s="101"/>
      <c r="SXF2" s="100"/>
      <c r="SXG2" s="102"/>
      <c r="SXI2" s="101"/>
      <c r="SXJ2" s="100"/>
      <c r="SXK2" s="102"/>
      <c r="SXM2" s="101"/>
      <c r="SXN2" s="100"/>
      <c r="SXO2" s="102"/>
      <c r="SXQ2" s="101"/>
      <c r="SXR2" s="100"/>
      <c r="SXS2" s="102"/>
      <c r="SXU2" s="101"/>
      <c r="SXV2" s="100"/>
      <c r="SXW2" s="102"/>
      <c r="SXY2" s="101"/>
      <c r="SXZ2" s="100"/>
      <c r="SYA2" s="102"/>
      <c r="SYC2" s="101"/>
      <c r="SYD2" s="100"/>
      <c r="SYE2" s="102"/>
      <c r="SYG2" s="101"/>
      <c r="SYH2" s="100"/>
      <c r="SYI2" s="102"/>
      <c r="SYK2" s="101"/>
      <c r="SYL2" s="100"/>
      <c r="SYM2" s="102"/>
      <c r="SYO2" s="101"/>
      <c r="SYP2" s="100"/>
      <c r="SYQ2" s="102"/>
      <c r="SYS2" s="101"/>
      <c r="SYT2" s="100"/>
      <c r="SYU2" s="102"/>
      <c r="SYW2" s="101"/>
      <c r="SYX2" s="100"/>
      <c r="SYY2" s="102"/>
      <c r="SZA2" s="101"/>
      <c r="SZB2" s="100"/>
      <c r="SZC2" s="102"/>
      <c r="SZE2" s="101"/>
      <c r="SZF2" s="100"/>
      <c r="SZG2" s="102"/>
      <c r="SZI2" s="101"/>
      <c r="SZJ2" s="100"/>
      <c r="SZK2" s="102"/>
      <c r="SZM2" s="101"/>
      <c r="SZN2" s="100"/>
      <c r="SZO2" s="102"/>
      <c r="SZQ2" s="101"/>
      <c r="SZR2" s="100"/>
      <c r="SZS2" s="102"/>
      <c r="SZU2" s="101"/>
      <c r="SZV2" s="100"/>
      <c r="SZW2" s="102"/>
      <c r="SZY2" s="101"/>
      <c r="SZZ2" s="100"/>
      <c r="TAA2" s="102"/>
      <c r="TAC2" s="101"/>
      <c r="TAD2" s="100"/>
      <c r="TAE2" s="102"/>
      <c r="TAG2" s="101"/>
      <c r="TAH2" s="100"/>
      <c r="TAI2" s="102"/>
      <c r="TAK2" s="101"/>
      <c r="TAL2" s="100"/>
      <c r="TAM2" s="102"/>
      <c r="TAO2" s="101"/>
      <c r="TAP2" s="100"/>
      <c r="TAQ2" s="102"/>
      <c r="TAS2" s="101"/>
      <c r="TAT2" s="100"/>
      <c r="TAU2" s="102"/>
      <c r="TAW2" s="101"/>
      <c r="TAX2" s="100"/>
      <c r="TAY2" s="102"/>
      <c r="TBA2" s="101"/>
      <c r="TBB2" s="100"/>
      <c r="TBC2" s="102"/>
      <c r="TBE2" s="101"/>
      <c r="TBF2" s="100"/>
      <c r="TBG2" s="102"/>
      <c r="TBI2" s="101"/>
      <c r="TBJ2" s="100"/>
      <c r="TBK2" s="102"/>
      <c r="TBM2" s="101"/>
      <c r="TBN2" s="100"/>
      <c r="TBO2" s="102"/>
      <c r="TBQ2" s="101"/>
      <c r="TBR2" s="100"/>
      <c r="TBS2" s="102"/>
      <c r="TBU2" s="101"/>
      <c r="TBV2" s="100"/>
      <c r="TBW2" s="102"/>
      <c r="TBY2" s="101"/>
      <c r="TBZ2" s="100"/>
      <c r="TCA2" s="102"/>
      <c r="TCC2" s="101"/>
      <c r="TCD2" s="100"/>
      <c r="TCE2" s="102"/>
      <c r="TCG2" s="101"/>
      <c r="TCH2" s="100"/>
      <c r="TCI2" s="102"/>
      <c r="TCK2" s="101"/>
      <c r="TCL2" s="100"/>
      <c r="TCM2" s="102"/>
      <c r="TCO2" s="101"/>
      <c r="TCP2" s="100"/>
      <c r="TCQ2" s="102"/>
      <c r="TCS2" s="101"/>
      <c r="TCT2" s="100"/>
      <c r="TCU2" s="102"/>
      <c r="TCW2" s="101"/>
      <c r="TCX2" s="100"/>
      <c r="TCY2" s="102"/>
      <c r="TDA2" s="101"/>
      <c r="TDB2" s="100"/>
      <c r="TDC2" s="102"/>
      <c r="TDE2" s="101"/>
      <c r="TDF2" s="100"/>
      <c r="TDG2" s="102"/>
      <c r="TDI2" s="101"/>
      <c r="TDJ2" s="100"/>
      <c r="TDK2" s="102"/>
      <c r="TDM2" s="101"/>
      <c r="TDN2" s="100"/>
      <c r="TDO2" s="102"/>
      <c r="TDQ2" s="101"/>
      <c r="TDR2" s="100"/>
      <c r="TDS2" s="102"/>
      <c r="TDU2" s="101"/>
      <c r="TDV2" s="100"/>
      <c r="TDW2" s="102"/>
      <c r="TDY2" s="101"/>
      <c r="TDZ2" s="100"/>
      <c r="TEA2" s="102"/>
      <c r="TEC2" s="101"/>
      <c r="TED2" s="100"/>
      <c r="TEE2" s="102"/>
      <c r="TEG2" s="101"/>
      <c r="TEH2" s="100"/>
      <c r="TEI2" s="102"/>
      <c r="TEK2" s="101"/>
      <c r="TEL2" s="100"/>
      <c r="TEM2" s="102"/>
      <c r="TEO2" s="101"/>
      <c r="TEP2" s="100"/>
      <c r="TEQ2" s="102"/>
      <c r="TES2" s="101"/>
      <c r="TET2" s="100"/>
      <c r="TEU2" s="102"/>
      <c r="TEW2" s="101"/>
      <c r="TEX2" s="100"/>
      <c r="TEY2" s="102"/>
      <c r="TFA2" s="101"/>
      <c r="TFB2" s="100"/>
      <c r="TFC2" s="102"/>
      <c r="TFE2" s="101"/>
      <c r="TFF2" s="100"/>
      <c r="TFG2" s="102"/>
      <c r="TFI2" s="101"/>
      <c r="TFJ2" s="100"/>
      <c r="TFK2" s="102"/>
      <c r="TFM2" s="101"/>
      <c r="TFN2" s="100"/>
      <c r="TFO2" s="102"/>
      <c r="TFQ2" s="101"/>
      <c r="TFR2" s="100"/>
      <c r="TFS2" s="102"/>
      <c r="TFU2" s="101"/>
      <c r="TFV2" s="100"/>
      <c r="TFW2" s="102"/>
      <c r="TFY2" s="101"/>
      <c r="TFZ2" s="100"/>
      <c r="TGA2" s="102"/>
      <c r="TGC2" s="101"/>
      <c r="TGD2" s="100"/>
      <c r="TGE2" s="102"/>
      <c r="TGG2" s="101"/>
      <c r="TGH2" s="100"/>
      <c r="TGI2" s="102"/>
      <c r="TGK2" s="101"/>
      <c r="TGL2" s="100"/>
      <c r="TGM2" s="102"/>
      <c r="TGO2" s="101"/>
      <c r="TGP2" s="100"/>
      <c r="TGQ2" s="102"/>
      <c r="TGS2" s="101"/>
      <c r="TGT2" s="100"/>
      <c r="TGU2" s="102"/>
      <c r="TGW2" s="101"/>
      <c r="TGX2" s="100"/>
      <c r="TGY2" s="102"/>
      <c r="THA2" s="101"/>
      <c r="THB2" s="100"/>
      <c r="THC2" s="102"/>
      <c r="THE2" s="101"/>
      <c r="THF2" s="100"/>
      <c r="THG2" s="102"/>
      <c r="THI2" s="101"/>
      <c r="THJ2" s="100"/>
      <c r="THK2" s="102"/>
      <c r="THM2" s="101"/>
      <c r="THN2" s="100"/>
      <c r="THO2" s="102"/>
      <c r="THQ2" s="101"/>
      <c r="THR2" s="100"/>
      <c r="THS2" s="102"/>
      <c r="THU2" s="101"/>
      <c r="THV2" s="100"/>
      <c r="THW2" s="102"/>
      <c r="THY2" s="101"/>
      <c r="THZ2" s="100"/>
      <c r="TIA2" s="102"/>
      <c r="TIC2" s="101"/>
      <c r="TID2" s="100"/>
      <c r="TIE2" s="102"/>
      <c r="TIG2" s="101"/>
      <c r="TIH2" s="100"/>
      <c r="TII2" s="102"/>
      <c r="TIK2" s="101"/>
      <c r="TIL2" s="100"/>
      <c r="TIM2" s="102"/>
      <c r="TIO2" s="101"/>
      <c r="TIP2" s="100"/>
      <c r="TIQ2" s="102"/>
      <c r="TIS2" s="101"/>
      <c r="TIT2" s="100"/>
      <c r="TIU2" s="102"/>
      <c r="TIW2" s="101"/>
      <c r="TIX2" s="100"/>
      <c r="TIY2" s="102"/>
      <c r="TJA2" s="101"/>
      <c r="TJB2" s="100"/>
      <c r="TJC2" s="102"/>
      <c r="TJE2" s="101"/>
      <c r="TJF2" s="100"/>
      <c r="TJG2" s="102"/>
      <c r="TJI2" s="101"/>
      <c r="TJJ2" s="100"/>
      <c r="TJK2" s="102"/>
      <c r="TJM2" s="101"/>
      <c r="TJN2" s="100"/>
      <c r="TJO2" s="102"/>
      <c r="TJQ2" s="101"/>
      <c r="TJR2" s="100"/>
      <c r="TJS2" s="102"/>
      <c r="TJU2" s="101"/>
      <c r="TJV2" s="100"/>
      <c r="TJW2" s="102"/>
      <c r="TJY2" s="101"/>
      <c r="TJZ2" s="100"/>
      <c r="TKA2" s="102"/>
      <c r="TKC2" s="101"/>
      <c r="TKD2" s="100"/>
      <c r="TKE2" s="102"/>
      <c r="TKG2" s="101"/>
      <c r="TKH2" s="100"/>
      <c r="TKI2" s="102"/>
      <c r="TKK2" s="101"/>
      <c r="TKL2" s="100"/>
      <c r="TKM2" s="102"/>
      <c r="TKO2" s="101"/>
      <c r="TKP2" s="100"/>
      <c r="TKQ2" s="102"/>
      <c r="TKS2" s="101"/>
      <c r="TKT2" s="100"/>
      <c r="TKU2" s="102"/>
      <c r="TKW2" s="101"/>
      <c r="TKX2" s="100"/>
      <c r="TKY2" s="102"/>
      <c r="TLA2" s="101"/>
      <c r="TLB2" s="100"/>
      <c r="TLC2" s="102"/>
      <c r="TLE2" s="101"/>
      <c r="TLF2" s="100"/>
      <c r="TLG2" s="102"/>
      <c r="TLI2" s="101"/>
      <c r="TLJ2" s="100"/>
      <c r="TLK2" s="102"/>
      <c r="TLM2" s="101"/>
      <c r="TLN2" s="100"/>
      <c r="TLO2" s="102"/>
      <c r="TLQ2" s="101"/>
      <c r="TLR2" s="100"/>
      <c r="TLS2" s="102"/>
      <c r="TLU2" s="101"/>
      <c r="TLV2" s="100"/>
      <c r="TLW2" s="102"/>
      <c r="TLY2" s="101"/>
      <c r="TLZ2" s="100"/>
      <c r="TMA2" s="102"/>
      <c r="TMC2" s="101"/>
      <c r="TMD2" s="100"/>
      <c r="TME2" s="102"/>
      <c r="TMG2" s="101"/>
      <c r="TMH2" s="100"/>
      <c r="TMI2" s="102"/>
      <c r="TMK2" s="101"/>
      <c r="TML2" s="100"/>
      <c r="TMM2" s="102"/>
      <c r="TMO2" s="101"/>
      <c r="TMP2" s="100"/>
      <c r="TMQ2" s="102"/>
      <c r="TMS2" s="101"/>
      <c r="TMT2" s="100"/>
      <c r="TMU2" s="102"/>
      <c r="TMW2" s="101"/>
      <c r="TMX2" s="100"/>
      <c r="TMY2" s="102"/>
      <c r="TNA2" s="101"/>
      <c r="TNB2" s="100"/>
      <c r="TNC2" s="102"/>
      <c r="TNE2" s="101"/>
      <c r="TNF2" s="100"/>
      <c r="TNG2" s="102"/>
      <c r="TNI2" s="101"/>
      <c r="TNJ2" s="100"/>
      <c r="TNK2" s="102"/>
      <c r="TNM2" s="101"/>
      <c r="TNN2" s="100"/>
      <c r="TNO2" s="102"/>
      <c r="TNQ2" s="101"/>
      <c r="TNR2" s="100"/>
      <c r="TNS2" s="102"/>
      <c r="TNU2" s="101"/>
      <c r="TNV2" s="100"/>
      <c r="TNW2" s="102"/>
      <c r="TNY2" s="101"/>
      <c r="TNZ2" s="100"/>
      <c r="TOA2" s="102"/>
      <c r="TOC2" s="101"/>
      <c r="TOD2" s="100"/>
      <c r="TOE2" s="102"/>
      <c r="TOG2" s="101"/>
      <c r="TOH2" s="100"/>
      <c r="TOI2" s="102"/>
      <c r="TOK2" s="101"/>
      <c r="TOL2" s="100"/>
      <c r="TOM2" s="102"/>
      <c r="TOO2" s="101"/>
      <c r="TOP2" s="100"/>
      <c r="TOQ2" s="102"/>
      <c r="TOS2" s="101"/>
      <c r="TOT2" s="100"/>
      <c r="TOU2" s="102"/>
      <c r="TOW2" s="101"/>
      <c r="TOX2" s="100"/>
      <c r="TOY2" s="102"/>
      <c r="TPA2" s="101"/>
      <c r="TPB2" s="100"/>
      <c r="TPC2" s="102"/>
      <c r="TPE2" s="101"/>
      <c r="TPF2" s="100"/>
      <c r="TPG2" s="102"/>
      <c r="TPI2" s="101"/>
      <c r="TPJ2" s="100"/>
      <c r="TPK2" s="102"/>
      <c r="TPM2" s="101"/>
      <c r="TPN2" s="100"/>
      <c r="TPO2" s="102"/>
      <c r="TPQ2" s="101"/>
      <c r="TPR2" s="100"/>
      <c r="TPS2" s="102"/>
      <c r="TPU2" s="101"/>
      <c r="TPV2" s="100"/>
      <c r="TPW2" s="102"/>
      <c r="TPY2" s="101"/>
      <c r="TPZ2" s="100"/>
      <c r="TQA2" s="102"/>
      <c r="TQC2" s="101"/>
      <c r="TQD2" s="100"/>
      <c r="TQE2" s="102"/>
      <c r="TQG2" s="101"/>
      <c r="TQH2" s="100"/>
      <c r="TQI2" s="102"/>
      <c r="TQK2" s="101"/>
      <c r="TQL2" s="100"/>
      <c r="TQM2" s="102"/>
      <c r="TQO2" s="101"/>
      <c r="TQP2" s="100"/>
      <c r="TQQ2" s="102"/>
      <c r="TQS2" s="101"/>
      <c r="TQT2" s="100"/>
      <c r="TQU2" s="102"/>
      <c r="TQW2" s="101"/>
      <c r="TQX2" s="100"/>
      <c r="TQY2" s="102"/>
      <c r="TRA2" s="101"/>
      <c r="TRB2" s="100"/>
      <c r="TRC2" s="102"/>
      <c r="TRE2" s="101"/>
      <c r="TRF2" s="100"/>
      <c r="TRG2" s="102"/>
      <c r="TRI2" s="101"/>
      <c r="TRJ2" s="100"/>
      <c r="TRK2" s="102"/>
      <c r="TRM2" s="101"/>
      <c r="TRN2" s="100"/>
      <c r="TRO2" s="102"/>
      <c r="TRQ2" s="101"/>
      <c r="TRR2" s="100"/>
      <c r="TRS2" s="102"/>
      <c r="TRU2" s="101"/>
      <c r="TRV2" s="100"/>
      <c r="TRW2" s="102"/>
      <c r="TRY2" s="101"/>
      <c r="TRZ2" s="100"/>
      <c r="TSA2" s="102"/>
      <c r="TSC2" s="101"/>
      <c r="TSD2" s="100"/>
      <c r="TSE2" s="102"/>
      <c r="TSG2" s="101"/>
      <c r="TSH2" s="100"/>
      <c r="TSI2" s="102"/>
      <c r="TSK2" s="101"/>
      <c r="TSL2" s="100"/>
      <c r="TSM2" s="102"/>
      <c r="TSO2" s="101"/>
      <c r="TSP2" s="100"/>
      <c r="TSQ2" s="102"/>
      <c r="TSS2" s="101"/>
      <c r="TST2" s="100"/>
      <c r="TSU2" s="102"/>
      <c r="TSW2" s="101"/>
      <c r="TSX2" s="100"/>
      <c r="TSY2" s="102"/>
      <c r="TTA2" s="101"/>
      <c r="TTB2" s="100"/>
      <c r="TTC2" s="102"/>
      <c r="TTE2" s="101"/>
      <c r="TTF2" s="100"/>
      <c r="TTG2" s="102"/>
      <c r="TTI2" s="101"/>
      <c r="TTJ2" s="100"/>
      <c r="TTK2" s="102"/>
      <c r="TTM2" s="101"/>
      <c r="TTN2" s="100"/>
      <c r="TTO2" s="102"/>
      <c r="TTQ2" s="101"/>
      <c r="TTR2" s="100"/>
      <c r="TTS2" s="102"/>
      <c r="TTU2" s="101"/>
      <c r="TTV2" s="100"/>
      <c r="TTW2" s="102"/>
      <c r="TTY2" s="101"/>
      <c r="TTZ2" s="100"/>
      <c r="TUA2" s="102"/>
      <c r="TUC2" s="101"/>
      <c r="TUD2" s="100"/>
      <c r="TUE2" s="102"/>
      <c r="TUG2" s="101"/>
      <c r="TUH2" s="100"/>
      <c r="TUI2" s="102"/>
      <c r="TUK2" s="101"/>
      <c r="TUL2" s="100"/>
      <c r="TUM2" s="102"/>
      <c r="TUO2" s="101"/>
      <c r="TUP2" s="100"/>
      <c r="TUQ2" s="102"/>
      <c r="TUS2" s="101"/>
      <c r="TUT2" s="100"/>
      <c r="TUU2" s="102"/>
      <c r="TUW2" s="101"/>
      <c r="TUX2" s="100"/>
      <c r="TUY2" s="102"/>
      <c r="TVA2" s="101"/>
      <c r="TVB2" s="100"/>
      <c r="TVC2" s="102"/>
      <c r="TVE2" s="101"/>
      <c r="TVF2" s="100"/>
      <c r="TVG2" s="102"/>
      <c r="TVI2" s="101"/>
      <c r="TVJ2" s="100"/>
      <c r="TVK2" s="102"/>
      <c r="TVM2" s="101"/>
      <c r="TVN2" s="100"/>
      <c r="TVO2" s="102"/>
      <c r="TVQ2" s="101"/>
      <c r="TVR2" s="100"/>
      <c r="TVS2" s="102"/>
      <c r="TVU2" s="101"/>
      <c r="TVV2" s="100"/>
      <c r="TVW2" s="102"/>
      <c r="TVY2" s="101"/>
      <c r="TVZ2" s="100"/>
      <c r="TWA2" s="102"/>
      <c r="TWC2" s="101"/>
      <c r="TWD2" s="100"/>
      <c r="TWE2" s="102"/>
      <c r="TWG2" s="101"/>
      <c r="TWH2" s="100"/>
      <c r="TWI2" s="102"/>
      <c r="TWK2" s="101"/>
      <c r="TWL2" s="100"/>
      <c r="TWM2" s="102"/>
      <c r="TWO2" s="101"/>
      <c r="TWP2" s="100"/>
      <c r="TWQ2" s="102"/>
      <c r="TWS2" s="101"/>
      <c r="TWT2" s="100"/>
      <c r="TWU2" s="102"/>
      <c r="TWW2" s="101"/>
      <c r="TWX2" s="100"/>
      <c r="TWY2" s="102"/>
      <c r="TXA2" s="101"/>
      <c r="TXB2" s="100"/>
      <c r="TXC2" s="102"/>
      <c r="TXE2" s="101"/>
      <c r="TXF2" s="100"/>
      <c r="TXG2" s="102"/>
      <c r="TXI2" s="101"/>
      <c r="TXJ2" s="100"/>
      <c r="TXK2" s="102"/>
      <c r="TXM2" s="101"/>
      <c r="TXN2" s="100"/>
      <c r="TXO2" s="102"/>
      <c r="TXQ2" s="101"/>
      <c r="TXR2" s="100"/>
      <c r="TXS2" s="102"/>
      <c r="TXU2" s="101"/>
      <c r="TXV2" s="100"/>
      <c r="TXW2" s="102"/>
      <c r="TXY2" s="101"/>
      <c r="TXZ2" s="100"/>
      <c r="TYA2" s="102"/>
      <c r="TYC2" s="101"/>
      <c r="TYD2" s="100"/>
      <c r="TYE2" s="102"/>
      <c r="TYG2" s="101"/>
      <c r="TYH2" s="100"/>
      <c r="TYI2" s="102"/>
      <c r="TYK2" s="101"/>
      <c r="TYL2" s="100"/>
      <c r="TYM2" s="102"/>
      <c r="TYO2" s="101"/>
      <c r="TYP2" s="100"/>
      <c r="TYQ2" s="102"/>
      <c r="TYS2" s="101"/>
      <c r="TYT2" s="100"/>
      <c r="TYU2" s="102"/>
      <c r="TYW2" s="101"/>
      <c r="TYX2" s="100"/>
      <c r="TYY2" s="102"/>
      <c r="TZA2" s="101"/>
      <c r="TZB2" s="100"/>
      <c r="TZC2" s="102"/>
      <c r="TZE2" s="101"/>
      <c r="TZF2" s="100"/>
      <c r="TZG2" s="102"/>
      <c r="TZI2" s="101"/>
      <c r="TZJ2" s="100"/>
      <c r="TZK2" s="102"/>
      <c r="TZM2" s="101"/>
      <c r="TZN2" s="100"/>
      <c r="TZO2" s="102"/>
      <c r="TZQ2" s="101"/>
      <c r="TZR2" s="100"/>
      <c r="TZS2" s="102"/>
      <c r="TZU2" s="101"/>
      <c r="TZV2" s="100"/>
      <c r="TZW2" s="102"/>
      <c r="TZY2" s="101"/>
      <c r="TZZ2" s="100"/>
      <c r="UAA2" s="102"/>
      <c r="UAC2" s="101"/>
      <c r="UAD2" s="100"/>
      <c r="UAE2" s="102"/>
      <c r="UAG2" s="101"/>
      <c r="UAH2" s="100"/>
      <c r="UAI2" s="102"/>
      <c r="UAK2" s="101"/>
      <c r="UAL2" s="100"/>
      <c r="UAM2" s="102"/>
      <c r="UAO2" s="101"/>
      <c r="UAP2" s="100"/>
      <c r="UAQ2" s="102"/>
      <c r="UAS2" s="101"/>
      <c r="UAT2" s="100"/>
      <c r="UAU2" s="102"/>
      <c r="UAW2" s="101"/>
      <c r="UAX2" s="100"/>
      <c r="UAY2" s="102"/>
      <c r="UBA2" s="101"/>
      <c r="UBB2" s="100"/>
      <c r="UBC2" s="102"/>
      <c r="UBE2" s="101"/>
      <c r="UBF2" s="100"/>
      <c r="UBG2" s="102"/>
      <c r="UBI2" s="101"/>
      <c r="UBJ2" s="100"/>
      <c r="UBK2" s="102"/>
      <c r="UBM2" s="101"/>
      <c r="UBN2" s="100"/>
      <c r="UBO2" s="102"/>
      <c r="UBQ2" s="101"/>
      <c r="UBR2" s="100"/>
      <c r="UBS2" s="102"/>
      <c r="UBU2" s="101"/>
      <c r="UBV2" s="100"/>
      <c r="UBW2" s="102"/>
      <c r="UBY2" s="101"/>
      <c r="UBZ2" s="100"/>
      <c r="UCA2" s="102"/>
      <c r="UCC2" s="101"/>
      <c r="UCD2" s="100"/>
      <c r="UCE2" s="102"/>
      <c r="UCG2" s="101"/>
      <c r="UCH2" s="100"/>
      <c r="UCI2" s="102"/>
      <c r="UCK2" s="101"/>
      <c r="UCL2" s="100"/>
      <c r="UCM2" s="102"/>
      <c r="UCO2" s="101"/>
      <c r="UCP2" s="100"/>
      <c r="UCQ2" s="102"/>
      <c r="UCS2" s="101"/>
      <c r="UCT2" s="100"/>
      <c r="UCU2" s="102"/>
      <c r="UCW2" s="101"/>
      <c r="UCX2" s="100"/>
      <c r="UCY2" s="102"/>
      <c r="UDA2" s="101"/>
      <c r="UDB2" s="100"/>
      <c r="UDC2" s="102"/>
      <c r="UDE2" s="101"/>
      <c r="UDF2" s="100"/>
      <c r="UDG2" s="102"/>
      <c r="UDI2" s="101"/>
      <c r="UDJ2" s="100"/>
      <c r="UDK2" s="102"/>
      <c r="UDM2" s="101"/>
      <c r="UDN2" s="100"/>
      <c r="UDO2" s="102"/>
      <c r="UDQ2" s="101"/>
      <c r="UDR2" s="100"/>
      <c r="UDS2" s="102"/>
      <c r="UDU2" s="101"/>
      <c r="UDV2" s="100"/>
      <c r="UDW2" s="102"/>
      <c r="UDY2" s="101"/>
      <c r="UDZ2" s="100"/>
      <c r="UEA2" s="102"/>
      <c r="UEC2" s="101"/>
      <c r="UED2" s="100"/>
      <c r="UEE2" s="102"/>
      <c r="UEG2" s="101"/>
      <c r="UEH2" s="100"/>
      <c r="UEI2" s="102"/>
      <c r="UEK2" s="101"/>
      <c r="UEL2" s="100"/>
      <c r="UEM2" s="102"/>
      <c r="UEO2" s="101"/>
      <c r="UEP2" s="100"/>
      <c r="UEQ2" s="102"/>
      <c r="UES2" s="101"/>
      <c r="UET2" s="100"/>
      <c r="UEU2" s="102"/>
      <c r="UEW2" s="101"/>
      <c r="UEX2" s="100"/>
      <c r="UEY2" s="102"/>
      <c r="UFA2" s="101"/>
      <c r="UFB2" s="100"/>
      <c r="UFC2" s="102"/>
      <c r="UFE2" s="101"/>
      <c r="UFF2" s="100"/>
      <c r="UFG2" s="102"/>
      <c r="UFI2" s="101"/>
      <c r="UFJ2" s="100"/>
      <c r="UFK2" s="102"/>
      <c r="UFM2" s="101"/>
      <c r="UFN2" s="100"/>
      <c r="UFO2" s="102"/>
      <c r="UFQ2" s="101"/>
      <c r="UFR2" s="100"/>
      <c r="UFS2" s="102"/>
      <c r="UFU2" s="101"/>
      <c r="UFV2" s="100"/>
      <c r="UFW2" s="102"/>
      <c r="UFY2" s="101"/>
      <c r="UFZ2" s="100"/>
      <c r="UGA2" s="102"/>
      <c r="UGC2" s="101"/>
      <c r="UGD2" s="100"/>
      <c r="UGE2" s="102"/>
      <c r="UGG2" s="101"/>
      <c r="UGH2" s="100"/>
      <c r="UGI2" s="102"/>
      <c r="UGK2" s="101"/>
      <c r="UGL2" s="100"/>
      <c r="UGM2" s="102"/>
      <c r="UGO2" s="101"/>
      <c r="UGP2" s="100"/>
      <c r="UGQ2" s="102"/>
      <c r="UGS2" s="101"/>
      <c r="UGT2" s="100"/>
      <c r="UGU2" s="102"/>
      <c r="UGW2" s="101"/>
      <c r="UGX2" s="100"/>
      <c r="UGY2" s="102"/>
      <c r="UHA2" s="101"/>
      <c r="UHB2" s="100"/>
      <c r="UHC2" s="102"/>
      <c r="UHE2" s="101"/>
      <c r="UHF2" s="100"/>
      <c r="UHG2" s="102"/>
      <c r="UHI2" s="101"/>
      <c r="UHJ2" s="100"/>
      <c r="UHK2" s="102"/>
      <c r="UHM2" s="101"/>
      <c r="UHN2" s="100"/>
      <c r="UHO2" s="102"/>
      <c r="UHQ2" s="101"/>
      <c r="UHR2" s="100"/>
      <c r="UHS2" s="102"/>
      <c r="UHU2" s="101"/>
      <c r="UHV2" s="100"/>
      <c r="UHW2" s="102"/>
      <c r="UHY2" s="101"/>
      <c r="UHZ2" s="100"/>
      <c r="UIA2" s="102"/>
      <c r="UIC2" s="101"/>
      <c r="UID2" s="100"/>
      <c r="UIE2" s="102"/>
      <c r="UIG2" s="101"/>
      <c r="UIH2" s="100"/>
      <c r="UII2" s="102"/>
      <c r="UIK2" s="101"/>
      <c r="UIL2" s="100"/>
      <c r="UIM2" s="102"/>
      <c r="UIO2" s="101"/>
      <c r="UIP2" s="100"/>
      <c r="UIQ2" s="102"/>
      <c r="UIS2" s="101"/>
      <c r="UIT2" s="100"/>
      <c r="UIU2" s="102"/>
      <c r="UIW2" s="101"/>
      <c r="UIX2" s="100"/>
      <c r="UIY2" s="102"/>
      <c r="UJA2" s="101"/>
      <c r="UJB2" s="100"/>
      <c r="UJC2" s="102"/>
      <c r="UJE2" s="101"/>
      <c r="UJF2" s="100"/>
      <c r="UJG2" s="102"/>
      <c r="UJI2" s="101"/>
      <c r="UJJ2" s="100"/>
      <c r="UJK2" s="102"/>
      <c r="UJM2" s="101"/>
      <c r="UJN2" s="100"/>
      <c r="UJO2" s="102"/>
      <c r="UJQ2" s="101"/>
      <c r="UJR2" s="100"/>
      <c r="UJS2" s="102"/>
      <c r="UJU2" s="101"/>
      <c r="UJV2" s="100"/>
      <c r="UJW2" s="102"/>
      <c r="UJY2" s="101"/>
      <c r="UJZ2" s="100"/>
      <c r="UKA2" s="102"/>
      <c r="UKC2" s="101"/>
      <c r="UKD2" s="100"/>
      <c r="UKE2" s="102"/>
      <c r="UKG2" s="101"/>
      <c r="UKH2" s="100"/>
      <c r="UKI2" s="102"/>
      <c r="UKK2" s="101"/>
      <c r="UKL2" s="100"/>
      <c r="UKM2" s="102"/>
      <c r="UKO2" s="101"/>
      <c r="UKP2" s="100"/>
      <c r="UKQ2" s="102"/>
      <c r="UKS2" s="101"/>
      <c r="UKT2" s="100"/>
      <c r="UKU2" s="102"/>
      <c r="UKW2" s="101"/>
      <c r="UKX2" s="100"/>
      <c r="UKY2" s="102"/>
      <c r="ULA2" s="101"/>
      <c r="ULB2" s="100"/>
      <c r="ULC2" s="102"/>
      <c r="ULE2" s="101"/>
      <c r="ULF2" s="100"/>
      <c r="ULG2" s="102"/>
      <c r="ULI2" s="101"/>
      <c r="ULJ2" s="100"/>
      <c r="ULK2" s="102"/>
      <c r="ULM2" s="101"/>
      <c r="ULN2" s="100"/>
      <c r="ULO2" s="102"/>
      <c r="ULQ2" s="101"/>
      <c r="ULR2" s="100"/>
      <c r="ULS2" s="102"/>
      <c r="ULU2" s="101"/>
      <c r="ULV2" s="100"/>
      <c r="ULW2" s="102"/>
      <c r="ULY2" s="101"/>
      <c r="ULZ2" s="100"/>
      <c r="UMA2" s="102"/>
      <c r="UMC2" s="101"/>
      <c r="UMD2" s="100"/>
      <c r="UME2" s="102"/>
      <c r="UMG2" s="101"/>
      <c r="UMH2" s="100"/>
      <c r="UMI2" s="102"/>
      <c r="UMK2" s="101"/>
      <c r="UML2" s="100"/>
      <c r="UMM2" s="102"/>
      <c r="UMO2" s="101"/>
      <c r="UMP2" s="100"/>
      <c r="UMQ2" s="102"/>
      <c r="UMS2" s="101"/>
      <c r="UMT2" s="100"/>
      <c r="UMU2" s="102"/>
      <c r="UMW2" s="101"/>
      <c r="UMX2" s="100"/>
      <c r="UMY2" s="102"/>
      <c r="UNA2" s="101"/>
      <c r="UNB2" s="100"/>
      <c r="UNC2" s="102"/>
      <c r="UNE2" s="101"/>
      <c r="UNF2" s="100"/>
      <c r="UNG2" s="102"/>
      <c r="UNI2" s="101"/>
      <c r="UNJ2" s="100"/>
      <c r="UNK2" s="102"/>
      <c r="UNM2" s="101"/>
      <c r="UNN2" s="100"/>
      <c r="UNO2" s="102"/>
      <c r="UNQ2" s="101"/>
      <c r="UNR2" s="100"/>
      <c r="UNS2" s="102"/>
      <c r="UNU2" s="101"/>
      <c r="UNV2" s="100"/>
      <c r="UNW2" s="102"/>
      <c r="UNY2" s="101"/>
      <c r="UNZ2" s="100"/>
      <c r="UOA2" s="102"/>
      <c r="UOC2" s="101"/>
      <c r="UOD2" s="100"/>
      <c r="UOE2" s="102"/>
      <c r="UOG2" s="101"/>
      <c r="UOH2" s="100"/>
      <c r="UOI2" s="102"/>
      <c r="UOK2" s="101"/>
      <c r="UOL2" s="100"/>
      <c r="UOM2" s="102"/>
      <c r="UOO2" s="101"/>
      <c r="UOP2" s="100"/>
      <c r="UOQ2" s="102"/>
      <c r="UOS2" s="101"/>
      <c r="UOT2" s="100"/>
      <c r="UOU2" s="102"/>
      <c r="UOW2" s="101"/>
      <c r="UOX2" s="100"/>
      <c r="UOY2" s="102"/>
      <c r="UPA2" s="101"/>
      <c r="UPB2" s="100"/>
      <c r="UPC2" s="102"/>
      <c r="UPE2" s="101"/>
      <c r="UPF2" s="100"/>
      <c r="UPG2" s="102"/>
      <c r="UPI2" s="101"/>
      <c r="UPJ2" s="100"/>
      <c r="UPK2" s="102"/>
      <c r="UPM2" s="101"/>
      <c r="UPN2" s="100"/>
      <c r="UPO2" s="102"/>
      <c r="UPQ2" s="101"/>
      <c r="UPR2" s="100"/>
      <c r="UPS2" s="102"/>
      <c r="UPU2" s="101"/>
      <c r="UPV2" s="100"/>
      <c r="UPW2" s="102"/>
      <c r="UPY2" s="101"/>
      <c r="UPZ2" s="100"/>
      <c r="UQA2" s="102"/>
      <c r="UQC2" s="101"/>
      <c r="UQD2" s="100"/>
      <c r="UQE2" s="102"/>
      <c r="UQG2" s="101"/>
      <c r="UQH2" s="100"/>
      <c r="UQI2" s="102"/>
      <c r="UQK2" s="101"/>
      <c r="UQL2" s="100"/>
      <c r="UQM2" s="102"/>
      <c r="UQO2" s="101"/>
      <c r="UQP2" s="100"/>
      <c r="UQQ2" s="102"/>
      <c r="UQS2" s="101"/>
      <c r="UQT2" s="100"/>
      <c r="UQU2" s="102"/>
      <c r="UQW2" s="101"/>
      <c r="UQX2" s="100"/>
      <c r="UQY2" s="102"/>
      <c r="URA2" s="101"/>
      <c r="URB2" s="100"/>
      <c r="URC2" s="102"/>
      <c r="URE2" s="101"/>
      <c r="URF2" s="100"/>
      <c r="URG2" s="102"/>
      <c r="URI2" s="101"/>
      <c r="URJ2" s="100"/>
      <c r="URK2" s="102"/>
      <c r="URM2" s="101"/>
      <c r="URN2" s="100"/>
      <c r="URO2" s="102"/>
      <c r="URQ2" s="101"/>
      <c r="URR2" s="100"/>
      <c r="URS2" s="102"/>
      <c r="URU2" s="101"/>
      <c r="URV2" s="100"/>
      <c r="URW2" s="102"/>
      <c r="URY2" s="101"/>
      <c r="URZ2" s="100"/>
      <c r="USA2" s="102"/>
      <c r="USC2" s="101"/>
      <c r="USD2" s="100"/>
      <c r="USE2" s="102"/>
      <c r="USG2" s="101"/>
      <c r="USH2" s="100"/>
      <c r="USI2" s="102"/>
      <c r="USK2" s="101"/>
      <c r="USL2" s="100"/>
      <c r="USM2" s="102"/>
      <c r="USO2" s="101"/>
      <c r="USP2" s="100"/>
      <c r="USQ2" s="102"/>
      <c r="USS2" s="101"/>
      <c r="UST2" s="100"/>
      <c r="USU2" s="102"/>
      <c r="USW2" s="101"/>
      <c r="USX2" s="100"/>
      <c r="USY2" s="102"/>
      <c r="UTA2" s="101"/>
      <c r="UTB2" s="100"/>
      <c r="UTC2" s="102"/>
      <c r="UTE2" s="101"/>
      <c r="UTF2" s="100"/>
      <c r="UTG2" s="102"/>
      <c r="UTI2" s="101"/>
      <c r="UTJ2" s="100"/>
      <c r="UTK2" s="102"/>
      <c r="UTM2" s="101"/>
      <c r="UTN2" s="100"/>
      <c r="UTO2" s="102"/>
      <c r="UTQ2" s="101"/>
      <c r="UTR2" s="100"/>
      <c r="UTS2" s="102"/>
      <c r="UTU2" s="101"/>
      <c r="UTV2" s="100"/>
      <c r="UTW2" s="102"/>
      <c r="UTY2" s="101"/>
      <c r="UTZ2" s="100"/>
      <c r="UUA2" s="102"/>
      <c r="UUC2" s="101"/>
      <c r="UUD2" s="100"/>
      <c r="UUE2" s="102"/>
      <c r="UUG2" s="101"/>
      <c r="UUH2" s="100"/>
      <c r="UUI2" s="102"/>
      <c r="UUK2" s="101"/>
      <c r="UUL2" s="100"/>
      <c r="UUM2" s="102"/>
      <c r="UUO2" s="101"/>
      <c r="UUP2" s="100"/>
      <c r="UUQ2" s="102"/>
      <c r="UUS2" s="101"/>
      <c r="UUT2" s="100"/>
      <c r="UUU2" s="102"/>
      <c r="UUW2" s="101"/>
      <c r="UUX2" s="100"/>
      <c r="UUY2" s="102"/>
      <c r="UVA2" s="101"/>
      <c r="UVB2" s="100"/>
      <c r="UVC2" s="102"/>
      <c r="UVE2" s="101"/>
      <c r="UVF2" s="100"/>
      <c r="UVG2" s="102"/>
      <c r="UVI2" s="101"/>
      <c r="UVJ2" s="100"/>
      <c r="UVK2" s="102"/>
      <c r="UVM2" s="101"/>
      <c r="UVN2" s="100"/>
      <c r="UVO2" s="102"/>
      <c r="UVQ2" s="101"/>
      <c r="UVR2" s="100"/>
      <c r="UVS2" s="102"/>
      <c r="UVU2" s="101"/>
      <c r="UVV2" s="100"/>
      <c r="UVW2" s="102"/>
      <c r="UVY2" s="101"/>
      <c r="UVZ2" s="100"/>
      <c r="UWA2" s="102"/>
      <c r="UWC2" s="101"/>
      <c r="UWD2" s="100"/>
      <c r="UWE2" s="102"/>
      <c r="UWG2" s="101"/>
      <c r="UWH2" s="100"/>
      <c r="UWI2" s="102"/>
      <c r="UWK2" s="101"/>
      <c r="UWL2" s="100"/>
      <c r="UWM2" s="102"/>
      <c r="UWO2" s="101"/>
      <c r="UWP2" s="100"/>
      <c r="UWQ2" s="102"/>
      <c r="UWS2" s="101"/>
      <c r="UWT2" s="100"/>
      <c r="UWU2" s="102"/>
      <c r="UWW2" s="101"/>
      <c r="UWX2" s="100"/>
      <c r="UWY2" s="102"/>
      <c r="UXA2" s="101"/>
      <c r="UXB2" s="100"/>
      <c r="UXC2" s="102"/>
      <c r="UXE2" s="101"/>
      <c r="UXF2" s="100"/>
      <c r="UXG2" s="102"/>
      <c r="UXI2" s="101"/>
      <c r="UXJ2" s="100"/>
      <c r="UXK2" s="102"/>
      <c r="UXM2" s="101"/>
      <c r="UXN2" s="100"/>
      <c r="UXO2" s="102"/>
      <c r="UXQ2" s="101"/>
      <c r="UXR2" s="100"/>
      <c r="UXS2" s="102"/>
      <c r="UXU2" s="101"/>
      <c r="UXV2" s="100"/>
      <c r="UXW2" s="102"/>
      <c r="UXY2" s="101"/>
      <c r="UXZ2" s="100"/>
      <c r="UYA2" s="102"/>
      <c r="UYC2" s="101"/>
      <c r="UYD2" s="100"/>
      <c r="UYE2" s="102"/>
      <c r="UYG2" s="101"/>
      <c r="UYH2" s="100"/>
      <c r="UYI2" s="102"/>
      <c r="UYK2" s="101"/>
      <c r="UYL2" s="100"/>
      <c r="UYM2" s="102"/>
      <c r="UYO2" s="101"/>
      <c r="UYP2" s="100"/>
      <c r="UYQ2" s="102"/>
      <c r="UYS2" s="101"/>
      <c r="UYT2" s="100"/>
      <c r="UYU2" s="102"/>
      <c r="UYW2" s="101"/>
      <c r="UYX2" s="100"/>
      <c r="UYY2" s="102"/>
      <c r="UZA2" s="101"/>
      <c r="UZB2" s="100"/>
      <c r="UZC2" s="102"/>
      <c r="UZE2" s="101"/>
      <c r="UZF2" s="100"/>
      <c r="UZG2" s="102"/>
      <c r="UZI2" s="101"/>
      <c r="UZJ2" s="100"/>
      <c r="UZK2" s="102"/>
      <c r="UZM2" s="101"/>
      <c r="UZN2" s="100"/>
      <c r="UZO2" s="102"/>
      <c r="UZQ2" s="101"/>
      <c r="UZR2" s="100"/>
      <c r="UZS2" s="102"/>
      <c r="UZU2" s="101"/>
      <c r="UZV2" s="100"/>
      <c r="UZW2" s="102"/>
      <c r="UZY2" s="101"/>
      <c r="UZZ2" s="100"/>
      <c r="VAA2" s="102"/>
      <c r="VAC2" s="101"/>
      <c r="VAD2" s="100"/>
      <c r="VAE2" s="102"/>
      <c r="VAG2" s="101"/>
      <c r="VAH2" s="100"/>
      <c r="VAI2" s="102"/>
      <c r="VAK2" s="101"/>
      <c r="VAL2" s="100"/>
      <c r="VAM2" s="102"/>
      <c r="VAO2" s="101"/>
      <c r="VAP2" s="100"/>
      <c r="VAQ2" s="102"/>
      <c r="VAS2" s="101"/>
      <c r="VAT2" s="100"/>
      <c r="VAU2" s="102"/>
      <c r="VAW2" s="101"/>
      <c r="VAX2" s="100"/>
      <c r="VAY2" s="102"/>
      <c r="VBA2" s="101"/>
      <c r="VBB2" s="100"/>
      <c r="VBC2" s="102"/>
      <c r="VBE2" s="101"/>
      <c r="VBF2" s="100"/>
      <c r="VBG2" s="102"/>
      <c r="VBI2" s="101"/>
      <c r="VBJ2" s="100"/>
      <c r="VBK2" s="102"/>
      <c r="VBM2" s="101"/>
      <c r="VBN2" s="100"/>
      <c r="VBO2" s="102"/>
      <c r="VBQ2" s="101"/>
      <c r="VBR2" s="100"/>
      <c r="VBS2" s="102"/>
      <c r="VBU2" s="101"/>
      <c r="VBV2" s="100"/>
      <c r="VBW2" s="102"/>
      <c r="VBY2" s="101"/>
      <c r="VBZ2" s="100"/>
      <c r="VCA2" s="102"/>
      <c r="VCC2" s="101"/>
      <c r="VCD2" s="100"/>
      <c r="VCE2" s="102"/>
      <c r="VCG2" s="101"/>
      <c r="VCH2" s="100"/>
      <c r="VCI2" s="102"/>
      <c r="VCK2" s="101"/>
      <c r="VCL2" s="100"/>
      <c r="VCM2" s="102"/>
      <c r="VCO2" s="101"/>
      <c r="VCP2" s="100"/>
      <c r="VCQ2" s="102"/>
      <c r="VCS2" s="101"/>
      <c r="VCT2" s="100"/>
      <c r="VCU2" s="102"/>
      <c r="VCW2" s="101"/>
      <c r="VCX2" s="100"/>
      <c r="VCY2" s="102"/>
      <c r="VDA2" s="101"/>
      <c r="VDB2" s="100"/>
      <c r="VDC2" s="102"/>
      <c r="VDE2" s="101"/>
      <c r="VDF2" s="100"/>
      <c r="VDG2" s="102"/>
      <c r="VDI2" s="101"/>
      <c r="VDJ2" s="100"/>
      <c r="VDK2" s="102"/>
      <c r="VDM2" s="101"/>
      <c r="VDN2" s="100"/>
      <c r="VDO2" s="102"/>
      <c r="VDQ2" s="101"/>
      <c r="VDR2" s="100"/>
      <c r="VDS2" s="102"/>
      <c r="VDU2" s="101"/>
      <c r="VDV2" s="100"/>
      <c r="VDW2" s="102"/>
      <c r="VDY2" s="101"/>
      <c r="VDZ2" s="100"/>
      <c r="VEA2" s="102"/>
      <c r="VEC2" s="101"/>
      <c r="VED2" s="100"/>
      <c r="VEE2" s="102"/>
      <c r="VEG2" s="101"/>
      <c r="VEH2" s="100"/>
      <c r="VEI2" s="102"/>
      <c r="VEK2" s="101"/>
      <c r="VEL2" s="100"/>
      <c r="VEM2" s="102"/>
      <c r="VEO2" s="101"/>
      <c r="VEP2" s="100"/>
      <c r="VEQ2" s="102"/>
      <c r="VES2" s="101"/>
      <c r="VET2" s="100"/>
      <c r="VEU2" s="102"/>
      <c r="VEW2" s="101"/>
      <c r="VEX2" s="100"/>
      <c r="VEY2" s="102"/>
      <c r="VFA2" s="101"/>
      <c r="VFB2" s="100"/>
      <c r="VFC2" s="102"/>
      <c r="VFE2" s="101"/>
      <c r="VFF2" s="100"/>
      <c r="VFG2" s="102"/>
      <c r="VFI2" s="101"/>
      <c r="VFJ2" s="100"/>
      <c r="VFK2" s="102"/>
      <c r="VFM2" s="101"/>
      <c r="VFN2" s="100"/>
      <c r="VFO2" s="102"/>
      <c r="VFQ2" s="101"/>
      <c r="VFR2" s="100"/>
      <c r="VFS2" s="102"/>
      <c r="VFU2" s="101"/>
      <c r="VFV2" s="100"/>
      <c r="VFW2" s="102"/>
      <c r="VFY2" s="101"/>
      <c r="VFZ2" s="100"/>
      <c r="VGA2" s="102"/>
      <c r="VGC2" s="101"/>
      <c r="VGD2" s="100"/>
      <c r="VGE2" s="102"/>
      <c r="VGG2" s="101"/>
      <c r="VGH2" s="100"/>
      <c r="VGI2" s="102"/>
      <c r="VGK2" s="101"/>
      <c r="VGL2" s="100"/>
      <c r="VGM2" s="102"/>
      <c r="VGO2" s="101"/>
      <c r="VGP2" s="100"/>
      <c r="VGQ2" s="102"/>
      <c r="VGS2" s="101"/>
      <c r="VGT2" s="100"/>
      <c r="VGU2" s="102"/>
      <c r="VGW2" s="101"/>
      <c r="VGX2" s="100"/>
      <c r="VGY2" s="102"/>
      <c r="VHA2" s="101"/>
      <c r="VHB2" s="100"/>
      <c r="VHC2" s="102"/>
      <c r="VHE2" s="101"/>
      <c r="VHF2" s="100"/>
      <c r="VHG2" s="102"/>
      <c r="VHI2" s="101"/>
      <c r="VHJ2" s="100"/>
      <c r="VHK2" s="102"/>
      <c r="VHM2" s="101"/>
      <c r="VHN2" s="100"/>
      <c r="VHO2" s="102"/>
      <c r="VHQ2" s="101"/>
      <c r="VHR2" s="100"/>
      <c r="VHS2" s="102"/>
      <c r="VHU2" s="101"/>
      <c r="VHV2" s="100"/>
      <c r="VHW2" s="102"/>
      <c r="VHY2" s="101"/>
      <c r="VHZ2" s="100"/>
      <c r="VIA2" s="102"/>
      <c r="VIC2" s="101"/>
      <c r="VID2" s="100"/>
      <c r="VIE2" s="102"/>
      <c r="VIG2" s="101"/>
      <c r="VIH2" s="100"/>
      <c r="VII2" s="102"/>
      <c r="VIK2" s="101"/>
      <c r="VIL2" s="100"/>
      <c r="VIM2" s="102"/>
      <c r="VIO2" s="101"/>
      <c r="VIP2" s="100"/>
      <c r="VIQ2" s="102"/>
      <c r="VIS2" s="101"/>
      <c r="VIT2" s="100"/>
      <c r="VIU2" s="102"/>
      <c r="VIW2" s="101"/>
      <c r="VIX2" s="100"/>
      <c r="VIY2" s="102"/>
      <c r="VJA2" s="101"/>
      <c r="VJB2" s="100"/>
      <c r="VJC2" s="102"/>
      <c r="VJE2" s="101"/>
      <c r="VJF2" s="100"/>
      <c r="VJG2" s="102"/>
      <c r="VJI2" s="101"/>
      <c r="VJJ2" s="100"/>
      <c r="VJK2" s="102"/>
      <c r="VJM2" s="101"/>
      <c r="VJN2" s="100"/>
      <c r="VJO2" s="102"/>
      <c r="VJQ2" s="101"/>
      <c r="VJR2" s="100"/>
      <c r="VJS2" s="102"/>
      <c r="VJU2" s="101"/>
      <c r="VJV2" s="100"/>
      <c r="VJW2" s="102"/>
      <c r="VJY2" s="101"/>
      <c r="VJZ2" s="100"/>
      <c r="VKA2" s="102"/>
      <c r="VKC2" s="101"/>
      <c r="VKD2" s="100"/>
      <c r="VKE2" s="102"/>
      <c r="VKG2" s="101"/>
      <c r="VKH2" s="100"/>
      <c r="VKI2" s="102"/>
      <c r="VKK2" s="101"/>
      <c r="VKL2" s="100"/>
      <c r="VKM2" s="102"/>
      <c r="VKO2" s="101"/>
      <c r="VKP2" s="100"/>
      <c r="VKQ2" s="102"/>
      <c r="VKS2" s="101"/>
      <c r="VKT2" s="100"/>
      <c r="VKU2" s="102"/>
      <c r="VKW2" s="101"/>
      <c r="VKX2" s="100"/>
      <c r="VKY2" s="102"/>
      <c r="VLA2" s="101"/>
      <c r="VLB2" s="100"/>
      <c r="VLC2" s="102"/>
      <c r="VLE2" s="101"/>
      <c r="VLF2" s="100"/>
      <c r="VLG2" s="102"/>
      <c r="VLI2" s="101"/>
      <c r="VLJ2" s="100"/>
      <c r="VLK2" s="102"/>
      <c r="VLM2" s="101"/>
      <c r="VLN2" s="100"/>
      <c r="VLO2" s="102"/>
      <c r="VLQ2" s="101"/>
      <c r="VLR2" s="100"/>
      <c r="VLS2" s="102"/>
      <c r="VLU2" s="101"/>
      <c r="VLV2" s="100"/>
      <c r="VLW2" s="102"/>
      <c r="VLY2" s="101"/>
      <c r="VLZ2" s="100"/>
      <c r="VMA2" s="102"/>
      <c r="VMC2" s="101"/>
      <c r="VMD2" s="100"/>
      <c r="VME2" s="102"/>
      <c r="VMG2" s="101"/>
      <c r="VMH2" s="100"/>
      <c r="VMI2" s="102"/>
      <c r="VMK2" s="101"/>
      <c r="VML2" s="100"/>
      <c r="VMM2" s="102"/>
      <c r="VMO2" s="101"/>
      <c r="VMP2" s="100"/>
      <c r="VMQ2" s="102"/>
      <c r="VMS2" s="101"/>
      <c r="VMT2" s="100"/>
      <c r="VMU2" s="102"/>
      <c r="VMW2" s="101"/>
      <c r="VMX2" s="100"/>
      <c r="VMY2" s="102"/>
      <c r="VNA2" s="101"/>
      <c r="VNB2" s="100"/>
      <c r="VNC2" s="102"/>
      <c r="VNE2" s="101"/>
      <c r="VNF2" s="100"/>
      <c r="VNG2" s="102"/>
      <c r="VNI2" s="101"/>
      <c r="VNJ2" s="100"/>
      <c r="VNK2" s="102"/>
      <c r="VNM2" s="101"/>
      <c r="VNN2" s="100"/>
      <c r="VNO2" s="102"/>
      <c r="VNQ2" s="101"/>
      <c r="VNR2" s="100"/>
      <c r="VNS2" s="102"/>
      <c r="VNU2" s="101"/>
      <c r="VNV2" s="100"/>
      <c r="VNW2" s="102"/>
      <c r="VNY2" s="101"/>
      <c r="VNZ2" s="100"/>
      <c r="VOA2" s="102"/>
      <c r="VOC2" s="101"/>
      <c r="VOD2" s="100"/>
      <c r="VOE2" s="102"/>
      <c r="VOG2" s="101"/>
      <c r="VOH2" s="100"/>
      <c r="VOI2" s="102"/>
      <c r="VOK2" s="101"/>
      <c r="VOL2" s="100"/>
      <c r="VOM2" s="102"/>
      <c r="VOO2" s="101"/>
      <c r="VOP2" s="100"/>
      <c r="VOQ2" s="102"/>
      <c r="VOS2" s="101"/>
      <c r="VOT2" s="100"/>
      <c r="VOU2" s="102"/>
      <c r="VOW2" s="101"/>
      <c r="VOX2" s="100"/>
      <c r="VOY2" s="102"/>
      <c r="VPA2" s="101"/>
      <c r="VPB2" s="100"/>
      <c r="VPC2" s="102"/>
      <c r="VPE2" s="101"/>
      <c r="VPF2" s="100"/>
      <c r="VPG2" s="102"/>
      <c r="VPI2" s="101"/>
      <c r="VPJ2" s="100"/>
      <c r="VPK2" s="102"/>
      <c r="VPM2" s="101"/>
      <c r="VPN2" s="100"/>
      <c r="VPO2" s="102"/>
      <c r="VPQ2" s="101"/>
      <c r="VPR2" s="100"/>
      <c r="VPS2" s="102"/>
      <c r="VPU2" s="101"/>
      <c r="VPV2" s="100"/>
      <c r="VPW2" s="102"/>
      <c r="VPY2" s="101"/>
      <c r="VPZ2" s="100"/>
      <c r="VQA2" s="102"/>
      <c r="VQC2" s="101"/>
      <c r="VQD2" s="100"/>
      <c r="VQE2" s="102"/>
      <c r="VQG2" s="101"/>
      <c r="VQH2" s="100"/>
      <c r="VQI2" s="102"/>
      <c r="VQK2" s="101"/>
      <c r="VQL2" s="100"/>
      <c r="VQM2" s="102"/>
      <c r="VQO2" s="101"/>
      <c r="VQP2" s="100"/>
      <c r="VQQ2" s="102"/>
      <c r="VQS2" s="101"/>
      <c r="VQT2" s="100"/>
      <c r="VQU2" s="102"/>
      <c r="VQW2" s="101"/>
      <c r="VQX2" s="100"/>
      <c r="VQY2" s="102"/>
      <c r="VRA2" s="101"/>
      <c r="VRB2" s="100"/>
      <c r="VRC2" s="102"/>
      <c r="VRE2" s="101"/>
      <c r="VRF2" s="100"/>
      <c r="VRG2" s="102"/>
      <c r="VRI2" s="101"/>
      <c r="VRJ2" s="100"/>
      <c r="VRK2" s="102"/>
      <c r="VRM2" s="101"/>
      <c r="VRN2" s="100"/>
      <c r="VRO2" s="102"/>
      <c r="VRQ2" s="101"/>
      <c r="VRR2" s="100"/>
      <c r="VRS2" s="102"/>
      <c r="VRU2" s="101"/>
      <c r="VRV2" s="100"/>
      <c r="VRW2" s="102"/>
      <c r="VRY2" s="101"/>
      <c r="VRZ2" s="100"/>
      <c r="VSA2" s="102"/>
      <c r="VSC2" s="101"/>
      <c r="VSD2" s="100"/>
      <c r="VSE2" s="102"/>
      <c r="VSG2" s="101"/>
      <c r="VSH2" s="100"/>
      <c r="VSI2" s="102"/>
      <c r="VSK2" s="101"/>
      <c r="VSL2" s="100"/>
      <c r="VSM2" s="102"/>
      <c r="VSO2" s="101"/>
      <c r="VSP2" s="100"/>
      <c r="VSQ2" s="102"/>
      <c r="VSS2" s="101"/>
      <c r="VST2" s="100"/>
      <c r="VSU2" s="102"/>
      <c r="VSW2" s="101"/>
      <c r="VSX2" s="100"/>
      <c r="VSY2" s="102"/>
      <c r="VTA2" s="101"/>
      <c r="VTB2" s="100"/>
      <c r="VTC2" s="102"/>
      <c r="VTE2" s="101"/>
      <c r="VTF2" s="100"/>
      <c r="VTG2" s="102"/>
      <c r="VTI2" s="101"/>
      <c r="VTJ2" s="100"/>
      <c r="VTK2" s="102"/>
      <c r="VTM2" s="101"/>
      <c r="VTN2" s="100"/>
      <c r="VTO2" s="102"/>
      <c r="VTQ2" s="101"/>
      <c r="VTR2" s="100"/>
      <c r="VTS2" s="102"/>
      <c r="VTU2" s="101"/>
      <c r="VTV2" s="100"/>
      <c r="VTW2" s="102"/>
      <c r="VTY2" s="101"/>
      <c r="VTZ2" s="100"/>
      <c r="VUA2" s="102"/>
      <c r="VUC2" s="101"/>
      <c r="VUD2" s="100"/>
      <c r="VUE2" s="102"/>
      <c r="VUG2" s="101"/>
      <c r="VUH2" s="100"/>
      <c r="VUI2" s="102"/>
      <c r="VUK2" s="101"/>
      <c r="VUL2" s="100"/>
      <c r="VUM2" s="102"/>
      <c r="VUO2" s="101"/>
      <c r="VUP2" s="100"/>
      <c r="VUQ2" s="102"/>
      <c r="VUS2" s="101"/>
      <c r="VUT2" s="100"/>
      <c r="VUU2" s="102"/>
      <c r="VUW2" s="101"/>
      <c r="VUX2" s="100"/>
      <c r="VUY2" s="102"/>
      <c r="VVA2" s="101"/>
      <c r="VVB2" s="100"/>
      <c r="VVC2" s="102"/>
      <c r="VVE2" s="101"/>
      <c r="VVF2" s="100"/>
      <c r="VVG2" s="102"/>
      <c r="VVI2" s="101"/>
      <c r="VVJ2" s="100"/>
      <c r="VVK2" s="102"/>
      <c r="VVM2" s="101"/>
      <c r="VVN2" s="100"/>
      <c r="VVO2" s="102"/>
      <c r="VVQ2" s="101"/>
      <c r="VVR2" s="100"/>
      <c r="VVS2" s="102"/>
      <c r="VVU2" s="101"/>
      <c r="VVV2" s="100"/>
      <c r="VVW2" s="102"/>
      <c r="VVY2" s="101"/>
      <c r="VVZ2" s="100"/>
      <c r="VWA2" s="102"/>
      <c r="VWC2" s="101"/>
      <c r="VWD2" s="100"/>
      <c r="VWE2" s="102"/>
      <c r="VWG2" s="101"/>
      <c r="VWH2" s="100"/>
      <c r="VWI2" s="102"/>
      <c r="VWK2" s="101"/>
      <c r="VWL2" s="100"/>
      <c r="VWM2" s="102"/>
      <c r="VWO2" s="101"/>
      <c r="VWP2" s="100"/>
      <c r="VWQ2" s="102"/>
      <c r="VWS2" s="101"/>
      <c r="VWT2" s="100"/>
      <c r="VWU2" s="102"/>
      <c r="VWW2" s="101"/>
      <c r="VWX2" s="100"/>
      <c r="VWY2" s="102"/>
      <c r="VXA2" s="101"/>
      <c r="VXB2" s="100"/>
      <c r="VXC2" s="102"/>
      <c r="VXE2" s="101"/>
      <c r="VXF2" s="100"/>
      <c r="VXG2" s="102"/>
      <c r="VXI2" s="101"/>
      <c r="VXJ2" s="100"/>
      <c r="VXK2" s="102"/>
      <c r="VXM2" s="101"/>
      <c r="VXN2" s="100"/>
      <c r="VXO2" s="102"/>
      <c r="VXQ2" s="101"/>
      <c r="VXR2" s="100"/>
      <c r="VXS2" s="102"/>
      <c r="VXU2" s="101"/>
      <c r="VXV2" s="100"/>
      <c r="VXW2" s="102"/>
      <c r="VXY2" s="101"/>
      <c r="VXZ2" s="100"/>
      <c r="VYA2" s="102"/>
      <c r="VYC2" s="101"/>
      <c r="VYD2" s="100"/>
      <c r="VYE2" s="102"/>
      <c r="VYG2" s="101"/>
      <c r="VYH2" s="100"/>
      <c r="VYI2" s="102"/>
      <c r="VYK2" s="101"/>
      <c r="VYL2" s="100"/>
      <c r="VYM2" s="102"/>
      <c r="VYO2" s="101"/>
      <c r="VYP2" s="100"/>
      <c r="VYQ2" s="102"/>
      <c r="VYS2" s="101"/>
      <c r="VYT2" s="100"/>
      <c r="VYU2" s="102"/>
      <c r="VYW2" s="101"/>
      <c r="VYX2" s="100"/>
      <c r="VYY2" s="102"/>
      <c r="VZA2" s="101"/>
      <c r="VZB2" s="100"/>
      <c r="VZC2" s="102"/>
      <c r="VZE2" s="101"/>
      <c r="VZF2" s="100"/>
      <c r="VZG2" s="102"/>
      <c r="VZI2" s="101"/>
      <c r="VZJ2" s="100"/>
      <c r="VZK2" s="102"/>
      <c r="VZM2" s="101"/>
      <c r="VZN2" s="100"/>
      <c r="VZO2" s="102"/>
      <c r="VZQ2" s="101"/>
      <c r="VZR2" s="100"/>
      <c r="VZS2" s="102"/>
      <c r="VZU2" s="101"/>
      <c r="VZV2" s="100"/>
      <c r="VZW2" s="102"/>
      <c r="VZY2" s="101"/>
      <c r="VZZ2" s="100"/>
      <c r="WAA2" s="102"/>
      <c r="WAC2" s="101"/>
      <c r="WAD2" s="100"/>
      <c r="WAE2" s="102"/>
      <c r="WAG2" s="101"/>
      <c r="WAH2" s="100"/>
      <c r="WAI2" s="102"/>
      <c r="WAK2" s="101"/>
      <c r="WAL2" s="100"/>
      <c r="WAM2" s="102"/>
      <c r="WAO2" s="101"/>
      <c r="WAP2" s="100"/>
      <c r="WAQ2" s="102"/>
      <c r="WAS2" s="101"/>
      <c r="WAT2" s="100"/>
      <c r="WAU2" s="102"/>
      <c r="WAW2" s="101"/>
      <c r="WAX2" s="100"/>
      <c r="WAY2" s="102"/>
      <c r="WBA2" s="101"/>
      <c r="WBB2" s="100"/>
      <c r="WBC2" s="102"/>
      <c r="WBE2" s="101"/>
      <c r="WBF2" s="100"/>
      <c r="WBG2" s="102"/>
      <c r="WBI2" s="101"/>
      <c r="WBJ2" s="100"/>
      <c r="WBK2" s="102"/>
      <c r="WBM2" s="101"/>
      <c r="WBN2" s="100"/>
      <c r="WBO2" s="102"/>
      <c r="WBQ2" s="101"/>
      <c r="WBR2" s="100"/>
      <c r="WBS2" s="102"/>
      <c r="WBU2" s="101"/>
      <c r="WBV2" s="100"/>
      <c r="WBW2" s="102"/>
      <c r="WBY2" s="101"/>
      <c r="WBZ2" s="100"/>
      <c r="WCA2" s="102"/>
      <c r="WCC2" s="101"/>
      <c r="WCD2" s="100"/>
      <c r="WCE2" s="102"/>
      <c r="WCG2" s="101"/>
      <c r="WCH2" s="100"/>
      <c r="WCI2" s="102"/>
      <c r="WCK2" s="101"/>
      <c r="WCL2" s="100"/>
      <c r="WCM2" s="102"/>
      <c r="WCO2" s="101"/>
      <c r="WCP2" s="100"/>
      <c r="WCQ2" s="102"/>
      <c r="WCS2" s="101"/>
      <c r="WCT2" s="100"/>
      <c r="WCU2" s="102"/>
      <c r="WCW2" s="101"/>
      <c r="WCX2" s="100"/>
      <c r="WCY2" s="102"/>
      <c r="WDA2" s="101"/>
      <c r="WDB2" s="100"/>
      <c r="WDC2" s="102"/>
      <c r="WDE2" s="101"/>
      <c r="WDF2" s="100"/>
      <c r="WDG2" s="102"/>
      <c r="WDI2" s="101"/>
      <c r="WDJ2" s="100"/>
      <c r="WDK2" s="102"/>
      <c r="WDM2" s="101"/>
      <c r="WDN2" s="100"/>
      <c r="WDO2" s="102"/>
      <c r="WDQ2" s="101"/>
      <c r="WDR2" s="100"/>
      <c r="WDS2" s="102"/>
      <c r="WDU2" s="101"/>
      <c r="WDV2" s="100"/>
      <c r="WDW2" s="102"/>
      <c r="WDY2" s="101"/>
      <c r="WDZ2" s="100"/>
      <c r="WEA2" s="102"/>
      <c r="WEC2" s="101"/>
      <c r="WED2" s="100"/>
      <c r="WEE2" s="102"/>
      <c r="WEG2" s="101"/>
      <c r="WEH2" s="100"/>
      <c r="WEI2" s="102"/>
      <c r="WEK2" s="101"/>
      <c r="WEL2" s="100"/>
      <c r="WEM2" s="102"/>
      <c r="WEO2" s="101"/>
      <c r="WEP2" s="100"/>
      <c r="WEQ2" s="102"/>
      <c r="WES2" s="101"/>
      <c r="WET2" s="100"/>
      <c r="WEU2" s="102"/>
      <c r="WEW2" s="101"/>
      <c r="WEX2" s="100"/>
      <c r="WEY2" s="102"/>
      <c r="WFA2" s="101"/>
      <c r="WFB2" s="100"/>
      <c r="WFC2" s="102"/>
      <c r="WFE2" s="101"/>
      <c r="WFF2" s="100"/>
      <c r="WFG2" s="102"/>
      <c r="WFI2" s="101"/>
      <c r="WFJ2" s="100"/>
      <c r="WFK2" s="102"/>
      <c r="WFM2" s="101"/>
      <c r="WFN2" s="100"/>
      <c r="WFO2" s="102"/>
      <c r="WFQ2" s="101"/>
      <c r="WFR2" s="100"/>
      <c r="WFS2" s="102"/>
      <c r="WFU2" s="101"/>
      <c r="WFV2" s="100"/>
      <c r="WFW2" s="102"/>
      <c r="WFY2" s="101"/>
      <c r="WFZ2" s="100"/>
      <c r="WGA2" s="102"/>
      <c r="WGC2" s="101"/>
      <c r="WGD2" s="100"/>
      <c r="WGE2" s="102"/>
      <c r="WGG2" s="101"/>
      <c r="WGH2" s="100"/>
      <c r="WGI2" s="102"/>
      <c r="WGK2" s="101"/>
      <c r="WGL2" s="100"/>
      <c r="WGM2" s="102"/>
      <c r="WGO2" s="101"/>
      <c r="WGP2" s="100"/>
      <c r="WGQ2" s="102"/>
      <c r="WGS2" s="101"/>
      <c r="WGT2" s="100"/>
      <c r="WGU2" s="102"/>
      <c r="WGW2" s="101"/>
      <c r="WGX2" s="100"/>
      <c r="WGY2" s="102"/>
      <c r="WHA2" s="101"/>
      <c r="WHB2" s="100"/>
      <c r="WHC2" s="102"/>
      <c r="WHE2" s="101"/>
      <c r="WHF2" s="100"/>
      <c r="WHG2" s="102"/>
      <c r="WHI2" s="101"/>
      <c r="WHJ2" s="100"/>
      <c r="WHK2" s="102"/>
      <c r="WHM2" s="101"/>
      <c r="WHN2" s="100"/>
      <c r="WHO2" s="102"/>
      <c r="WHQ2" s="101"/>
      <c r="WHR2" s="100"/>
      <c r="WHS2" s="102"/>
      <c r="WHU2" s="101"/>
      <c r="WHV2" s="100"/>
      <c r="WHW2" s="102"/>
      <c r="WHY2" s="101"/>
      <c r="WHZ2" s="100"/>
      <c r="WIA2" s="102"/>
      <c r="WIC2" s="101"/>
      <c r="WID2" s="100"/>
      <c r="WIE2" s="102"/>
      <c r="WIG2" s="101"/>
      <c r="WIH2" s="100"/>
      <c r="WII2" s="102"/>
      <c r="WIK2" s="101"/>
      <c r="WIL2" s="100"/>
      <c r="WIM2" s="102"/>
      <c r="WIO2" s="101"/>
      <c r="WIP2" s="100"/>
      <c r="WIQ2" s="102"/>
      <c r="WIS2" s="101"/>
      <c r="WIT2" s="100"/>
      <c r="WIU2" s="102"/>
      <c r="WIW2" s="101"/>
      <c r="WIX2" s="100"/>
      <c r="WIY2" s="102"/>
      <c r="WJA2" s="101"/>
      <c r="WJB2" s="100"/>
      <c r="WJC2" s="102"/>
      <c r="WJE2" s="101"/>
      <c r="WJF2" s="100"/>
      <c r="WJG2" s="102"/>
      <c r="WJI2" s="101"/>
      <c r="WJJ2" s="100"/>
      <c r="WJK2" s="102"/>
      <c r="WJM2" s="101"/>
      <c r="WJN2" s="100"/>
      <c r="WJO2" s="102"/>
      <c r="WJQ2" s="101"/>
      <c r="WJR2" s="100"/>
      <c r="WJS2" s="102"/>
      <c r="WJU2" s="101"/>
      <c r="WJV2" s="100"/>
      <c r="WJW2" s="102"/>
      <c r="WJY2" s="101"/>
      <c r="WJZ2" s="100"/>
      <c r="WKA2" s="102"/>
      <c r="WKC2" s="101"/>
      <c r="WKD2" s="100"/>
      <c r="WKE2" s="102"/>
      <c r="WKG2" s="101"/>
      <c r="WKH2" s="100"/>
      <c r="WKI2" s="102"/>
      <c r="WKK2" s="101"/>
      <c r="WKL2" s="100"/>
      <c r="WKM2" s="102"/>
      <c r="WKO2" s="101"/>
      <c r="WKP2" s="100"/>
      <c r="WKQ2" s="102"/>
      <c r="WKS2" s="101"/>
      <c r="WKT2" s="100"/>
      <c r="WKU2" s="102"/>
      <c r="WKW2" s="101"/>
      <c r="WKX2" s="100"/>
      <c r="WKY2" s="102"/>
      <c r="WLA2" s="101"/>
      <c r="WLB2" s="100"/>
      <c r="WLC2" s="102"/>
      <c r="WLE2" s="101"/>
      <c r="WLF2" s="100"/>
      <c r="WLG2" s="102"/>
      <c r="WLI2" s="101"/>
      <c r="WLJ2" s="100"/>
      <c r="WLK2" s="102"/>
      <c r="WLM2" s="101"/>
      <c r="WLN2" s="100"/>
      <c r="WLO2" s="102"/>
      <c r="WLQ2" s="101"/>
      <c r="WLR2" s="100"/>
      <c r="WLS2" s="102"/>
      <c r="WLU2" s="101"/>
      <c r="WLV2" s="100"/>
      <c r="WLW2" s="102"/>
      <c r="WLY2" s="101"/>
      <c r="WLZ2" s="100"/>
      <c r="WMA2" s="102"/>
      <c r="WMC2" s="101"/>
      <c r="WMD2" s="100"/>
      <c r="WME2" s="102"/>
      <c r="WMG2" s="101"/>
      <c r="WMH2" s="100"/>
      <c r="WMI2" s="102"/>
      <c r="WMK2" s="101"/>
      <c r="WML2" s="100"/>
      <c r="WMM2" s="102"/>
      <c r="WMO2" s="101"/>
      <c r="WMP2" s="100"/>
      <c r="WMQ2" s="102"/>
      <c r="WMS2" s="101"/>
      <c r="WMT2" s="100"/>
      <c r="WMU2" s="102"/>
      <c r="WMW2" s="101"/>
      <c r="WMX2" s="100"/>
      <c r="WMY2" s="102"/>
      <c r="WNA2" s="101"/>
      <c r="WNB2" s="100"/>
      <c r="WNC2" s="102"/>
      <c r="WNE2" s="101"/>
      <c r="WNF2" s="100"/>
      <c r="WNG2" s="102"/>
      <c r="WNI2" s="101"/>
      <c r="WNJ2" s="100"/>
      <c r="WNK2" s="102"/>
      <c r="WNM2" s="101"/>
      <c r="WNN2" s="100"/>
      <c r="WNO2" s="102"/>
      <c r="WNQ2" s="101"/>
      <c r="WNR2" s="100"/>
      <c r="WNS2" s="102"/>
      <c r="WNU2" s="101"/>
      <c r="WNV2" s="100"/>
      <c r="WNW2" s="102"/>
      <c r="WNY2" s="101"/>
      <c r="WNZ2" s="100"/>
      <c r="WOA2" s="102"/>
      <c r="WOC2" s="101"/>
      <c r="WOD2" s="100"/>
      <c r="WOE2" s="102"/>
      <c r="WOG2" s="101"/>
      <c r="WOH2" s="100"/>
      <c r="WOI2" s="102"/>
      <c r="WOK2" s="101"/>
      <c r="WOL2" s="100"/>
      <c r="WOM2" s="102"/>
      <c r="WOO2" s="101"/>
      <c r="WOP2" s="100"/>
      <c r="WOQ2" s="102"/>
      <c r="WOS2" s="101"/>
      <c r="WOT2" s="100"/>
      <c r="WOU2" s="102"/>
      <c r="WOW2" s="101"/>
      <c r="WOX2" s="100"/>
      <c r="WOY2" s="102"/>
      <c r="WPA2" s="101"/>
      <c r="WPB2" s="100"/>
      <c r="WPC2" s="102"/>
      <c r="WPE2" s="101"/>
      <c r="WPF2" s="100"/>
      <c r="WPG2" s="102"/>
      <c r="WPI2" s="101"/>
      <c r="WPJ2" s="100"/>
      <c r="WPK2" s="102"/>
      <c r="WPM2" s="101"/>
      <c r="WPN2" s="100"/>
      <c r="WPO2" s="102"/>
      <c r="WPQ2" s="101"/>
      <c r="WPR2" s="100"/>
      <c r="WPS2" s="102"/>
      <c r="WPU2" s="101"/>
      <c r="WPV2" s="100"/>
      <c r="WPW2" s="102"/>
      <c r="WPY2" s="101"/>
      <c r="WPZ2" s="100"/>
      <c r="WQA2" s="102"/>
      <c r="WQC2" s="101"/>
      <c r="WQD2" s="100"/>
      <c r="WQE2" s="102"/>
      <c r="WQG2" s="101"/>
      <c r="WQH2" s="100"/>
      <c r="WQI2" s="102"/>
      <c r="WQK2" s="101"/>
      <c r="WQL2" s="100"/>
      <c r="WQM2" s="102"/>
      <c r="WQO2" s="101"/>
      <c r="WQP2" s="100"/>
      <c r="WQQ2" s="102"/>
      <c r="WQS2" s="101"/>
      <c r="WQT2" s="100"/>
      <c r="WQU2" s="102"/>
      <c r="WQW2" s="101"/>
      <c r="WQX2" s="100"/>
      <c r="WQY2" s="102"/>
      <c r="WRA2" s="101"/>
      <c r="WRB2" s="100"/>
      <c r="WRC2" s="102"/>
      <c r="WRE2" s="101"/>
      <c r="WRF2" s="100"/>
      <c r="WRG2" s="102"/>
      <c r="WRI2" s="101"/>
      <c r="WRJ2" s="100"/>
      <c r="WRK2" s="102"/>
      <c r="WRM2" s="101"/>
      <c r="WRN2" s="100"/>
      <c r="WRO2" s="102"/>
      <c r="WRQ2" s="101"/>
      <c r="WRR2" s="100"/>
      <c r="WRS2" s="102"/>
      <c r="WRU2" s="101"/>
      <c r="WRV2" s="100"/>
      <c r="WRW2" s="102"/>
      <c r="WRY2" s="101"/>
      <c r="WRZ2" s="100"/>
      <c r="WSA2" s="102"/>
      <c r="WSC2" s="101"/>
      <c r="WSD2" s="100"/>
      <c r="WSE2" s="102"/>
      <c r="WSG2" s="101"/>
      <c r="WSH2" s="100"/>
      <c r="WSI2" s="102"/>
      <c r="WSK2" s="101"/>
      <c r="WSL2" s="100"/>
      <c r="WSM2" s="102"/>
      <c r="WSO2" s="101"/>
      <c r="WSP2" s="100"/>
      <c r="WSQ2" s="102"/>
      <c r="WSS2" s="101"/>
      <c r="WST2" s="100"/>
      <c r="WSU2" s="102"/>
      <c r="WSW2" s="101"/>
      <c r="WSX2" s="100"/>
      <c r="WSY2" s="102"/>
      <c r="WTA2" s="101"/>
      <c r="WTB2" s="100"/>
      <c r="WTC2" s="102"/>
      <c r="WTE2" s="101"/>
      <c r="WTF2" s="100"/>
      <c r="WTG2" s="102"/>
      <c r="WTI2" s="101"/>
      <c r="WTJ2" s="100"/>
      <c r="WTK2" s="102"/>
      <c r="WTM2" s="101"/>
      <c r="WTN2" s="100"/>
      <c r="WTO2" s="102"/>
      <c r="WTQ2" s="101"/>
      <c r="WTR2" s="100"/>
      <c r="WTS2" s="102"/>
      <c r="WTU2" s="101"/>
      <c r="WTV2" s="100"/>
      <c r="WTW2" s="102"/>
      <c r="WTY2" s="101"/>
      <c r="WTZ2" s="100"/>
      <c r="WUA2" s="102"/>
      <c r="WUC2" s="101"/>
      <c r="WUD2" s="100"/>
      <c r="WUE2" s="102"/>
      <c r="WUG2" s="101"/>
      <c r="WUH2" s="100"/>
      <c r="WUI2" s="102"/>
      <c r="WUK2" s="101"/>
      <c r="WUL2" s="100"/>
      <c r="WUM2" s="102"/>
      <c r="WUO2" s="101"/>
      <c r="WUP2" s="100"/>
      <c r="WUQ2" s="102"/>
      <c r="WUS2" s="101"/>
      <c r="WUT2" s="100"/>
      <c r="WUU2" s="102"/>
      <c r="WUW2" s="101"/>
      <c r="WUX2" s="100"/>
      <c r="WUY2" s="102"/>
      <c r="WVA2" s="101"/>
      <c r="WVB2" s="100"/>
      <c r="WVC2" s="102"/>
      <c r="WVE2" s="101"/>
      <c r="WVF2" s="100"/>
      <c r="WVG2" s="102"/>
      <c r="WVI2" s="101"/>
      <c r="WVJ2" s="100"/>
      <c r="WVK2" s="102"/>
      <c r="WVM2" s="101"/>
      <c r="WVN2" s="100"/>
      <c r="WVO2" s="102"/>
      <c r="WVQ2" s="101"/>
      <c r="WVR2" s="100"/>
      <c r="WVS2" s="102"/>
      <c r="WVU2" s="101"/>
      <c r="WVV2" s="100"/>
      <c r="WVW2" s="102"/>
      <c r="WVY2" s="101"/>
      <c r="WVZ2" s="100"/>
      <c r="WWA2" s="102"/>
      <c r="WWC2" s="101"/>
      <c r="WWD2" s="100"/>
      <c r="WWE2" s="102"/>
      <c r="WWG2" s="101"/>
      <c r="WWH2" s="100"/>
      <c r="WWI2" s="102"/>
      <c r="WWK2" s="101"/>
      <c r="WWL2" s="100"/>
      <c r="WWM2" s="102"/>
      <c r="WWO2" s="101"/>
      <c r="WWP2" s="100"/>
      <c r="WWQ2" s="102"/>
      <c r="WWS2" s="101"/>
      <c r="WWT2" s="100"/>
      <c r="WWU2" s="102"/>
      <c r="WWW2" s="101"/>
      <c r="WWX2" s="100"/>
      <c r="WWY2" s="102"/>
      <c r="WXA2" s="101"/>
      <c r="WXB2" s="100"/>
      <c r="WXC2" s="102"/>
      <c r="WXE2" s="101"/>
      <c r="WXF2" s="100"/>
      <c r="WXG2" s="102"/>
      <c r="WXI2" s="101"/>
      <c r="WXJ2" s="100"/>
      <c r="WXK2" s="102"/>
      <c r="WXM2" s="101"/>
      <c r="WXN2" s="100"/>
      <c r="WXO2" s="102"/>
      <c r="WXQ2" s="101"/>
      <c r="WXR2" s="100"/>
      <c r="WXS2" s="102"/>
      <c r="WXU2" s="101"/>
      <c r="WXV2" s="100"/>
      <c r="WXW2" s="102"/>
      <c r="WXY2" s="101"/>
      <c r="WXZ2" s="100"/>
      <c r="WYA2" s="102"/>
      <c r="WYC2" s="101"/>
      <c r="WYD2" s="100"/>
      <c r="WYE2" s="102"/>
      <c r="WYG2" s="101"/>
      <c r="WYH2" s="100"/>
      <c r="WYI2" s="102"/>
      <c r="WYK2" s="101"/>
      <c r="WYL2" s="100"/>
      <c r="WYM2" s="102"/>
      <c r="WYO2" s="101"/>
      <c r="WYP2" s="100"/>
      <c r="WYQ2" s="102"/>
      <c r="WYS2" s="101"/>
      <c r="WYT2" s="100"/>
      <c r="WYU2" s="102"/>
      <c r="WYW2" s="101"/>
      <c r="WYX2" s="100"/>
      <c r="WYY2" s="102"/>
      <c r="WZA2" s="101"/>
      <c r="WZB2" s="100"/>
      <c r="WZC2" s="102"/>
      <c r="WZE2" s="101"/>
      <c r="WZF2" s="100"/>
      <c r="WZG2" s="102"/>
      <c r="WZI2" s="101"/>
      <c r="WZJ2" s="100"/>
      <c r="WZK2" s="102"/>
      <c r="WZM2" s="101"/>
      <c r="WZN2" s="100"/>
      <c r="WZO2" s="102"/>
      <c r="WZQ2" s="101"/>
      <c r="WZR2" s="100"/>
      <c r="WZS2" s="102"/>
      <c r="WZU2" s="101"/>
      <c r="WZV2" s="100"/>
      <c r="WZW2" s="102"/>
      <c r="WZY2" s="101"/>
      <c r="WZZ2" s="100"/>
      <c r="XAA2" s="102"/>
      <c r="XAC2" s="101"/>
      <c r="XAD2" s="100"/>
      <c r="XAE2" s="102"/>
      <c r="XAG2" s="101"/>
      <c r="XAH2" s="100"/>
      <c r="XAI2" s="102"/>
      <c r="XAK2" s="101"/>
      <c r="XAL2" s="100"/>
      <c r="XAM2" s="102"/>
      <c r="XAO2" s="101"/>
      <c r="XAP2" s="100"/>
      <c r="XAQ2" s="102"/>
      <c r="XAS2" s="101"/>
      <c r="XAT2" s="100"/>
      <c r="XAU2" s="102"/>
      <c r="XAW2" s="101"/>
      <c r="XAX2" s="100"/>
      <c r="XAY2" s="102"/>
      <c r="XBA2" s="101"/>
      <c r="XBB2" s="100"/>
      <c r="XBC2" s="102"/>
      <c r="XBE2" s="101"/>
      <c r="XBF2" s="100"/>
      <c r="XBG2" s="102"/>
      <c r="XBI2" s="101"/>
      <c r="XBJ2" s="100"/>
      <c r="XBK2" s="102"/>
      <c r="XBM2" s="101"/>
      <c r="XBN2" s="100"/>
      <c r="XBO2" s="102"/>
      <c r="XBQ2" s="101"/>
      <c r="XBR2" s="100"/>
      <c r="XBS2" s="102"/>
      <c r="XBU2" s="101"/>
      <c r="XBV2" s="100"/>
      <c r="XBW2" s="102"/>
      <c r="XBY2" s="101"/>
      <c r="XBZ2" s="100"/>
      <c r="XCA2" s="102"/>
      <c r="XCC2" s="101"/>
      <c r="XCD2" s="100"/>
      <c r="XCE2" s="102"/>
      <c r="XCG2" s="101"/>
      <c r="XCH2" s="100"/>
      <c r="XCI2" s="102"/>
      <c r="XCK2" s="101"/>
      <c r="XCL2" s="100"/>
      <c r="XCM2" s="102"/>
      <c r="XCO2" s="101"/>
      <c r="XCP2" s="100"/>
      <c r="XCQ2" s="102"/>
      <c r="XCS2" s="101"/>
      <c r="XCT2" s="100"/>
      <c r="XCU2" s="102"/>
      <c r="XCW2" s="101"/>
      <c r="XCX2" s="100"/>
      <c r="XCY2" s="102"/>
      <c r="XDA2" s="101"/>
      <c r="XDB2" s="100"/>
      <c r="XDC2" s="102"/>
      <c r="XDE2" s="101"/>
      <c r="XDF2" s="100"/>
      <c r="XDG2" s="102"/>
      <c r="XDI2" s="101"/>
      <c r="XDJ2" s="100"/>
      <c r="XDK2" s="102"/>
      <c r="XDM2" s="101"/>
      <c r="XDN2" s="100"/>
      <c r="XDO2" s="102"/>
      <c r="XDQ2" s="101"/>
      <c r="XDR2" s="100"/>
      <c r="XDS2" s="102"/>
      <c r="XDU2" s="101"/>
      <c r="XDV2" s="100"/>
      <c r="XDW2" s="102"/>
      <c r="XDY2" s="101"/>
      <c r="XDZ2" s="100"/>
      <c r="XEA2" s="102"/>
      <c r="XEC2" s="101"/>
      <c r="XED2" s="100"/>
      <c r="XEE2" s="102"/>
      <c r="XEG2" s="101"/>
      <c r="XEH2" s="100"/>
      <c r="XEI2" s="102"/>
      <c r="XEK2" s="101"/>
      <c r="XEL2" s="100"/>
      <c r="XEM2" s="102"/>
      <c r="XEO2" s="101"/>
      <c r="XEP2" s="100"/>
      <c r="XEQ2" s="102"/>
      <c r="XES2" s="101"/>
      <c r="XET2" s="100"/>
      <c r="XEU2" s="102"/>
      <c r="XEW2" s="101"/>
      <c r="XEX2" s="100"/>
      <c r="XEY2" s="102"/>
      <c r="XFA2" s="101"/>
      <c r="XFB2" s="100"/>
      <c r="XFC2" s="102"/>
    </row>
    <row r="3" spans="2:1023 1025:2047 2049:3071 3073:4095 4097:5119 5121:6143 6145:7167 7169:8191 8193:9215 9217:10239 10241:11263 11265:12287 12289:13311 13313:14335 14337:15359 15361:16383" x14ac:dyDescent="0.25">
      <c r="B3"/>
      <c r="C3" s="103" t="s">
        <v>564</v>
      </c>
      <c r="D3" s="100"/>
      <c r="E3" s="102"/>
      <c r="I3" s="101"/>
      <c r="J3" s="100"/>
      <c r="K3" s="100"/>
      <c r="L3" s="100"/>
      <c r="M3" s="101"/>
      <c r="N3" s="100"/>
      <c r="O3" s="102"/>
      <c r="Q3" s="101"/>
      <c r="R3" s="100"/>
      <c r="S3" s="102"/>
      <c r="U3" s="101"/>
      <c r="V3" s="100"/>
      <c r="W3" s="102"/>
      <c r="Y3" s="101"/>
      <c r="Z3" s="100"/>
      <c r="AA3" s="102"/>
      <c r="AC3" s="101"/>
      <c r="AD3" s="100"/>
      <c r="AE3" s="102"/>
      <c r="AG3" s="101"/>
      <c r="AH3" s="100"/>
      <c r="AI3" s="102"/>
      <c r="AK3" s="101"/>
      <c r="AL3" s="100"/>
      <c r="AM3" s="102"/>
      <c r="AO3" s="101"/>
      <c r="AP3" s="100"/>
      <c r="AQ3" s="102"/>
      <c r="AS3" s="101"/>
      <c r="AT3" s="100"/>
      <c r="AU3" s="102"/>
      <c r="AW3" s="101"/>
      <c r="AX3" s="100"/>
      <c r="AY3" s="102"/>
      <c r="BA3" s="101"/>
      <c r="BB3" s="100"/>
      <c r="BC3" s="102"/>
      <c r="BE3" s="101"/>
      <c r="BF3" s="100"/>
      <c r="BG3" s="102"/>
      <c r="BI3" s="101"/>
      <c r="BJ3" s="100"/>
      <c r="BK3" s="102"/>
      <c r="BM3" s="101"/>
      <c r="BN3" s="100"/>
      <c r="BO3" s="102"/>
      <c r="BQ3" s="101"/>
      <c r="BR3" s="100"/>
      <c r="BS3" s="102"/>
      <c r="BU3" s="101"/>
      <c r="BV3" s="100"/>
      <c r="BW3" s="102"/>
      <c r="BY3" s="101"/>
      <c r="BZ3" s="100"/>
      <c r="CA3" s="102"/>
      <c r="CC3" s="101"/>
      <c r="CD3" s="100"/>
      <c r="CE3" s="102"/>
      <c r="CG3" s="101"/>
      <c r="CH3" s="100"/>
      <c r="CI3" s="102"/>
      <c r="CK3" s="101"/>
      <c r="CL3" s="100"/>
      <c r="CM3" s="102"/>
      <c r="CO3" s="101"/>
      <c r="CP3" s="100"/>
      <c r="CQ3" s="102"/>
      <c r="CS3" s="101"/>
      <c r="CT3" s="100"/>
      <c r="CU3" s="102"/>
      <c r="CW3" s="101"/>
      <c r="CX3" s="100"/>
      <c r="CY3" s="102"/>
      <c r="DA3" s="101"/>
      <c r="DB3" s="100"/>
      <c r="DC3" s="102"/>
      <c r="DE3" s="101"/>
      <c r="DF3" s="100"/>
      <c r="DG3" s="102"/>
      <c r="DI3" s="101"/>
      <c r="DJ3" s="100"/>
      <c r="DK3" s="102"/>
      <c r="DM3" s="101"/>
      <c r="DN3" s="100"/>
      <c r="DO3" s="102"/>
      <c r="DQ3" s="101"/>
      <c r="DR3" s="100"/>
      <c r="DS3" s="102"/>
      <c r="DU3" s="101"/>
      <c r="DV3" s="100"/>
      <c r="DW3" s="102"/>
      <c r="DY3" s="101"/>
      <c r="DZ3" s="100"/>
      <c r="EA3" s="102"/>
      <c r="EC3" s="101"/>
      <c r="ED3" s="100"/>
      <c r="EE3" s="102"/>
      <c r="EG3" s="101"/>
      <c r="EH3" s="100"/>
      <c r="EI3" s="102"/>
      <c r="EK3" s="101"/>
      <c r="EL3" s="100"/>
      <c r="EM3" s="102"/>
      <c r="EO3" s="101"/>
      <c r="EP3" s="100"/>
      <c r="EQ3" s="102"/>
      <c r="ES3" s="101"/>
      <c r="ET3" s="100"/>
      <c r="EU3" s="102"/>
      <c r="EW3" s="101"/>
      <c r="EX3" s="100"/>
      <c r="EY3" s="102"/>
      <c r="FA3" s="101"/>
      <c r="FB3" s="100"/>
      <c r="FC3" s="102"/>
      <c r="FE3" s="101"/>
      <c r="FF3" s="100"/>
      <c r="FG3" s="102"/>
      <c r="FI3" s="101"/>
      <c r="FJ3" s="100"/>
      <c r="FK3" s="102"/>
      <c r="FM3" s="101"/>
      <c r="FN3" s="100"/>
      <c r="FO3" s="102"/>
      <c r="FQ3" s="101"/>
      <c r="FR3" s="100"/>
      <c r="FS3" s="102"/>
      <c r="FU3" s="101"/>
      <c r="FV3" s="100"/>
      <c r="FW3" s="102"/>
      <c r="FY3" s="101"/>
      <c r="FZ3" s="100"/>
      <c r="GA3" s="102"/>
      <c r="GC3" s="101"/>
      <c r="GD3" s="100"/>
      <c r="GE3" s="102"/>
      <c r="GG3" s="101"/>
      <c r="GH3" s="100"/>
      <c r="GI3" s="102"/>
      <c r="GK3" s="101"/>
      <c r="GL3" s="100"/>
      <c r="GM3" s="102"/>
      <c r="GO3" s="101"/>
      <c r="GP3" s="100"/>
      <c r="GQ3" s="102"/>
      <c r="GS3" s="101"/>
      <c r="GT3" s="100"/>
      <c r="GU3" s="102"/>
      <c r="GW3" s="101"/>
      <c r="GX3" s="100"/>
      <c r="GY3" s="102"/>
      <c r="HA3" s="101"/>
      <c r="HB3" s="100"/>
      <c r="HC3" s="102"/>
      <c r="HE3" s="101"/>
      <c r="HF3" s="100"/>
      <c r="HG3" s="102"/>
      <c r="HI3" s="101"/>
      <c r="HJ3" s="100"/>
      <c r="HK3" s="102"/>
      <c r="HM3" s="101"/>
      <c r="HN3" s="100"/>
      <c r="HO3" s="102"/>
      <c r="HQ3" s="101"/>
      <c r="HR3" s="100"/>
      <c r="HS3" s="102"/>
      <c r="HU3" s="101"/>
      <c r="HV3" s="100"/>
      <c r="HW3" s="102"/>
      <c r="HY3" s="101"/>
      <c r="HZ3" s="100"/>
      <c r="IA3" s="102"/>
      <c r="IC3" s="101"/>
      <c r="ID3" s="100"/>
      <c r="IE3" s="102"/>
      <c r="IG3" s="101"/>
      <c r="IH3" s="100"/>
      <c r="II3" s="102"/>
      <c r="IK3" s="101"/>
      <c r="IL3" s="100"/>
      <c r="IM3" s="102"/>
      <c r="IO3" s="101"/>
      <c r="IP3" s="100"/>
      <c r="IQ3" s="102"/>
      <c r="IS3" s="101"/>
      <c r="IT3" s="100"/>
      <c r="IU3" s="102"/>
      <c r="IW3" s="101"/>
      <c r="IX3" s="100"/>
      <c r="IY3" s="102"/>
      <c r="JA3" s="101"/>
      <c r="JB3" s="100"/>
      <c r="JC3" s="102"/>
      <c r="JE3" s="101"/>
      <c r="JF3" s="100"/>
      <c r="JG3" s="102"/>
      <c r="JI3" s="101"/>
      <c r="JJ3" s="100"/>
      <c r="JK3" s="102"/>
      <c r="JM3" s="101"/>
      <c r="JN3" s="100"/>
      <c r="JO3" s="102"/>
      <c r="JQ3" s="101"/>
      <c r="JR3" s="100"/>
      <c r="JS3" s="102"/>
      <c r="JU3" s="101"/>
      <c r="JV3" s="100"/>
      <c r="JW3" s="102"/>
      <c r="JY3" s="101"/>
      <c r="JZ3" s="100"/>
      <c r="KA3" s="102"/>
      <c r="KC3" s="101"/>
      <c r="KD3" s="100"/>
      <c r="KE3" s="102"/>
      <c r="KG3" s="101"/>
      <c r="KH3" s="100"/>
      <c r="KI3" s="102"/>
      <c r="KK3" s="101"/>
      <c r="KL3" s="100"/>
      <c r="KM3" s="102"/>
      <c r="KO3" s="101"/>
      <c r="KP3" s="100"/>
      <c r="KQ3" s="102"/>
      <c r="KS3" s="101"/>
      <c r="KT3" s="100"/>
      <c r="KU3" s="102"/>
      <c r="KW3" s="101"/>
      <c r="KX3" s="100"/>
      <c r="KY3" s="102"/>
      <c r="LA3" s="101"/>
      <c r="LB3" s="100"/>
      <c r="LC3" s="102"/>
      <c r="LE3" s="101"/>
      <c r="LF3" s="100"/>
      <c r="LG3" s="102"/>
      <c r="LI3" s="101"/>
      <c r="LJ3" s="100"/>
      <c r="LK3" s="102"/>
      <c r="LM3" s="101"/>
      <c r="LN3" s="100"/>
      <c r="LO3" s="102"/>
      <c r="LQ3" s="101"/>
      <c r="LR3" s="100"/>
      <c r="LS3" s="102"/>
      <c r="LU3" s="101"/>
      <c r="LV3" s="100"/>
      <c r="LW3" s="102"/>
      <c r="LY3" s="101"/>
      <c r="LZ3" s="100"/>
      <c r="MA3" s="102"/>
      <c r="MC3" s="101"/>
      <c r="MD3" s="100"/>
      <c r="ME3" s="102"/>
      <c r="MG3" s="101"/>
      <c r="MH3" s="100"/>
      <c r="MI3" s="102"/>
      <c r="MK3" s="101"/>
      <c r="ML3" s="100"/>
      <c r="MM3" s="102"/>
      <c r="MO3" s="101"/>
      <c r="MP3" s="100"/>
      <c r="MQ3" s="102"/>
      <c r="MS3" s="101"/>
      <c r="MT3" s="100"/>
      <c r="MU3" s="102"/>
      <c r="MW3" s="101"/>
      <c r="MX3" s="100"/>
      <c r="MY3" s="102"/>
      <c r="NA3" s="101"/>
      <c r="NB3" s="100"/>
      <c r="NC3" s="102"/>
      <c r="NE3" s="101"/>
      <c r="NF3" s="100"/>
      <c r="NG3" s="102"/>
      <c r="NI3" s="101"/>
      <c r="NJ3" s="100"/>
      <c r="NK3" s="102"/>
      <c r="NM3" s="101"/>
      <c r="NN3" s="100"/>
      <c r="NO3" s="102"/>
      <c r="NQ3" s="101"/>
      <c r="NR3" s="100"/>
      <c r="NS3" s="102"/>
      <c r="NU3" s="101"/>
      <c r="NV3" s="100"/>
      <c r="NW3" s="102"/>
      <c r="NY3" s="101"/>
      <c r="NZ3" s="100"/>
      <c r="OA3" s="102"/>
      <c r="OC3" s="101"/>
      <c r="OD3" s="100"/>
      <c r="OE3" s="102"/>
      <c r="OG3" s="101"/>
      <c r="OH3" s="100"/>
      <c r="OI3" s="102"/>
      <c r="OK3" s="101"/>
      <c r="OL3" s="100"/>
      <c r="OM3" s="102"/>
      <c r="OO3" s="101"/>
      <c r="OP3" s="100"/>
      <c r="OQ3" s="102"/>
      <c r="OS3" s="101"/>
      <c r="OT3" s="100"/>
      <c r="OU3" s="102"/>
      <c r="OW3" s="101"/>
      <c r="OX3" s="100"/>
      <c r="OY3" s="102"/>
      <c r="PA3" s="101"/>
      <c r="PB3" s="100"/>
      <c r="PC3" s="102"/>
      <c r="PE3" s="101"/>
      <c r="PF3" s="100"/>
      <c r="PG3" s="102"/>
      <c r="PI3" s="101"/>
      <c r="PJ3" s="100"/>
      <c r="PK3" s="102"/>
      <c r="PM3" s="101"/>
      <c r="PN3" s="100"/>
      <c r="PO3" s="102"/>
      <c r="PQ3" s="101"/>
      <c r="PR3" s="100"/>
      <c r="PS3" s="102"/>
      <c r="PU3" s="101"/>
      <c r="PV3" s="100"/>
      <c r="PW3" s="102"/>
      <c r="PY3" s="101"/>
      <c r="PZ3" s="100"/>
      <c r="QA3" s="102"/>
      <c r="QC3" s="101"/>
      <c r="QD3" s="100"/>
      <c r="QE3" s="102"/>
      <c r="QG3" s="101"/>
      <c r="QH3" s="100"/>
      <c r="QI3" s="102"/>
      <c r="QK3" s="101"/>
      <c r="QL3" s="100"/>
      <c r="QM3" s="102"/>
      <c r="QO3" s="101"/>
      <c r="QP3" s="100"/>
      <c r="QQ3" s="102"/>
      <c r="QS3" s="101"/>
      <c r="QT3" s="100"/>
      <c r="QU3" s="102"/>
      <c r="QW3" s="101"/>
      <c r="QX3" s="100"/>
      <c r="QY3" s="102"/>
      <c r="RA3" s="101"/>
      <c r="RB3" s="100"/>
      <c r="RC3" s="102"/>
      <c r="RE3" s="101"/>
      <c r="RF3" s="100"/>
      <c r="RG3" s="102"/>
      <c r="RI3" s="101"/>
      <c r="RJ3" s="100"/>
      <c r="RK3" s="102"/>
      <c r="RM3" s="101"/>
      <c r="RN3" s="100"/>
      <c r="RO3" s="102"/>
      <c r="RQ3" s="101"/>
      <c r="RR3" s="100"/>
      <c r="RS3" s="102"/>
      <c r="RU3" s="101"/>
      <c r="RV3" s="100"/>
      <c r="RW3" s="102"/>
      <c r="RY3" s="101"/>
      <c r="RZ3" s="100"/>
      <c r="SA3" s="102"/>
      <c r="SC3" s="101"/>
      <c r="SD3" s="100"/>
      <c r="SE3" s="102"/>
      <c r="SG3" s="101"/>
      <c r="SH3" s="100"/>
      <c r="SI3" s="102"/>
      <c r="SK3" s="101"/>
      <c r="SL3" s="100"/>
      <c r="SM3" s="102"/>
      <c r="SO3" s="101"/>
      <c r="SP3" s="100"/>
      <c r="SQ3" s="102"/>
      <c r="SS3" s="101"/>
      <c r="ST3" s="100"/>
      <c r="SU3" s="102"/>
      <c r="SW3" s="101"/>
      <c r="SX3" s="100"/>
      <c r="SY3" s="102"/>
      <c r="TA3" s="101"/>
      <c r="TB3" s="100"/>
      <c r="TC3" s="102"/>
      <c r="TE3" s="101"/>
      <c r="TF3" s="100"/>
      <c r="TG3" s="102"/>
      <c r="TI3" s="101"/>
      <c r="TJ3" s="100"/>
      <c r="TK3" s="102"/>
      <c r="TM3" s="101"/>
      <c r="TN3" s="100"/>
      <c r="TO3" s="102"/>
      <c r="TQ3" s="101"/>
      <c r="TR3" s="100"/>
      <c r="TS3" s="102"/>
      <c r="TU3" s="101"/>
      <c r="TV3" s="100"/>
      <c r="TW3" s="102"/>
      <c r="TY3" s="101"/>
      <c r="TZ3" s="100"/>
      <c r="UA3" s="102"/>
      <c r="UC3" s="101"/>
      <c r="UD3" s="100"/>
      <c r="UE3" s="102"/>
      <c r="UG3" s="101"/>
      <c r="UH3" s="100"/>
      <c r="UI3" s="102"/>
      <c r="UK3" s="101"/>
      <c r="UL3" s="100"/>
      <c r="UM3" s="102"/>
      <c r="UO3" s="101"/>
      <c r="UP3" s="100"/>
      <c r="UQ3" s="102"/>
      <c r="US3" s="101"/>
      <c r="UT3" s="100"/>
      <c r="UU3" s="102"/>
      <c r="UW3" s="101"/>
      <c r="UX3" s="100"/>
      <c r="UY3" s="102"/>
      <c r="VA3" s="101"/>
      <c r="VB3" s="100"/>
      <c r="VC3" s="102"/>
      <c r="VE3" s="101"/>
      <c r="VF3" s="100"/>
      <c r="VG3" s="102"/>
      <c r="VI3" s="101"/>
      <c r="VJ3" s="100"/>
      <c r="VK3" s="102"/>
      <c r="VM3" s="101"/>
      <c r="VN3" s="100"/>
      <c r="VO3" s="102"/>
      <c r="VQ3" s="101"/>
      <c r="VR3" s="100"/>
      <c r="VS3" s="102"/>
      <c r="VU3" s="101"/>
      <c r="VV3" s="100"/>
      <c r="VW3" s="102"/>
      <c r="VY3" s="101"/>
      <c r="VZ3" s="100"/>
      <c r="WA3" s="102"/>
      <c r="WC3" s="101"/>
      <c r="WD3" s="100"/>
      <c r="WE3" s="102"/>
      <c r="WG3" s="101"/>
      <c r="WH3" s="100"/>
      <c r="WI3" s="102"/>
      <c r="WK3" s="101"/>
      <c r="WL3" s="100"/>
      <c r="WM3" s="102"/>
      <c r="WO3" s="101"/>
      <c r="WP3" s="100"/>
      <c r="WQ3" s="102"/>
      <c r="WS3" s="101"/>
      <c r="WT3" s="100"/>
      <c r="WU3" s="102"/>
      <c r="WW3" s="101"/>
      <c r="WX3" s="100"/>
      <c r="WY3" s="102"/>
      <c r="XA3" s="101"/>
      <c r="XB3" s="100"/>
      <c r="XC3" s="102"/>
      <c r="XE3" s="101"/>
      <c r="XF3" s="100"/>
      <c r="XG3" s="102"/>
      <c r="XI3" s="101"/>
      <c r="XJ3" s="100"/>
      <c r="XK3" s="102"/>
      <c r="XM3" s="101"/>
      <c r="XN3" s="100"/>
      <c r="XO3" s="102"/>
      <c r="XQ3" s="101"/>
      <c r="XR3" s="100"/>
      <c r="XS3" s="102"/>
      <c r="XU3" s="101"/>
      <c r="XV3" s="100"/>
      <c r="XW3" s="102"/>
      <c r="XY3" s="101"/>
      <c r="XZ3" s="100"/>
      <c r="YA3" s="102"/>
      <c r="YC3" s="101"/>
      <c r="YD3" s="100"/>
      <c r="YE3" s="102"/>
      <c r="YG3" s="101"/>
      <c r="YH3" s="100"/>
      <c r="YI3" s="102"/>
      <c r="YK3" s="101"/>
      <c r="YL3" s="100"/>
      <c r="YM3" s="102"/>
      <c r="YO3" s="101"/>
      <c r="YP3" s="100"/>
      <c r="YQ3" s="102"/>
      <c r="YS3" s="101"/>
      <c r="YT3" s="100"/>
      <c r="YU3" s="102"/>
      <c r="YW3" s="101"/>
      <c r="YX3" s="100"/>
      <c r="YY3" s="102"/>
      <c r="ZA3" s="101"/>
      <c r="ZB3" s="100"/>
      <c r="ZC3" s="102"/>
      <c r="ZE3" s="101"/>
      <c r="ZF3" s="100"/>
      <c r="ZG3" s="102"/>
      <c r="ZI3" s="101"/>
      <c r="ZJ3" s="100"/>
      <c r="ZK3" s="102"/>
      <c r="ZM3" s="101"/>
      <c r="ZN3" s="100"/>
      <c r="ZO3" s="102"/>
      <c r="ZQ3" s="101"/>
      <c r="ZR3" s="100"/>
      <c r="ZS3" s="102"/>
      <c r="ZU3" s="101"/>
      <c r="ZV3" s="100"/>
      <c r="ZW3" s="102"/>
      <c r="ZY3" s="101"/>
      <c r="ZZ3" s="100"/>
      <c r="AAA3" s="102"/>
      <c r="AAC3" s="101"/>
      <c r="AAD3" s="100"/>
      <c r="AAE3" s="102"/>
      <c r="AAG3" s="101"/>
      <c r="AAH3" s="100"/>
      <c r="AAI3" s="102"/>
      <c r="AAK3" s="101"/>
      <c r="AAL3" s="100"/>
      <c r="AAM3" s="102"/>
      <c r="AAO3" s="101"/>
      <c r="AAP3" s="100"/>
      <c r="AAQ3" s="102"/>
      <c r="AAS3" s="101"/>
      <c r="AAT3" s="100"/>
      <c r="AAU3" s="102"/>
      <c r="AAW3" s="101"/>
      <c r="AAX3" s="100"/>
      <c r="AAY3" s="102"/>
      <c r="ABA3" s="101"/>
      <c r="ABB3" s="100"/>
      <c r="ABC3" s="102"/>
      <c r="ABE3" s="101"/>
      <c r="ABF3" s="100"/>
      <c r="ABG3" s="102"/>
      <c r="ABI3" s="101"/>
      <c r="ABJ3" s="100"/>
      <c r="ABK3" s="102"/>
      <c r="ABM3" s="101"/>
      <c r="ABN3" s="100"/>
      <c r="ABO3" s="102"/>
      <c r="ABQ3" s="101"/>
      <c r="ABR3" s="100"/>
      <c r="ABS3" s="102"/>
      <c r="ABU3" s="101"/>
      <c r="ABV3" s="100"/>
      <c r="ABW3" s="102"/>
      <c r="ABY3" s="101"/>
      <c r="ABZ3" s="100"/>
      <c r="ACA3" s="102"/>
      <c r="ACC3" s="101"/>
      <c r="ACD3" s="100"/>
      <c r="ACE3" s="102"/>
      <c r="ACG3" s="101"/>
      <c r="ACH3" s="100"/>
      <c r="ACI3" s="102"/>
      <c r="ACK3" s="101"/>
      <c r="ACL3" s="100"/>
      <c r="ACM3" s="102"/>
      <c r="ACO3" s="101"/>
      <c r="ACP3" s="100"/>
      <c r="ACQ3" s="102"/>
      <c r="ACS3" s="101"/>
      <c r="ACT3" s="100"/>
      <c r="ACU3" s="102"/>
      <c r="ACW3" s="101"/>
      <c r="ACX3" s="100"/>
      <c r="ACY3" s="102"/>
      <c r="ADA3" s="101"/>
      <c r="ADB3" s="100"/>
      <c r="ADC3" s="102"/>
      <c r="ADE3" s="101"/>
      <c r="ADF3" s="100"/>
      <c r="ADG3" s="102"/>
      <c r="ADI3" s="101"/>
      <c r="ADJ3" s="100"/>
      <c r="ADK3" s="102"/>
      <c r="ADM3" s="101"/>
      <c r="ADN3" s="100"/>
      <c r="ADO3" s="102"/>
      <c r="ADQ3" s="101"/>
      <c r="ADR3" s="100"/>
      <c r="ADS3" s="102"/>
      <c r="ADU3" s="101"/>
      <c r="ADV3" s="100"/>
      <c r="ADW3" s="102"/>
      <c r="ADY3" s="101"/>
      <c r="ADZ3" s="100"/>
      <c r="AEA3" s="102"/>
      <c r="AEC3" s="101"/>
      <c r="AED3" s="100"/>
      <c r="AEE3" s="102"/>
      <c r="AEG3" s="101"/>
      <c r="AEH3" s="100"/>
      <c r="AEI3" s="102"/>
      <c r="AEK3" s="101"/>
      <c r="AEL3" s="100"/>
      <c r="AEM3" s="102"/>
      <c r="AEO3" s="101"/>
      <c r="AEP3" s="100"/>
      <c r="AEQ3" s="102"/>
      <c r="AES3" s="101"/>
      <c r="AET3" s="100"/>
      <c r="AEU3" s="102"/>
      <c r="AEW3" s="101"/>
      <c r="AEX3" s="100"/>
      <c r="AEY3" s="102"/>
      <c r="AFA3" s="101"/>
      <c r="AFB3" s="100"/>
      <c r="AFC3" s="102"/>
      <c r="AFE3" s="101"/>
      <c r="AFF3" s="100"/>
      <c r="AFG3" s="102"/>
      <c r="AFI3" s="101"/>
      <c r="AFJ3" s="100"/>
      <c r="AFK3" s="102"/>
      <c r="AFM3" s="101"/>
      <c r="AFN3" s="100"/>
      <c r="AFO3" s="102"/>
      <c r="AFQ3" s="101"/>
      <c r="AFR3" s="100"/>
      <c r="AFS3" s="102"/>
      <c r="AFU3" s="101"/>
      <c r="AFV3" s="100"/>
      <c r="AFW3" s="102"/>
      <c r="AFY3" s="101"/>
      <c r="AFZ3" s="100"/>
      <c r="AGA3" s="102"/>
      <c r="AGC3" s="101"/>
      <c r="AGD3" s="100"/>
      <c r="AGE3" s="102"/>
      <c r="AGG3" s="101"/>
      <c r="AGH3" s="100"/>
      <c r="AGI3" s="102"/>
      <c r="AGK3" s="101"/>
      <c r="AGL3" s="100"/>
      <c r="AGM3" s="102"/>
      <c r="AGO3" s="101"/>
      <c r="AGP3" s="100"/>
      <c r="AGQ3" s="102"/>
      <c r="AGS3" s="101"/>
      <c r="AGT3" s="100"/>
      <c r="AGU3" s="102"/>
      <c r="AGW3" s="101"/>
      <c r="AGX3" s="100"/>
      <c r="AGY3" s="102"/>
      <c r="AHA3" s="101"/>
      <c r="AHB3" s="100"/>
      <c r="AHC3" s="102"/>
      <c r="AHE3" s="101"/>
      <c r="AHF3" s="100"/>
      <c r="AHG3" s="102"/>
      <c r="AHI3" s="101"/>
      <c r="AHJ3" s="100"/>
      <c r="AHK3" s="102"/>
      <c r="AHM3" s="101"/>
      <c r="AHN3" s="100"/>
      <c r="AHO3" s="102"/>
      <c r="AHQ3" s="101"/>
      <c r="AHR3" s="100"/>
      <c r="AHS3" s="102"/>
      <c r="AHU3" s="101"/>
      <c r="AHV3" s="100"/>
      <c r="AHW3" s="102"/>
      <c r="AHY3" s="101"/>
      <c r="AHZ3" s="100"/>
      <c r="AIA3" s="102"/>
      <c r="AIC3" s="101"/>
      <c r="AID3" s="100"/>
      <c r="AIE3" s="102"/>
      <c r="AIG3" s="101"/>
      <c r="AIH3" s="100"/>
      <c r="AII3" s="102"/>
      <c r="AIK3" s="101"/>
      <c r="AIL3" s="100"/>
      <c r="AIM3" s="102"/>
      <c r="AIO3" s="101"/>
      <c r="AIP3" s="100"/>
      <c r="AIQ3" s="102"/>
      <c r="AIS3" s="101"/>
      <c r="AIT3" s="100"/>
      <c r="AIU3" s="102"/>
      <c r="AIW3" s="101"/>
      <c r="AIX3" s="100"/>
      <c r="AIY3" s="102"/>
      <c r="AJA3" s="101"/>
      <c r="AJB3" s="100"/>
      <c r="AJC3" s="102"/>
      <c r="AJE3" s="101"/>
      <c r="AJF3" s="100"/>
      <c r="AJG3" s="102"/>
      <c r="AJI3" s="101"/>
      <c r="AJJ3" s="100"/>
      <c r="AJK3" s="102"/>
      <c r="AJM3" s="101"/>
      <c r="AJN3" s="100"/>
      <c r="AJO3" s="102"/>
      <c r="AJQ3" s="101"/>
      <c r="AJR3" s="100"/>
      <c r="AJS3" s="102"/>
      <c r="AJU3" s="101"/>
      <c r="AJV3" s="100"/>
      <c r="AJW3" s="102"/>
      <c r="AJY3" s="101"/>
      <c r="AJZ3" s="100"/>
      <c r="AKA3" s="102"/>
      <c r="AKC3" s="101"/>
      <c r="AKD3" s="100"/>
      <c r="AKE3" s="102"/>
      <c r="AKG3" s="101"/>
      <c r="AKH3" s="100"/>
      <c r="AKI3" s="102"/>
      <c r="AKK3" s="101"/>
      <c r="AKL3" s="100"/>
      <c r="AKM3" s="102"/>
      <c r="AKO3" s="101"/>
      <c r="AKP3" s="100"/>
      <c r="AKQ3" s="102"/>
      <c r="AKS3" s="101"/>
      <c r="AKT3" s="100"/>
      <c r="AKU3" s="102"/>
      <c r="AKW3" s="101"/>
      <c r="AKX3" s="100"/>
      <c r="AKY3" s="102"/>
      <c r="ALA3" s="101"/>
      <c r="ALB3" s="100"/>
      <c r="ALC3" s="102"/>
      <c r="ALE3" s="101"/>
      <c r="ALF3" s="100"/>
      <c r="ALG3" s="102"/>
      <c r="ALI3" s="101"/>
      <c r="ALJ3" s="100"/>
      <c r="ALK3" s="102"/>
      <c r="ALM3" s="101"/>
      <c r="ALN3" s="100"/>
      <c r="ALO3" s="102"/>
      <c r="ALQ3" s="101"/>
      <c r="ALR3" s="100"/>
      <c r="ALS3" s="102"/>
      <c r="ALU3" s="101"/>
      <c r="ALV3" s="100"/>
      <c r="ALW3" s="102"/>
      <c r="ALY3" s="101"/>
      <c r="ALZ3" s="100"/>
      <c r="AMA3" s="102"/>
      <c r="AMC3" s="101"/>
      <c r="AMD3" s="100"/>
      <c r="AME3" s="102"/>
      <c r="AMG3" s="101"/>
      <c r="AMH3" s="100"/>
      <c r="AMI3" s="102"/>
      <c r="AMK3" s="101"/>
      <c r="AML3" s="100"/>
      <c r="AMM3" s="102"/>
      <c r="AMO3" s="101"/>
      <c r="AMP3" s="100"/>
      <c r="AMQ3" s="102"/>
      <c r="AMS3" s="101"/>
      <c r="AMT3" s="100"/>
      <c r="AMU3" s="102"/>
      <c r="AMW3" s="101"/>
      <c r="AMX3" s="100"/>
      <c r="AMY3" s="102"/>
      <c r="ANA3" s="101"/>
      <c r="ANB3" s="100"/>
      <c r="ANC3" s="102"/>
      <c r="ANE3" s="101"/>
      <c r="ANF3" s="100"/>
      <c r="ANG3" s="102"/>
      <c r="ANI3" s="101"/>
      <c r="ANJ3" s="100"/>
      <c r="ANK3" s="102"/>
      <c r="ANM3" s="101"/>
      <c r="ANN3" s="100"/>
      <c r="ANO3" s="102"/>
      <c r="ANQ3" s="101"/>
      <c r="ANR3" s="100"/>
      <c r="ANS3" s="102"/>
      <c r="ANU3" s="101"/>
      <c r="ANV3" s="100"/>
      <c r="ANW3" s="102"/>
      <c r="ANY3" s="101"/>
      <c r="ANZ3" s="100"/>
      <c r="AOA3" s="102"/>
      <c r="AOC3" s="101"/>
      <c r="AOD3" s="100"/>
      <c r="AOE3" s="102"/>
      <c r="AOG3" s="101"/>
      <c r="AOH3" s="100"/>
      <c r="AOI3" s="102"/>
      <c r="AOK3" s="101"/>
      <c r="AOL3" s="100"/>
      <c r="AOM3" s="102"/>
      <c r="AOO3" s="101"/>
      <c r="AOP3" s="100"/>
      <c r="AOQ3" s="102"/>
      <c r="AOS3" s="101"/>
      <c r="AOT3" s="100"/>
      <c r="AOU3" s="102"/>
      <c r="AOW3" s="101"/>
      <c r="AOX3" s="100"/>
      <c r="AOY3" s="102"/>
      <c r="APA3" s="101"/>
      <c r="APB3" s="100"/>
      <c r="APC3" s="102"/>
      <c r="APE3" s="101"/>
      <c r="APF3" s="100"/>
      <c r="APG3" s="102"/>
      <c r="API3" s="101"/>
      <c r="APJ3" s="100"/>
      <c r="APK3" s="102"/>
      <c r="APM3" s="101"/>
      <c r="APN3" s="100"/>
      <c r="APO3" s="102"/>
      <c r="APQ3" s="101"/>
      <c r="APR3" s="100"/>
      <c r="APS3" s="102"/>
      <c r="APU3" s="101"/>
      <c r="APV3" s="100"/>
      <c r="APW3" s="102"/>
      <c r="APY3" s="101"/>
      <c r="APZ3" s="100"/>
      <c r="AQA3" s="102"/>
      <c r="AQC3" s="101"/>
      <c r="AQD3" s="100"/>
      <c r="AQE3" s="102"/>
      <c r="AQG3" s="101"/>
      <c r="AQH3" s="100"/>
      <c r="AQI3" s="102"/>
      <c r="AQK3" s="101"/>
      <c r="AQL3" s="100"/>
      <c r="AQM3" s="102"/>
      <c r="AQO3" s="101"/>
      <c r="AQP3" s="100"/>
      <c r="AQQ3" s="102"/>
      <c r="AQS3" s="101"/>
      <c r="AQT3" s="100"/>
      <c r="AQU3" s="102"/>
      <c r="AQW3" s="101"/>
      <c r="AQX3" s="100"/>
      <c r="AQY3" s="102"/>
      <c r="ARA3" s="101"/>
      <c r="ARB3" s="100"/>
      <c r="ARC3" s="102"/>
      <c r="ARE3" s="101"/>
      <c r="ARF3" s="100"/>
      <c r="ARG3" s="102"/>
      <c r="ARI3" s="101"/>
      <c r="ARJ3" s="100"/>
      <c r="ARK3" s="102"/>
      <c r="ARM3" s="101"/>
      <c r="ARN3" s="100"/>
      <c r="ARO3" s="102"/>
      <c r="ARQ3" s="101"/>
      <c r="ARR3" s="100"/>
      <c r="ARS3" s="102"/>
      <c r="ARU3" s="101"/>
      <c r="ARV3" s="100"/>
      <c r="ARW3" s="102"/>
      <c r="ARY3" s="101"/>
      <c r="ARZ3" s="100"/>
      <c r="ASA3" s="102"/>
      <c r="ASC3" s="101"/>
      <c r="ASD3" s="100"/>
      <c r="ASE3" s="102"/>
      <c r="ASG3" s="101"/>
      <c r="ASH3" s="100"/>
      <c r="ASI3" s="102"/>
      <c r="ASK3" s="101"/>
      <c r="ASL3" s="100"/>
      <c r="ASM3" s="102"/>
      <c r="ASO3" s="101"/>
      <c r="ASP3" s="100"/>
      <c r="ASQ3" s="102"/>
      <c r="ASS3" s="101"/>
      <c r="AST3" s="100"/>
      <c r="ASU3" s="102"/>
      <c r="ASW3" s="101"/>
      <c r="ASX3" s="100"/>
      <c r="ASY3" s="102"/>
      <c r="ATA3" s="101"/>
      <c r="ATB3" s="100"/>
      <c r="ATC3" s="102"/>
      <c r="ATE3" s="101"/>
      <c r="ATF3" s="100"/>
      <c r="ATG3" s="102"/>
      <c r="ATI3" s="101"/>
      <c r="ATJ3" s="100"/>
      <c r="ATK3" s="102"/>
      <c r="ATM3" s="101"/>
      <c r="ATN3" s="100"/>
      <c r="ATO3" s="102"/>
      <c r="ATQ3" s="101"/>
      <c r="ATR3" s="100"/>
      <c r="ATS3" s="102"/>
      <c r="ATU3" s="101"/>
      <c r="ATV3" s="100"/>
      <c r="ATW3" s="102"/>
      <c r="ATY3" s="101"/>
      <c r="ATZ3" s="100"/>
      <c r="AUA3" s="102"/>
      <c r="AUC3" s="101"/>
      <c r="AUD3" s="100"/>
      <c r="AUE3" s="102"/>
      <c r="AUG3" s="101"/>
      <c r="AUH3" s="100"/>
      <c r="AUI3" s="102"/>
      <c r="AUK3" s="101"/>
      <c r="AUL3" s="100"/>
      <c r="AUM3" s="102"/>
      <c r="AUO3" s="101"/>
      <c r="AUP3" s="100"/>
      <c r="AUQ3" s="102"/>
      <c r="AUS3" s="101"/>
      <c r="AUT3" s="100"/>
      <c r="AUU3" s="102"/>
      <c r="AUW3" s="101"/>
      <c r="AUX3" s="100"/>
      <c r="AUY3" s="102"/>
      <c r="AVA3" s="101"/>
      <c r="AVB3" s="100"/>
      <c r="AVC3" s="102"/>
      <c r="AVE3" s="101"/>
      <c r="AVF3" s="100"/>
      <c r="AVG3" s="102"/>
      <c r="AVI3" s="101"/>
      <c r="AVJ3" s="100"/>
      <c r="AVK3" s="102"/>
      <c r="AVM3" s="101"/>
      <c r="AVN3" s="100"/>
      <c r="AVO3" s="102"/>
      <c r="AVQ3" s="101"/>
      <c r="AVR3" s="100"/>
      <c r="AVS3" s="102"/>
      <c r="AVU3" s="101"/>
      <c r="AVV3" s="100"/>
      <c r="AVW3" s="102"/>
      <c r="AVY3" s="101"/>
      <c r="AVZ3" s="100"/>
      <c r="AWA3" s="102"/>
      <c r="AWC3" s="101"/>
      <c r="AWD3" s="100"/>
      <c r="AWE3" s="102"/>
      <c r="AWG3" s="101"/>
      <c r="AWH3" s="100"/>
      <c r="AWI3" s="102"/>
      <c r="AWK3" s="101"/>
      <c r="AWL3" s="100"/>
      <c r="AWM3" s="102"/>
      <c r="AWO3" s="101"/>
      <c r="AWP3" s="100"/>
      <c r="AWQ3" s="102"/>
      <c r="AWS3" s="101"/>
      <c r="AWT3" s="100"/>
      <c r="AWU3" s="102"/>
      <c r="AWW3" s="101"/>
      <c r="AWX3" s="100"/>
      <c r="AWY3" s="102"/>
      <c r="AXA3" s="101"/>
      <c r="AXB3" s="100"/>
      <c r="AXC3" s="102"/>
      <c r="AXE3" s="101"/>
      <c r="AXF3" s="100"/>
      <c r="AXG3" s="102"/>
      <c r="AXI3" s="101"/>
      <c r="AXJ3" s="100"/>
      <c r="AXK3" s="102"/>
      <c r="AXM3" s="101"/>
      <c r="AXN3" s="100"/>
      <c r="AXO3" s="102"/>
      <c r="AXQ3" s="101"/>
      <c r="AXR3" s="100"/>
      <c r="AXS3" s="102"/>
      <c r="AXU3" s="101"/>
      <c r="AXV3" s="100"/>
      <c r="AXW3" s="102"/>
      <c r="AXY3" s="101"/>
      <c r="AXZ3" s="100"/>
      <c r="AYA3" s="102"/>
      <c r="AYC3" s="101"/>
      <c r="AYD3" s="100"/>
      <c r="AYE3" s="102"/>
      <c r="AYG3" s="101"/>
      <c r="AYH3" s="100"/>
      <c r="AYI3" s="102"/>
      <c r="AYK3" s="101"/>
      <c r="AYL3" s="100"/>
      <c r="AYM3" s="102"/>
      <c r="AYO3" s="101"/>
      <c r="AYP3" s="100"/>
      <c r="AYQ3" s="102"/>
      <c r="AYS3" s="101"/>
      <c r="AYT3" s="100"/>
      <c r="AYU3" s="102"/>
      <c r="AYW3" s="101"/>
      <c r="AYX3" s="100"/>
      <c r="AYY3" s="102"/>
      <c r="AZA3" s="101"/>
      <c r="AZB3" s="100"/>
      <c r="AZC3" s="102"/>
      <c r="AZE3" s="101"/>
      <c r="AZF3" s="100"/>
      <c r="AZG3" s="102"/>
      <c r="AZI3" s="101"/>
      <c r="AZJ3" s="100"/>
      <c r="AZK3" s="102"/>
      <c r="AZM3" s="101"/>
      <c r="AZN3" s="100"/>
      <c r="AZO3" s="102"/>
      <c r="AZQ3" s="101"/>
      <c r="AZR3" s="100"/>
      <c r="AZS3" s="102"/>
      <c r="AZU3" s="101"/>
      <c r="AZV3" s="100"/>
      <c r="AZW3" s="102"/>
      <c r="AZY3" s="101"/>
      <c r="AZZ3" s="100"/>
      <c r="BAA3" s="102"/>
      <c r="BAC3" s="101"/>
      <c r="BAD3" s="100"/>
      <c r="BAE3" s="102"/>
      <c r="BAG3" s="101"/>
      <c r="BAH3" s="100"/>
      <c r="BAI3" s="102"/>
      <c r="BAK3" s="101"/>
      <c r="BAL3" s="100"/>
      <c r="BAM3" s="102"/>
      <c r="BAO3" s="101"/>
      <c r="BAP3" s="100"/>
      <c r="BAQ3" s="102"/>
      <c r="BAS3" s="101"/>
      <c r="BAT3" s="100"/>
      <c r="BAU3" s="102"/>
      <c r="BAW3" s="101"/>
      <c r="BAX3" s="100"/>
      <c r="BAY3" s="102"/>
      <c r="BBA3" s="101"/>
      <c r="BBB3" s="100"/>
      <c r="BBC3" s="102"/>
      <c r="BBE3" s="101"/>
      <c r="BBF3" s="100"/>
      <c r="BBG3" s="102"/>
      <c r="BBI3" s="101"/>
      <c r="BBJ3" s="100"/>
      <c r="BBK3" s="102"/>
      <c r="BBM3" s="101"/>
      <c r="BBN3" s="100"/>
      <c r="BBO3" s="102"/>
      <c r="BBQ3" s="101"/>
      <c r="BBR3" s="100"/>
      <c r="BBS3" s="102"/>
      <c r="BBU3" s="101"/>
      <c r="BBV3" s="100"/>
      <c r="BBW3" s="102"/>
      <c r="BBY3" s="101"/>
      <c r="BBZ3" s="100"/>
      <c r="BCA3" s="102"/>
      <c r="BCC3" s="101"/>
      <c r="BCD3" s="100"/>
      <c r="BCE3" s="102"/>
      <c r="BCG3" s="101"/>
      <c r="BCH3" s="100"/>
      <c r="BCI3" s="102"/>
      <c r="BCK3" s="101"/>
      <c r="BCL3" s="100"/>
      <c r="BCM3" s="102"/>
      <c r="BCO3" s="101"/>
      <c r="BCP3" s="100"/>
      <c r="BCQ3" s="102"/>
      <c r="BCS3" s="101"/>
      <c r="BCT3" s="100"/>
      <c r="BCU3" s="102"/>
      <c r="BCW3" s="101"/>
      <c r="BCX3" s="100"/>
      <c r="BCY3" s="102"/>
      <c r="BDA3" s="101"/>
      <c r="BDB3" s="100"/>
      <c r="BDC3" s="102"/>
      <c r="BDE3" s="101"/>
      <c r="BDF3" s="100"/>
      <c r="BDG3" s="102"/>
      <c r="BDI3" s="101"/>
      <c r="BDJ3" s="100"/>
      <c r="BDK3" s="102"/>
      <c r="BDM3" s="101"/>
      <c r="BDN3" s="100"/>
      <c r="BDO3" s="102"/>
      <c r="BDQ3" s="101"/>
      <c r="BDR3" s="100"/>
      <c r="BDS3" s="102"/>
      <c r="BDU3" s="101"/>
      <c r="BDV3" s="100"/>
      <c r="BDW3" s="102"/>
      <c r="BDY3" s="101"/>
      <c r="BDZ3" s="100"/>
      <c r="BEA3" s="102"/>
      <c r="BEC3" s="101"/>
      <c r="BED3" s="100"/>
      <c r="BEE3" s="102"/>
      <c r="BEG3" s="101"/>
      <c r="BEH3" s="100"/>
      <c r="BEI3" s="102"/>
      <c r="BEK3" s="101"/>
      <c r="BEL3" s="100"/>
      <c r="BEM3" s="102"/>
      <c r="BEO3" s="101"/>
      <c r="BEP3" s="100"/>
      <c r="BEQ3" s="102"/>
      <c r="BES3" s="101"/>
      <c r="BET3" s="100"/>
      <c r="BEU3" s="102"/>
      <c r="BEW3" s="101"/>
      <c r="BEX3" s="100"/>
      <c r="BEY3" s="102"/>
      <c r="BFA3" s="101"/>
      <c r="BFB3" s="100"/>
      <c r="BFC3" s="102"/>
      <c r="BFE3" s="101"/>
      <c r="BFF3" s="100"/>
      <c r="BFG3" s="102"/>
      <c r="BFI3" s="101"/>
      <c r="BFJ3" s="100"/>
      <c r="BFK3" s="102"/>
      <c r="BFM3" s="101"/>
      <c r="BFN3" s="100"/>
      <c r="BFO3" s="102"/>
      <c r="BFQ3" s="101"/>
      <c r="BFR3" s="100"/>
      <c r="BFS3" s="102"/>
      <c r="BFU3" s="101"/>
      <c r="BFV3" s="100"/>
      <c r="BFW3" s="102"/>
      <c r="BFY3" s="101"/>
      <c r="BFZ3" s="100"/>
      <c r="BGA3" s="102"/>
      <c r="BGC3" s="101"/>
      <c r="BGD3" s="100"/>
      <c r="BGE3" s="102"/>
      <c r="BGG3" s="101"/>
      <c r="BGH3" s="100"/>
      <c r="BGI3" s="102"/>
      <c r="BGK3" s="101"/>
      <c r="BGL3" s="100"/>
      <c r="BGM3" s="102"/>
      <c r="BGO3" s="101"/>
      <c r="BGP3" s="100"/>
      <c r="BGQ3" s="102"/>
      <c r="BGS3" s="101"/>
      <c r="BGT3" s="100"/>
      <c r="BGU3" s="102"/>
      <c r="BGW3" s="101"/>
      <c r="BGX3" s="100"/>
      <c r="BGY3" s="102"/>
      <c r="BHA3" s="101"/>
      <c r="BHB3" s="100"/>
      <c r="BHC3" s="102"/>
      <c r="BHE3" s="101"/>
      <c r="BHF3" s="100"/>
      <c r="BHG3" s="102"/>
      <c r="BHI3" s="101"/>
      <c r="BHJ3" s="100"/>
      <c r="BHK3" s="102"/>
      <c r="BHM3" s="101"/>
      <c r="BHN3" s="100"/>
      <c r="BHO3" s="102"/>
      <c r="BHQ3" s="101"/>
      <c r="BHR3" s="100"/>
      <c r="BHS3" s="102"/>
      <c r="BHU3" s="101"/>
      <c r="BHV3" s="100"/>
      <c r="BHW3" s="102"/>
      <c r="BHY3" s="101"/>
      <c r="BHZ3" s="100"/>
      <c r="BIA3" s="102"/>
      <c r="BIC3" s="101"/>
      <c r="BID3" s="100"/>
      <c r="BIE3" s="102"/>
      <c r="BIG3" s="101"/>
      <c r="BIH3" s="100"/>
      <c r="BII3" s="102"/>
      <c r="BIK3" s="101"/>
      <c r="BIL3" s="100"/>
      <c r="BIM3" s="102"/>
      <c r="BIO3" s="101"/>
      <c r="BIP3" s="100"/>
      <c r="BIQ3" s="102"/>
      <c r="BIS3" s="101"/>
      <c r="BIT3" s="100"/>
      <c r="BIU3" s="102"/>
      <c r="BIW3" s="101"/>
      <c r="BIX3" s="100"/>
      <c r="BIY3" s="102"/>
      <c r="BJA3" s="101"/>
      <c r="BJB3" s="100"/>
      <c r="BJC3" s="102"/>
      <c r="BJE3" s="101"/>
      <c r="BJF3" s="100"/>
      <c r="BJG3" s="102"/>
      <c r="BJI3" s="101"/>
      <c r="BJJ3" s="100"/>
      <c r="BJK3" s="102"/>
      <c r="BJM3" s="101"/>
      <c r="BJN3" s="100"/>
      <c r="BJO3" s="102"/>
      <c r="BJQ3" s="101"/>
      <c r="BJR3" s="100"/>
      <c r="BJS3" s="102"/>
      <c r="BJU3" s="101"/>
      <c r="BJV3" s="100"/>
      <c r="BJW3" s="102"/>
      <c r="BJY3" s="101"/>
      <c r="BJZ3" s="100"/>
      <c r="BKA3" s="102"/>
      <c r="BKC3" s="101"/>
      <c r="BKD3" s="100"/>
      <c r="BKE3" s="102"/>
      <c r="BKG3" s="101"/>
      <c r="BKH3" s="100"/>
      <c r="BKI3" s="102"/>
      <c r="BKK3" s="101"/>
      <c r="BKL3" s="100"/>
      <c r="BKM3" s="102"/>
      <c r="BKO3" s="101"/>
      <c r="BKP3" s="100"/>
      <c r="BKQ3" s="102"/>
      <c r="BKS3" s="101"/>
      <c r="BKT3" s="100"/>
      <c r="BKU3" s="102"/>
      <c r="BKW3" s="101"/>
      <c r="BKX3" s="100"/>
      <c r="BKY3" s="102"/>
      <c r="BLA3" s="101"/>
      <c r="BLB3" s="100"/>
      <c r="BLC3" s="102"/>
      <c r="BLE3" s="101"/>
      <c r="BLF3" s="100"/>
      <c r="BLG3" s="102"/>
      <c r="BLI3" s="101"/>
      <c r="BLJ3" s="100"/>
      <c r="BLK3" s="102"/>
      <c r="BLM3" s="101"/>
      <c r="BLN3" s="100"/>
      <c r="BLO3" s="102"/>
      <c r="BLQ3" s="101"/>
      <c r="BLR3" s="100"/>
      <c r="BLS3" s="102"/>
      <c r="BLU3" s="101"/>
      <c r="BLV3" s="100"/>
      <c r="BLW3" s="102"/>
      <c r="BLY3" s="101"/>
      <c r="BLZ3" s="100"/>
      <c r="BMA3" s="102"/>
      <c r="BMC3" s="101"/>
      <c r="BMD3" s="100"/>
      <c r="BME3" s="102"/>
      <c r="BMG3" s="101"/>
      <c r="BMH3" s="100"/>
      <c r="BMI3" s="102"/>
      <c r="BMK3" s="101"/>
      <c r="BML3" s="100"/>
      <c r="BMM3" s="102"/>
      <c r="BMO3" s="101"/>
      <c r="BMP3" s="100"/>
      <c r="BMQ3" s="102"/>
      <c r="BMS3" s="101"/>
      <c r="BMT3" s="100"/>
      <c r="BMU3" s="102"/>
      <c r="BMW3" s="101"/>
      <c r="BMX3" s="100"/>
      <c r="BMY3" s="102"/>
      <c r="BNA3" s="101"/>
      <c r="BNB3" s="100"/>
      <c r="BNC3" s="102"/>
      <c r="BNE3" s="101"/>
      <c r="BNF3" s="100"/>
      <c r="BNG3" s="102"/>
      <c r="BNI3" s="101"/>
      <c r="BNJ3" s="100"/>
      <c r="BNK3" s="102"/>
      <c r="BNM3" s="101"/>
      <c r="BNN3" s="100"/>
      <c r="BNO3" s="102"/>
      <c r="BNQ3" s="101"/>
      <c r="BNR3" s="100"/>
      <c r="BNS3" s="102"/>
      <c r="BNU3" s="101"/>
      <c r="BNV3" s="100"/>
      <c r="BNW3" s="102"/>
      <c r="BNY3" s="101"/>
      <c r="BNZ3" s="100"/>
      <c r="BOA3" s="102"/>
      <c r="BOC3" s="101"/>
      <c r="BOD3" s="100"/>
      <c r="BOE3" s="102"/>
      <c r="BOG3" s="101"/>
      <c r="BOH3" s="100"/>
      <c r="BOI3" s="102"/>
      <c r="BOK3" s="101"/>
      <c r="BOL3" s="100"/>
      <c r="BOM3" s="102"/>
      <c r="BOO3" s="101"/>
      <c r="BOP3" s="100"/>
      <c r="BOQ3" s="102"/>
      <c r="BOS3" s="101"/>
      <c r="BOT3" s="100"/>
      <c r="BOU3" s="102"/>
      <c r="BOW3" s="101"/>
      <c r="BOX3" s="100"/>
      <c r="BOY3" s="102"/>
      <c r="BPA3" s="101"/>
      <c r="BPB3" s="100"/>
      <c r="BPC3" s="102"/>
      <c r="BPE3" s="101"/>
      <c r="BPF3" s="100"/>
      <c r="BPG3" s="102"/>
      <c r="BPI3" s="101"/>
      <c r="BPJ3" s="100"/>
      <c r="BPK3" s="102"/>
      <c r="BPM3" s="101"/>
      <c r="BPN3" s="100"/>
      <c r="BPO3" s="102"/>
      <c r="BPQ3" s="101"/>
      <c r="BPR3" s="100"/>
      <c r="BPS3" s="102"/>
      <c r="BPU3" s="101"/>
      <c r="BPV3" s="100"/>
      <c r="BPW3" s="102"/>
      <c r="BPY3" s="101"/>
      <c r="BPZ3" s="100"/>
      <c r="BQA3" s="102"/>
      <c r="BQC3" s="101"/>
      <c r="BQD3" s="100"/>
      <c r="BQE3" s="102"/>
      <c r="BQG3" s="101"/>
      <c r="BQH3" s="100"/>
      <c r="BQI3" s="102"/>
      <c r="BQK3" s="101"/>
      <c r="BQL3" s="100"/>
      <c r="BQM3" s="102"/>
      <c r="BQO3" s="101"/>
      <c r="BQP3" s="100"/>
      <c r="BQQ3" s="102"/>
      <c r="BQS3" s="101"/>
      <c r="BQT3" s="100"/>
      <c r="BQU3" s="102"/>
      <c r="BQW3" s="101"/>
      <c r="BQX3" s="100"/>
      <c r="BQY3" s="102"/>
      <c r="BRA3" s="101"/>
      <c r="BRB3" s="100"/>
      <c r="BRC3" s="102"/>
      <c r="BRE3" s="101"/>
      <c r="BRF3" s="100"/>
      <c r="BRG3" s="102"/>
      <c r="BRI3" s="101"/>
      <c r="BRJ3" s="100"/>
      <c r="BRK3" s="102"/>
      <c r="BRM3" s="101"/>
      <c r="BRN3" s="100"/>
      <c r="BRO3" s="102"/>
      <c r="BRQ3" s="101"/>
      <c r="BRR3" s="100"/>
      <c r="BRS3" s="102"/>
      <c r="BRU3" s="101"/>
      <c r="BRV3" s="100"/>
      <c r="BRW3" s="102"/>
      <c r="BRY3" s="101"/>
      <c r="BRZ3" s="100"/>
      <c r="BSA3" s="102"/>
      <c r="BSC3" s="101"/>
      <c r="BSD3" s="100"/>
      <c r="BSE3" s="102"/>
      <c r="BSG3" s="101"/>
      <c r="BSH3" s="100"/>
      <c r="BSI3" s="102"/>
      <c r="BSK3" s="101"/>
      <c r="BSL3" s="100"/>
      <c r="BSM3" s="102"/>
      <c r="BSO3" s="101"/>
      <c r="BSP3" s="100"/>
      <c r="BSQ3" s="102"/>
      <c r="BSS3" s="101"/>
      <c r="BST3" s="100"/>
      <c r="BSU3" s="102"/>
      <c r="BSW3" s="101"/>
      <c r="BSX3" s="100"/>
      <c r="BSY3" s="102"/>
      <c r="BTA3" s="101"/>
      <c r="BTB3" s="100"/>
      <c r="BTC3" s="102"/>
      <c r="BTE3" s="101"/>
      <c r="BTF3" s="100"/>
      <c r="BTG3" s="102"/>
      <c r="BTI3" s="101"/>
      <c r="BTJ3" s="100"/>
      <c r="BTK3" s="102"/>
      <c r="BTM3" s="101"/>
      <c r="BTN3" s="100"/>
      <c r="BTO3" s="102"/>
      <c r="BTQ3" s="101"/>
      <c r="BTR3" s="100"/>
      <c r="BTS3" s="102"/>
      <c r="BTU3" s="101"/>
      <c r="BTV3" s="100"/>
      <c r="BTW3" s="102"/>
      <c r="BTY3" s="101"/>
      <c r="BTZ3" s="100"/>
      <c r="BUA3" s="102"/>
      <c r="BUC3" s="101"/>
      <c r="BUD3" s="100"/>
      <c r="BUE3" s="102"/>
      <c r="BUG3" s="101"/>
      <c r="BUH3" s="100"/>
      <c r="BUI3" s="102"/>
      <c r="BUK3" s="101"/>
      <c r="BUL3" s="100"/>
      <c r="BUM3" s="102"/>
      <c r="BUO3" s="101"/>
      <c r="BUP3" s="100"/>
      <c r="BUQ3" s="102"/>
      <c r="BUS3" s="101"/>
      <c r="BUT3" s="100"/>
      <c r="BUU3" s="102"/>
      <c r="BUW3" s="101"/>
      <c r="BUX3" s="100"/>
      <c r="BUY3" s="102"/>
      <c r="BVA3" s="101"/>
      <c r="BVB3" s="100"/>
      <c r="BVC3" s="102"/>
      <c r="BVE3" s="101"/>
      <c r="BVF3" s="100"/>
      <c r="BVG3" s="102"/>
      <c r="BVI3" s="101"/>
      <c r="BVJ3" s="100"/>
      <c r="BVK3" s="102"/>
      <c r="BVM3" s="101"/>
      <c r="BVN3" s="100"/>
      <c r="BVO3" s="102"/>
      <c r="BVQ3" s="101"/>
      <c r="BVR3" s="100"/>
      <c r="BVS3" s="102"/>
      <c r="BVU3" s="101"/>
      <c r="BVV3" s="100"/>
      <c r="BVW3" s="102"/>
      <c r="BVY3" s="101"/>
      <c r="BVZ3" s="100"/>
      <c r="BWA3" s="102"/>
      <c r="BWC3" s="101"/>
      <c r="BWD3" s="100"/>
      <c r="BWE3" s="102"/>
      <c r="BWG3" s="101"/>
      <c r="BWH3" s="100"/>
      <c r="BWI3" s="102"/>
      <c r="BWK3" s="101"/>
      <c r="BWL3" s="100"/>
      <c r="BWM3" s="102"/>
      <c r="BWO3" s="101"/>
      <c r="BWP3" s="100"/>
      <c r="BWQ3" s="102"/>
      <c r="BWS3" s="101"/>
      <c r="BWT3" s="100"/>
      <c r="BWU3" s="102"/>
      <c r="BWW3" s="101"/>
      <c r="BWX3" s="100"/>
      <c r="BWY3" s="102"/>
      <c r="BXA3" s="101"/>
      <c r="BXB3" s="100"/>
      <c r="BXC3" s="102"/>
      <c r="BXE3" s="101"/>
      <c r="BXF3" s="100"/>
      <c r="BXG3" s="102"/>
      <c r="BXI3" s="101"/>
      <c r="BXJ3" s="100"/>
      <c r="BXK3" s="102"/>
      <c r="BXM3" s="101"/>
      <c r="BXN3" s="100"/>
      <c r="BXO3" s="102"/>
      <c r="BXQ3" s="101"/>
      <c r="BXR3" s="100"/>
      <c r="BXS3" s="102"/>
      <c r="BXU3" s="101"/>
      <c r="BXV3" s="100"/>
      <c r="BXW3" s="102"/>
      <c r="BXY3" s="101"/>
      <c r="BXZ3" s="100"/>
      <c r="BYA3" s="102"/>
      <c r="BYC3" s="101"/>
      <c r="BYD3" s="100"/>
      <c r="BYE3" s="102"/>
      <c r="BYG3" s="101"/>
      <c r="BYH3" s="100"/>
      <c r="BYI3" s="102"/>
      <c r="BYK3" s="101"/>
      <c r="BYL3" s="100"/>
      <c r="BYM3" s="102"/>
      <c r="BYO3" s="101"/>
      <c r="BYP3" s="100"/>
      <c r="BYQ3" s="102"/>
      <c r="BYS3" s="101"/>
      <c r="BYT3" s="100"/>
      <c r="BYU3" s="102"/>
      <c r="BYW3" s="101"/>
      <c r="BYX3" s="100"/>
      <c r="BYY3" s="102"/>
      <c r="BZA3" s="101"/>
      <c r="BZB3" s="100"/>
      <c r="BZC3" s="102"/>
      <c r="BZE3" s="101"/>
      <c r="BZF3" s="100"/>
      <c r="BZG3" s="102"/>
      <c r="BZI3" s="101"/>
      <c r="BZJ3" s="100"/>
      <c r="BZK3" s="102"/>
      <c r="BZM3" s="101"/>
      <c r="BZN3" s="100"/>
      <c r="BZO3" s="102"/>
      <c r="BZQ3" s="101"/>
      <c r="BZR3" s="100"/>
      <c r="BZS3" s="102"/>
      <c r="BZU3" s="101"/>
      <c r="BZV3" s="100"/>
      <c r="BZW3" s="102"/>
      <c r="BZY3" s="101"/>
      <c r="BZZ3" s="100"/>
      <c r="CAA3" s="102"/>
      <c r="CAC3" s="101"/>
      <c r="CAD3" s="100"/>
      <c r="CAE3" s="102"/>
      <c r="CAG3" s="101"/>
      <c r="CAH3" s="100"/>
      <c r="CAI3" s="102"/>
      <c r="CAK3" s="101"/>
      <c r="CAL3" s="100"/>
      <c r="CAM3" s="102"/>
      <c r="CAO3" s="101"/>
      <c r="CAP3" s="100"/>
      <c r="CAQ3" s="102"/>
      <c r="CAS3" s="101"/>
      <c r="CAT3" s="100"/>
      <c r="CAU3" s="102"/>
      <c r="CAW3" s="101"/>
      <c r="CAX3" s="100"/>
      <c r="CAY3" s="102"/>
      <c r="CBA3" s="101"/>
      <c r="CBB3" s="100"/>
      <c r="CBC3" s="102"/>
      <c r="CBE3" s="101"/>
      <c r="CBF3" s="100"/>
      <c r="CBG3" s="102"/>
      <c r="CBI3" s="101"/>
      <c r="CBJ3" s="100"/>
      <c r="CBK3" s="102"/>
      <c r="CBM3" s="101"/>
      <c r="CBN3" s="100"/>
      <c r="CBO3" s="102"/>
      <c r="CBQ3" s="101"/>
      <c r="CBR3" s="100"/>
      <c r="CBS3" s="102"/>
      <c r="CBU3" s="101"/>
      <c r="CBV3" s="100"/>
      <c r="CBW3" s="102"/>
      <c r="CBY3" s="101"/>
      <c r="CBZ3" s="100"/>
      <c r="CCA3" s="102"/>
      <c r="CCC3" s="101"/>
      <c r="CCD3" s="100"/>
      <c r="CCE3" s="102"/>
      <c r="CCG3" s="101"/>
      <c r="CCH3" s="100"/>
      <c r="CCI3" s="102"/>
      <c r="CCK3" s="101"/>
      <c r="CCL3" s="100"/>
      <c r="CCM3" s="102"/>
      <c r="CCO3" s="101"/>
      <c r="CCP3" s="100"/>
      <c r="CCQ3" s="102"/>
      <c r="CCS3" s="101"/>
      <c r="CCT3" s="100"/>
      <c r="CCU3" s="102"/>
      <c r="CCW3" s="101"/>
      <c r="CCX3" s="100"/>
      <c r="CCY3" s="102"/>
      <c r="CDA3" s="101"/>
      <c r="CDB3" s="100"/>
      <c r="CDC3" s="102"/>
      <c r="CDE3" s="101"/>
      <c r="CDF3" s="100"/>
      <c r="CDG3" s="102"/>
      <c r="CDI3" s="101"/>
      <c r="CDJ3" s="100"/>
      <c r="CDK3" s="102"/>
      <c r="CDM3" s="101"/>
      <c r="CDN3" s="100"/>
      <c r="CDO3" s="102"/>
      <c r="CDQ3" s="101"/>
      <c r="CDR3" s="100"/>
      <c r="CDS3" s="102"/>
      <c r="CDU3" s="101"/>
      <c r="CDV3" s="100"/>
      <c r="CDW3" s="102"/>
      <c r="CDY3" s="101"/>
      <c r="CDZ3" s="100"/>
      <c r="CEA3" s="102"/>
      <c r="CEC3" s="101"/>
      <c r="CED3" s="100"/>
      <c r="CEE3" s="102"/>
      <c r="CEG3" s="101"/>
      <c r="CEH3" s="100"/>
      <c r="CEI3" s="102"/>
      <c r="CEK3" s="101"/>
      <c r="CEL3" s="100"/>
      <c r="CEM3" s="102"/>
      <c r="CEO3" s="101"/>
      <c r="CEP3" s="100"/>
      <c r="CEQ3" s="102"/>
      <c r="CES3" s="101"/>
      <c r="CET3" s="100"/>
      <c r="CEU3" s="102"/>
      <c r="CEW3" s="101"/>
      <c r="CEX3" s="100"/>
      <c r="CEY3" s="102"/>
      <c r="CFA3" s="101"/>
      <c r="CFB3" s="100"/>
      <c r="CFC3" s="102"/>
      <c r="CFE3" s="101"/>
      <c r="CFF3" s="100"/>
      <c r="CFG3" s="102"/>
      <c r="CFI3" s="101"/>
      <c r="CFJ3" s="100"/>
      <c r="CFK3" s="102"/>
      <c r="CFM3" s="101"/>
      <c r="CFN3" s="100"/>
      <c r="CFO3" s="102"/>
      <c r="CFQ3" s="101"/>
      <c r="CFR3" s="100"/>
      <c r="CFS3" s="102"/>
      <c r="CFU3" s="101"/>
      <c r="CFV3" s="100"/>
      <c r="CFW3" s="102"/>
      <c r="CFY3" s="101"/>
      <c r="CFZ3" s="100"/>
      <c r="CGA3" s="102"/>
      <c r="CGC3" s="101"/>
      <c r="CGD3" s="100"/>
      <c r="CGE3" s="102"/>
      <c r="CGG3" s="101"/>
      <c r="CGH3" s="100"/>
      <c r="CGI3" s="102"/>
      <c r="CGK3" s="101"/>
      <c r="CGL3" s="100"/>
      <c r="CGM3" s="102"/>
      <c r="CGO3" s="101"/>
      <c r="CGP3" s="100"/>
      <c r="CGQ3" s="102"/>
      <c r="CGS3" s="101"/>
      <c r="CGT3" s="100"/>
      <c r="CGU3" s="102"/>
      <c r="CGW3" s="101"/>
      <c r="CGX3" s="100"/>
      <c r="CGY3" s="102"/>
      <c r="CHA3" s="101"/>
      <c r="CHB3" s="100"/>
      <c r="CHC3" s="102"/>
      <c r="CHE3" s="101"/>
      <c r="CHF3" s="100"/>
      <c r="CHG3" s="102"/>
      <c r="CHI3" s="101"/>
      <c r="CHJ3" s="100"/>
      <c r="CHK3" s="102"/>
      <c r="CHM3" s="101"/>
      <c r="CHN3" s="100"/>
      <c r="CHO3" s="102"/>
      <c r="CHQ3" s="101"/>
      <c r="CHR3" s="100"/>
      <c r="CHS3" s="102"/>
      <c r="CHU3" s="101"/>
      <c r="CHV3" s="100"/>
      <c r="CHW3" s="102"/>
      <c r="CHY3" s="101"/>
      <c r="CHZ3" s="100"/>
      <c r="CIA3" s="102"/>
      <c r="CIC3" s="101"/>
      <c r="CID3" s="100"/>
      <c r="CIE3" s="102"/>
      <c r="CIG3" s="101"/>
      <c r="CIH3" s="100"/>
      <c r="CII3" s="102"/>
      <c r="CIK3" s="101"/>
      <c r="CIL3" s="100"/>
      <c r="CIM3" s="102"/>
      <c r="CIO3" s="101"/>
      <c r="CIP3" s="100"/>
      <c r="CIQ3" s="102"/>
      <c r="CIS3" s="101"/>
      <c r="CIT3" s="100"/>
      <c r="CIU3" s="102"/>
      <c r="CIW3" s="101"/>
      <c r="CIX3" s="100"/>
      <c r="CIY3" s="102"/>
      <c r="CJA3" s="101"/>
      <c r="CJB3" s="100"/>
      <c r="CJC3" s="102"/>
      <c r="CJE3" s="101"/>
      <c r="CJF3" s="100"/>
      <c r="CJG3" s="102"/>
      <c r="CJI3" s="101"/>
      <c r="CJJ3" s="100"/>
      <c r="CJK3" s="102"/>
      <c r="CJM3" s="101"/>
      <c r="CJN3" s="100"/>
      <c r="CJO3" s="102"/>
      <c r="CJQ3" s="101"/>
      <c r="CJR3" s="100"/>
      <c r="CJS3" s="102"/>
      <c r="CJU3" s="101"/>
      <c r="CJV3" s="100"/>
      <c r="CJW3" s="102"/>
      <c r="CJY3" s="101"/>
      <c r="CJZ3" s="100"/>
      <c r="CKA3" s="102"/>
      <c r="CKC3" s="101"/>
      <c r="CKD3" s="100"/>
      <c r="CKE3" s="102"/>
      <c r="CKG3" s="101"/>
      <c r="CKH3" s="100"/>
      <c r="CKI3" s="102"/>
      <c r="CKK3" s="101"/>
      <c r="CKL3" s="100"/>
      <c r="CKM3" s="102"/>
      <c r="CKO3" s="101"/>
      <c r="CKP3" s="100"/>
      <c r="CKQ3" s="102"/>
      <c r="CKS3" s="101"/>
      <c r="CKT3" s="100"/>
      <c r="CKU3" s="102"/>
      <c r="CKW3" s="101"/>
      <c r="CKX3" s="100"/>
      <c r="CKY3" s="102"/>
      <c r="CLA3" s="101"/>
      <c r="CLB3" s="100"/>
      <c r="CLC3" s="102"/>
      <c r="CLE3" s="101"/>
      <c r="CLF3" s="100"/>
      <c r="CLG3" s="102"/>
      <c r="CLI3" s="101"/>
      <c r="CLJ3" s="100"/>
      <c r="CLK3" s="102"/>
      <c r="CLM3" s="101"/>
      <c r="CLN3" s="100"/>
      <c r="CLO3" s="102"/>
      <c r="CLQ3" s="101"/>
      <c r="CLR3" s="100"/>
      <c r="CLS3" s="102"/>
      <c r="CLU3" s="101"/>
      <c r="CLV3" s="100"/>
      <c r="CLW3" s="102"/>
      <c r="CLY3" s="101"/>
      <c r="CLZ3" s="100"/>
      <c r="CMA3" s="102"/>
      <c r="CMC3" s="101"/>
      <c r="CMD3" s="100"/>
      <c r="CME3" s="102"/>
      <c r="CMG3" s="101"/>
      <c r="CMH3" s="100"/>
      <c r="CMI3" s="102"/>
      <c r="CMK3" s="101"/>
      <c r="CML3" s="100"/>
      <c r="CMM3" s="102"/>
      <c r="CMO3" s="101"/>
      <c r="CMP3" s="100"/>
      <c r="CMQ3" s="102"/>
      <c r="CMS3" s="101"/>
      <c r="CMT3" s="100"/>
      <c r="CMU3" s="102"/>
      <c r="CMW3" s="101"/>
      <c r="CMX3" s="100"/>
      <c r="CMY3" s="102"/>
      <c r="CNA3" s="101"/>
      <c r="CNB3" s="100"/>
      <c r="CNC3" s="102"/>
      <c r="CNE3" s="101"/>
      <c r="CNF3" s="100"/>
      <c r="CNG3" s="102"/>
      <c r="CNI3" s="101"/>
      <c r="CNJ3" s="100"/>
      <c r="CNK3" s="102"/>
      <c r="CNM3" s="101"/>
      <c r="CNN3" s="100"/>
      <c r="CNO3" s="102"/>
      <c r="CNQ3" s="101"/>
      <c r="CNR3" s="100"/>
      <c r="CNS3" s="102"/>
      <c r="CNU3" s="101"/>
      <c r="CNV3" s="100"/>
      <c r="CNW3" s="102"/>
      <c r="CNY3" s="101"/>
      <c r="CNZ3" s="100"/>
      <c r="COA3" s="102"/>
      <c r="COC3" s="101"/>
      <c r="COD3" s="100"/>
      <c r="COE3" s="102"/>
      <c r="COG3" s="101"/>
      <c r="COH3" s="100"/>
      <c r="COI3" s="102"/>
      <c r="COK3" s="101"/>
      <c r="COL3" s="100"/>
      <c r="COM3" s="102"/>
      <c r="COO3" s="101"/>
      <c r="COP3" s="100"/>
      <c r="COQ3" s="102"/>
      <c r="COS3" s="101"/>
      <c r="COT3" s="100"/>
      <c r="COU3" s="102"/>
      <c r="COW3" s="101"/>
      <c r="COX3" s="100"/>
      <c r="COY3" s="102"/>
      <c r="CPA3" s="101"/>
      <c r="CPB3" s="100"/>
      <c r="CPC3" s="102"/>
      <c r="CPE3" s="101"/>
      <c r="CPF3" s="100"/>
      <c r="CPG3" s="102"/>
      <c r="CPI3" s="101"/>
      <c r="CPJ3" s="100"/>
      <c r="CPK3" s="102"/>
      <c r="CPM3" s="101"/>
      <c r="CPN3" s="100"/>
      <c r="CPO3" s="102"/>
      <c r="CPQ3" s="101"/>
      <c r="CPR3" s="100"/>
      <c r="CPS3" s="102"/>
      <c r="CPU3" s="101"/>
      <c r="CPV3" s="100"/>
      <c r="CPW3" s="102"/>
      <c r="CPY3" s="101"/>
      <c r="CPZ3" s="100"/>
      <c r="CQA3" s="102"/>
      <c r="CQC3" s="101"/>
      <c r="CQD3" s="100"/>
      <c r="CQE3" s="102"/>
      <c r="CQG3" s="101"/>
      <c r="CQH3" s="100"/>
      <c r="CQI3" s="102"/>
      <c r="CQK3" s="101"/>
      <c r="CQL3" s="100"/>
      <c r="CQM3" s="102"/>
      <c r="CQO3" s="101"/>
      <c r="CQP3" s="100"/>
      <c r="CQQ3" s="102"/>
      <c r="CQS3" s="101"/>
      <c r="CQT3" s="100"/>
      <c r="CQU3" s="102"/>
      <c r="CQW3" s="101"/>
      <c r="CQX3" s="100"/>
      <c r="CQY3" s="102"/>
      <c r="CRA3" s="101"/>
      <c r="CRB3" s="100"/>
      <c r="CRC3" s="102"/>
      <c r="CRE3" s="101"/>
      <c r="CRF3" s="100"/>
      <c r="CRG3" s="102"/>
      <c r="CRI3" s="101"/>
      <c r="CRJ3" s="100"/>
      <c r="CRK3" s="102"/>
      <c r="CRM3" s="101"/>
      <c r="CRN3" s="100"/>
      <c r="CRO3" s="102"/>
      <c r="CRQ3" s="101"/>
      <c r="CRR3" s="100"/>
      <c r="CRS3" s="102"/>
      <c r="CRU3" s="101"/>
      <c r="CRV3" s="100"/>
      <c r="CRW3" s="102"/>
      <c r="CRY3" s="101"/>
      <c r="CRZ3" s="100"/>
      <c r="CSA3" s="102"/>
      <c r="CSC3" s="101"/>
      <c r="CSD3" s="100"/>
      <c r="CSE3" s="102"/>
      <c r="CSG3" s="101"/>
      <c r="CSH3" s="100"/>
      <c r="CSI3" s="102"/>
      <c r="CSK3" s="101"/>
      <c r="CSL3" s="100"/>
      <c r="CSM3" s="102"/>
      <c r="CSO3" s="101"/>
      <c r="CSP3" s="100"/>
      <c r="CSQ3" s="102"/>
      <c r="CSS3" s="101"/>
      <c r="CST3" s="100"/>
      <c r="CSU3" s="102"/>
      <c r="CSW3" s="101"/>
      <c r="CSX3" s="100"/>
      <c r="CSY3" s="102"/>
      <c r="CTA3" s="101"/>
      <c r="CTB3" s="100"/>
      <c r="CTC3" s="102"/>
      <c r="CTE3" s="101"/>
      <c r="CTF3" s="100"/>
      <c r="CTG3" s="102"/>
      <c r="CTI3" s="101"/>
      <c r="CTJ3" s="100"/>
      <c r="CTK3" s="102"/>
      <c r="CTM3" s="101"/>
      <c r="CTN3" s="100"/>
      <c r="CTO3" s="102"/>
      <c r="CTQ3" s="101"/>
      <c r="CTR3" s="100"/>
      <c r="CTS3" s="102"/>
      <c r="CTU3" s="101"/>
      <c r="CTV3" s="100"/>
      <c r="CTW3" s="102"/>
      <c r="CTY3" s="101"/>
      <c r="CTZ3" s="100"/>
      <c r="CUA3" s="102"/>
      <c r="CUC3" s="101"/>
      <c r="CUD3" s="100"/>
      <c r="CUE3" s="102"/>
      <c r="CUG3" s="101"/>
      <c r="CUH3" s="100"/>
      <c r="CUI3" s="102"/>
      <c r="CUK3" s="101"/>
      <c r="CUL3" s="100"/>
      <c r="CUM3" s="102"/>
      <c r="CUO3" s="101"/>
      <c r="CUP3" s="100"/>
      <c r="CUQ3" s="102"/>
      <c r="CUS3" s="101"/>
      <c r="CUT3" s="100"/>
      <c r="CUU3" s="102"/>
      <c r="CUW3" s="101"/>
      <c r="CUX3" s="100"/>
      <c r="CUY3" s="102"/>
      <c r="CVA3" s="101"/>
      <c r="CVB3" s="100"/>
      <c r="CVC3" s="102"/>
      <c r="CVE3" s="101"/>
      <c r="CVF3" s="100"/>
      <c r="CVG3" s="102"/>
      <c r="CVI3" s="101"/>
      <c r="CVJ3" s="100"/>
      <c r="CVK3" s="102"/>
      <c r="CVM3" s="101"/>
      <c r="CVN3" s="100"/>
      <c r="CVO3" s="102"/>
      <c r="CVQ3" s="101"/>
      <c r="CVR3" s="100"/>
      <c r="CVS3" s="102"/>
      <c r="CVU3" s="101"/>
      <c r="CVV3" s="100"/>
      <c r="CVW3" s="102"/>
      <c r="CVY3" s="101"/>
      <c r="CVZ3" s="100"/>
      <c r="CWA3" s="102"/>
      <c r="CWC3" s="101"/>
      <c r="CWD3" s="100"/>
      <c r="CWE3" s="102"/>
      <c r="CWG3" s="101"/>
      <c r="CWH3" s="100"/>
      <c r="CWI3" s="102"/>
      <c r="CWK3" s="101"/>
      <c r="CWL3" s="100"/>
      <c r="CWM3" s="102"/>
      <c r="CWO3" s="101"/>
      <c r="CWP3" s="100"/>
      <c r="CWQ3" s="102"/>
      <c r="CWS3" s="101"/>
      <c r="CWT3" s="100"/>
      <c r="CWU3" s="102"/>
      <c r="CWW3" s="101"/>
      <c r="CWX3" s="100"/>
      <c r="CWY3" s="102"/>
      <c r="CXA3" s="101"/>
      <c r="CXB3" s="100"/>
      <c r="CXC3" s="102"/>
      <c r="CXE3" s="101"/>
      <c r="CXF3" s="100"/>
      <c r="CXG3" s="102"/>
      <c r="CXI3" s="101"/>
      <c r="CXJ3" s="100"/>
      <c r="CXK3" s="102"/>
      <c r="CXM3" s="101"/>
      <c r="CXN3" s="100"/>
      <c r="CXO3" s="102"/>
      <c r="CXQ3" s="101"/>
      <c r="CXR3" s="100"/>
      <c r="CXS3" s="102"/>
      <c r="CXU3" s="101"/>
      <c r="CXV3" s="100"/>
      <c r="CXW3" s="102"/>
      <c r="CXY3" s="101"/>
      <c r="CXZ3" s="100"/>
      <c r="CYA3" s="102"/>
      <c r="CYC3" s="101"/>
      <c r="CYD3" s="100"/>
      <c r="CYE3" s="102"/>
      <c r="CYG3" s="101"/>
      <c r="CYH3" s="100"/>
      <c r="CYI3" s="102"/>
      <c r="CYK3" s="101"/>
      <c r="CYL3" s="100"/>
      <c r="CYM3" s="102"/>
      <c r="CYO3" s="101"/>
      <c r="CYP3" s="100"/>
      <c r="CYQ3" s="102"/>
      <c r="CYS3" s="101"/>
      <c r="CYT3" s="100"/>
      <c r="CYU3" s="102"/>
      <c r="CYW3" s="101"/>
      <c r="CYX3" s="100"/>
      <c r="CYY3" s="102"/>
      <c r="CZA3" s="101"/>
      <c r="CZB3" s="100"/>
      <c r="CZC3" s="102"/>
      <c r="CZE3" s="101"/>
      <c r="CZF3" s="100"/>
      <c r="CZG3" s="102"/>
      <c r="CZI3" s="101"/>
      <c r="CZJ3" s="100"/>
      <c r="CZK3" s="102"/>
      <c r="CZM3" s="101"/>
      <c r="CZN3" s="100"/>
      <c r="CZO3" s="102"/>
      <c r="CZQ3" s="101"/>
      <c r="CZR3" s="100"/>
      <c r="CZS3" s="102"/>
      <c r="CZU3" s="101"/>
      <c r="CZV3" s="100"/>
      <c r="CZW3" s="102"/>
      <c r="CZY3" s="101"/>
      <c r="CZZ3" s="100"/>
      <c r="DAA3" s="102"/>
      <c r="DAC3" s="101"/>
      <c r="DAD3" s="100"/>
      <c r="DAE3" s="102"/>
      <c r="DAG3" s="101"/>
      <c r="DAH3" s="100"/>
      <c r="DAI3" s="102"/>
      <c r="DAK3" s="101"/>
      <c r="DAL3" s="100"/>
      <c r="DAM3" s="102"/>
      <c r="DAO3" s="101"/>
      <c r="DAP3" s="100"/>
      <c r="DAQ3" s="102"/>
      <c r="DAS3" s="101"/>
      <c r="DAT3" s="100"/>
      <c r="DAU3" s="102"/>
      <c r="DAW3" s="101"/>
      <c r="DAX3" s="100"/>
      <c r="DAY3" s="102"/>
      <c r="DBA3" s="101"/>
      <c r="DBB3" s="100"/>
      <c r="DBC3" s="102"/>
      <c r="DBE3" s="101"/>
      <c r="DBF3" s="100"/>
      <c r="DBG3" s="102"/>
      <c r="DBI3" s="101"/>
      <c r="DBJ3" s="100"/>
      <c r="DBK3" s="102"/>
      <c r="DBM3" s="101"/>
      <c r="DBN3" s="100"/>
      <c r="DBO3" s="102"/>
      <c r="DBQ3" s="101"/>
      <c r="DBR3" s="100"/>
      <c r="DBS3" s="102"/>
      <c r="DBU3" s="101"/>
      <c r="DBV3" s="100"/>
      <c r="DBW3" s="102"/>
      <c r="DBY3" s="101"/>
      <c r="DBZ3" s="100"/>
      <c r="DCA3" s="102"/>
      <c r="DCC3" s="101"/>
      <c r="DCD3" s="100"/>
      <c r="DCE3" s="102"/>
      <c r="DCG3" s="101"/>
      <c r="DCH3" s="100"/>
      <c r="DCI3" s="102"/>
      <c r="DCK3" s="101"/>
      <c r="DCL3" s="100"/>
      <c r="DCM3" s="102"/>
      <c r="DCO3" s="101"/>
      <c r="DCP3" s="100"/>
      <c r="DCQ3" s="102"/>
      <c r="DCS3" s="101"/>
      <c r="DCT3" s="100"/>
      <c r="DCU3" s="102"/>
      <c r="DCW3" s="101"/>
      <c r="DCX3" s="100"/>
      <c r="DCY3" s="102"/>
      <c r="DDA3" s="101"/>
      <c r="DDB3" s="100"/>
      <c r="DDC3" s="102"/>
      <c r="DDE3" s="101"/>
      <c r="DDF3" s="100"/>
      <c r="DDG3" s="102"/>
      <c r="DDI3" s="101"/>
      <c r="DDJ3" s="100"/>
      <c r="DDK3" s="102"/>
      <c r="DDM3" s="101"/>
      <c r="DDN3" s="100"/>
      <c r="DDO3" s="102"/>
      <c r="DDQ3" s="101"/>
      <c r="DDR3" s="100"/>
      <c r="DDS3" s="102"/>
      <c r="DDU3" s="101"/>
      <c r="DDV3" s="100"/>
      <c r="DDW3" s="102"/>
      <c r="DDY3" s="101"/>
      <c r="DDZ3" s="100"/>
      <c r="DEA3" s="102"/>
      <c r="DEC3" s="101"/>
      <c r="DED3" s="100"/>
      <c r="DEE3" s="102"/>
      <c r="DEG3" s="101"/>
      <c r="DEH3" s="100"/>
      <c r="DEI3" s="102"/>
      <c r="DEK3" s="101"/>
      <c r="DEL3" s="100"/>
      <c r="DEM3" s="102"/>
      <c r="DEO3" s="101"/>
      <c r="DEP3" s="100"/>
      <c r="DEQ3" s="102"/>
      <c r="DES3" s="101"/>
      <c r="DET3" s="100"/>
      <c r="DEU3" s="102"/>
      <c r="DEW3" s="101"/>
      <c r="DEX3" s="100"/>
      <c r="DEY3" s="102"/>
      <c r="DFA3" s="101"/>
      <c r="DFB3" s="100"/>
      <c r="DFC3" s="102"/>
      <c r="DFE3" s="101"/>
      <c r="DFF3" s="100"/>
      <c r="DFG3" s="102"/>
      <c r="DFI3" s="101"/>
      <c r="DFJ3" s="100"/>
      <c r="DFK3" s="102"/>
      <c r="DFM3" s="101"/>
      <c r="DFN3" s="100"/>
      <c r="DFO3" s="102"/>
      <c r="DFQ3" s="101"/>
      <c r="DFR3" s="100"/>
      <c r="DFS3" s="102"/>
      <c r="DFU3" s="101"/>
      <c r="DFV3" s="100"/>
      <c r="DFW3" s="102"/>
      <c r="DFY3" s="101"/>
      <c r="DFZ3" s="100"/>
      <c r="DGA3" s="102"/>
      <c r="DGC3" s="101"/>
      <c r="DGD3" s="100"/>
      <c r="DGE3" s="102"/>
      <c r="DGG3" s="101"/>
      <c r="DGH3" s="100"/>
      <c r="DGI3" s="102"/>
      <c r="DGK3" s="101"/>
      <c r="DGL3" s="100"/>
      <c r="DGM3" s="102"/>
      <c r="DGO3" s="101"/>
      <c r="DGP3" s="100"/>
      <c r="DGQ3" s="102"/>
      <c r="DGS3" s="101"/>
      <c r="DGT3" s="100"/>
      <c r="DGU3" s="102"/>
      <c r="DGW3" s="101"/>
      <c r="DGX3" s="100"/>
      <c r="DGY3" s="102"/>
      <c r="DHA3" s="101"/>
      <c r="DHB3" s="100"/>
      <c r="DHC3" s="102"/>
      <c r="DHE3" s="101"/>
      <c r="DHF3" s="100"/>
      <c r="DHG3" s="102"/>
      <c r="DHI3" s="101"/>
      <c r="DHJ3" s="100"/>
      <c r="DHK3" s="102"/>
      <c r="DHM3" s="101"/>
      <c r="DHN3" s="100"/>
      <c r="DHO3" s="102"/>
      <c r="DHQ3" s="101"/>
      <c r="DHR3" s="100"/>
      <c r="DHS3" s="102"/>
      <c r="DHU3" s="101"/>
      <c r="DHV3" s="100"/>
      <c r="DHW3" s="102"/>
      <c r="DHY3" s="101"/>
      <c r="DHZ3" s="100"/>
      <c r="DIA3" s="102"/>
      <c r="DIC3" s="101"/>
      <c r="DID3" s="100"/>
      <c r="DIE3" s="102"/>
      <c r="DIG3" s="101"/>
      <c r="DIH3" s="100"/>
      <c r="DII3" s="102"/>
      <c r="DIK3" s="101"/>
      <c r="DIL3" s="100"/>
      <c r="DIM3" s="102"/>
      <c r="DIO3" s="101"/>
      <c r="DIP3" s="100"/>
      <c r="DIQ3" s="102"/>
      <c r="DIS3" s="101"/>
      <c r="DIT3" s="100"/>
      <c r="DIU3" s="102"/>
      <c r="DIW3" s="101"/>
      <c r="DIX3" s="100"/>
      <c r="DIY3" s="102"/>
      <c r="DJA3" s="101"/>
      <c r="DJB3" s="100"/>
      <c r="DJC3" s="102"/>
      <c r="DJE3" s="101"/>
      <c r="DJF3" s="100"/>
      <c r="DJG3" s="102"/>
      <c r="DJI3" s="101"/>
      <c r="DJJ3" s="100"/>
      <c r="DJK3" s="102"/>
      <c r="DJM3" s="101"/>
      <c r="DJN3" s="100"/>
      <c r="DJO3" s="102"/>
      <c r="DJQ3" s="101"/>
      <c r="DJR3" s="100"/>
      <c r="DJS3" s="102"/>
      <c r="DJU3" s="101"/>
      <c r="DJV3" s="100"/>
      <c r="DJW3" s="102"/>
      <c r="DJY3" s="101"/>
      <c r="DJZ3" s="100"/>
      <c r="DKA3" s="102"/>
      <c r="DKC3" s="101"/>
      <c r="DKD3" s="100"/>
      <c r="DKE3" s="102"/>
      <c r="DKG3" s="101"/>
      <c r="DKH3" s="100"/>
      <c r="DKI3" s="102"/>
      <c r="DKK3" s="101"/>
      <c r="DKL3" s="100"/>
      <c r="DKM3" s="102"/>
      <c r="DKO3" s="101"/>
      <c r="DKP3" s="100"/>
      <c r="DKQ3" s="102"/>
      <c r="DKS3" s="101"/>
      <c r="DKT3" s="100"/>
      <c r="DKU3" s="102"/>
      <c r="DKW3" s="101"/>
      <c r="DKX3" s="100"/>
      <c r="DKY3" s="102"/>
      <c r="DLA3" s="101"/>
      <c r="DLB3" s="100"/>
      <c r="DLC3" s="102"/>
      <c r="DLE3" s="101"/>
      <c r="DLF3" s="100"/>
      <c r="DLG3" s="102"/>
      <c r="DLI3" s="101"/>
      <c r="DLJ3" s="100"/>
      <c r="DLK3" s="102"/>
      <c r="DLM3" s="101"/>
      <c r="DLN3" s="100"/>
      <c r="DLO3" s="102"/>
      <c r="DLQ3" s="101"/>
      <c r="DLR3" s="100"/>
      <c r="DLS3" s="102"/>
      <c r="DLU3" s="101"/>
      <c r="DLV3" s="100"/>
      <c r="DLW3" s="102"/>
      <c r="DLY3" s="101"/>
      <c r="DLZ3" s="100"/>
      <c r="DMA3" s="102"/>
      <c r="DMC3" s="101"/>
      <c r="DMD3" s="100"/>
      <c r="DME3" s="102"/>
      <c r="DMG3" s="101"/>
      <c r="DMH3" s="100"/>
      <c r="DMI3" s="102"/>
      <c r="DMK3" s="101"/>
      <c r="DML3" s="100"/>
      <c r="DMM3" s="102"/>
      <c r="DMO3" s="101"/>
      <c r="DMP3" s="100"/>
      <c r="DMQ3" s="102"/>
      <c r="DMS3" s="101"/>
      <c r="DMT3" s="100"/>
      <c r="DMU3" s="102"/>
      <c r="DMW3" s="101"/>
      <c r="DMX3" s="100"/>
      <c r="DMY3" s="102"/>
      <c r="DNA3" s="101"/>
      <c r="DNB3" s="100"/>
      <c r="DNC3" s="102"/>
      <c r="DNE3" s="101"/>
      <c r="DNF3" s="100"/>
      <c r="DNG3" s="102"/>
      <c r="DNI3" s="101"/>
      <c r="DNJ3" s="100"/>
      <c r="DNK3" s="102"/>
      <c r="DNM3" s="101"/>
      <c r="DNN3" s="100"/>
      <c r="DNO3" s="102"/>
      <c r="DNQ3" s="101"/>
      <c r="DNR3" s="100"/>
      <c r="DNS3" s="102"/>
      <c r="DNU3" s="101"/>
      <c r="DNV3" s="100"/>
      <c r="DNW3" s="102"/>
      <c r="DNY3" s="101"/>
      <c r="DNZ3" s="100"/>
      <c r="DOA3" s="102"/>
      <c r="DOC3" s="101"/>
      <c r="DOD3" s="100"/>
      <c r="DOE3" s="102"/>
      <c r="DOG3" s="101"/>
      <c r="DOH3" s="100"/>
      <c r="DOI3" s="102"/>
      <c r="DOK3" s="101"/>
      <c r="DOL3" s="100"/>
      <c r="DOM3" s="102"/>
      <c r="DOO3" s="101"/>
      <c r="DOP3" s="100"/>
      <c r="DOQ3" s="102"/>
      <c r="DOS3" s="101"/>
      <c r="DOT3" s="100"/>
      <c r="DOU3" s="102"/>
      <c r="DOW3" s="101"/>
      <c r="DOX3" s="100"/>
      <c r="DOY3" s="102"/>
      <c r="DPA3" s="101"/>
      <c r="DPB3" s="100"/>
      <c r="DPC3" s="102"/>
      <c r="DPE3" s="101"/>
      <c r="DPF3" s="100"/>
      <c r="DPG3" s="102"/>
      <c r="DPI3" s="101"/>
      <c r="DPJ3" s="100"/>
      <c r="DPK3" s="102"/>
      <c r="DPM3" s="101"/>
      <c r="DPN3" s="100"/>
      <c r="DPO3" s="102"/>
      <c r="DPQ3" s="101"/>
      <c r="DPR3" s="100"/>
      <c r="DPS3" s="102"/>
      <c r="DPU3" s="101"/>
      <c r="DPV3" s="100"/>
      <c r="DPW3" s="102"/>
      <c r="DPY3" s="101"/>
      <c r="DPZ3" s="100"/>
      <c r="DQA3" s="102"/>
      <c r="DQC3" s="101"/>
      <c r="DQD3" s="100"/>
      <c r="DQE3" s="102"/>
      <c r="DQG3" s="101"/>
      <c r="DQH3" s="100"/>
      <c r="DQI3" s="102"/>
      <c r="DQK3" s="101"/>
      <c r="DQL3" s="100"/>
      <c r="DQM3" s="102"/>
      <c r="DQO3" s="101"/>
      <c r="DQP3" s="100"/>
      <c r="DQQ3" s="102"/>
      <c r="DQS3" s="101"/>
      <c r="DQT3" s="100"/>
      <c r="DQU3" s="102"/>
      <c r="DQW3" s="101"/>
      <c r="DQX3" s="100"/>
      <c r="DQY3" s="102"/>
      <c r="DRA3" s="101"/>
      <c r="DRB3" s="100"/>
      <c r="DRC3" s="102"/>
      <c r="DRE3" s="101"/>
      <c r="DRF3" s="100"/>
      <c r="DRG3" s="102"/>
      <c r="DRI3" s="101"/>
      <c r="DRJ3" s="100"/>
      <c r="DRK3" s="102"/>
      <c r="DRM3" s="101"/>
      <c r="DRN3" s="100"/>
      <c r="DRO3" s="102"/>
      <c r="DRQ3" s="101"/>
      <c r="DRR3" s="100"/>
      <c r="DRS3" s="102"/>
      <c r="DRU3" s="101"/>
      <c r="DRV3" s="100"/>
      <c r="DRW3" s="102"/>
      <c r="DRY3" s="101"/>
      <c r="DRZ3" s="100"/>
      <c r="DSA3" s="102"/>
      <c r="DSC3" s="101"/>
      <c r="DSD3" s="100"/>
      <c r="DSE3" s="102"/>
      <c r="DSG3" s="101"/>
      <c r="DSH3" s="100"/>
      <c r="DSI3" s="102"/>
      <c r="DSK3" s="101"/>
      <c r="DSL3" s="100"/>
      <c r="DSM3" s="102"/>
      <c r="DSO3" s="101"/>
      <c r="DSP3" s="100"/>
      <c r="DSQ3" s="102"/>
      <c r="DSS3" s="101"/>
      <c r="DST3" s="100"/>
      <c r="DSU3" s="102"/>
      <c r="DSW3" s="101"/>
      <c r="DSX3" s="100"/>
      <c r="DSY3" s="102"/>
      <c r="DTA3" s="101"/>
      <c r="DTB3" s="100"/>
      <c r="DTC3" s="102"/>
      <c r="DTE3" s="101"/>
      <c r="DTF3" s="100"/>
      <c r="DTG3" s="102"/>
      <c r="DTI3" s="101"/>
      <c r="DTJ3" s="100"/>
      <c r="DTK3" s="102"/>
      <c r="DTM3" s="101"/>
      <c r="DTN3" s="100"/>
      <c r="DTO3" s="102"/>
      <c r="DTQ3" s="101"/>
      <c r="DTR3" s="100"/>
      <c r="DTS3" s="102"/>
      <c r="DTU3" s="101"/>
      <c r="DTV3" s="100"/>
      <c r="DTW3" s="102"/>
      <c r="DTY3" s="101"/>
      <c r="DTZ3" s="100"/>
      <c r="DUA3" s="102"/>
      <c r="DUC3" s="101"/>
      <c r="DUD3" s="100"/>
      <c r="DUE3" s="102"/>
      <c r="DUG3" s="101"/>
      <c r="DUH3" s="100"/>
      <c r="DUI3" s="102"/>
      <c r="DUK3" s="101"/>
      <c r="DUL3" s="100"/>
      <c r="DUM3" s="102"/>
      <c r="DUO3" s="101"/>
      <c r="DUP3" s="100"/>
      <c r="DUQ3" s="102"/>
      <c r="DUS3" s="101"/>
      <c r="DUT3" s="100"/>
      <c r="DUU3" s="102"/>
      <c r="DUW3" s="101"/>
      <c r="DUX3" s="100"/>
      <c r="DUY3" s="102"/>
      <c r="DVA3" s="101"/>
      <c r="DVB3" s="100"/>
      <c r="DVC3" s="102"/>
      <c r="DVE3" s="101"/>
      <c r="DVF3" s="100"/>
      <c r="DVG3" s="102"/>
      <c r="DVI3" s="101"/>
      <c r="DVJ3" s="100"/>
      <c r="DVK3" s="102"/>
      <c r="DVM3" s="101"/>
      <c r="DVN3" s="100"/>
      <c r="DVO3" s="102"/>
      <c r="DVQ3" s="101"/>
      <c r="DVR3" s="100"/>
      <c r="DVS3" s="102"/>
      <c r="DVU3" s="101"/>
      <c r="DVV3" s="100"/>
      <c r="DVW3" s="102"/>
      <c r="DVY3" s="101"/>
      <c r="DVZ3" s="100"/>
      <c r="DWA3" s="102"/>
      <c r="DWC3" s="101"/>
      <c r="DWD3" s="100"/>
      <c r="DWE3" s="102"/>
      <c r="DWG3" s="101"/>
      <c r="DWH3" s="100"/>
      <c r="DWI3" s="102"/>
      <c r="DWK3" s="101"/>
      <c r="DWL3" s="100"/>
      <c r="DWM3" s="102"/>
      <c r="DWO3" s="101"/>
      <c r="DWP3" s="100"/>
      <c r="DWQ3" s="102"/>
      <c r="DWS3" s="101"/>
      <c r="DWT3" s="100"/>
      <c r="DWU3" s="102"/>
      <c r="DWW3" s="101"/>
      <c r="DWX3" s="100"/>
      <c r="DWY3" s="102"/>
      <c r="DXA3" s="101"/>
      <c r="DXB3" s="100"/>
      <c r="DXC3" s="102"/>
      <c r="DXE3" s="101"/>
      <c r="DXF3" s="100"/>
      <c r="DXG3" s="102"/>
      <c r="DXI3" s="101"/>
      <c r="DXJ3" s="100"/>
      <c r="DXK3" s="102"/>
      <c r="DXM3" s="101"/>
      <c r="DXN3" s="100"/>
      <c r="DXO3" s="102"/>
      <c r="DXQ3" s="101"/>
      <c r="DXR3" s="100"/>
      <c r="DXS3" s="102"/>
      <c r="DXU3" s="101"/>
      <c r="DXV3" s="100"/>
      <c r="DXW3" s="102"/>
      <c r="DXY3" s="101"/>
      <c r="DXZ3" s="100"/>
      <c r="DYA3" s="102"/>
      <c r="DYC3" s="101"/>
      <c r="DYD3" s="100"/>
      <c r="DYE3" s="102"/>
      <c r="DYG3" s="101"/>
      <c r="DYH3" s="100"/>
      <c r="DYI3" s="102"/>
      <c r="DYK3" s="101"/>
      <c r="DYL3" s="100"/>
      <c r="DYM3" s="102"/>
      <c r="DYO3" s="101"/>
      <c r="DYP3" s="100"/>
      <c r="DYQ3" s="102"/>
      <c r="DYS3" s="101"/>
      <c r="DYT3" s="100"/>
      <c r="DYU3" s="102"/>
      <c r="DYW3" s="101"/>
      <c r="DYX3" s="100"/>
      <c r="DYY3" s="102"/>
      <c r="DZA3" s="101"/>
      <c r="DZB3" s="100"/>
      <c r="DZC3" s="102"/>
      <c r="DZE3" s="101"/>
      <c r="DZF3" s="100"/>
      <c r="DZG3" s="102"/>
      <c r="DZI3" s="101"/>
      <c r="DZJ3" s="100"/>
      <c r="DZK3" s="102"/>
      <c r="DZM3" s="101"/>
      <c r="DZN3" s="100"/>
      <c r="DZO3" s="102"/>
      <c r="DZQ3" s="101"/>
      <c r="DZR3" s="100"/>
      <c r="DZS3" s="102"/>
      <c r="DZU3" s="101"/>
      <c r="DZV3" s="100"/>
      <c r="DZW3" s="102"/>
      <c r="DZY3" s="101"/>
      <c r="DZZ3" s="100"/>
      <c r="EAA3" s="102"/>
      <c r="EAC3" s="101"/>
      <c r="EAD3" s="100"/>
      <c r="EAE3" s="102"/>
      <c r="EAG3" s="101"/>
      <c r="EAH3" s="100"/>
      <c r="EAI3" s="102"/>
      <c r="EAK3" s="101"/>
      <c r="EAL3" s="100"/>
      <c r="EAM3" s="102"/>
      <c r="EAO3" s="101"/>
      <c r="EAP3" s="100"/>
      <c r="EAQ3" s="102"/>
      <c r="EAS3" s="101"/>
      <c r="EAT3" s="100"/>
      <c r="EAU3" s="102"/>
      <c r="EAW3" s="101"/>
      <c r="EAX3" s="100"/>
      <c r="EAY3" s="102"/>
      <c r="EBA3" s="101"/>
      <c r="EBB3" s="100"/>
      <c r="EBC3" s="102"/>
      <c r="EBE3" s="101"/>
      <c r="EBF3" s="100"/>
      <c r="EBG3" s="102"/>
      <c r="EBI3" s="101"/>
      <c r="EBJ3" s="100"/>
      <c r="EBK3" s="102"/>
      <c r="EBM3" s="101"/>
      <c r="EBN3" s="100"/>
      <c r="EBO3" s="102"/>
      <c r="EBQ3" s="101"/>
      <c r="EBR3" s="100"/>
      <c r="EBS3" s="102"/>
      <c r="EBU3" s="101"/>
      <c r="EBV3" s="100"/>
      <c r="EBW3" s="102"/>
      <c r="EBY3" s="101"/>
      <c r="EBZ3" s="100"/>
      <c r="ECA3" s="102"/>
      <c r="ECC3" s="101"/>
      <c r="ECD3" s="100"/>
      <c r="ECE3" s="102"/>
      <c r="ECG3" s="101"/>
      <c r="ECH3" s="100"/>
      <c r="ECI3" s="102"/>
      <c r="ECK3" s="101"/>
      <c r="ECL3" s="100"/>
      <c r="ECM3" s="102"/>
      <c r="ECO3" s="101"/>
      <c r="ECP3" s="100"/>
      <c r="ECQ3" s="102"/>
      <c r="ECS3" s="101"/>
      <c r="ECT3" s="100"/>
      <c r="ECU3" s="102"/>
      <c r="ECW3" s="101"/>
      <c r="ECX3" s="100"/>
      <c r="ECY3" s="102"/>
      <c r="EDA3" s="101"/>
      <c r="EDB3" s="100"/>
      <c r="EDC3" s="102"/>
      <c r="EDE3" s="101"/>
      <c r="EDF3" s="100"/>
      <c r="EDG3" s="102"/>
      <c r="EDI3" s="101"/>
      <c r="EDJ3" s="100"/>
      <c r="EDK3" s="102"/>
      <c r="EDM3" s="101"/>
      <c r="EDN3" s="100"/>
      <c r="EDO3" s="102"/>
      <c r="EDQ3" s="101"/>
      <c r="EDR3" s="100"/>
      <c r="EDS3" s="102"/>
      <c r="EDU3" s="101"/>
      <c r="EDV3" s="100"/>
      <c r="EDW3" s="102"/>
      <c r="EDY3" s="101"/>
      <c r="EDZ3" s="100"/>
      <c r="EEA3" s="102"/>
      <c r="EEC3" s="101"/>
      <c r="EED3" s="100"/>
      <c r="EEE3" s="102"/>
      <c r="EEG3" s="101"/>
      <c r="EEH3" s="100"/>
      <c r="EEI3" s="102"/>
      <c r="EEK3" s="101"/>
      <c r="EEL3" s="100"/>
      <c r="EEM3" s="102"/>
      <c r="EEO3" s="101"/>
      <c r="EEP3" s="100"/>
      <c r="EEQ3" s="102"/>
      <c r="EES3" s="101"/>
      <c r="EET3" s="100"/>
      <c r="EEU3" s="102"/>
      <c r="EEW3" s="101"/>
      <c r="EEX3" s="100"/>
      <c r="EEY3" s="102"/>
      <c r="EFA3" s="101"/>
      <c r="EFB3" s="100"/>
      <c r="EFC3" s="102"/>
      <c r="EFE3" s="101"/>
      <c r="EFF3" s="100"/>
      <c r="EFG3" s="102"/>
      <c r="EFI3" s="101"/>
      <c r="EFJ3" s="100"/>
      <c r="EFK3" s="102"/>
      <c r="EFM3" s="101"/>
      <c r="EFN3" s="100"/>
      <c r="EFO3" s="102"/>
      <c r="EFQ3" s="101"/>
      <c r="EFR3" s="100"/>
      <c r="EFS3" s="102"/>
      <c r="EFU3" s="101"/>
      <c r="EFV3" s="100"/>
      <c r="EFW3" s="102"/>
      <c r="EFY3" s="101"/>
      <c r="EFZ3" s="100"/>
      <c r="EGA3" s="102"/>
      <c r="EGC3" s="101"/>
      <c r="EGD3" s="100"/>
      <c r="EGE3" s="102"/>
      <c r="EGG3" s="101"/>
      <c r="EGH3" s="100"/>
      <c r="EGI3" s="102"/>
      <c r="EGK3" s="101"/>
      <c r="EGL3" s="100"/>
      <c r="EGM3" s="102"/>
      <c r="EGO3" s="101"/>
      <c r="EGP3" s="100"/>
      <c r="EGQ3" s="102"/>
      <c r="EGS3" s="101"/>
      <c r="EGT3" s="100"/>
      <c r="EGU3" s="102"/>
      <c r="EGW3" s="101"/>
      <c r="EGX3" s="100"/>
      <c r="EGY3" s="102"/>
      <c r="EHA3" s="101"/>
      <c r="EHB3" s="100"/>
      <c r="EHC3" s="102"/>
      <c r="EHE3" s="101"/>
      <c r="EHF3" s="100"/>
      <c r="EHG3" s="102"/>
      <c r="EHI3" s="101"/>
      <c r="EHJ3" s="100"/>
      <c r="EHK3" s="102"/>
      <c r="EHM3" s="101"/>
      <c r="EHN3" s="100"/>
      <c r="EHO3" s="102"/>
      <c r="EHQ3" s="101"/>
      <c r="EHR3" s="100"/>
      <c r="EHS3" s="102"/>
      <c r="EHU3" s="101"/>
      <c r="EHV3" s="100"/>
      <c r="EHW3" s="102"/>
      <c r="EHY3" s="101"/>
      <c r="EHZ3" s="100"/>
      <c r="EIA3" s="102"/>
      <c r="EIC3" s="101"/>
      <c r="EID3" s="100"/>
      <c r="EIE3" s="102"/>
      <c r="EIG3" s="101"/>
      <c r="EIH3" s="100"/>
      <c r="EII3" s="102"/>
      <c r="EIK3" s="101"/>
      <c r="EIL3" s="100"/>
      <c r="EIM3" s="102"/>
      <c r="EIO3" s="101"/>
      <c r="EIP3" s="100"/>
      <c r="EIQ3" s="102"/>
      <c r="EIS3" s="101"/>
      <c r="EIT3" s="100"/>
      <c r="EIU3" s="102"/>
      <c r="EIW3" s="101"/>
      <c r="EIX3" s="100"/>
      <c r="EIY3" s="102"/>
      <c r="EJA3" s="101"/>
      <c r="EJB3" s="100"/>
      <c r="EJC3" s="102"/>
      <c r="EJE3" s="101"/>
      <c r="EJF3" s="100"/>
      <c r="EJG3" s="102"/>
      <c r="EJI3" s="101"/>
      <c r="EJJ3" s="100"/>
      <c r="EJK3" s="102"/>
      <c r="EJM3" s="101"/>
      <c r="EJN3" s="100"/>
      <c r="EJO3" s="102"/>
      <c r="EJQ3" s="101"/>
      <c r="EJR3" s="100"/>
      <c r="EJS3" s="102"/>
      <c r="EJU3" s="101"/>
      <c r="EJV3" s="100"/>
      <c r="EJW3" s="102"/>
      <c r="EJY3" s="101"/>
      <c r="EJZ3" s="100"/>
      <c r="EKA3" s="102"/>
      <c r="EKC3" s="101"/>
      <c r="EKD3" s="100"/>
      <c r="EKE3" s="102"/>
      <c r="EKG3" s="101"/>
      <c r="EKH3" s="100"/>
      <c r="EKI3" s="102"/>
      <c r="EKK3" s="101"/>
      <c r="EKL3" s="100"/>
      <c r="EKM3" s="102"/>
      <c r="EKO3" s="101"/>
      <c r="EKP3" s="100"/>
      <c r="EKQ3" s="102"/>
      <c r="EKS3" s="101"/>
      <c r="EKT3" s="100"/>
      <c r="EKU3" s="102"/>
      <c r="EKW3" s="101"/>
      <c r="EKX3" s="100"/>
      <c r="EKY3" s="102"/>
      <c r="ELA3" s="101"/>
      <c r="ELB3" s="100"/>
      <c r="ELC3" s="102"/>
      <c r="ELE3" s="101"/>
      <c r="ELF3" s="100"/>
      <c r="ELG3" s="102"/>
      <c r="ELI3" s="101"/>
      <c r="ELJ3" s="100"/>
      <c r="ELK3" s="102"/>
      <c r="ELM3" s="101"/>
      <c r="ELN3" s="100"/>
      <c r="ELO3" s="102"/>
      <c r="ELQ3" s="101"/>
      <c r="ELR3" s="100"/>
      <c r="ELS3" s="102"/>
      <c r="ELU3" s="101"/>
      <c r="ELV3" s="100"/>
      <c r="ELW3" s="102"/>
      <c r="ELY3" s="101"/>
      <c r="ELZ3" s="100"/>
      <c r="EMA3" s="102"/>
      <c r="EMC3" s="101"/>
      <c r="EMD3" s="100"/>
      <c r="EME3" s="102"/>
      <c r="EMG3" s="101"/>
      <c r="EMH3" s="100"/>
      <c r="EMI3" s="102"/>
      <c r="EMK3" s="101"/>
      <c r="EML3" s="100"/>
      <c r="EMM3" s="102"/>
      <c r="EMO3" s="101"/>
      <c r="EMP3" s="100"/>
      <c r="EMQ3" s="102"/>
      <c r="EMS3" s="101"/>
      <c r="EMT3" s="100"/>
      <c r="EMU3" s="102"/>
      <c r="EMW3" s="101"/>
      <c r="EMX3" s="100"/>
      <c r="EMY3" s="102"/>
      <c r="ENA3" s="101"/>
      <c r="ENB3" s="100"/>
      <c r="ENC3" s="102"/>
      <c r="ENE3" s="101"/>
      <c r="ENF3" s="100"/>
      <c r="ENG3" s="102"/>
      <c r="ENI3" s="101"/>
      <c r="ENJ3" s="100"/>
      <c r="ENK3" s="102"/>
      <c r="ENM3" s="101"/>
      <c r="ENN3" s="100"/>
      <c r="ENO3" s="102"/>
      <c r="ENQ3" s="101"/>
      <c r="ENR3" s="100"/>
      <c r="ENS3" s="102"/>
      <c r="ENU3" s="101"/>
      <c r="ENV3" s="100"/>
      <c r="ENW3" s="102"/>
      <c r="ENY3" s="101"/>
      <c r="ENZ3" s="100"/>
      <c r="EOA3" s="102"/>
      <c r="EOC3" s="101"/>
      <c r="EOD3" s="100"/>
      <c r="EOE3" s="102"/>
      <c r="EOG3" s="101"/>
      <c r="EOH3" s="100"/>
      <c r="EOI3" s="102"/>
      <c r="EOK3" s="101"/>
      <c r="EOL3" s="100"/>
      <c r="EOM3" s="102"/>
      <c r="EOO3" s="101"/>
      <c r="EOP3" s="100"/>
      <c r="EOQ3" s="102"/>
      <c r="EOS3" s="101"/>
      <c r="EOT3" s="100"/>
      <c r="EOU3" s="102"/>
      <c r="EOW3" s="101"/>
      <c r="EOX3" s="100"/>
      <c r="EOY3" s="102"/>
      <c r="EPA3" s="101"/>
      <c r="EPB3" s="100"/>
      <c r="EPC3" s="102"/>
      <c r="EPE3" s="101"/>
      <c r="EPF3" s="100"/>
      <c r="EPG3" s="102"/>
      <c r="EPI3" s="101"/>
      <c r="EPJ3" s="100"/>
      <c r="EPK3" s="102"/>
      <c r="EPM3" s="101"/>
      <c r="EPN3" s="100"/>
      <c r="EPO3" s="102"/>
      <c r="EPQ3" s="101"/>
      <c r="EPR3" s="100"/>
      <c r="EPS3" s="102"/>
      <c r="EPU3" s="101"/>
      <c r="EPV3" s="100"/>
      <c r="EPW3" s="102"/>
      <c r="EPY3" s="101"/>
      <c r="EPZ3" s="100"/>
      <c r="EQA3" s="102"/>
      <c r="EQC3" s="101"/>
      <c r="EQD3" s="100"/>
      <c r="EQE3" s="102"/>
      <c r="EQG3" s="101"/>
      <c r="EQH3" s="100"/>
      <c r="EQI3" s="102"/>
      <c r="EQK3" s="101"/>
      <c r="EQL3" s="100"/>
      <c r="EQM3" s="102"/>
      <c r="EQO3" s="101"/>
      <c r="EQP3" s="100"/>
      <c r="EQQ3" s="102"/>
      <c r="EQS3" s="101"/>
      <c r="EQT3" s="100"/>
      <c r="EQU3" s="102"/>
      <c r="EQW3" s="101"/>
      <c r="EQX3" s="100"/>
      <c r="EQY3" s="102"/>
      <c r="ERA3" s="101"/>
      <c r="ERB3" s="100"/>
      <c r="ERC3" s="102"/>
      <c r="ERE3" s="101"/>
      <c r="ERF3" s="100"/>
      <c r="ERG3" s="102"/>
      <c r="ERI3" s="101"/>
      <c r="ERJ3" s="100"/>
      <c r="ERK3" s="102"/>
      <c r="ERM3" s="101"/>
      <c r="ERN3" s="100"/>
      <c r="ERO3" s="102"/>
      <c r="ERQ3" s="101"/>
      <c r="ERR3" s="100"/>
      <c r="ERS3" s="102"/>
      <c r="ERU3" s="101"/>
      <c r="ERV3" s="100"/>
      <c r="ERW3" s="102"/>
      <c r="ERY3" s="101"/>
      <c r="ERZ3" s="100"/>
      <c r="ESA3" s="102"/>
      <c r="ESC3" s="101"/>
      <c r="ESD3" s="100"/>
      <c r="ESE3" s="102"/>
      <c r="ESG3" s="101"/>
      <c r="ESH3" s="100"/>
      <c r="ESI3" s="102"/>
      <c r="ESK3" s="101"/>
      <c r="ESL3" s="100"/>
      <c r="ESM3" s="102"/>
      <c r="ESO3" s="101"/>
      <c r="ESP3" s="100"/>
      <c r="ESQ3" s="102"/>
      <c r="ESS3" s="101"/>
      <c r="EST3" s="100"/>
      <c r="ESU3" s="102"/>
      <c r="ESW3" s="101"/>
      <c r="ESX3" s="100"/>
      <c r="ESY3" s="102"/>
      <c r="ETA3" s="101"/>
      <c r="ETB3" s="100"/>
      <c r="ETC3" s="102"/>
      <c r="ETE3" s="101"/>
      <c r="ETF3" s="100"/>
      <c r="ETG3" s="102"/>
      <c r="ETI3" s="101"/>
      <c r="ETJ3" s="100"/>
      <c r="ETK3" s="102"/>
      <c r="ETM3" s="101"/>
      <c r="ETN3" s="100"/>
      <c r="ETO3" s="102"/>
      <c r="ETQ3" s="101"/>
      <c r="ETR3" s="100"/>
      <c r="ETS3" s="102"/>
      <c r="ETU3" s="101"/>
      <c r="ETV3" s="100"/>
      <c r="ETW3" s="102"/>
      <c r="ETY3" s="101"/>
      <c r="ETZ3" s="100"/>
      <c r="EUA3" s="102"/>
      <c r="EUC3" s="101"/>
      <c r="EUD3" s="100"/>
      <c r="EUE3" s="102"/>
      <c r="EUG3" s="101"/>
      <c r="EUH3" s="100"/>
      <c r="EUI3" s="102"/>
      <c r="EUK3" s="101"/>
      <c r="EUL3" s="100"/>
      <c r="EUM3" s="102"/>
      <c r="EUO3" s="101"/>
      <c r="EUP3" s="100"/>
      <c r="EUQ3" s="102"/>
      <c r="EUS3" s="101"/>
      <c r="EUT3" s="100"/>
      <c r="EUU3" s="102"/>
      <c r="EUW3" s="101"/>
      <c r="EUX3" s="100"/>
      <c r="EUY3" s="102"/>
      <c r="EVA3" s="101"/>
      <c r="EVB3" s="100"/>
      <c r="EVC3" s="102"/>
      <c r="EVE3" s="101"/>
      <c r="EVF3" s="100"/>
      <c r="EVG3" s="102"/>
      <c r="EVI3" s="101"/>
      <c r="EVJ3" s="100"/>
      <c r="EVK3" s="102"/>
      <c r="EVM3" s="101"/>
      <c r="EVN3" s="100"/>
      <c r="EVO3" s="102"/>
      <c r="EVQ3" s="101"/>
      <c r="EVR3" s="100"/>
      <c r="EVS3" s="102"/>
      <c r="EVU3" s="101"/>
      <c r="EVV3" s="100"/>
      <c r="EVW3" s="102"/>
      <c r="EVY3" s="101"/>
      <c r="EVZ3" s="100"/>
      <c r="EWA3" s="102"/>
      <c r="EWC3" s="101"/>
      <c r="EWD3" s="100"/>
      <c r="EWE3" s="102"/>
      <c r="EWG3" s="101"/>
      <c r="EWH3" s="100"/>
      <c r="EWI3" s="102"/>
      <c r="EWK3" s="101"/>
      <c r="EWL3" s="100"/>
      <c r="EWM3" s="102"/>
      <c r="EWO3" s="101"/>
      <c r="EWP3" s="100"/>
      <c r="EWQ3" s="102"/>
      <c r="EWS3" s="101"/>
      <c r="EWT3" s="100"/>
      <c r="EWU3" s="102"/>
      <c r="EWW3" s="101"/>
      <c r="EWX3" s="100"/>
      <c r="EWY3" s="102"/>
      <c r="EXA3" s="101"/>
      <c r="EXB3" s="100"/>
      <c r="EXC3" s="102"/>
      <c r="EXE3" s="101"/>
      <c r="EXF3" s="100"/>
      <c r="EXG3" s="102"/>
      <c r="EXI3" s="101"/>
      <c r="EXJ3" s="100"/>
      <c r="EXK3" s="102"/>
      <c r="EXM3" s="101"/>
      <c r="EXN3" s="100"/>
      <c r="EXO3" s="102"/>
      <c r="EXQ3" s="101"/>
      <c r="EXR3" s="100"/>
      <c r="EXS3" s="102"/>
      <c r="EXU3" s="101"/>
      <c r="EXV3" s="100"/>
      <c r="EXW3" s="102"/>
      <c r="EXY3" s="101"/>
      <c r="EXZ3" s="100"/>
      <c r="EYA3" s="102"/>
      <c r="EYC3" s="101"/>
      <c r="EYD3" s="100"/>
      <c r="EYE3" s="102"/>
      <c r="EYG3" s="101"/>
      <c r="EYH3" s="100"/>
      <c r="EYI3" s="102"/>
      <c r="EYK3" s="101"/>
      <c r="EYL3" s="100"/>
      <c r="EYM3" s="102"/>
      <c r="EYO3" s="101"/>
      <c r="EYP3" s="100"/>
      <c r="EYQ3" s="102"/>
      <c r="EYS3" s="101"/>
      <c r="EYT3" s="100"/>
      <c r="EYU3" s="102"/>
      <c r="EYW3" s="101"/>
      <c r="EYX3" s="100"/>
      <c r="EYY3" s="102"/>
      <c r="EZA3" s="101"/>
      <c r="EZB3" s="100"/>
      <c r="EZC3" s="102"/>
      <c r="EZE3" s="101"/>
      <c r="EZF3" s="100"/>
      <c r="EZG3" s="102"/>
      <c r="EZI3" s="101"/>
      <c r="EZJ3" s="100"/>
      <c r="EZK3" s="102"/>
      <c r="EZM3" s="101"/>
      <c r="EZN3" s="100"/>
      <c r="EZO3" s="102"/>
      <c r="EZQ3" s="101"/>
      <c r="EZR3" s="100"/>
      <c r="EZS3" s="102"/>
      <c r="EZU3" s="101"/>
      <c r="EZV3" s="100"/>
      <c r="EZW3" s="102"/>
      <c r="EZY3" s="101"/>
      <c r="EZZ3" s="100"/>
      <c r="FAA3" s="102"/>
      <c r="FAC3" s="101"/>
      <c r="FAD3" s="100"/>
      <c r="FAE3" s="102"/>
      <c r="FAG3" s="101"/>
      <c r="FAH3" s="100"/>
      <c r="FAI3" s="102"/>
      <c r="FAK3" s="101"/>
      <c r="FAL3" s="100"/>
      <c r="FAM3" s="102"/>
      <c r="FAO3" s="101"/>
      <c r="FAP3" s="100"/>
      <c r="FAQ3" s="102"/>
      <c r="FAS3" s="101"/>
      <c r="FAT3" s="100"/>
      <c r="FAU3" s="102"/>
      <c r="FAW3" s="101"/>
      <c r="FAX3" s="100"/>
      <c r="FAY3" s="102"/>
      <c r="FBA3" s="101"/>
      <c r="FBB3" s="100"/>
      <c r="FBC3" s="102"/>
      <c r="FBE3" s="101"/>
      <c r="FBF3" s="100"/>
      <c r="FBG3" s="102"/>
      <c r="FBI3" s="101"/>
      <c r="FBJ3" s="100"/>
      <c r="FBK3" s="102"/>
      <c r="FBM3" s="101"/>
      <c r="FBN3" s="100"/>
      <c r="FBO3" s="102"/>
      <c r="FBQ3" s="101"/>
      <c r="FBR3" s="100"/>
      <c r="FBS3" s="102"/>
      <c r="FBU3" s="101"/>
      <c r="FBV3" s="100"/>
      <c r="FBW3" s="102"/>
      <c r="FBY3" s="101"/>
      <c r="FBZ3" s="100"/>
      <c r="FCA3" s="102"/>
      <c r="FCC3" s="101"/>
      <c r="FCD3" s="100"/>
      <c r="FCE3" s="102"/>
      <c r="FCG3" s="101"/>
      <c r="FCH3" s="100"/>
      <c r="FCI3" s="102"/>
      <c r="FCK3" s="101"/>
      <c r="FCL3" s="100"/>
      <c r="FCM3" s="102"/>
      <c r="FCO3" s="101"/>
      <c r="FCP3" s="100"/>
      <c r="FCQ3" s="102"/>
      <c r="FCS3" s="101"/>
      <c r="FCT3" s="100"/>
      <c r="FCU3" s="102"/>
      <c r="FCW3" s="101"/>
      <c r="FCX3" s="100"/>
      <c r="FCY3" s="102"/>
      <c r="FDA3" s="101"/>
      <c r="FDB3" s="100"/>
      <c r="FDC3" s="102"/>
      <c r="FDE3" s="101"/>
      <c r="FDF3" s="100"/>
      <c r="FDG3" s="102"/>
      <c r="FDI3" s="101"/>
      <c r="FDJ3" s="100"/>
      <c r="FDK3" s="102"/>
      <c r="FDM3" s="101"/>
      <c r="FDN3" s="100"/>
      <c r="FDO3" s="102"/>
      <c r="FDQ3" s="101"/>
      <c r="FDR3" s="100"/>
      <c r="FDS3" s="102"/>
      <c r="FDU3" s="101"/>
      <c r="FDV3" s="100"/>
      <c r="FDW3" s="102"/>
      <c r="FDY3" s="101"/>
      <c r="FDZ3" s="100"/>
      <c r="FEA3" s="102"/>
      <c r="FEC3" s="101"/>
      <c r="FED3" s="100"/>
      <c r="FEE3" s="102"/>
      <c r="FEG3" s="101"/>
      <c r="FEH3" s="100"/>
      <c r="FEI3" s="102"/>
      <c r="FEK3" s="101"/>
      <c r="FEL3" s="100"/>
      <c r="FEM3" s="102"/>
      <c r="FEO3" s="101"/>
      <c r="FEP3" s="100"/>
      <c r="FEQ3" s="102"/>
      <c r="FES3" s="101"/>
      <c r="FET3" s="100"/>
      <c r="FEU3" s="102"/>
      <c r="FEW3" s="101"/>
      <c r="FEX3" s="100"/>
      <c r="FEY3" s="102"/>
      <c r="FFA3" s="101"/>
      <c r="FFB3" s="100"/>
      <c r="FFC3" s="102"/>
      <c r="FFE3" s="101"/>
      <c r="FFF3" s="100"/>
      <c r="FFG3" s="102"/>
      <c r="FFI3" s="101"/>
      <c r="FFJ3" s="100"/>
      <c r="FFK3" s="102"/>
      <c r="FFM3" s="101"/>
      <c r="FFN3" s="100"/>
      <c r="FFO3" s="102"/>
      <c r="FFQ3" s="101"/>
      <c r="FFR3" s="100"/>
      <c r="FFS3" s="102"/>
      <c r="FFU3" s="101"/>
      <c r="FFV3" s="100"/>
      <c r="FFW3" s="102"/>
      <c r="FFY3" s="101"/>
      <c r="FFZ3" s="100"/>
      <c r="FGA3" s="102"/>
      <c r="FGC3" s="101"/>
      <c r="FGD3" s="100"/>
      <c r="FGE3" s="102"/>
      <c r="FGG3" s="101"/>
      <c r="FGH3" s="100"/>
      <c r="FGI3" s="102"/>
      <c r="FGK3" s="101"/>
      <c r="FGL3" s="100"/>
      <c r="FGM3" s="102"/>
      <c r="FGO3" s="101"/>
      <c r="FGP3" s="100"/>
      <c r="FGQ3" s="102"/>
      <c r="FGS3" s="101"/>
      <c r="FGT3" s="100"/>
      <c r="FGU3" s="102"/>
      <c r="FGW3" s="101"/>
      <c r="FGX3" s="100"/>
      <c r="FGY3" s="102"/>
      <c r="FHA3" s="101"/>
      <c r="FHB3" s="100"/>
      <c r="FHC3" s="102"/>
      <c r="FHE3" s="101"/>
      <c r="FHF3" s="100"/>
      <c r="FHG3" s="102"/>
      <c r="FHI3" s="101"/>
      <c r="FHJ3" s="100"/>
      <c r="FHK3" s="102"/>
      <c r="FHM3" s="101"/>
      <c r="FHN3" s="100"/>
      <c r="FHO3" s="102"/>
      <c r="FHQ3" s="101"/>
      <c r="FHR3" s="100"/>
      <c r="FHS3" s="102"/>
      <c r="FHU3" s="101"/>
      <c r="FHV3" s="100"/>
      <c r="FHW3" s="102"/>
      <c r="FHY3" s="101"/>
      <c r="FHZ3" s="100"/>
      <c r="FIA3" s="102"/>
      <c r="FIC3" s="101"/>
      <c r="FID3" s="100"/>
      <c r="FIE3" s="102"/>
      <c r="FIG3" s="101"/>
      <c r="FIH3" s="100"/>
      <c r="FII3" s="102"/>
      <c r="FIK3" s="101"/>
      <c r="FIL3" s="100"/>
      <c r="FIM3" s="102"/>
      <c r="FIO3" s="101"/>
      <c r="FIP3" s="100"/>
      <c r="FIQ3" s="102"/>
      <c r="FIS3" s="101"/>
      <c r="FIT3" s="100"/>
      <c r="FIU3" s="102"/>
      <c r="FIW3" s="101"/>
      <c r="FIX3" s="100"/>
      <c r="FIY3" s="102"/>
      <c r="FJA3" s="101"/>
      <c r="FJB3" s="100"/>
      <c r="FJC3" s="102"/>
      <c r="FJE3" s="101"/>
      <c r="FJF3" s="100"/>
      <c r="FJG3" s="102"/>
      <c r="FJI3" s="101"/>
      <c r="FJJ3" s="100"/>
      <c r="FJK3" s="102"/>
      <c r="FJM3" s="101"/>
      <c r="FJN3" s="100"/>
      <c r="FJO3" s="102"/>
      <c r="FJQ3" s="101"/>
      <c r="FJR3" s="100"/>
      <c r="FJS3" s="102"/>
      <c r="FJU3" s="101"/>
      <c r="FJV3" s="100"/>
      <c r="FJW3" s="102"/>
      <c r="FJY3" s="101"/>
      <c r="FJZ3" s="100"/>
      <c r="FKA3" s="102"/>
      <c r="FKC3" s="101"/>
      <c r="FKD3" s="100"/>
      <c r="FKE3" s="102"/>
      <c r="FKG3" s="101"/>
      <c r="FKH3" s="100"/>
      <c r="FKI3" s="102"/>
      <c r="FKK3" s="101"/>
      <c r="FKL3" s="100"/>
      <c r="FKM3" s="102"/>
      <c r="FKO3" s="101"/>
      <c r="FKP3" s="100"/>
      <c r="FKQ3" s="102"/>
      <c r="FKS3" s="101"/>
      <c r="FKT3" s="100"/>
      <c r="FKU3" s="102"/>
      <c r="FKW3" s="101"/>
      <c r="FKX3" s="100"/>
      <c r="FKY3" s="102"/>
      <c r="FLA3" s="101"/>
      <c r="FLB3" s="100"/>
      <c r="FLC3" s="102"/>
      <c r="FLE3" s="101"/>
      <c r="FLF3" s="100"/>
      <c r="FLG3" s="102"/>
      <c r="FLI3" s="101"/>
      <c r="FLJ3" s="100"/>
      <c r="FLK3" s="102"/>
      <c r="FLM3" s="101"/>
      <c r="FLN3" s="100"/>
      <c r="FLO3" s="102"/>
      <c r="FLQ3" s="101"/>
      <c r="FLR3" s="100"/>
      <c r="FLS3" s="102"/>
      <c r="FLU3" s="101"/>
      <c r="FLV3" s="100"/>
      <c r="FLW3" s="102"/>
      <c r="FLY3" s="101"/>
      <c r="FLZ3" s="100"/>
      <c r="FMA3" s="102"/>
      <c r="FMC3" s="101"/>
      <c r="FMD3" s="100"/>
      <c r="FME3" s="102"/>
      <c r="FMG3" s="101"/>
      <c r="FMH3" s="100"/>
      <c r="FMI3" s="102"/>
      <c r="FMK3" s="101"/>
      <c r="FML3" s="100"/>
      <c r="FMM3" s="102"/>
      <c r="FMO3" s="101"/>
      <c r="FMP3" s="100"/>
      <c r="FMQ3" s="102"/>
      <c r="FMS3" s="101"/>
      <c r="FMT3" s="100"/>
      <c r="FMU3" s="102"/>
      <c r="FMW3" s="101"/>
      <c r="FMX3" s="100"/>
      <c r="FMY3" s="102"/>
      <c r="FNA3" s="101"/>
      <c r="FNB3" s="100"/>
      <c r="FNC3" s="102"/>
      <c r="FNE3" s="101"/>
      <c r="FNF3" s="100"/>
      <c r="FNG3" s="102"/>
      <c r="FNI3" s="101"/>
      <c r="FNJ3" s="100"/>
      <c r="FNK3" s="102"/>
      <c r="FNM3" s="101"/>
      <c r="FNN3" s="100"/>
      <c r="FNO3" s="102"/>
      <c r="FNQ3" s="101"/>
      <c r="FNR3" s="100"/>
      <c r="FNS3" s="102"/>
      <c r="FNU3" s="101"/>
      <c r="FNV3" s="100"/>
      <c r="FNW3" s="102"/>
      <c r="FNY3" s="101"/>
      <c r="FNZ3" s="100"/>
      <c r="FOA3" s="102"/>
      <c r="FOC3" s="101"/>
      <c r="FOD3" s="100"/>
      <c r="FOE3" s="102"/>
      <c r="FOG3" s="101"/>
      <c r="FOH3" s="100"/>
      <c r="FOI3" s="102"/>
      <c r="FOK3" s="101"/>
      <c r="FOL3" s="100"/>
      <c r="FOM3" s="102"/>
      <c r="FOO3" s="101"/>
      <c r="FOP3" s="100"/>
      <c r="FOQ3" s="102"/>
      <c r="FOS3" s="101"/>
      <c r="FOT3" s="100"/>
      <c r="FOU3" s="102"/>
      <c r="FOW3" s="101"/>
      <c r="FOX3" s="100"/>
      <c r="FOY3" s="102"/>
      <c r="FPA3" s="101"/>
      <c r="FPB3" s="100"/>
      <c r="FPC3" s="102"/>
      <c r="FPE3" s="101"/>
      <c r="FPF3" s="100"/>
      <c r="FPG3" s="102"/>
      <c r="FPI3" s="101"/>
      <c r="FPJ3" s="100"/>
      <c r="FPK3" s="102"/>
      <c r="FPM3" s="101"/>
      <c r="FPN3" s="100"/>
      <c r="FPO3" s="102"/>
      <c r="FPQ3" s="101"/>
      <c r="FPR3" s="100"/>
      <c r="FPS3" s="102"/>
      <c r="FPU3" s="101"/>
      <c r="FPV3" s="100"/>
      <c r="FPW3" s="102"/>
      <c r="FPY3" s="101"/>
      <c r="FPZ3" s="100"/>
      <c r="FQA3" s="102"/>
      <c r="FQC3" s="101"/>
      <c r="FQD3" s="100"/>
      <c r="FQE3" s="102"/>
      <c r="FQG3" s="101"/>
      <c r="FQH3" s="100"/>
      <c r="FQI3" s="102"/>
      <c r="FQK3" s="101"/>
      <c r="FQL3" s="100"/>
      <c r="FQM3" s="102"/>
      <c r="FQO3" s="101"/>
      <c r="FQP3" s="100"/>
      <c r="FQQ3" s="102"/>
      <c r="FQS3" s="101"/>
      <c r="FQT3" s="100"/>
      <c r="FQU3" s="102"/>
      <c r="FQW3" s="101"/>
      <c r="FQX3" s="100"/>
      <c r="FQY3" s="102"/>
      <c r="FRA3" s="101"/>
      <c r="FRB3" s="100"/>
      <c r="FRC3" s="102"/>
      <c r="FRE3" s="101"/>
      <c r="FRF3" s="100"/>
      <c r="FRG3" s="102"/>
      <c r="FRI3" s="101"/>
      <c r="FRJ3" s="100"/>
      <c r="FRK3" s="102"/>
      <c r="FRM3" s="101"/>
      <c r="FRN3" s="100"/>
      <c r="FRO3" s="102"/>
      <c r="FRQ3" s="101"/>
      <c r="FRR3" s="100"/>
      <c r="FRS3" s="102"/>
      <c r="FRU3" s="101"/>
      <c r="FRV3" s="100"/>
      <c r="FRW3" s="102"/>
      <c r="FRY3" s="101"/>
      <c r="FRZ3" s="100"/>
      <c r="FSA3" s="102"/>
      <c r="FSC3" s="101"/>
      <c r="FSD3" s="100"/>
      <c r="FSE3" s="102"/>
      <c r="FSG3" s="101"/>
      <c r="FSH3" s="100"/>
      <c r="FSI3" s="102"/>
      <c r="FSK3" s="101"/>
      <c r="FSL3" s="100"/>
      <c r="FSM3" s="102"/>
      <c r="FSO3" s="101"/>
      <c r="FSP3" s="100"/>
      <c r="FSQ3" s="102"/>
      <c r="FSS3" s="101"/>
      <c r="FST3" s="100"/>
      <c r="FSU3" s="102"/>
      <c r="FSW3" s="101"/>
      <c r="FSX3" s="100"/>
      <c r="FSY3" s="102"/>
      <c r="FTA3" s="101"/>
      <c r="FTB3" s="100"/>
      <c r="FTC3" s="102"/>
      <c r="FTE3" s="101"/>
      <c r="FTF3" s="100"/>
      <c r="FTG3" s="102"/>
      <c r="FTI3" s="101"/>
      <c r="FTJ3" s="100"/>
      <c r="FTK3" s="102"/>
      <c r="FTM3" s="101"/>
      <c r="FTN3" s="100"/>
      <c r="FTO3" s="102"/>
      <c r="FTQ3" s="101"/>
      <c r="FTR3" s="100"/>
      <c r="FTS3" s="102"/>
      <c r="FTU3" s="101"/>
      <c r="FTV3" s="100"/>
      <c r="FTW3" s="102"/>
      <c r="FTY3" s="101"/>
      <c r="FTZ3" s="100"/>
      <c r="FUA3" s="102"/>
      <c r="FUC3" s="101"/>
      <c r="FUD3" s="100"/>
      <c r="FUE3" s="102"/>
      <c r="FUG3" s="101"/>
      <c r="FUH3" s="100"/>
      <c r="FUI3" s="102"/>
      <c r="FUK3" s="101"/>
      <c r="FUL3" s="100"/>
      <c r="FUM3" s="102"/>
      <c r="FUO3" s="101"/>
      <c r="FUP3" s="100"/>
      <c r="FUQ3" s="102"/>
      <c r="FUS3" s="101"/>
      <c r="FUT3" s="100"/>
      <c r="FUU3" s="102"/>
      <c r="FUW3" s="101"/>
      <c r="FUX3" s="100"/>
      <c r="FUY3" s="102"/>
      <c r="FVA3" s="101"/>
      <c r="FVB3" s="100"/>
      <c r="FVC3" s="102"/>
      <c r="FVE3" s="101"/>
      <c r="FVF3" s="100"/>
      <c r="FVG3" s="102"/>
      <c r="FVI3" s="101"/>
      <c r="FVJ3" s="100"/>
      <c r="FVK3" s="102"/>
      <c r="FVM3" s="101"/>
      <c r="FVN3" s="100"/>
      <c r="FVO3" s="102"/>
      <c r="FVQ3" s="101"/>
      <c r="FVR3" s="100"/>
      <c r="FVS3" s="102"/>
      <c r="FVU3" s="101"/>
      <c r="FVV3" s="100"/>
      <c r="FVW3" s="102"/>
      <c r="FVY3" s="101"/>
      <c r="FVZ3" s="100"/>
      <c r="FWA3" s="102"/>
      <c r="FWC3" s="101"/>
      <c r="FWD3" s="100"/>
      <c r="FWE3" s="102"/>
      <c r="FWG3" s="101"/>
      <c r="FWH3" s="100"/>
      <c r="FWI3" s="102"/>
      <c r="FWK3" s="101"/>
      <c r="FWL3" s="100"/>
      <c r="FWM3" s="102"/>
      <c r="FWO3" s="101"/>
      <c r="FWP3" s="100"/>
      <c r="FWQ3" s="102"/>
      <c r="FWS3" s="101"/>
      <c r="FWT3" s="100"/>
      <c r="FWU3" s="102"/>
      <c r="FWW3" s="101"/>
      <c r="FWX3" s="100"/>
      <c r="FWY3" s="102"/>
      <c r="FXA3" s="101"/>
      <c r="FXB3" s="100"/>
      <c r="FXC3" s="102"/>
      <c r="FXE3" s="101"/>
      <c r="FXF3" s="100"/>
      <c r="FXG3" s="102"/>
      <c r="FXI3" s="101"/>
      <c r="FXJ3" s="100"/>
      <c r="FXK3" s="102"/>
      <c r="FXM3" s="101"/>
      <c r="FXN3" s="100"/>
      <c r="FXO3" s="102"/>
      <c r="FXQ3" s="101"/>
      <c r="FXR3" s="100"/>
      <c r="FXS3" s="102"/>
      <c r="FXU3" s="101"/>
      <c r="FXV3" s="100"/>
      <c r="FXW3" s="102"/>
      <c r="FXY3" s="101"/>
      <c r="FXZ3" s="100"/>
      <c r="FYA3" s="102"/>
      <c r="FYC3" s="101"/>
      <c r="FYD3" s="100"/>
      <c r="FYE3" s="102"/>
      <c r="FYG3" s="101"/>
      <c r="FYH3" s="100"/>
      <c r="FYI3" s="102"/>
      <c r="FYK3" s="101"/>
      <c r="FYL3" s="100"/>
      <c r="FYM3" s="102"/>
      <c r="FYO3" s="101"/>
      <c r="FYP3" s="100"/>
      <c r="FYQ3" s="102"/>
      <c r="FYS3" s="101"/>
      <c r="FYT3" s="100"/>
      <c r="FYU3" s="102"/>
      <c r="FYW3" s="101"/>
      <c r="FYX3" s="100"/>
      <c r="FYY3" s="102"/>
      <c r="FZA3" s="101"/>
      <c r="FZB3" s="100"/>
      <c r="FZC3" s="102"/>
      <c r="FZE3" s="101"/>
      <c r="FZF3" s="100"/>
      <c r="FZG3" s="102"/>
      <c r="FZI3" s="101"/>
      <c r="FZJ3" s="100"/>
      <c r="FZK3" s="102"/>
      <c r="FZM3" s="101"/>
      <c r="FZN3" s="100"/>
      <c r="FZO3" s="102"/>
      <c r="FZQ3" s="101"/>
      <c r="FZR3" s="100"/>
      <c r="FZS3" s="102"/>
      <c r="FZU3" s="101"/>
      <c r="FZV3" s="100"/>
      <c r="FZW3" s="102"/>
      <c r="FZY3" s="101"/>
      <c r="FZZ3" s="100"/>
      <c r="GAA3" s="102"/>
      <c r="GAC3" s="101"/>
      <c r="GAD3" s="100"/>
      <c r="GAE3" s="102"/>
      <c r="GAG3" s="101"/>
      <c r="GAH3" s="100"/>
      <c r="GAI3" s="102"/>
      <c r="GAK3" s="101"/>
      <c r="GAL3" s="100"/>
      <c r="GAM3" s="102"/>
      <c r="GAO3" s="101"/>
      <c r="GAP3" s="100"/>
      <c r="GAQ3" s="102"/>
      <c r="GAS3" s="101"/>
      <c r="GAT3" s="100"/>
      <c r="GAU3" s="102"/>
      <c r="GAW3" s="101"/>
      <c r="GAX3" s="100"/>
      <c r="GAY3" s="102"/>
      <c r="GBA3" s="101"/>
      <c r="GBB3" s="100"/>
      <c r="GBC3" s="102"/>
      <c r="GBE3" s="101"/>
      <c r="GBF3" s="100"/>
      <c r="GBG3" s="102"/>
      <c r="GBI3" s="101"/>
      <c r="GBJ3" s="100"/>
      <c r="GBK3" s="102"/>
      <c r="GBM3" s="101"/>
      <c r="GBN3" s="100"/>
      <c r="GBO3" s="102"/>
      <c r="GBQ3" s="101"/>
      <c r="GBR3" s="100"/>
      <c r="GBS3" s="102"/>
      <c r="GBU3" s="101"/>
      <c r="GBV3" s="100"/>
      <c r="GBW3" s="102"/>
      <c r="GBY3" s="101"/>
      <c r="GBZ3" s="100"/>
      <c r="GCA3" s="102"/>
      <c r="GCC3" s="101"/>
      <c r="GCD3" s="100"/>
      <c r="GCE3" s="102"/>
      <c r="GCG3" s="101"/>
      <c r="GCH3" s="100"/>
      <c r="GCI3" s="102"/>
      <c r="GCK3" s="101"/>
      <c r="GCL3" s="100"/>
      <c r="GCM3" s="102"/>
      <c r="GCO3" s="101"/>
      <c r="GCP3" s="100"/>
      <c r="GCQ3" s="102"/>
      <c r="GCS3" s="101"/>
      <c r="GCT3" s="100"/>
      <c r="GCU3" s="102"/>
      <c r="GCW3" s="101"/>
      <c r="GCX3" s="100"/>
      <c r="GCY3" s="102"/>
      <c r="GDA3" s="101"/>
      <c r="GDB3" s="100"/>
      <c r="GDC3" s="102"/>
      <c r="GDE3" s="101"/>
      <c r="GDF3" s="100"/>
      <c r="GDG3" s="102"/>
      <c r="GDI3" s="101"/>
      <c r="GDJ3" s="100"/>
      <c r="GDK3" s="102"/>
      <c r="GDM3" s="101"/>
      <c r="GDN3" s="100"/>
      <c r="GDO3" s="102"/>
      <c r="GDQ3" s="101"/>
      <c r="GDR3" s="100"/>
      <c r="GDS3" s="102"/>
      <c r="GDU3" s="101"/>
      <c r="GDV3" s="100"/>
      <c r="GDW3" s="102"/>
      <c r="GDY3" s="101"/>
      <c r="GDZ3" s="100"/>
      <c r="GEA3" s="102"/>
      <c r="GEC3" s="101"/>
      <c r="GED3" s="100"/>
      <c r="GEE3" s="102"/>
      <c r="GEG3" s="101"/>
      <c r="GEH3" s="100"/>
      <c r="GEI3" s="102"/>
      <c r="GEK3" s="101"/>
      <c r="GEL3" s="100"/>
      <c r="GEM3" s="102"/>
      <c r="GEO3" s="101"/>
      <c r="GEP3" s="100"/>
      <c r="GEQ3" s="102"/>
      <c r="GES3" s="101"/>
      <c r="GET3" s="100"/>
      <c r="GEU3" s="102"/>
      <c r="GEW3" s="101"/>
      <c r="GEX3" s="100"/>
      <c r="GEY3" s="102"/>
      <c r="GFA3" s="101"/>
      <c r="GFB3" s="100"/>
      <c r="GFC3" s="102"/>
      <c r="GFE3" s="101"/>
      <c r="GFF3" s="100"/>
      <c r="GFG3" s="102"/>
      <c r="GFI3" s="101"/>
      <c r="GFJ3" s="100"/>
      <c r="GFK3" s="102"/>
      <c r="GFM3" s="101"/>
      <c r="GFN3" s="100"/>
      <c r="GFO3" s="102"/>
      <c r="GFQ3" s="101"/>
      <c r="GFR3" s="100"/>
      <c r="GFS3" s="102"/>
      <c r="GFU3" s="101"/>
      <c r="GFV3" s="100"/>
      <c r="GFW3" s="102"/>
      <c r="GFY3" s="101"/>
      <c r="GFZ3" s="100"/>
      <c r="GGA3" s="102"/>
      <c r="GGC3" s="101"/>
      <c r="GGD3" s="100"/>
      <c r="GGE3" s="102"/>
      <c r="GGG3" s="101"/>
      <c r="GGH3" s="100"/>
      <c r="GGI3" s="102"/>
      <c r="GGK3" s="101"/>
      <c r="GGL3" s="100"/>
      <c r="GGM3" s="102"/>
      <c r="GGO3" s="101"/>
      <c r="GGP3" s="100"/>
      <c r="GGQ3" s="102"/>
      <c r="GGS3" s="101"/>
      <c r="GGT3" s="100"/>
      <c r="GGU3" s="102"/>
      <c r="GGW3" s="101"/>
      <c r="GGX3" s="100"/>
      <c r="GGY3" s="102"/>
      <c r="GHA3" s="101"/>
      <c r="GHB3" s="100"/>
      <c r="GHC3" s="102"/>
      <c r="GHE3" s="101"/>
      <c r="GHF3" s="100"/>
      <c r="GHG3" s="102"/>
      <c r="GHI3" s="101"/>
      <c r="GHJ3" s="100"/>
      <c r="GHK3" s="102"/>
      <c r="GHM3" s="101"/>
      <c r="GHN3" s="100"/>
      <c r="GHO3" s="102"/>
      <c r="GHQ3" s="101"/>
      <c r="GHR3" s="100"/>
      <c r="GHS3" s="102"/>
      <c r="GHU3" s="101"/>
      <c r="GHV3" s="100"/>
      <c r="GHW3" s="102"/>
      <c r="GHY3" s="101"/>
      <c r="GHZ3" s="100"/>
      <c r="GIA3" s="102"/>
      <c r="GIC3" s="101"/>
      <c r="GID3" s="100"/>
      <c r="GIE3" s="102"/>
      <c r="GIG3" s="101"/>
      <c r="GIH3" s="100"/>
      <c r="GII3" s="102"/>
      <c r="GIK3" s="101"/>
      <c r="GIL3" s="100"/>
      <c r="GIM3" s="102"/>
      <c r="GIO3" s="101"/>
      <c r="GIP3" s="100"/>
      <c r="GIQ3" s="102"/>
      <c r="GIS3" s="101"/>
      <c r="GIT3" s="100"/>
      <c r="GIU3" s="102"/>
      <c r="GIW3" s="101"/>
      <c r="GIX3" s="100"/>
      <c r="GIY3" s="102"/>
      <c r="GJA3" s="101"/>
      <c r="GJB3" s="100"/>
      <c r="GJC3" s="102"/>
      <c r="GJE3" s="101"/>
      <c r="GJF3" s="100"/>
      <c r="GJG3" s="102"/>
      <c r="GJI3" s="101"/>
      <c r="GJJ3" s="100"/>
      <c r="GJK3" s="102"/>
      <c r="GJM3" s="101"/>
      <c r="GJN3" s="100"/>
      <c r="GJO3" s="102"/>
      <c r="GJQ3" s="101"/>
      <c r="GJR3" s="100"/>
      <c r="GJS3" s="102"/>
      <c r="GJU3" s="101"/>
      <c r="GJV3" s="100"/>
      <c r="GJW3" s="102"/>
      <c r="GJY3" s="101"/>
      <c r="GJZ3" s="100"/>
      <c r="GKA3" s="102"/>
      <c r="GKC3" s="101"/>
      <c r="GKD3" s="100"/>
      <c r="GKE3" s="102"/>
      <c r="GKG3" s="101"/>
      <c r="GKH3" s="100"/>
      <c r="GKI3" s="102"/>
      <c r="GKK3" s="101"/>
      <c r="GKL3" s="100"/>
      <c r="GKM3" s="102"/>
      <c r="GKO3" s="101"/>
      <c r="GKP3" s="100"/>
      <c r="GKQ3" s="102"/>
      <c r="GKS3" s="101"/>
      <c r="GKT3" s="100"/>
      <c r="GKU3" s="102"/>
      <c r="GKW3" s="101"/>
      <c r="GKX3" s="100"/>
      <c r="GKY3" s="102"/>
      <c r="GLA3" s="101"/>
      <c r="GLB3" s="100"/>
      <c r="GLC3" s="102"/>
      <c r="GLE3" s="101"/>
      <c r="GLF3" s="100"/>
      <c r="GLG3" s="102"/>
      <c r="GLI3" s="101"/>
      <c r="GLJ3" s="100"/>
      <c r="GLK3" s="102"/>
      <c r="GLM3" s="101"/>
      <c r="GLN3" s="100"/>
      <c r="GLO3" s="102"/>
      <c r="GLQ3" s="101"/>
      <c r="GLR3" s="100"/>
      <c r="GLS3" s="102"/>
      <c r="GLU3" s="101"/>
      <c r="GLV3" s="100"/>
      <c r="GLW3" s="102"/>
      <c r="GLY3" s="101"/>
      <c r="GLZ3" s="100"/>
      <c r="GMA3" s="102"/>
      <c r="GMC3" s="101"/>
      <c r="GMD3" s="100"/>
      <c r="GME3" s="102"/>
      <c r="GMG3" s="101"/>
      <c r="GMH3" s="100"/>
      <c r="GMI3" s="102"/>
      <c r="GMK3" s="101"/>
      <c r="GML3" s="100"/>
      <c r="GMM3" s="102"/>
      <c r="GMO3" s="101"/>
      <c r="GMP3" s="100"/>
      <c r="GMQ3" s="102"/>
      <c r="GMS3" s="101"/>
      <c r="GMT3" s="100"/>
      <c r="GMU3" s="102"/>
      <c r="GMW3" s="101"/>
      <c r="GMX3" s="100"/>
      <c r="GMY3" s="102"/>
      <c r="GNA3" s="101"/>
      <c r="GNB3" s="100"/>
      <c r="GNC3" s="102"/>
      <c r="GNE3" s="101"/>
      <c r="GNF3" s="100"/>
      <c r="GNG3" s="102"/>
      <c r="GNI3" s="101"/>
      <c r="GNJ3" s="100"/>
      <c r="GNK3" s="102"/>
      <c r="GNM3" s="101"/>
      <c r="GNN3" s="100"/>
      <c r="GNO3" s="102"/>
      <c r="GNQ3" s="101"/>
      <c r="GNR3" s="100"/>
      <c r="GNS3" s="102"/>
      <c r="GNU3" s="101"/>
      <c r="GNV3" s="100"/>
      <c r="GNW3" s="102"/>
      <c r="GNY3" s="101"/>
      <c r="GNZ3" s="100"/>
      <c r="GOA3" s="102"/>
      <c r="GOC3" s="101"/>
      <c r="GOD3" s="100"/>
      <c r="GOE3" s="102"/>
      <c r="GOG3" s="101"/>
      <c r="GOH3" s="100"/>
      <c r="GOI3" s="102"/>
      <c r="GOK3" s="101"/>
      <c r="GOL3" s="100"/>
      <c r="GOM3" s="102"/>
      <c r="GOO3" s="101"/>
      <c r="GOP3" s="100"/>
      <c r="GOQ3" s="102"/>
      <c r="GOS3" s="101"/>
      <c r="GOT3" s="100"/>
      <c r="GOU3" s="102"/>
      <c r="GOW3" s="101"/>
      <c r="GOX3" s="100"/>
      <c r="GOY3" s="102"/>
      <c r="GPA3" s="101"/>
      <c r="GPB3" s="100"/>
      <c r="GPC3" s="102"/>
      <c r="GPE3" s="101"/>
      <c r="GPF3" s="100"/>
      <c r="GPG3" s="102"/>
      <c r="GPI3" s="101"/>
      <c r="GPJ3" s="100"/>
      <c r="GPK3" s="102"/>
      <c r="GPM3" s="101"/>
      <c r="GPN3" s="100"/>
      <c r="GPO3" s="102"/>
      <c r="GPQ3" s="101"/>
      <c r="GPR3" s="100"/>
      <c r="GPS3" s="102"/>
      <c r="GPU3" s="101"/>
      <c r="GPV3" s="100"/>
      <c r="GPW3" s="102"/>
      <c r="GPY3" s="101"/>
      <c r="GPZ3" s="100"/>
      <c r="GQA3" s="102"/>
      <c r="GQC3" s="101"/>
      <c r="GQD3" s="100"/>
      <c r="GQE3" s="102"/>
      <c r="GQG3" s="101"/>
      <c r="GQH3" s="100"/>
      <c r="GQI3" s="102"/>
      <c r="GQK3" s="101"/>
      <c r="GQL3" s="100"/>
      <c r="GQM3" s="102"/>
      <c r="GQO3" s="101"/>
      <c r="GQP3" s="100"/>
      <c r="GQQ3" s="102"/>
      <c r="GQS3" s="101"/>
      <c r="GQT3" s="100"/>
      <c r="GQU3" s="102"/>
      <c r="GQW3" s="101"/>
      <c r="GQX3" s="100"/>
      <c r="GQY3" s="102"/>
      <c r="GRA3" s="101"/>
      <c r="GRB3" s="100"/>
      <c r="GRC3" s="102"/>
      <c r="GRE3" s="101"/>
      <c r="GRF3" s="100"/>
      <c r="GRG3" s="102"/>
      <c r="GRI3" s="101"/>
      <c r="GRJ3" s="100"/>
      <c r="GRK3" s="102"/>
      <c r="GRM3" s="101"/>
      <c r="GRN3" s="100"/>
      <c r="GRO3" s="102"/>
      <c r="GRQ3" s="101"/>
      <c r="GRR3" s="100"/>
      <c r="GRS3" s="102"/>
      <c r="GRU3" s="101"/>
      <c r="GRV3" s="100"/>
      <c r="GRW3" s="102"/>
      <c r="GRY3" s="101"/>
      <c r="GRZ3" s="100"/>
      <c r="GSA3" s="102"/>
      <c r="GSC3" s="101"/>
      <c r="GSD3" s="100"/>
      <c r="GSE3" s="102"/>
      <c r="GSG3" s="101"/>
      <c r="GSH3" s="100"/>
      <c r="GSI3" s="102"/>
      <c r="GSK3" s="101"/>
      <c r="GSL3" s="100"/>
      <c r="GSM3" s="102"/>
      <c r="GSO3" s="101"/>
      <c r="GSP3" s="100"/>
      <c r="GSQ3" s="102"/>
      <c r="GSS3" s="101"/>
      <c r="GST3" s="100"/>
      <c r="GSU3" s="102"/>
      <c r="GSW3" s="101"/>
      <c r="GSX3" s="100"/>
      <c r="GSY3" s="102"/>
      <c r="GTA3" s="101"/>
      <c r="GTB3" s="100"/>
      <c r="GTC3" s="102"/>
      <c r="GTE3" s="101"/>
      <c r="GTF3" s="100"/>
      <c r="GTG3" s="102"/>
      <c r="GTI3" s="101"/>
      <c r="GTJ3" s="100"/>
      <c r="GTK3" s="102"/>
      <c r="GTM3" s="101"/>
      <c r="GTN3" s="100"/>
      <c r="GTO3" s="102"/>
      <c r="GTQ3" s="101"/>
      <c r="GTR3" s="100"/>
      <c r="GTS3" s="102"/>
      <c r="GTU3" s="101"/>
      <c r="GTV3" s="100"/>
      <c r="GTW3" s="102"/>
      <c r="GTY3" s="101"/>
      <c r="GTZ3" s="100"/>
      <c r="GUA3" s="102"/>
      <c r="GUC3" s="101"/>
      <c r="GUD3" s="100"/>
      <c r="GUE3" s="102"/>
      <c r="GUG3" s="101"/>
      <c r="GUH3" s="100"/>
      <c r="GUI3" s="102"/>
      <c r="GUK3" s="101"/>
      <c r="GUL3" s="100"/>
      <c r="GUM3" s="102"/>
      <c r="GUO3" s="101"/>
      <c r="GUP3" s="100"/>
      <c r="GUQ3" s="102"/>
      <c r="GUS3" s="101"/>
      <c r="GUT3" s="100"/>
      <c r="GUU3" s="102"/>
      <c r="GUW3" s="101"/>
      <c r="GUX3" s="100"/>
      <c r="GUY3" s="102"/>
      <c r="GVA3" s="101"/>
      <c r="GVB3" s="100"/>
      <c r="GVC3" s="102"/>
      <c r="GVE3" s="101"/>
      <c r="GVF3" s="100"/>
      <c r="GVG3" s="102"/>
      <c r="GVI3" s="101"/>
      <c r="GVJ3" s="100"/>
      <c r="GVK3" s="102"/>
      <c r="GVM3" s="101"/>
      <c r="GVN3" s="100"/>
      <c r="GVO3" s="102"/>
      <c r="GVQ3" s="101"/>
      <c r="GVR3" s="100"/>
      <c r="GVS3" s="102"/>
      <c r="GVU3" s="101"/>
      <c r="GVV3" s="100"/>
      <c r="GVW3" s="102"/>
      <c r="GVY3" s="101"/>
      <c r="GVZ3" s="100"/>
      <c r="GWA3" s="102"/>
      <c r="GWC3" s="101"/>
      <c r="GWD3" s="100"/>
      <c r="GWE3" s="102"/>
      <c r="GWG3" s="101"/>
      <c r="GWH3" s="100"/>
      <c r="GWI3" s="102"/>
      <c r="GWK3" s="101"/>
      <c r="GWL3" s="100"/>
      <c r="GWM3" s="102"/>
      <c r="GWO3" s="101"/>
      <c r="GWP3" s="100"/>
      <c r="GWQ3" s="102"/>
      <c r="GWS3" s="101"/>
      <c r="GWT3" s="100"/>
      <c r="GWU3" s="102"/>
      <c r="GWW3" s="101"/>
      <c r="GWX3" s="100"/>
      <c r="GWY3" s="102"/>
      <c r="GXA3" s="101"/>
      <c r="GXB3" s="100"/>
      <c r="GXC3" s="102"/>
      <c r="GXE3" s="101"/>
      <c r="GXF3" s="100"/>
      <c r="GXG3" s="102"/>
      <c r="GXI3" s="101"/>
      <c r="GXJ3" s="100"/>
      <c r="GXK3" s="102"/>
      <c r="GXM3" s="101"/>
      <c r="GXN3" s="100"/>
      <c r="GXO3" s="102"/>
      <c r="GXQ3" s="101"/>
      <c r="GXR3" s="100"/>
      <c r="GXS3" s="102"/>
      <c r="GXU3" s="101"/>
      <c r="GXV3" s="100"/>
      <c r="GXW3" s="102"/>
      <c r="GXY3" s="101"/>
      <c r="GXZ3" s="100"/>
      <c r="GYA3" s="102"/>
      <c r="GYC3" s="101"/>
      <c r="GYD3" s="100"/>
      <c r="GYE3" s="102"/>
      <c r="GYG3" s="101"/>
      <c r="GYH3" s="100"/>
      <c r="GYI3" s="102"/>
      <c r="GYK3" s="101"/>
      <c r="GYL3" s="100"/>
      <c r="GYM3" s="102"/>
      <c r="GYO3" s="101"/>
      <c r="GYP3" s="100"/>
      <c r="GYQ3" s="102"/>
      <c r="GYS3" s="101"/>
      <c r="GYT3" s="100"/>
      <c r="GYU3" s="102"/>
      <c r="GYW3" s="101"/>
      <c r="GYX3" s="100"/>
      <c r="GYY3" s="102"/>
      <c r="GZA3" s="101"/>
      <c r="GZB3" s="100"/>
      <c r="GZC3" s="102"/>
      <c r="GZE3" s="101"/>
      <c r="GZF3" s="100"/>
      <c r="GZG3" s="102"/>
      <c r="GZI3" s="101"/>
      <c r="GZJ3" s="100"/>
      <c r="GZK3" s="102"/>
      <c r="GZM3" s="101"/>
      <c r="GZN3" s="100"/>
      <c r="GZO3" s="102"/>
      <c r="GZQ3" s="101"/>
      <c r="GZR3" s="100"/>
      <c r="GZS3" s="102"/>
      <c r="GZU3" s="101"/>
      <c r="GZV3" s="100"/>
      <c r="GZW3" s="102"/>
      <c r="GZY3" s="101"/>
      <c r="GZZ3" s="100"/>
      <c r="HAA3" s="102"/>
      <c r="HAC3" s="101"/>
      <c r="HAD3" s="100"/>
      <c r="HAE3" s="102"/>
      <c r="HAG3" s="101"/>
      <c r="HAH3" s="100"/>
      <c r="HAI3" s="102"/>
      <c r="HAK3" s="101"/>
      <c r="HAL3" s="100"/>
      <c r="HAM3" s="102"/>
      <c r="HAO3" s="101"/>
      <c r="HAP3" s="100"/>
      <c r="HAQ3" s="102"/>
      <c r="HAS3" s="101"/>
      <c r="HAT3" s="100"/>
      <c r="HAU3" s="102"/>
      <c r="HAW3" s="101"/>
      <c r="HAX3" s="100"/>
      <c r="HAY3" s="102"/>
      <c r="HBA3" s="101"/>
      <c r="HBB3" s="100"/>
      <c r="HBC3" s="102"/>
      <c r="HBE3" s="101"/>
      <c r="HBF3" s="100"/>
      <c r="HBG3" s="102"/>
      <c r="HBI3" s="101"/>
      <c r="HBJ3" s="100"/>
      <c r="HBK3" s="102"/>
      <c r="HBM3" s="101"/>
      <c r="HBN3" s="100"/>
      <c r="HBO3" s="102"/>
      <c r="HBQ3" s="101"/>
      <c r="HBR3" s="100"/>
      <c r="HBS3" s="102"/>
      <c r="HBU3" s="101"/>
      <c r="HBV3" s="100"/>
      <c r="HBW3" s="102"/>
      <c r="HBY3" s="101"/>
      <c r="HBZ3" s="100"/>
      <c r="HCA3" s="102"/>
      <c r="HCC3" s="101"/>
      <c r="HCD3" s="100"/>
      <c r="HCE3" s="102"/>
      <c r="HCG3" s="101"/>
      <c r="HCH3" s="100"/>
      <c r="HCI3" s="102"/>
      <c r="HCK3" s="101"/>
      <c r="HCL3" s="100"/>
      <c r="HCM3" s="102"/>
      <c r="HCO3" s="101"/>
      <c r="HCP3" s="100"/>
      <c r="HCQ3" s="102"/>
      <c r="HCS3" s="101"/>
      <c r="HCT3" s="100"/>
      <c r="HCU3" s="102"/>
      <c r="HCW3" s="101"/>
      <c r="HCX3" s="100"/>
      <c r="HCY3" s="102"/>
      <c r="HDA3" s="101"/>
      <c r="HDB3" s="100"/>
      <c r="HDC3" s="102"/>
      <c r="HDE3" s="101"/>
      <c r="HDF3" s="100"/>
      <c r="HDG3" s="102"/>
      <c r="HDI3" s="101"/>
      <c r="HDJ3" s="100"/>
      <c r="HDK3" s="102"/>
      <c r="HDM3" s="101"/>
      <c r="HDN3" s="100"/>
      <c r="HDO3" s="102"/>
      <c r="HDQ3" s="101"/>
      <c r="HDR3" s="100"/>
      <c r="HDS3" s="102"/>
      <c r="HDU3" s="101"/>
      <c r="HDV3" s="100"/>
      <c r="HDW3" s="102"/>
      <c r="HDY3" s="101"/>
      <c r="HDZ3" s="100"/>
      <c r="HEA3" s="102"/>
      <c r="HEC3" s="101"/>
      <c r="HED3" s="100"/>
      <c r="HEE3" s="102"/>
      <c r="HEG3" s="101"/>
      <c r="HEH3" s="100"/>
      <c r="HEI3" s="102"/>
      <c r="HEK3" s="101"/>
      <c r="HEL3" s="100"/>
      <c r="HEM3" s="102"/>
      <c r="HEO3" s="101"/>
      <c r="HEP3" s="100"/>
      <c r="HEQ3" s="102"/>
      <c r="HES3" s="101"/>
      <c r="HET3" s="100"/>
      <c r="HEU3" s="102"/>
      <c r="HEW3" s="101"/>
      <c r="HEX3" s="100"/>
      <c r="HEY3" s="102"/>
      <c r="HFA3" s="101"/>
      <c r="HFB3" s="100"/>
      <c r="HFC3" s="102"/>
      <c r="HFE3" s="101"/>
      <c r="HFF3" s="100"/>
      <c r="HFG3" s="102"/>
      <c r="HFI3" s="101"/>
      <c r="HFJ3" s="100"/>
      <c r="HFK3" s="102"/>
      <c r="HFM3" s="101"/>
      <c r="HFN3" s="100"/>
      <c r="HFO3" s="102"/>
      <c r="HFQ3" s="101"/>
      <c r="HFR3" s="100"/>
      <c r="HFS3" s="102"/>
      <c r="HFU3" s="101"/>
      <c r="HFV3" s="100"/>
      <c r="HFW3" s="102"/>
      <c r="HFY3" s="101"/>
      <c r="HFZ3" s="100"/>
      <c r="HGA3" s="102"/>
      <c r="HGC3" s="101"/>
      <c r="HGD3" s="100"/>
      <c r="HGE3" s="102"/>
      <c r="HGG3" s="101"/>
      <c r="HGH3" s="100"/>
      <c r="HGI3" s="102"/>
      <c r="HGK3" s="101"/>
      <c r="HGL3" s="100"/>
      <c r="HGM3" s="102"/>
      <c r="HGO3" s="101"/>
      <c r="HGP3" s="100"/>
      <c r="HGQ3" s="102"/>
      <c r="HGS3" s="101"/>
      <c r="HGT3" s="100"/>
      <c r="HGU3" s="102"/>
      <c r="HGW3" s="101"/>
      <c r="HGX3" s="100"/>
      <c r="HGY3" s="102"/>
      <c r="HHA3" s="101"/>
      <c r="HHB3" s="100"/>
      <c r="HHC3" s="102"/>
      <c r="HHE3" s="101"/>
      <c r="HHF3" s="100"/>
      <c r="HHG3" s="102"/>
      <c r="HHI3" s="101"/>
      <c r="HHJ3" s="100"/>
      <c r="HHK3" s="102"/>
      <c r="HHM3" s="101"/>
      <c r="HHN3" s="100"/>
      <c r="HHO3" s="102"/>
      <c r="HHQ3" s="101"/>
      <c r="HHR3" s="100"/>
      <c r="HHS3" s="102"/>
      <c r="HHU3" s="101"/>
      <c r="HHV3" s="100"/>
      <c r="HHW3" s="102"/>
      <c r="HHY3" s="101"/>
      <c r="HHZ3" s="100"/>
      <c r="HIA3" s="102"/>
      <c r="HIC3" s="101"/>
      <c r="HID3" s="100"/>
      <c r="HIE3" s="102"/>
      <c r="HIG3" s="101"/>
      <c r="HIH3" s="100"/>
      <c r="HII3" s="102"/>
      <c r="HIK3" s="101"/>
      <c r="HIL3" s="100"/>
      <c r="HIM3" s="102"/>
      <c r="HIO3" s="101"/>
      <c r="HIP3" s="100"/>
      <c r="HIQ3" s="102"/>
      <c r="HIS3" s="101"/>
      <c r="HIT3" s="100"/>
      <c r="HIU3" s="102"/>
      <c r="HIW3" s="101"/>
      <c r="HIX3" s="100"/>
      <c r="HIY3" s="102"/>
      <c r="HJA3" s="101"/>
      <c r="HJB3" s="100"/>
      <c r="HJC3" s="102"/>
      <c r="HJE3" s="101"/>
      <c r="HJF3" s="100"/>
      <c r="HJG3" s="102"/>
      <c r="HJI3" s="101"/>
      <c r="HJJ3" s="100"/>
      <c r="HJK3" s="102"/>
      <c r="HJM3" s="101"/>
      <c r="HJN3" s="100"/>
      <c r="HJO3" s="102"/>
      <c r="HJQ3" s="101"/>
      <c r="HJR3" s="100"/>
      <c r="HJS3" s="102"/>
      <c r="HJU3" s="101"/>
      <c r="HJV3" s="100"/>
      <c r="HJW3" s="102"/>
      <c r="HJY3" s="101"/>
      <c r="HJZ3" s="100"/>
      <c r="HKA3" s="102"/>
      <c r="HKC3" s="101"/>
      <c r="HKD3" s="100"/>
      <c r="HKE3" s="102"/>
      <c r="HKG3" s="101"/>
      <c r="HKH3" s="100"/>
      <c r="HKI3" s="102"/>
      <c r="HKK3" s="101"/>
      <c r="HKL3" s="100"/>
      <c r="HKM3" s="102"/>
      <c r="HKO3" s="101"/>
      <c r="HKP3" s="100"/>
      <c r="HKQ3" s="102"/>
      <c r="HKS3" s="101"/>
      <c r="HKT3" s="100"/>
      <c r="HKU3" s="102"/>
      <c r="HKW3" s="101"/>
      <c r="HKX3" s="100"/>
      <c r="HKY3" s="102"/>
      <c r="HLA3" s="101"/>
      <c r="HLB3" s="100"/>
      <c r="HLC3" s="102"/>
      <c r="HLE3" s="101"/>
      <c r="HLF3" s="100"/>
      <c r="HLG3" s="102"/>
      <c r="HLI3" s="101"/>
      <c r="HLJ3" s="100"/>
      <c r="HLK3" s="102"/>
      <c r="HLM3" s="101"/>
      <c r="HLN3" s="100"/>
      <c r="HLO3" s="102"/>
      <c r="HLQ3" s="101"/>
      <c r="HLR3" s="100"/>
      <c r="HLS3" s="102"/>
      <c r="HLU3" s="101"/>
      <c r="HLV3" s="100"/>
      <c r="HLW3" s="102"/>
      <c r="HLY3" s="101"/>
      <c r="HLZ3" s="100"/>
      <c r="HMA3" s="102"/>
      <c r="HMC3" s="101"/>
      <c r="HMD3" s="100"/>
      <c r="HME3" s="102"/>
      <c r="HMG3" s="101"/>
      <c r="HMH3" s="100"/>
      <c r="HMI3" s="102"/>
      <c r="HMK3" s="101"/>
      <c r="HML3" s="100"/>
      <c r="HMM3" s="102"/>
      <c r="HMO3" s="101"/>
      <c r="HMP3" s="100"/>
      <c r="HMQ3" s="102"/>
      <c r="HMS3" s="101"/>
      <c r="HMT3" s="100"/>
      <c r="HMU3" s="102"/>
      <c r="HMW3" s="101"/>
      <c r="HMX3" s="100"/>
      <c r="HMY3" s="102"/>
      <c r="HNA3" s="101"/>
      <c r="HNB3" s="100"/>
      <c r="HNC3" s="102"/>
      <c r="HNE3" s="101"/>
      <c r="HNF3" s="100"/>
      <c r="HNG3" s="102"/>
      <c r="HNI3" s="101"/>
      <c r="HNJ3" s="100"/>
      <c r="HNK3" s="102"/>
      <c r="HNM3" s="101"/>
      <c r="HNN3" s="100"/>
      <c r="HNO3" s="102"/>
      <c r="HNQ3" s="101"/>
      <c r="HNR3" s="100"/>
      <c r="HNS3" s="102"/>
      <c r="HNU3" s="101"/>
      <c r="HNV3" s="100"/>
      <c r="HNW3" s="102"/>
      <c r="HNY3" s="101"/>
      <c r="HNZ3" s="100"/>
      <c r="HOA3" s="102"/>
      <c r="HOC3" s="101"/>
      <c r="HOD3" s="100"/>
      <c r="HOE3" s="102"/>
      <c r="HOG3" s="101"/>
      <c r="HOH3" s="100"/>
      <c r="HOI3" s="102"/>
      <c r="HOK3" s="101"/>
      <c r="HOL3" s="100"/>
      <c r="HOM3" s="102"/>
      <c r="HOO3" s="101"/>
      <c r="HOP3" s="100"/>
      <c r="HOQ3" s="102"/>
      <c r="HOS3" s="101"/>
      <c r="HOT3" s="100"/>
      <c r="HOU3" s="102"/>
      <c r="HOW3" s="101"/>
      <c r="HOX3" s="100"/>
      <c r="HOY3" s="102"/>
      <c r="HPA3" s="101"/>
      <c r="HPB3" s="100"/>
      <c r="HPC3" s="102"/>
      <c r="HPE3" s="101"/>
      <c r="HPF3" s="100"/>
      <c r="HPG3" s="102"/>
      <c r="HPI3" s="101"/>
      <c r="HPJ3" s="100"/>
      <c r="HPK3" s="102"/>
      <c r="HPM3" s="101"/>
      <c r="HPN3" s="100"/>
      <c r="HPO3" s="102"/>
      <c r="HPQ3" s="101"/>
      <c r="HPR3" s="100"/>
      <c r="HPS3" s="102"/>
      <c r="HPU3" s="101"/>
      <c r="HPV3" s="100"/>
      <c r="HPW3" s="102"/>
      <c r="HPY3" s="101"/>
      <c r="HPZ3" s="100"/>
      <c r="HQA3" s="102"/>
      <c r="HQC3" s="101"/>
      <c r="HQD3" s="100"/>
      <c r="HQE3" s="102"/>
      <c r="HQG3" s="101"/>
      <c r="HQH3" s="100"/>
      <c r="HQI3" s="102"/>
      <c r="HQK3" s="101"/>
      <c r="HQL3" s="100"/>
      <c r="HQM3" s="102"/>
      <c r="HQO3" s="101"/>
      <c r="HQP3" s="100"/>
      <c r="HQQ3" s="102"/>
      <c r="HQS3" s="101"/>
      <c r="HQT3" s="100"/>
      <c r="HQU3" s="102"/>
      <c r="HQW3" s="101"/>
      <c r="HQX3" s="100"/>
      <c r="HQY3" s="102"/>
      <c r="HRA3" s="101"/>
      <c r="HRB3" s="100"/>
      <c r="HRC3" s="102"/>
      <c r="HRE3" s="101"/>
      <c r="HRF3" s="100"/>
      <c r="HRG3" s="102"/>
      <c r="HRI3" s="101"/>
      <c r="HRJ3" s="100"/>
      <c r="HRK3" s="102"/>
      <c r="HRM3" s="101"/>
      <c r="HRN3" s="100"/>
      <c r="HRO3" s="102"/>
      <c r="HRQ3" s="101"/>
      <c r="HRR3" s="100"/>
      <c r="HRS3" s="102"/>
      <c r="HRU3" s="101"/>
      <c r="HRV3" s="100"/>
      <c r="HRW3" s="102"/>
      <c r="HRY3" s="101"/>
      <c r="HRZ3" s="100"/>
      <c r="HSA3" s="102"/>
      <c r="HSC3" s="101"/>
      <c r="HSD3" s="100"/>
      <c r="HSE3" s="102"/>
      <c r="HSG3" s="101"/>
      <c r="HSH3" s="100"/>
      <c r="HSI3" s="102"/>
      <c r="HSK3" s="101"/>
      <c r="HSL3" s="100"/>
      <c r="HSM3" s="102"/>
      <c r="HSO3" s="101"/>
      <c r="HSP3" s="100"/>
      <c r="HSQ3" s="102"/>
      <c r="HSS3" s="101"/>
      <c r="HST3" s="100"/>
      <c r="HSU3" s="102"/>
      <c r="HSW3" s="101"/>
      <c r="HSX3" s="100"/>
      <c r="HSY3" s="102"/>
      <c r="HTA3" s="101"/>
      <c r="HTB3" s="100"/>
      <c r="HTC3" s="102"/>
      <c r="HTE3" s="101"/>
      <c r="HTF3" s="100"/>
      <c r="HTG3" s="102"/>
      <c r="HTI3" s="101"/>
      <c r="HTJ3" s="100"/>
      <c r="HTK3" s="102"/>
      <c r="HTM3" s="101"/>
      <c r="HTN3" s="100"/>
      <c r="HTO3" s="102"/>
      <c r="HTQ3" s="101"/>
      <c r="HTR3" s="100"/>
      <c r="HTS3" s="102"/>
      <c r="HTU3" s="101"/>
      <c r="HTV3" s="100"/>
      <c r="HTW3" s="102"/>
      <c r="HTY3" s="101"/>
      <c r="HTZ3" s="100"/>
      <c r="HUA3" s="102"/>
      <c r="HUC3" s="101"/>
      <c r="HUD3" s="100"/>
      <c r="HUE3" s="102"/>
      <c r="HUG3" s="101"/>
      <c r="HUH3" s="100"/>
      <c r="HUI3" s="102"/>
      <c r="HUK3" s="101"/>
      <c r="HUL3" s="100"/>
      <c r="HUM3" s="102"/>
      <c r="HUO3" s="101"/>
      <c r="HUP3" s="100"/>
      <c r="HUQ3" s="102"/>
      <c r="HUS3" s="101"/>
      <c r="HUT3" s="100"/>
      <c r="HUU3" s="102"/>
      <c r="HUW3" s="101"/>
      <c r="HUX3" s="100"/>
      <c r="HUY3" s="102"/>
      <c r="HVA3" s="101"/>
      <c r="HVB3" s="100"/>
      <c r="HVC3" s="102"/>
      <c r="HVE3" s="101"/>
      <c r="HVF3" s="100"/>
      <c r="HVG3" s="102"/>
      <c r="HVI3" s="101"/>
      <c r="HVJ3" s="100"/>
      <c r="HVK3" s="102"/>
      <c r="HVM3" s="101"/>
      <c r="HVN3" s="100"/>
      <c r="HVO3" s="102"/>
      <c r="HVQ3" s="101"/>
      <c r="HVR3" s="100"/>
      <c r="HVS3" s="102"/>
      <c r="HVU3" s="101"/>
      <c r="HVV3" s="100"/>
      <c r="HVW3" s="102"/>
      <c r="HVY3" s="101"/>
      <c r="HVZ3" s="100"/>
      <c r="HWA3" s="102"/>
      <c r="HWC3" s="101"/>
      <c r="HWD3" s="100"/>
      <c r="HWE3" s="102"/>
      <c r="HWG3" s="101"/>
      <c r="HWH3" s="100"/>
      <c r="HWI3" s="102"/>
      <c r="HWK3" s="101"/>
      <c r="HWL3" s="100"/>
      <c r="HWM3" s="102"/>
      <c r="HWO3" s="101"/>
      <c r="HWP3" s="100"/>
      <c r="HWQ3" s="102"/>
      <c r="HWS3" s="101"/>
      <c r="HWT3" s="100"/>
      <c r="HWU3" s="102"/>
      <c r="HWW3" s="101"/>
      <c r="HWX3" s="100"/>
      <c r="HWY3" s="102"/>
      <c r="HXA3" s="101"/>
      <c r="HXB3" s="100"/>
      <c r="HXC3" s="102"/>
      <c r="HXE3" s="101"/>
      <c r="HXF3" s="100"/>
      <c r="HXG3" s="102"/>
      <c r="HXI3" s="101"/>
      <c r="HXJ3" s="100"/>
      <c r="HXK3" s="102"/>
      <c r="HXM3" s="101"/>
      <c r="HXN3" s="100"/>
      <c r="HXO3" s="102"/>
      <c r="HXQ3" s="101"/>
      <c r="HXR3" s="100"/>
      <c r="HXS3" s="102"/>
      <c r="HXU3" s="101"/>
      <c r="HXV3" s="100"/>
      <c r="HXW3" s="102"/>
      <c r="HXY3" s="101"/>
      <c r="HXZ3" s="100"/>
      <c r="HYA3" s="102"/>
      <c r="HYC3" s="101"/>
      <c r="HYD3" s="100"/>
      <c r="HYE3" s="102"/>
      <c r="HYG3" s="101"/>
      <c r="HYH3" s="100"/>
      <c r="HYI3" s="102"/>
      <c r="HYK3" s="101"/>
      <c r="HYL3" s="100"/>
      <c r="HYM3" s="102"/>
      <c r="HYO3" s="101"/>
      <c r="HYP3" s="100"/>
      <c r="HYQ3" s="102"/>
      <c r="HYS3" s="101"/>
      <c r="HYT3" s="100"/>
      <c r="HYU3" s="102"/>
      <c r="HYW3" s="101"/>
      <c r="HYX3" s="100"/>
      <c r="HYY3" s="102"/>
      <c r="HZA3" s="101"/>
      <c r="HZB3" s="100"/>
      <c r="HZC3" s="102"/>
      <c r="HZE3" s="101"/>
      <c r="HZF3" s="100"/>
      <c r="HZG3" s="102"/>
      <c r="HZI3" s="101"/>
      <c r="HZJ3" s="100"/>
      <c r="HZK3" s="102"/>
      <c r="HZM3" s="101"/>
      <c r="HZN3" s="100"/>
      <c r="HZO3" s="102"/>
      <c r="HZQ3" s="101"/>
      <c r="HZR3" s="100"/>
      <c r="HZS3" s="102"/>
      <c r="HZU3" s="101"/>
      <c r="HZV3" s="100"/>
      <c r="HZW3" s="102"/>
      <c r="HZY3" s="101"/>
      <c r="HZZ3" s="100"/>
      <c r="IAA3" s="102"/>
      <c r="IAC3" s="101"/>
      <c r="IAD3" s="100"/>
      <c r="IAE3" s="102"/>
      <c r="IAG3" s="101"/>
      <c r="IAH3" s="100"/>
      <c r="IAI3" s="102"/>
      <c r="IAK3" s="101"/>
      <c r="IAL3" s="100"/>
      <c r="IAM3" s="102"/>
      <c r="IAO3" s="101"/>
      <c r="IAP3" s="100"/>
      <c r="IAQ3" s="102"/>
      <c r="IAS3" s="101"/>
      <c r="IAT3" s="100"/>
      <c r="IAU3" s="102"/>
      <c r="IAW3" s="101"/>
      <c r="IAX3" s="100"/>
      <c r="IAY3" s="102"/>
      <c r="IBA3" s="101"/>
      <c r="IBB3" s="100"/>
      <c r="IBC3" s="102"/>
      <c r="IBE3" s="101"/>
      <c r="IBF3" s="100"/>
      <c r="IBG3" s="102"/>
      <c r="IBI3" s="101"/>
      <c r="IBJ3" s="100"/>
      <c r="IBK3" s="102"/>
      <c r="IBM3" s="101"/>
      <c r="IBN3" s="100"/>
      <c r="IBO3" s="102"/>
      <c r="IBQ3" s="101"/>
      <c r="IBR3" s="100"/>
      <c r="IBS3" s="102"/>
      <c r="IBU3" s="101"/>
      <c r="IBV3" s="100"/>
      <c r="IBW3" s="102"/>
      <c r="IBY3" s="101"/>
      <c r="IBZ3" s="100"/>
      <c r="ICA3" s="102"/>
      <c r="ICC3" s="101"/>
      <c r="ICD3" s="100"/>
      <c r="ICE3" s="102"/>
      <c r="ICG3" s="101"/>
      <c r="ICH3" s="100"/>
      <c r="ICI3" s="102"/>
      <c r="ICK3" s="101"/>
      <c r="ICL3" s="100"/>
      <c r="ICM3" s="102"/>
      <c r="ICO3" s="101"/>
      <c r="ICP3" s="100"/>
      <c r="ICQ3" s="102"/>
      <c r="ICS3" s="101"/>
      <c r="ICT3" s="100"/>
      <c r="ICU3" s="102"/>
      <c r="ICW3" s="101"/>
      <c r="ICX3" s="100"/>
      <c r="ICY3" s="102"/>
      <c r="IDA3" s="101"/>
      <c r="IDB3" s="100"/>
      <c r="IDC3" s="102"/>
      <c r="IDE3" s="101"/>
      <c r="IDF3" s="100"/>
      <c r="IDG3" s="102"/>
      <c r="IDI3" s="101"/>
      <c r="IDJ3" s="100"/>
      <c r="IDK3" s="102"/>
      <c r="IDM3" s="101"/>
      <c r="IDN3" s="100"/>
      <c r="IDO3" s="102"/>
      <c r="IDQ3" s="101"/>
      <c r="IDR3" s="100"/>
      <c r="IDS3" s="102"/>
      <c r="IDU3" s="101"/>
      <c r="IDV3" s="100"/>
      <c r="IDW3" s="102"/>
      <c r="IDY3" s="101"/>
      <c r="IDZ3" s="100"/>
      <c r="IEA3" s="102"/>
      <c r="IEC3" s="101"/>
      <c r="IED3" s="100"/>
      <c r="IEE3" s="102"/>
      <c r="IEG3" s="101"/>
      <c r="IEH3" s="100"/>
      <c r="IEI3" s="102"/>
      <c r="IEK3" s="101"/>
      <c r="IEL3" s="100"/>
      <c r="IEM3" s="102"/>
      <c r="IEO3" s="101"/>
      <c r="IEP3" s="100"/>
      <c r="IEQ3" s="102"/>
      <c r="IES3" s="101"/>
      <c r="IET3" s="100"/>
      <c r="IEU3" s="102"/>
      <c r="IEW3" s="101"/>
      <c r="IEX3" s="100"/>
      <c r="IEY3" s="102"/>
      <c r="IFA3" s="101"/>
      <c r="IFB3" s="100"/>
      <c r="IFC3" s="102"/>
      <c r="IFE3" s="101"/>
      <c r="IFF3" s="100"/>
      <c r="IFG3" s="102"/>
      <c r="IFI3" s="101"/>
      <c r="IFJ3" s="100"/>
      <c r="IFK3" s="102"/>
      <c r="IFM3" s="101"/>
      <c r="IFN3" s="100"/>
      <c r="IFO3" s="102"/>
      <c r="IFQ3" s="101"/>
      <c r="IFR3" s="100"/>
      <c r="IFS3" s="102"/>
      <c r="IFU3" s="101"/>
      <c r="IFV3" s="100"/>
      <c r="IFW3" s="102"/>
      <c r="IFY3" s="101"/>
      <c r="IFZ3" s="100"/>
      <c r="IGA3" s="102"/>
      <c r="IGC3" s="101"/>
      <c r="IGD3" s="100"/>
      <c r="IGE3" s="102"/>
      <c r="IGG3" s="101"/>
      <c r="IGH3" s="100"/>
      <c r="IGI3" s="102"/>
      <c r="IGK3" s="101"/>
      <c r="IGL3" s="100"/>
      <c r="IGM3" s="102"/>
      <c r="IGO3" s="101"/>
      <c r="IGP3" s="100"/>
      <c r="IGQ3" s="102"/>
      <c r="IGS3" s="101"/>
      <c r="IGT3" s="100"/>
      <c r="IGU3" s="102"/>
      <c r="IGW3" s="101"/>
      <c r="IGX3" s="100"/>
      <c r="IGY3" s="102"/>
      <c r="IHA3" s="101"/>
      <c r="IHB3" s="100"/>
      <c r="IHC3" s="102"/>
      <c r="IHE3" s="101"/>
      <c r="IHF3" s="100"/>
      <c r="IHG3" s="102"/>
      <c r="IHI3" s="101"/>
      <c r="IHJ3" s="100"/>
      <c r="IHK3" s="102"/>
      <c r="IHM3" s="101"/>
      <c r="IHN3" s="100"/>
      <c r="IHO3" s="102"/>
      <c r="IHQ3" s="101"/>
      <c r="IHR3" s="100"/>
      <c r="IHS3" s="102"/>
      <c r="IHU3" s="101"/>
      <c r="IHV3" s="100"/>
      <c r="IHW3" s="102"/>
      <c r="IHY3" s="101"/>
      <c r="IHZ3" s="100"/>
      <c r="IIA3" s="102"/>
      <c r="IIC3" s="101"/>
      <c r="IID3" s="100"/>
      <c r="IIE3" s="102"/>
      <c r="IIG3" s="101"/>
      <c r="IIH3" s="100"/>
      <c r="III3" s="102"/>
      <c r="IIK3" s="101"/>
      <c r="IIL3" s="100"/>
      <c r="IIM3" s="102"/>
      <c r="IIO3" s="101"/>
      <c r="IIP3" s="100"/>
      <c r="IIQ3" s="102"/>
      <c r="IIS3" s="101"/>
      <c r="IIT3" s="100"/>
      <c r="IIU3" s="102"/>
      <c r="IIW3" s="101"/>
      <c r="IIX3" s="100"/>
      <c r="IIY3" s="102"/>
      <c r="IJA3" s="101"/>
      <c r="IJB3" s="100"/>
      <c r="IJC3" s="102"/>
      <c r="IJE3" s="101"/>
      <c r="IJF3" s="100"/>
      <c r="IJG3" s="102"/>
      <c r="IJI3" s="101"/>
      <c r="IJJ3" s="100"/>
      <c r="IJK3" s="102"/>
      <c r="IJM3" s="101"/>
      <c r="IJN3" s="100"/>
      <c r="IJO3" s="102"/>
      <c r="IJQ3" s="101"/>
      <c r="IJR3" s="100"/>
      <c r="IJS3" s="102"/>
      <c r="IJU3" s="101"/>
      <c r="IJV3" s="100"/>
      <c r="IJW3" s="102"/>
      <c r="IJY3" s="101"/>
      <c r="IJZ3" s="100"/>
      <c r="IKA3" s="102"/>
      <c r="IKC3" s="101"/>
      <c r="IKD3" s="100"/>
      <c r="IKE3" s="102"/>
      <c r="IKG3" s="101"/>
      <c r="IKH3" s="100"/>
      <c r="IKI3" s="102"/>
      <c r="IKK3" s="101"/>
      <c r="IKL3" s="100"/>
      <c r="IKM3" s="102"/>
      <c r="IKO3" s="101"/>
      <c r="IKP3" s="100"/>
      <c r="IKQ3" s="102"/>
      <c r="IKS3" s="101"/>
      <c r="IKT3" s="100"/>
      <c r="IKU3" s="102"/>
      <c r="IKW3" s="101"/>
      <c r="IKX3" s="100"/>
      <c r="IKY3" s="102"/>
      <c r="ILA3" s="101"/>
      <c r="ILB3" s="100"/>
      <c r="ILC3" s="102"/>
      <c r="ILE3" s="101"/>
      <c r="ILF3" s="100"/>
      <c r="ILG3" s="102"/>
      <c r="ILI3" s="101"/>
      <c r="ILJ3" s="100"/>
      <c r="ILK3" s="102"/>
      <c r="ILM3" s="101"/>
      <c r="ILN3" s="100"/>
      <c r="ILO3" s="102"/>
      <c r="ILQ3" s="101"/>
      <c r="ILR3" s="100"/>
      <c r="ILS3" s="102"/>
      <c r="ILU3" s="101"/>
      <c r="ILV3" s="100"/>
      <c r="ILW3" s="102"/>
      <c r="ILY3" s="101"/>
      <c r="ILZ3" s="100"/>
      <c r="IMA3" s="102"/>
      <c r="IMC3" s="101"/>
      <c r="IMD3" s="100"/>
      <c r="IME3" s="102"/>
      <c r="IMG3" s="101"/>
      <c r="IMH3" s="100"/>
      <c r="IMI3" s="102"/>
      <c r="IMK3" s="101"/>
      <c r="IML3" s="100"/>
      <c r="IMM3" s="102"/>
      <c r="IMO3" s="101"/>
      <c r="IMP3" s="100"/>
      <c r="IMQ3" s="102"/>
      <c r="IMS3" s="101"/>
      <c r="IMT3" s="100"/>
      <c r="IMU3" s="102"/>
      <c r="IMW3" s="101"/>
      <c r="IMX3" s="100"/>
      <c r="IMY3" s="102"/>
      <c r="INA3" s="101"/>
      <c r="INB3" s="100"/>
      <c r="INC3" s="102"/>
      <c r="INE3" s="101"/>
      <c r="INF3" s="100"/>
      <c r="ING3" s="102"/>
      <c r="INI3" s="101"/>
      <c r="INJ3" s="100"/>
      <c r="INK3" s="102"/>
      <c r="INM3" s="101"/>
      <c r="INN3" s="100"/>
      <c r="INO3" s="102"/>
      <c r="INQ3" s="101"/>
      <c r="INR3" s="100"/>
      <c r="INS3" s="102"/>
      <c r="INU3" s="101"/>
      <c r="INV3" s="100"/>
      <c r="INW3" s="102"/>
      <c r="INY3" s="101"/>
      <c r="INZ3" s="100"/>
      <c r="IOA3" s="102"/>
      <c r="IOC3" s="101"/>
      <c r="IOD3" s="100"/>
      <c r="IOE3" s="102"/>
      <c r="IOG3" s="101"/>
      <c r="IOH3" s="100"/>
      <c r="IOI3" s="102"/>
      <c r="IOK3" s="101"/>
      <c r="IOL3" s="100"/>
      <c r="IOM3" s="102"/>
      <c r="IOO3" s="101"/>
      <c r="IOP3" s="100"/>
      <c r="IOQ3" s="102"/>
      <c r="IOS3" s="101"/>
      <c r="IOT3" s="100"/>
      <c r="IOU3" s="102"/>
      <c r="IOW3" s="101"/>
      <c r="IOX3" s="100"/>
      <c r="IOY3" s="102"/>
      <c r="IPA3" s="101"/>
      <c r="IPB3" s="100"/>
      <c r="IPC3" s="102"/>
      <c r="IPE3" s="101"/>
      <c r="IPF3" s="100"/>
      <c r="IPG3" s="102"/>
      <c r="IPI3" s="101"/>
      <c r="IPJ3" s="100"/>
      <c r="IPK3" s="102"/>
      <c r="IPM3" s="101"/>
      <c r="IPN3" s="100"/>
      <c r="IPO3" s="102"/>
      <c r="IPQ3" s="101"/>
      <c r="IPR3" s="100"/>
      <c r="IPS3" s="102"/>
      <c r="IPU3" s="101"/>
      <c r="IPV3" s="100"/>
      <c r="IPW3" s="102"/>
      <c r="IPY3" s="101"/>
      <c r="IPZ3" s="100"/>
      <c r="IQA3" s="102"/>
      <c r="IQC3" s="101"/>
      <c r="IQD3" s="100"/>
      <c r="IQE3" s="102"/>
      <c r="IQG3" s="101"/>
      <c r="IQH3" s="100"/>
      <c r="IQI3" s="102"/>
      <c r="IQK3" s="101"/>
      <c r="IQL3" s="100"/>
      <c r="IQM3" s="102"/>
      <c r="IQO3" s="101"/>
      <c r="IQP3" s="100"/>
      <c r="IQQ3" s="102"/>
      <c r="IQS3" s="101"/>
      <c r="IQT3" s="100"/>
      <c r="IQU3" s="102"/>
      <c r="IQW3" s="101"/>
      <c r="IQX3" s="100"/>
      <c r="IQY3" s="102"/>
      <c r="IRA3" s="101"/>
      <c r="IRB3" s="100"/>
      <c r="IRC3" s="102"/>
      <c r="IRE3" s="101"/>
      <c r="IRF3" s="100"/>
      <c r="IRG3" s="102"/>
      <c r="IRI3" s="101"/>
      <c r="IRJ3" s="100"/>
      <c r="IRK3" s="102"/>
      <c r="IRM3" s="101"/>
      <c r="IRN3" s="100"/>
      <c r="IRO3" s="102"/>
      <c r="IRQ3" s="101"/>
      <c r="IRR3" s="100"/>
      <c r="IRS3" s="102"/>
      <c r="IRU3" s="101"/>
      <c r="IRV3" s="100"/>
      <c r="IRW3" s="102"/>
      <c r="IRY3" s="101"/>
      <c r="IRZ3" s="100"/>
      <c r="ISA3" s="102"/>
      <c r="ISC3" s="101"/>
      <c r="ISD3" s="100"/>
      <c r="ISE3" s="102"/>
      <c r="ISG3" s="101"/>
      <c r="ISH3" s="100"/>
      <c r="ISI3" s="102"/>
      <c r="ISK3" s="101"/>
      <c r="ISL3" s="100"/>
      <c r="ISM3" s="102"/>
      <c r="ISO3" s="101"/>
      <c r="ISP3" s="100"/>
      <c r="ISQ3" s="102"/>
      <c r="ISS3" s="101"/>
      <c r="IST3" s="100"/>
      <c r="ISU3" s="102"/>
      <c r="ISW3" s="101"/>
      <c r="ISX3" s="100"/>
      <c r="ISY3" s="102"/>
      <c r="ITA3" s="101"/>
      <c r="ITB3" s="100"/>
      <c r="ITC3" s="102"/>
      <c r="ITE3" s="101"/>
      <c r="ITF3" s="100"/>
      <c r="ITG3" s="102"/>
      <c r="ITI3" s="101"/>
      <c r="ITJ3" s="100"/>
      <c r="ITK3" s="102"/>
      <c r="ITM3" s="101"/>
      <c r="ITN3" s="100"/>
      <c r="ITO3" s="102"/>
      <c r="ITQ3" s="101"/>
      <c r="ITR3" s="100"/>
      <c r="ITS3" s="102"/>
      <c r="ITU3" s="101"/>
      <c r="ITV3" s="100"/>
      <c r="ITW3" s="102"/>
      <c r="ITY3" s="101"/>
      <c r="ITZ3" s="100"/>
      <c r="IUA3" s="102"/>
      <c r="IUC3" s="101"/>
      <c r="IUD3" s="100"/>
      <c r="IUE3" s="102"/>
      <c r="IUG3" s="101"/>
      <c r="IUH3" s="100"/>
      <c r="IUI3" s="102"/>
      <c r="IUK3" s="101"/>
      <c r="IUL3" s="100"/>
      <c r="IUM3" s="102"/>
      <c r="IUO3" s="101"/>
      <c r="IUP3" s="100"/>
      <c r="IUQ3" s="102"/>
      <c r="IUS3" s="101"/>
      <c r="IUT3" s="100"/>
      <c r="IUU3" s="102"/>
      <c r="IUW3" s="101"/>
      <c r="IUX3" s="100"/>
      <c r="IUY3" s="102"/>
      <c r="IVA3" s="101"/>
      <c r="IVB3" s="100"/>
      <c r="IVC3" s="102"/>
      <c r="IVE3" s="101"/>
      <c r="IVF3" s="100"/>
      <c r="IVG3" s="102"/>
      <c r="IVI3" s="101"/>
      <c r="IVJ3" s="100"/>
      <c r="IVK3" s="102"/>
      <c r="IVM3" s="101"/>
      <c r="IVN3" s="100"/>
      <c r="IVO3" s="102"/>
      <c r="IVQ3" s="101"/>
      <c r="IVR3" s="100"/>
      <c r="IVS3" s="102"/>
      <c r="IVU3" s="101"/>
      <c r="IVV3" s="100"/>
      <c r="IVW3" s="102"/>
      <c r="IVY3" s="101"/>
      <c r="IVZ3" s="100"/>
      <c r="IWA3" s="102"/>
      <c r="IWC3" s="101"/>
      <c r="IWD3" s="100"/>
      <c r="IWE3" s="102"/>
      <c r="IWG3" s="101"/>
      <c r="IWH3" s="100"/>
      <c r="IWI3" s="102"/>
      <c r="IWK3" s="101"/>
      <c r="IWL3" s="100"/>
      <c r="IWM3" s="102"/>
      <c r="IWO3" s="101"/>
      <c r="IWP3" s="100"/>
      <c r="IWQ3" s="102"/>
      <c r="IWS3" s="101"/>
      <c r="IWT3" s="100"/>
      <c r="IWU3" s="102"/>
      <c r="IWW3" s="101"/>
      <c r="IWX3" s="100"/>
      <c r="IWY3" s="102"/>
      <c r="IXA3" s="101"/>
      <c r="IXB3" s="100"/>
      <c r="IXC3" s="102"/>
      <c r="IXE3" s="101"/>
      <c r="IXF3" s="100"/>
      <c r="IXG3" s="102"/>
      <c r="IXI3" s="101"/>
      <c r="IXJ3" s="100"/>
      <c r="IXK3" s="102"/>
      <c r="IXM3" s="101"/>
      <c r="IXN3" s="100"/>
      <c r="IXO3" s="102"/>
      <c r="IXQ3" s="101"/>
      <c r="IXR3" s="100"/>
      <c r="IXS3" s="102"/>
      <c r="IXU3" s="101"/>
      <c r="IXV3" s="100"/>
      <c r="IXW3" s="102"/>
      <c r="IXY3" s="101"/>
      <c r="IXZ3" s="100"/>
      <c r="IYA3" s="102"/>
      <c r="IYC3" s="101"/>
      <c r="IYD3" s="100"/>
      <c r="IYE3" s="102"/>
      <c r="IYG3" s="101"/>
      <c r="IYH3" s="100"/>
      <c r="IYI3" s="102"/>
      <c r="IYK3" s="101"/>
      <c r="IYL3" s="100"/>
      <c r="IYM3" s="102"/>
      <c r="IYO3" s="101"/>
      <c r="IYP3" s="100"/>
      <c r="IYQ3" s="102"/>
      <c r="IYS3" s="101"/>
      <c r="IYT3" s="100"/>
      <c r="IYU3" s="102"/>
      <c r="IYW3" s="101"/>
      <c r="IYX3" s="100"/>
      <c r="IYY3" s="102"/>
      <c r="IZA3" s="101"/>
      <c r="IZB3" s="100"/>
      <c r="IZC3" s="102"/>
      <c r="IZE3" s="101"/>
      <c r="IZF3" s="100"/>
      <c r="IZG3" s="102"/>
      <c r="IZI3" s="101"/>
      <c r="IZJ3" s="100"/>
      <c r="IZK3" s="102"/>
      <c r="IZM3" s="101"/>
      <c r="IZN3" s="100"/>
      <c r="IZO3" s="102"/>
      <c r="IZQ3" s="101"/>
      <c r="IZR3" s="100"/>
      <c r="IZS3" s="102"/>
      <c r="IZU3" s="101"/>
      <c r="IZV3" s="100"/>
      <c r="IZW3" s="102"/>
      <c r="IZY3" s="101"/>
      <c r="IZZ3" s="100"/>
      <c r="JAA3" s="102"/>
      <c r="JAC3" s="101"/>
      <c r="JAD3" s="100"/>
      <c r="JAE3" s="102"/>
      <c r="JAG3" s="101"/>
      <c r="JAH3" s="100"/>
      <c r="JAI3" s="102"/>
      <c r="JAK3" s="101"/>
      <c r="JAL3" s="100"/>
      <c r="JAM3" s="102"/>
      <c r="JAO3" s="101"/>
      <c r="JAP3" s="100"/>
      <c r="JAQ3" s="102"/>
      <c r="JAS3" s="101"/>
      <c r="JAT3" s="100"/>
      <c r="JAU3" s="102"/>
      <c r="JAW3" s="101"/>
      <c r="JAX3" s="100"/>
      <c r="JAY3" s="102"/>
      <c r="JBA3" s="101"/>
      <c r="JBB3" s="100"/>
      <c r="JBC3" s="102"/>
      <c r="JBE3" s="101"/>
      <c r="JBF3" s="100"/>
      <c r="JBG3" s="102"/>
      <c r="JBI3" s="101"/>
      <c r="JBJ3" s="100"/>
      <c r="JBK3" s="102"/>
      <c r="JBM3" s="101"/>
      <c r="JBN3" s="100"/>
      <c r="JBO3" s="102"/>
      <c r="JBQ3" s="101"/>
      <c r="JBR3" s="100"/>
      <c r="JBS3" s="102"/>
      <c r="JBU3" s="101"/>
      <c r="JBV3" s="100"/>
      <c r="JBW3" s="102"/>
      <c r="JBY3" s="101"/>
      <c r="JBZ3" s="100"/>
      <c r="JCA3" s="102"/>
      <c r="JCC3" s="101"/>
      <c r="JCD3" s="100"/>
      <c r="JCE3" s="102"/>
      <c r="JCG3" s="101"/>
      <c r="JCH3" s="100"/>
      <c r="JCI3" s="102"/>
      <c r="JCK3" s="101"/>
      <c r="JCL3" s="100"/>
      <c r="JCM3" s="102"/>
      <c r="JCO3" s="101"/>
      <c r="JCP3" s="100"/>
      <c r="JCQ3" s="102"/>
      <c r="JCS3" s="101"/>
      <c r="JCT3" s="100"/>
      <c r="JCU3" s="102"/>
      <c r="JCW3" s="101"/>
      <c r="JCX3" s="100"/>
      <c r="JCY3" s="102"/>
      <c r="JDA3" s="101"/>
      <c r="JDB3" s="100"/>
      <c r="JDC3" s="102"/>
      <c r="JDE3" s="101"/>
      <c r="JDF3" s="100"/>
      <c r="JDG3" s="102"/>
      <c r="JDI3" s="101"/>
      <c r="JDJ3" s="100"/>
      <c r="JDK3" s="102"/>
      <c r="JDM3" s="101"/>
      <c r="JDN3" s="100"/>
      <c r="JDO3" s="102"/>
      <c r="JDQ3" s="101"/>
      <c r="JDR3" s="100"/>
      <c r="JDS3" s="102"/>
      <c r="JDU3" s="101"/>
      <c r="JDV3" s="100"/>
      <c r="JDW3" s="102"/>
      <c r="JDY3" s="101"/>
      <c r="JDZ3" s="100"/>
      <c r="JEA3" s="102"/>
      <c r="JEC3" s="101"/>
      <c r="JED3" s="100"/>
      <c r="JEE3" s="102"/>
      <c r="JEG3" s="101"/>
      <c r="JEH3" s="100"/>
      <c r="JEI3" s="102"/>
      <c r="JEK3" s="101"/>
      <c r="JEL3" s="100"/>
      <c r="JEM3" s="102"/>
      <c r="JEO3" s="101"/>
      <c r="JEP3" s="100"/>
      <c r="JEQ3" s="102"/>
      <c r="JES3" s="101"/>
      <c r="JET3" s="100"/>
      <c r="JEU3" s="102"/>
      <c r="JEW3" s="101"/>
      <c r="JEX3" s="100"/>
      <c r="JEY3" s="102"/>
      <c r="JFA3" s="101"/>
      <c r="JFB3" s="100"/>
      <c r="JFC3" s="102"/>
      <c r="JFE3" s="101"/>
      <c r="JFF3" s="100"/>
      <c r="JFG3" s="102"/>
      <c r="JFI3" s="101"/>
      <c r="JFJ3" s="100"/>
      <c r="JFK3" s="102"/>
      <c r="JFM3" s="101"/>
      <c r="JFN3" s="100"/>
      <c r="JFO3" s="102"/>
      <c r="JFQ3" s="101"/>
      <c r="JFR3" s="100"/>
      <c r="JFS3" s="102"/>
      <c r="JFU3" s="101"/>
      <c r="JFV3" s="100"/>
      <c r="JFW3" s="102"/>
      <c r="JFY3" s="101"/>
      <c r="JFZ3" s="100"/>
      <c r="JGA3" s="102"/>
      <c r="JGC3" s="101"/>
      <c r="JGD3" s="100"/>
      <c r="JGE3" s="102"/>
      <c r="JGG3" s="101"/>
      <c r="JGH3" s="100"/>
      <c r="JGI3" s="102"/>
      <c r="JGK3" s="101"/>
      <c r="JGL3" s="100"/>
      <c r="JGM3" s="102"/>
      <c r="JGO3" s="101"/>
      <c r="JGP3" s="100"/>
      <c r="JGQ3" s="102"/>
      <c r="JGS3" s="101"/>
      <c r="JGT3" s="100"/>
      <c r="JGU3" s="102"/>
      <c r="JGW3" s="101"/>
      <c r="JGX3" s="100"/>
      <c r="JGY3" s="102"/>
      <c r="JHA3" s="101"/>
      <c r="JHB3" s="100"/>
      <c r="JHC3" s="102"/>
      <c r="JHE3" s="101"/>
      <c r="JHF3" s="100"/>
      <c r="JHG3" s="102"/>
      <c r="JHI3" s="101"/>
      <c r="JHJ3" s="100"/>
      <c r="JHK3" s="102"/>
      <c r="JHM3" s="101"/>
      <c r="JHN3" s="100"/>
      <c r="JHO3" s="102"/>
      <c r="JHQ3" s="101"/>
      <c r="JHR3" s="100"/>
      <c r="JHS3" s="102"/>
      <c r="JHU3" s="101"/>
      <c r="JHV3" s="100"/>
      <c r="JHW3" s="102"/>
      <c r="JHY3" s="101"/>
      <c r="JHZ3" s="100"/>
      <c r="JIA3" s="102"/>
      <c r="JIC3" s="101"/>
      <c r="JID3" s="100"/>
      <c r="JIE3" s="102"/>
      <c r="JIG3" s="101"/>
      <c r="JIH3" s="100"/>
      <c r="JII3" s="102"/>
      <c r="JIK3" s="101"/>
      <c r="JIL3" s="100"/>
      <c r="JIM3" s="102"/>
      <c r="JIO3" s="101"/>
      <c r="JIP3" s="100"/>
      <c r="JIQ3" s="102"/>
      <c r="JIS3" s="101"/>
      <c r="JIT3" s="100"/>
      <c r="JIU3" s="102"/>
      <c r="JIW3" s="101"/>
      <c r="JIX3" s="100"/>
      <c r="JIY3" s="102"/>
      <c r="JJA3" s="101"/>
      <c r="JJB3" s="100"/>
      <c r="JJC3" s="102"/>
      <c r="JJE3" s="101"/>
      <c r="JJF3" s="100"/>
      <c r="JJG3" s="102"/>
      <c r="JJI3" s="101"/>
      <c r="JJJ3" s="100"/>
      <c r="JJK3" s="102"/>
      <c r="JJM3" s="101"/>
      <c r="JJN3" s="100"/>
      <c r="JJO3" s="102"/>
      <c r="JJQ3" s="101"/>
      <c r="JJR3" s="100"/>
      <c r="JJS3" s="102"/>
      <c r="JJU3" s="101"/>
      <c r="JJV3" s="100"/>
      <c r="JJW3" s="102"/>
      <c r="JJY3" s="101"/>
      <c r="JJZ3" s="100"/>
      <c r="JKA3" s="102"/>
      <c r="JKC3" s="101"/>
      <c r="JKD3" s="100"/>
      <c r="JKE3" s="102"/>
      <c r="JKG3" s="101"/>
      <c r="JKH3" s="100"/>
      <c r="JKI3" s="102"/>
      <c r="JKK3" s="101"/>
      <c r="JKL3" s="100"/>
      <c r="JKM3" s="102"/>
      <c r="JKO3" s="101"/>
      <c r="JKP3" s="100"/>
      <c r="JKQ3" s="102"/>
      <c r="JKS3" s="101"/>
      <c r="JKT3" s="100"/>
      <c r="JKU3" s="102"/>
      <c r="JKW3" s="101"/>
      <c r="JKX3" s="100"/>
      <c r="JKY3" s="102"/>
      <c r="JLA3" s="101"/>
      <c r="JLB3" s="100"/>
      <c r="JLC3" s="102"/>
      <c r="JLE3" s="101"/>
      <c r="JLF3" s="100"/>
      <c r="JLG3" s="102"/>
      <c r="JLI3" s="101"/>
      <c r="JLJ3" s="100"/>
      <c r="JLK3" s="102"/>
      <c r="JLM3" s="101"/>
      <c r="JLN3" s="100"/>
      <c r="JLO3" s="102"/>
      <c r="JLQ3" s="101"/>
      <c r="JLR3" s="100"/>
      <c r="JLS3" s="102"/>
      <c r="JLU3" s="101"/>
      <c r="JLV3" s="100"/>
      <c r="JLW3" s="102"/>
      <c r="JLY3" s="101"/>
      <c r="JLZ3" s="100"/>
      <c r="JMA3" s="102"/>
      <c r="JMC3" s="101"/>
      <c r="JMD3" s="100"/>
      <c r="JME3" s="102"/>
      <c r="JMG3" s="101"/>
      <c r="JMH3" s="100"/>
      <c r="JMI3" s="102"/>
      <c r="JMK3" s="101"/>
      <c r="JML3" s="100"/>
      <c r="JMM3" s="102"/>
      <c r="JMO3" s="101"/>
      <c r="JMP3" s="100"/>
      <c r="JMQ3" s="102"/>
      <c r="JMS3" s="101"/>
      <c r="JMT3" s="100"/>
      <c r="JMU3" s="102"/>
      <c r="JMW3" s="101"/>
      <c r="JMX3" s="100"/>
      <c r="JMY3" s="102"/>
      <c r="JNA3" s="101"/>
      <c r="JNB3" s="100"/>
      <c r="JNC3" s="102"/>
      <c r="JNE3" s="101"/>
      <c r="JNF3" s="100"/>
      <c r="JNG3" s="102"/>
      <c r="JNI3" s="101"/>
      <c r="JNJ3" s="100"/>
      <c r="JNK3" s="102"/>
      <c r="JNM3" s="101"/>
      <c r="JNN3" s="100"/>
      <c r="JNO3" s="102"/>
      <c r="JNQ3" s="101"/>
      <c r="JNR3" s="100"/>
      <c r="JNS3" s="102"/>
      <c r="JNU3" s="101"/>
      <c r="JNV3" s="100"/>
      <c r="JNW3" s="102"/>
      <c r="JNY3" s="101"/>
      <c r="JNZ3" s="100"/>
      <c r="JOA3" s="102"/>
      <c r="JOC3" s="101"/>
      <c r="JOD3" s="100"/>
      <c r="JOE3" s="102"/>
      <c r="JOG3" s="101"/>
      <c r="JOH3" s="100"/>
      <c r="JOI3" s="102"/>
      <c r="JOK3" s="101"/>
      <c r="JOL3" s="100"/>
      <c r="JOM3" s="102"/>
      <c r="JOO3" s="101"/>
      <c r="JOP3" s="100"/>
      <c r="JOQ3" s="102"/>
      <c r="JOS3" s="101"/>
      <c r="JOT3" s="100"/>
      <c r="JOU3" s="102"/>
      <c r="JOW3" s="101"/>
      <c r="JOX3" s="100"/>
      <c r="JOY3" s="102"/>
      <c r="JPA3" s="101"/>
      <c r="JPB3" s="100"/>
      <c r="JPC3" s="102"/>
      <c r="JPE3" s="101"/>
      <c r="JPF3" s="100"/>
      <c r="JPG3" s="102"/>
      <c r="JPI3" s="101"/>
      <c r="JPJ3" s="100"/>
      <c r="JPK3" s="102"/>
      <c r="JPM3" s="101"/>
      <c r="JPN3" s="100"/>
      <c r="JPO3" s="102"/>
      <c r="JPQ3" s="101"/>
      <c r="JPR3" s="100"/>
      <c r="JPS3" s="102"/>
      <c r="JPU3" s="101"/>
      <c r="JPV3" s="100"/>
      <c r="JPW3" s="102"/>
      <c r="JPY3" s="101"/>
      <c r="JPZ3" s="100"/>
      <c r="JQA3" s="102"/>
      <c r="JQC3" s="101"/>
      <c r="JQD3" s="100"/>
      <c r="JQE3" s="102"/>
      <c r="JQG3" s="101"/>
      <c r="JQH3" s="100"/>
      <c r="JQI3" s="102"/>
      <c r="JQK3" s="101"/>
      <c r="JQL3" s="100"/>
      <c r="JQM3" s="102"/>
      <c r="JQO3" s="101"/>
      <c r="JQP3" s="100"/>
      <c r="JQQ3" s="102"/>
      <c r="JQS3" s="101"/>
      <c r="JQT3" s="100"/>
      <c r="JQU3" s="102"/>
      <c r="JQW3" s="101"/>
      <c r="JQX3" s="100"/>
      <c r="JQY3" s="102"/>
      <c r="JRA3" s="101"/>
      <c r="JRB3" s="100"/>
      <c r="JRC3" s="102"/>
      <c r="JRE3" s="101"/>
      <c r="JRF3" s="100"/>
      <c r="JRG3" s="102"/>
      <c r="JRI3" s="101"/>
      <c r="JRJ3" s="100"/>
      <c r="JRK3" s="102"/>
      <c r="JRM3" s="101"/>
      <c r="JRN3" s="100"/>
      <c r="JRO3" s="102"/>
      <c r="JRQ3" s="101"/>
      <c r="JRR3" s="100"/>
      <c r="JRS3" s="102"/>
      <c r="JRU3" s="101"/>
      <c r="JRV3" s="100"/>
      <c r="JRW3" s="102"/>
      <c r="JRY3" s="101"/>
      <c r="JRZ3" s="100"/>
      <c r="JSA3" s="102"/>
      <c r="JSC3" s="101"/>
      <c r="JSD3" s="100"/>
      <c r="JSE3" s="102"/>
      <c r="JSG3" s="101"/>
      <c r="JSH3" s="100"/>
      <c r="JSI3" s="102"/>
      <c r="JSK3" s="101"/>
      <c r="JSL3" s="100"/>
      <c r="JSM3" s="102"/>
      <c r="JSO3" s="101"/>
      <c r="JSP3" s="100"/>
      <c r="JSQ3" s="102"/>
      <c r="JSS3" s="101"/>
      <c r="JST3" s="100"/>
      <c r="JSU3" s="102"/>
      <c r="JSW3" s="101"/>
      <c r="JSX3" s="100"/>
      <c r="JSY3" s="102"/>
      <c r="JTA3" s="101"/>
      <c r="JTB3" s="100"/>
      <c r="JTC3" s="102"/>
      <c r="JTE3" s="101"/>
      <c r="JTF3" s="100"/>
      <c r="JTG3" s="102"/>
      <c r="JTI3" s="101"/>
      <c r="JTJ3" s="100"/>
      <c r="JTK3" s="102"/>
      <c r="JTM3" s="101"/>
      <c r="JTN3" s="100"/>
      <c r="JTO3" s="102"/>
      <c r="JTQ3" s="101"/>
      <c r="JTR3" s="100"/>
      <c r="JTS3" s="102"/>
      <c r="JTU3" s="101"/>
      <c r="JTV3" s="100"/>
      <c r="JTW3" s="102"/>
      <c r="JTY3" s="101"/>
      <c r="JTZ3" s="100"/>
      <c r="JUA3" s="102"/>
      <c r="JUC3" s="101"/>
      <c r="JUD3" s="100"/>
      <c r="JUE3" s="102"/>
      <c r="JUG3" s="101"/>
      <c r="JUH3" s="100"/>
      <c r="JUI3" s="102"/>
      <c r="JUK3" s="101"/>
      <c r="JUL3" s="100"/>
      <c r="JUM3" s="102"/>
      <c r="JUO3" s="101"/>
      <c r="JUP3" s="100"/>
      <c r="JUQ3" s="102"/>
      <c r="JUS3" s="101"/>
      <c r="JUT3" s="100"/>
      <c r="JUU3" s="102"/>
      <c r="JUW3" s="101"/>
      <c r="JUX3" s="100"/>
      <c r="JUY3" s="102"/>
      <c r="JVA3" s="101"/>
      <c r="JVB3" s="100"/>
      <c r="JVC3" s="102"/>
      <c r="JVE3" s="101"/>
      <c r="JVF3" s="100"/>
      <c r="JVG3" s="102"/>
      <c r="JVI3" s="101"/>
      <c r="JVJ3" s="100"/>
      <c r="JVK3" s="102"/>
      <c r="JVM3" s="101"/>
      <c r="JVN3" s="100"/>
      <c r="JVO3" s="102"/>
      <c r="JVQ3" s="101"/>
      <c r="JVR3" s="100"/>
      <c r="JVS3" s="102"/>
      <c r="JVU3" s="101"/>
      <c r="JVV3" s="100"/>
      <c r="JVW3" s="102"/>
      <c r="JVY3" s="101"/>
      <c r="JVZ3" s="100"/>
      <c r="JWA3" s="102"/>
      <c r="JWC3" s="101"/>
      <c r="JWD3" s="100"/>
      <c r="JWE3" s="102"/>
      <c r="JWG3" s="101"/>
      <c r="JWH3" s="100"/>
      <c r="JWI3" s="102"/>
      <c r="JWK3" s="101"/>
      <c r="JWL3" s="100"/>
      <c r="JWM3" s="102"/>
      <c r="JWO3" s="101"/>
      <c r="JWP3" s="100"/>
      <c r="JWQ3" s="102"/>
      <c r="JWS3" s="101"/>
      <c r="JWT3" s="100"/>
      <c r="JWU3" s="102"/>
      <c r="JWW3" s="101"/>
      <c r="JWX3" s="100"/>
      <c r="JWY3" s="102"/>
      <c r="JXA3" s="101"/>
      <c r="JXB3" s="100"/>
      <c r="JXC3" s="102"/>
      <c r="JXE3" s="101"/>
      <c r="JXF3" s="100"/>
      <c r="JXG3" s="102"/>
      <c r="JXI3" s="101"/>
      <c r="JXJ3" s="100"/>
      <c r="JXK3" s="102"/>
      <c r="JXM3" s="101"/>
      <c r="JXN3" s="100"/>
      <c r="JXO3" s="102"/>
      <c r="JXQ3" s="101"/>
      <c r="JXR3" s="100"/>
      <c r="JXS3" s="102"/>
      <c r="JXU3" s="101"/>
      <c r="JXV3" s="100"/>
      <c r="JXW3" s="102"/>
      <c r="JXY3" s="101"/>
      <c r="JXZ3" s="100"/>
      <c r="JYA3" s="102"/>
      <c r="JYC3" s="101"/>
      <c r="JYD3" s="100"/>
      <c r="JYE3" s="102"/>
      <c r="JYG3" s="101"/>
      <c r="JYH3" s="100"/>
      <c r="JYI3" s="102"/>
      <c r="JYK3" s="101"/>
      <c r="JYL3" s="100"/>
      <c r="JYM3" s="102"/>
      <c r="JYO3" s="101"/>
      <c r="JYP3" s="100"/>
      <c r="JYQ3" s="102"/>
      <c r="JYS3" s="101"/>
      <c r="JYT3" s="100"/>
      <c r="JYU3" s="102"/>
      <c r="JYW3" s="101"/>
      <c r="JYX3" s="100"/>
      <c r="JYY3" s="102"/>
      <c r="JZA3" s="101"/>
      <c r="JZB3" s="100"/>
      <c r="JZC3" s="102"/>
      <c r="JZE3" s="101"/>
      <c r="JZF3" s="100"/>
      <c r="JZG3" s="102"/>
      <c r="JZI3" s="101"/>
      <c r="JZJ3" s="100"/>
      <c r="JZK3" s="102"/>
      <c r="JZM3" s="101"/>
      <c r="JZN3" s="100"/>
      <c r="JZO3" s="102"/>
      <c r="JZQ3" s="101"/>
      <c r="JZR3" s="100"/>
      <c r="JZS3" s="102"/>
      <c r="JZU3" s="101"/>
      <c r="JZV3" s="100"/>
      <c r="JZW3" s="102"/>
      <c r="JZY3" s="101"/>
      <c r="JZZ3" s="100"/>
      <c r="KAA3" s="102"/>
      <c r="KAC3" s="101"/>
      <c r="KAD3" s="100"/>
      <c r="KAE3" s="102"/>
      <c r="KAG3" s="101"/>
      <c r="KAH3" s="100"/>
      <c r="KAI3" s="102"/>
      <c r="KAK3" s="101"/>
      <c r="KAL3" s="100"/>
      <c r="KAM3" s="102"/>
      <c r="KAO3" s="101"/>
      <c r="KAP3" s="100"/>
      <c r="KAQ3" s="102"/>
      <c r="KAS3" s="101"/>
      <c r="KAT3" s="100"/>
      <c r="KAU3" s="102"/>
      <c r="KAW3" s="101"/>
      <c r="KAX3" s="100"/>
      <c r="KAY3" s="102"/>
      <c r="KBA3" s="101"/>
      <c r="KBB3" s="100"/>
      <c r="KBC3" s="102"/>
      <c r="KBE3" s="101"/>
      <c r="KBF3" s="100"/>
      <c r="KBG3" s="102"/>
      <c r="KBI3" s="101"/>
      <c r="KBJ3" s="100"/>
      <c r="KBK3" s="102"/>
      <c r="KBM3" s="101"/>
      <c r="KBN3" s="100"/>
      <c r="KBO3" s="102"/>
      <c r="KBQ3" s="101"/>
      <c r="KBR3" s="100"/>
      <c r="KBS3" s="102"/>
      <c r="KBU3" s="101"/>
      <c r="KBV3" s="100"/>
      <c r="KBW3" s="102"/>
      <c r="KBY3" s="101"/>
      <c r="KBZ3" s="100"/>
      <c r="KCA3" s="102"/>
      <c r="KCC3" s="101"/>
      <c r="KCD3" s="100"/>
      <c r="KCE3" s="102"/>
      <c r="KCG3" s="101"/>
      <c r="KCH3" s="100"/>
      <c r="KCI3" s="102"/>
      <c r="KCK3" s="101"/>
      <c r="KCL3" s="100"/>
      <c r="KCM3" s="102"/>
      <c r="KCO3" s="101"/>
      <c r="KCP3" s="100"/>
      <c r="KCQ3" s="102"/>
      <c r="KCS3" s="101"/>
      <c r="KCT3" s="100"/>
      <c r="KCU3" s="102"/>
      <c r="KCW3" s="101"/>
      <c r="KCX3" s="100"/>
      <c r="KCY3" s="102"/>
      <c r="KDA3" s="101"/>
      <c r="KDB3" s="100"/>
      <c r="KDC3" s="102"/>
      <c r="KDE3" s="101"/>
      <c r="KDF3" s="100"/>
      <c r="KDG3" s="102"/>
      <c r="KDI3" s="101"/>
      <c r="KDJ3" s="100"/>
      <c r="KDK3" s="102"/>
      <c r="KDM3" s="101"/>
      <c r="KDN3" s="100"/>
      <c r="KDO3" s="102"/>
      <c r="KDQ3" s="101"/>
      <c r="KDR3" s="100"/>
      <c r="KDS3" s="102"/>
      <c r="KDU3" s="101"/>
      <c r="KDV3" s="100"/>
      <c r="KDW3" s="102"/>
      <c r="KDY3" s="101"/>
      <c r="KDZ3" s="100"/>
      <c r="KEA3" s="102"/>
      <c r="KEC3" s="101"/>
      <c r="KED3" s="100"/>
      <c r="KEE3" s="102"/>
      <c r="KEG3" s="101"/>
      <c r="KEH3" s="100"/>
      <c r="KEI3" s="102"/>
      <c r="KEK3" s="101"/>
      <c r="KEL3" s="100"/>
      <c r="KEM3" s="102"/>
      <c r="KEO3" s="101"/>
      <c r="KEP3" s="100"/>
      <c r="KEQ3" s="102"/>
      <c r="KES3" s="101"/>
      <c r="KET3" s="100"/>
      <c r="KEU3" s="102"/>
      <c r="KEW3" s="101"/>
      <c r="KEX3" s="100"/>
      <c r="KEY3" s="102"/>
      <c r="KFA3" s="101"/>
      <c r="KFB3" s="100"/>
      <c r="KFC3" s="102"/>
      <c r="KFE3" s="101"/>
      <c r="KFF3" s="100"/>
      <c r="KFG3" s="102"/>
      <c r="KFI3" s="101"/>
      <c r="KFJ3" s="100"/>
      <c r="KFK3" s="102"/>
      <c r="KFM3" s="101"/>
      <c r="KFN3" s="100"/>
      <c r="KFO3" s="102"/>
      <c r="KFQ3" s="101"/>
      <c r="KFR3" s="100"/>
      <c r="KFS3" s="102"/>
      <c r="KFU3" s="101"/>
      <c r="KFV3" s="100"/>
      <c r="KFW3" s="102"/>
      <c r="KFY3" s="101"/>
      <c r="KFZ3" s="100"/>
      <c r="KGA3" s="102"/>
      <c r="KGC3" s="101"/>
      <c r="KGD3" s="100"/>
      <c r="KGE3" s="102"/>
      <c r="KGG3" s="101"/>
      <c r="KGH3" s="100"/>
      <c r="KGI3" s="102"/>
      <c r="KGK3" s="101"/>
      <c r="KGL3" s="100"/>
      <c r="KGM3" s="102"/>
      <c r="KGO3" s="101"/>
      <c r="KGP3" s="100"/>
      <c r="KGQ3" s="102"/>
      <c r="KGS3" s="101"/>
      <c r="KGT3" s="100"/>
      <c r="KGU3" s="102"/>
      <c r="KGW3" s="101"/>
      <c r="KGX3" s="100"/>
      <c r="KGY3" s="102"/>
      <c r="KHA3" s="101"/>
      <c r="KHB3" s="100"/>
      <c r="KHC3" s="102"/>
      <c r="KHE3" s="101"/>
      <c r="KHF3" s="100"/>
      <c r="KHG3" s="102"/>
      <c r="KHI3" s="101"/>
      <c r="KHJ3" s="100"/>
      <c r="KHK3" s="102"/>
      <c r="KHM3" s="101"/>
      <c r="KHN3" s="100"/>
      <c r="KHO3" s="102"/>
      <c r="KHQ3" s="101"/>
      <c r="KHR3" s="100"/>
      <c r="KHS3" s="102"/>
      <c r="KHU3" s="101"/>
      <c r="KHV3" s="100"/>
      <c r="KHW3" s="102"/>
      <c r="KHY3" s="101"/>
      <c r="KHZ3" s="100"/>
      <c r="KIA3" s="102"/>
      <c r="KIC3" s="101"/>
      <c r="KID3" s="100"/>
      <c r="KIE3" s="102"/>
      <c r="KIG3" s="101"/>
      <c r="KIH3" s="100"/>
      <c r="KII3" s="102"/>
      <c r="KIK3" s="101"/>
      <c r="KIL3" s="100"/>
      <c r="KIM3" s="102"/>
      <c r="KIO3" s="101"/>
      <c r="KIP3" s="100"/>
      <c r="KIQ3" s="102"/>
      <c r="KIS3" s="101"/>
      <c r="KIT3" s="100"/>
      <c r="KIU3" s="102"/>
      <c r="KIW3" s="101"/>
      <c r="KIX3" s="100"/>
      <c r="KIY3" s="102"/>
      <c r="KJA3" s="101"/>
      <c r="KJB3" s="100"/>
      <c r="KJC3" s="102"/>
      <c r="KJE3" s="101"/>
      <c r="KJF3" s="100"/>
      <c r="KJG3" s="102"/>
      <c r="KJI3" s="101"/>
      <c r="KJJ3" s="100"/>
      <c r="KJK3" s="102"/>
      <c r="KJM3" s="101"/>
      <c r="KJN3" s="100"/>
      <c r="KJO3" s="102"/>
      <c r="KJQ3" s="101"/>
      <c r="KJR3" s="100"/>
      <c r="KJS3" s="102"/>
      <c r="KJU3" s="101"/>
      <c r="KJV3" s="100"/>
      <c r="KJW3" s="102"/>
      <c r="KJY3" s="101"/>
      <c r="KJZ3" s="100"/>
      <c r="KKA3" s="102"/>
      <c r="KKC3" s="101"/>
      <c r="KKD3" s="100"/>
      <c r="KKE3" s="102"/>
      <c r="KKG3" s="101"/>
      <c r="KKH3" s="100"/>
      <c r="KKI3" s="102"/>
      <c r="KKK3" s="101"/>
      <c r="KKL3" s="100"/>
      <c r="KKM3" s="102"/>
      <c r="KKO3" s="101"/>
      <c r="KKP3" s="100"/>
      <c r="KKQ3" s="102"/>
      <c r="KKS3" s="101"/>
      <c r="KKT3" s="100"/>
      <c r="KKU3" s="102"/>
      <c r="KKW3" s="101"/>
      <c r="KKX3" s="100"/>
      <c r="KKY3" s="102"/>
      <c r="KLA3" s="101"/>
      <c r="KLB3" s="100"/>
      <c r="KLC3" s="102"/>
      <c r="KLE3" s="101"/>
      <c r="KLF3" s="100"/>
      <c r="KLG3" s="102"/>
      <c r="KLI3" s="101"/>
      <c r="KLJ3" s="100"/>
      <c r="KLK3" s="102"/>
      <c r="KLM3" s="101"/>
      <c r="KLN3" s="100"/>
      <c r="KLO3" s="102"/>
      <c r="KLQ3" s="101"/>
      <c r="KLR3" s="100"/>
      <c r="KLS3" s="102"/>
      <c r="KLU3" s="101"/>
      <c r="KLV3" s="100"/>
      <c r="KLW3" s="102"/>
      <c r="KLY3" s="101"/>
      <c r="KLZ3" s="100"/>
      <c r="KMA3" s="102"/>
      <c r="KMC3" s="101"/>
      <c r="KMD3" s="100"/>
      <c r="KME3" s="102"/>
      <c r="KMG3" s="101"/>
      <c r="KMH3" s="100"/>
      <c r="KMI3" s="102"/>
      <c r="KMK3" s="101"/>
      <c r="KML3" s="100"/>
      <c r="KMM3" s="102"/>
      <c r="KMO3" s="101"/>
      <c r="KMP3" s="100"/>
      <c r="KMQ3" s="102"/>
      <c r="KMS3" s="101"/>
      <c r="KMT3" s="100"/>
      <c r="KMU3" s="102"/>
      <c r="KMW3" s="101"/>
      <c r="KMX3" s="100"/>
      <c r="KMY3" s="102"/>
      <c r="KNA3" s="101"/>
      <c r="KNB3" s="100"/>
      <c r="KNC3" s="102"/>
      <c r="KNE3" s="101"/>
      <c r="KNF3" s="100"/>
      <c r="KNG3" s="102"/>
      <c r="KNI3" s="101"/>
      <c r="KNJ3" s="100"/>
      <c r="KNK3" s="102"/>
      <c r="KNM3" s="101"/>
      <c r="KNN3" s="100"/>
      <c r="KNO3" s="102"/>
      <c r="KNQ3" s="101"/>
      <c r="KNR3" s="100"/>
      <c r="KNS3" s="102"/>
      <c r="KNU3" s="101"/>
      <c r="KNV3" s="100"/>
      <c r="KNW3" s="102"/>
      <c r="KNY3" s="101"/>
      <c r="KNZ3" s="100"/>
      <c r="KOA3" s="102"/>
      <c r="KOC3" s="101"/>
      <c r="KOD3" s="100"/>
      <c r="KOE3" s="102"/>
      <c r="KOG3" s="101"/>
      <c r="KOH3" s="100"/>
      <c r="KOI3" s="102"/>
      <c r="KOK3" s="101"/>
      <c r="KOL3" s="100"/>
      <c r="KOM3" s="102"/>
      <c r="KOO3" s="101"/>
      <c r="KOP3" s="100"/>
      <c r="KOQ3" s="102"/>
      <c r="KOS3" s="101"/>
      <c r="KOT3" s="100"/>
      <c r="KOU3" s="102"/>
      <c r="KOW3" s="101"/>
      <c r="KOX3" s="100"/>
      <c r="KOY3" s="102"/>
      <c r="KPA3" s="101"/>
      <c r="KPB3" s="100"/>
      <c r="KPC3" s="102"/>
      <c r="KPE3" s="101"/>
      <c r="KPF3" s="100"/>
      <c r="KPG3" s="102"/>
      <c r="KPI3" s="101"/>
      <c r="KPJ3" s="100"/>
      <c r="KPK3" s="102"/>
      <c r="KPM3" s="101"/>
      <c r="KPN3" s="100"/>
      <c r="KPO3" s="102"/>
      <c r="KPQ3" s="101"/>
      <c r="KPR3" s="100"/>
      <c r="KPS3" s="102"/>
      <c r="KPU3" s="101"/>
      <c r="KPV3" s="100"/>
      <c r="KPW3" s="102"/>
      <c r="KPY3" s="101"/>
      <c r="KPZ3" s="100"/>
      <c r="KQA3" s="102"/>
      <c r="KQC3" s="101"/>
      <c r="KQD3" s="100"/>
      <c r="KQE3" s="102"/>
      <c r="KQG3" s="101"/>
      <c r="KQH3" s="100"/>
      <c r="KQI3" s="102"/>
      <c r="KQK3" s="101"/>
      <c r="KQL3" s="100"/>
      <c r="KQM3" s="102"/>
      <c r="KQO3" s="101"/>
      <c r="KQP3" s="100"/>
      <c r="KQQ3" s="102"/>
      <c r="KQS3" s="101"/>
      <c r="KQT3" s="100"/>
      <c r="KQU3" s="102"/>
      <c r="KQW3" s="101"/>
      <c r="KQX3" s="100"/>
      <c r="KQY3" s="102"/>
      <c r="KRA3" s="101"/>
      <c r="KRB3" s="100"/>
      <c r="KRC3" s="102"/>
      <c r="KRE3" s="101"/>
      <c r="KRF3" s="100"/>
      <c r="KRG3" s="102"/>
      <c r="KRI3" s="101"/>
      <c r="KRJ3" s="100"/>
      <c r="KRK3" s="102"/>
      <c r="KRM3" s="101"/>
      <c r="KRN3" s="100"/>
      <c r="KRO3" s="102"/>
      <c r="KRQ3" s="101"/>
      <c r="KRR3" s="100"/>
      <c r="KRS3" s="102"/>
      <c r="KRU3" s="101"/>
      <c r="KRV3" s="100"/>
      <c r="KRW3" s="102"/>
      <c r="KRY3" s="101"/>
      <c r="KRZ3" s="100"/>
      <c r="KSA3" s="102"/>
      <c r="KSC3" s="101"/>
      <c r="KSD3" s="100"/>
      <c r="KSE3" s="102"/>
      <c r="KSG3" s="101"/>
      <c r="KSH3" s="100"/>
      <c r="KSI3" s="102"/>
      <c r="KSK3" s="101"/>
      <c r="KSL3" s="100"/>
      <c r="KSM3" s="102"/>
      <c r="KSO3" s="101"/>
      <c r="KSP3" s="100"/>
      <c r="KSQ3" s="102"/>
      <c r="KSS3" s="101"/>
      <c r="KST3" s="100"/>
      <c r="KSU3" s="102"/>
      <c r="KSW3" s="101"/>
      <c r="KSX3" s="100"/>
      <c r="KSY3" s="102"/>
      <c r="KTA3" s="101"/>
      <c r="KTB3" s="100"/>
      <c r="KTC3" s="102"/>
      <c r="KTE3" s="101"/>
      <c r="KTF3" s="100"/>
      <c r="KTG3" s="102"/>
      <c r="KTI3" s="101"/>
      <c r="KTJ3" s="100"/>
      <c r="KTK3" s="102"/>
      <c r="KTM3" s="101"/>
      <c r="KTN3" s="100"/>
      <c r="KTO3" s="102"/>
      <c r="KTQ3" s="101"/>
      <c r="KTR3" s="100"/>
      <c r="KTS3" s="102"/>
      <c r="KTU3" s="101"/>
      <c r="KTV3" s="100"/>
      <c r="KTW3" s="102"/>
      <c r="KTY3" s="101"/>
      <c r="KTZ3" s="100"/>
      <c r="KUA3" s="102"/>
      <c r="KUC3" s="101"/>
      <c r="KUD3" s="100"/>
      <c r="KUE3" s="102"/>
      <c r="KUG3" s="101"/>
      <c r="KUH3" s="100"/>
      <c r="KUI3" s="102"/>
      <c r="KUK3" s="101"/>
      <c r="KUL3" s="100"/>
      <c r="KUM3" s="102"/>
      <c r="KUO3" s="101"/>
      <c r="KUP3" s="100"/>
      <c r="KUQ3" s="102"/>
      <c r="KUS3" s="101"/>
      <c r="KUT3" s="100"/>
      <c r="KUU3" s="102"/>
      <c r="KUW3" s="101"/>
      <c r="KUX3" s="100"/>
      <c r="KUY3" s="102"/>
      <c r="KVA3" s="101"/>
      <c r="KVB3" s="100"/>
      <c r="KVC3" s="102"/>
      <c r="KVE3" s="101"/>
      <c r="KVF3" s="100"/>
      <c r="KVG3" s="102"/>
      <c r="KVI3" s="101"/>
      <c r="KVJ3" s="100"/>
      <c r="KVK3" s="102"/>
      <c r="KVM3" s="101"/>
      <c r="KVN3" s="100"/>
      <c r="KVO3" s="102"/>
      <c r="KVQ3" s="101"/>
      <c r="KVR3" s="100"/>
      <c r="KVS3" s="102"/>
      <c r="KVU3" s="101"/>
      <c r="KVV3" s="100"/>
      <c r="KVW3" s="102"/>
      <c r="KVY3" s="101"/>
      <c r="KVZ3" s="100"/>
      <c r="KWA3" s="102"/>
      <c r="KWC3" s="101"/>
      <c r="KWD3" s="100"/>
      <c r="KWE3" s="102"/>
      <c r="KWG3" s="101"/>
      <c r="KWH3" s="100"/>
      <c r="KWI3" s="102"/>
      <c r="KWK3" s="101"/>
      <c r="KWL3" s="100"/>
      <c r="KWM3" s="102"/>
      <c r="KWO3" s="101"/>
      <c r="KWP3" s="100"/>
      <c r="KWQ3" s="102"/>
      <c r="KWS3" s="101"/>
      <c r="KWT3" s="100"/>
      <c r="KWU3" s="102"/>
      <c r="KWW3" s="101"/>
      <c r="KWX3" s="100"/>
      <c r="KWY3" s="102"/>
      <c r="KXA3" s="101"/>
      <c r="KXB3" s="100"/>
      <c r="KXC3" s="102"/>
      <c r="KXE3" s="101"/>
      <c r="KXF3" s="100"/>
      <c r="KXG3" s="102"/>
      <c r="KXI3" s="101"/>
      <c r="KXJ3" s="100"/>
      <c r="KXK3" s="102"/>
      <c r="KXM3" s="101"/>
      <c r="KXN3" s="100"/>
      <c r="KXO3" s="102"/>
      <c r="KXQ3" s="101"/>
      <c r="KXR3" s="100"/>
      <c r="KXS3" s="102"/>
      <c r="KXU3" s="101"/>
      <c r="KXV3" s="100"/>
      <c r="KXW3" s="102"/>
      <c r="KXY3" s="101"/>
      <c r="KXZ3" s="100"/>
      <c r="KYA3" s="102"/>
      <c r="KYC3" s="101"/>
      <c r="KYD3" s="100"/>
      <c r="KYE3" s="102"/>
      <c r="KYG3" s="101"/>
      <c r="KYH3" s="100"/>
      <c r="KYI3" s="102"/>
      <c r="KYK3" s="101"/>
      <c r="KYL3" s="100"/>
      <c r="KYM3" s="102"/>
      <c r="KYO3" s="101"/>
      <c r="KYP3" s="100"/>
      <c r="KYQ3" s="102"/>
      <c r="KYS3" s="101"/>
      <c r="KYT3" s="100"/>
      <c r="KYU3" s="102"/>
      <c r="KYW3" s="101"/>
      <c r="KYX3" s="100"/>
      <c r="KYY3" s="102"/>
      <c r="KZA3" s="101"/>
      <c r="KZB3" s="100"/>
      <c r="KZC3" s="102"/>
      <c r="KZE3" s="101"/>
      <c r="KZF3" s="100"/>
      <c r="KZG3" s="102"/>
      <c r="KZI3" s="101"/>
      <c r="KZJ3" s="100"/>
      <c r="KZK3" s="102"/>
      <c r="KZM3" s="101"/>
      <c r="KZN3" s="100"/>
      <c r="KZO3" s="102"/>
      <c r="KZQ3" s="101"/>
      <c r="KZR3" s="100"/>
      <c r="KZS3" s="102"/>
      <c r="KZU3" s="101"/>
      <c r="KZV3" s="100"/>
      <c r="KZW3" s="102"/>
      <c r="KZY3" s="101"/>
      <c r="KZZ3" s="100"/>
      <c r="LAA3" s="102"/>
      <c r="LAC3" s="101"/>
      <c r="LAD3" s="100"/>
      <c r="LAE3" s="102"/>
      <c r="LAG3" s="101"/>
      <c r="LAH3" s="100"/>
      <c r="LAI3" s="102"/>
      <c r="LAK3" s="101"/>
      <c r="LAL3" s="100"/>
      <c r="LAM3" s="102"/>
      <c r="LAO3" s="101"/>
      <c r="LAP3" s="100"/>
      <c r="LAQ3" s="102"/>
      <c r="LAS3" s="101"/>
      <c r="LAT3" s="100"/>
      <c r="LAU3" s="102"/>
      <c r="LAW3" s="101"/>
      <c r="LAX3" s="100"/>
      <c r="LAY3" s="102"/>
      <c r="LBA3" s="101"/>
      <c r="LBB3" s="100"/>
      <c r="LBC3" s="102"/>
      <c r="LBE3" s="101"/>
      <c r="LBF3" s="100"/>
      <c r="LBG3" s="102"/>
      <c r="LBI3" s="101"/>
      <c r="LBJ3" s="100"/>
      <c r="LBK3" s="102"/>
      <c r="LBM3" s="101"/>
      <c r="LBN3" s="100"/>
      <c r="LBO3" s="102"/>
      <c r="LBQ3" s="101"/>
      <c r="LBR3" s="100"/>
      <c r="LBS3" s="102"/>
      <c r="LBU3" s="101"/>
      <c r="LBV3" s="100"/>
      <c r="LBW3" s="102"/>
      <c r="LBY3" s="101"/>
      <c r="LBZ3" s="100"/>
      <c r="LCA3" s="102"/>
      <c r="LCC3" s="101"/>
      <c r="LCD3" s="100"/>
      <c r="LCE3" s="102"/>
      <c r="LCG3" s="101"/>
      <c r="LCH3" s="100"/>
      <c r="LCI3" s="102"/>
      <c r="LCK3" s="101"/>
      <c r="LCL3" s="100"/>
      <c r="LCM3" s="102"/>
      <c r="LCO3" s="101"/>
      <c r="LCP3" s="100"/>
      <c r="LCQ3" s="102"/>
      <c r="LCS3" s="101"/>
      <c r="LCT3" s="100"/>
      <c r="LCU3" s="102"/>
      <c r="LCW3" s="101"/>
      <c r="LCX3" s="100"/>
      <c r="LCY3" s="102"/>
      <c r="LDA3" s="101"/>
      <c r="LDB3" s="100"/>
      <c r="LDC3" s="102"/>
      <c r="LDE3" s="101"/>
      <c r="LDF3" s="100"/>
      <c r="LDG3" s="102"/>
      <c r="LDI3" s="101"/>
      <c r="LDJ3" s="100"/>
      <c r="LDK3" s="102"/>
      <c r="LDM3" s="101"/>
      <c r="LDN3" s="100"/>
      <c r="LDO3" s="102"/>
      <c r="LDQ3" s="101"/>
      <c r="LDR3" s="100"/>
      <c r="LDS3" s="102"/>
      <c r="LDU3" s="101"/>
      <c r="LDV3" s="100"/>
      <c r="LDW3" s="102"/>
      <c r="LDY3" s="101"/>
      <c r="LDZ3" s="100"/>
      <c r="LEA3" s="102"/>
      <c r="LEC3" s="101"/>
      <c r="LED3" s="100"/>
      <c r="LEE3" s="102"/>
      <c r="LEG3" s="101"/>
      <c r="LEH3" s="100"/>
      <c r="LEI3" s="102"/>
      <c r="LEK3" s="101"/>
      <c r="LEL3" s="100"/>
      <c r="LEM3" s="102"/>
      <c r="LEO3" s="101"/>
      <c r="LEP3" s="100"/>
      <c r="LEQ3" s="102"/>
      <c r="LES3" s="101"/>
      <c r="LET3" s="100"/>
      <c r="LEU3" s="102"/>
      <c r="LEW3" s="101"/>
      <c r="LEX3" s="100"/>
      <c r="LEY3" s="102"/>
      <c r="LFA3" s="101"/>
      <c r="LFB3" s="100"/>
      <c r="LFC3" s="102"/>
      <c r="LFE3" s="101"/>
      <c r="LFF3" s="100"/>
      <c r="LFG3" s="102"/>
      <c r="LFI3" s="101"/>
      <c r="LFJ3" s="100"/>
      <c r="LFK3" s="102"/>
      <c r="LFM3" s="101"/>
      <c r="LFN3" s="100"/>
      <c r="LFO3" s="102"/>
      <c r="LFQ3" s="101"/>
      <c r="LFR3" s="100"/>
      <c r="LFS3" s="102"/>
      <c r="LFU3" s="101"/>
      <c r="LFV3" s="100"/>
      <c r="LFW3" s="102"/>
      <c r="LFY3" s="101"/>
      <c r="LFZ3" s="100"/>
      <c r="LGA3" s="102"/>
      <c r="LGC3" s="101"/>
      <c r="LGD3" s="100"/>
      <c r="LGE3" s="102"/>
      <c r="LGG3" s="101"/>
      <c r="LGH3" s="100"/>
      <c r="LGI3" s="102"/>
      <c r="LGK3" s="101"/>
      <c r="LGL3" s="100"/>
      <c r="LGM3" s="102"/>
      <c r="LGO3" s="101"/>
      <c r="LGP3" s="100"/>
      <c r="LGQ3" s="102"/>
      <c r="LGS3" s="101"/>
      <c r="LGT3" s="100"/>
      <c r="LGU3" s="102"/>
      <c r="LGW3" s="101"/>
      <c r="LGX3" s="100"/>
      <c r="LGY3" s="102"/>
      <c r="LHA3" s="101"/>
      <c r="LHB3" s="100"/>
      <c r="LHC3" s="102"/>
      <c r="LHE3" s="101"/>
      <c r="LHF3" s="100"/>
      <c r="LHG3" s="102"/>
      <c r="LHI3" s="101"/>
      <c r="LHJ3" s="100"/>
      <c r="LHK3" s="102"/>
      <c r="LHM3" s="101"/>
      <c r="LHN3" s="100"/>
      <c r="LHO3" s="102"/>
      <c r="LHQ3" s="101"/>
      <c r="LHR3" s="100"/>
      <c r="LHS3" s="102"/>
      <c r="LHU3" s="101"/>
      <c r="LHV3" s="100"/>
      <c r="LHW3" s="102"/>
      <c r="LHY3" s="101"/>
      <c r="LHZ3" s="100"/>
      <c r="LIA3" s="102"/>
      <c r="LIC3" s="101"/>
      <c r="LID3" s="100"/>
      <c r="LIE3" s="102"/>
      <c r="LIG3" s="101"/>
      <c r="LIH3" s="100"/>
      <c r="LII3" s="102"/>
      <c r="LIK3" s="101"/>
      <c r="LIL3" s="100"/>
      <c r="LIM3" s="102"/>
      <c r="LIO3" s="101"/>
      <c r="LIP3" s="100"/>
      <c r="LIQ3" s="102"/>
      <c r="LIS3" s="101"/>
      <c r="LIT3" s="100"/>
      <c r="LIU3" s="102"/>
      <c r="LIW3" s="101"/>
      <c r="LIX3" s="100"/>
      <c r="LIY3" s="102"/>
      <c r="LJA3" s="101"/>
      <c r="LJB3" s="100"/>
      <c r="LJC3" s="102"/>
      <c r="LJE3" s="101"/>
      <c r="LJF3" s="100"/>
      <c r="LJG3" s="102"/>
      <c r="LJI3" s="101"/>
      <c r="LJJ3" s="100"/>
      <c r="LJK3" s="102"/>
      <c r="LJM3" s="101"/>
      <c r="LJN3" s="100"/>
      <c r="LJO3" s="102"/>
      <c r="LJQ3" s="101"/>
      <c r="LJR3" s="100"/>
      <c r="LJS3" s="102"/>
      <c r="LJU3" s="101"/>
      <c r="LJV3" s="100"/>
      <c r="LJW3" s="102"/>
      <c r="LJY3" s="101"/>
      <c r="LJZ3" s="100"/>
      <c r="LKA3" s="102"/>
      <c r="LKC3" s="101"/>
      <c r="LKD3" s="100"/>
      <c r="LKE3" s="102"/>
      <c r="LKG3" s="101"/>
      <c r="LKH3" s="100"/>
      <c r="LKI3" s="102"/>
      <c r="LKK3" s="101"/>
      <c r="LKL3" s="100"/>
      <c r="LKM3" s="102"/>
      <c r="LKO3" s="101"/>
      <c r="LKP3" s="100"/>
      <c r="LKQ3" s="102"/>
      <c r="LKS3" s="101"/>
      <c r="LKT3" s="100"/>
      <c r="LKU3" s="102"/>
      <c r="LKW3" s="101"/>
      <c r="LKX3" s="100"/>
      <c r="LKY3" s="102"/>
      <c r="LLA3" s="101"/>
      <c r="LLB3" s="100"/>
      <c r="LLC3" s="102"/>
      <c r="LLE3" s="101"/>
      <c r="LLF3" s="100"/>
      <c r="LLG3" s="102"/>
      <c r="LLI3" s="101"/>
      <c r="LLJ3" s="100"/>
      <c r="LLK3" s="102"/>
      <c r="LLM3" s="101"/>
      <c r="LLN3" s="100"/>
      <c r="LLO3" s="102"/>
      <c r="LLQ3" s="101"/>
      <c r="LLR3" s="100"/>
      <c r="LLS3" s="102"/>
      <c r="LLU3" s="101"/>
      <c r="LLV3" s="100"/>
      <c r="LLW3" s="102"/>
      <c r="LLY3" s="101"/>
      <c r="LLZ3" s="100"/>
      <c r="LMA3" s="102"/>
      <c r="LMC3" s="101"/>
      <c r="LMD3" s="100"/>
      <c r="LME3" s="102"/>
      <c r="LMG3" s="101"/>
      <c r="LMH3" s="100"/>
      <c r="LMI3" s="102"/>
      <c r="LMK3" s="101"/>
      <c r="LML3" s="100"/>
      <c r="LMM3" s="102"/>
      <c r="LMO3" s="101"/>
      <c r="LMP3" s="100"/>
      <c r="LMQ3" s="102"/>
      <c r="LMS3" s="101"/>
      <c r="LMT3" s="100"/>
      <c r="LMU3" s="102"/>
      <c r="LMW3" s="101"/>
      <c r="LMX3" s="100"/>
      <c r="LMY3" s="102"/>
      <c r="LNA3" s="101"/>
      <c r="LNB3" s="100"/>
      <c r="LNC3" s="102"/>
      <c r="LNE3" s="101"/>
      <c r="LNF3" s="100"/>
      <c r="LNG3" s="102"/>
      <c r="LNI3" s="101"/>
      <c r="LNJ3" s="100"/>
      <c r="LNK3" s="102"/>
      <c r="LNM3" s="101"/>
      <c r="LNN3" s="100"/>
      <c r="LNO3" s="102"/>
      <c r="LNQ3" s="101"/>
      <c r="LNR3" s="100"/>
      <c r="LNS3" s="102"/>
      <c r="LNU3" s="101"/>
      <c r="LNV3" s="100"/>
      <c r="LNW3" s="102"/>
      <c r="LNY3" s="101"/>
      <c r="LNZ3" s="100"/>
      <c r="LOA3" s="102"/>
      <c r="LOC3" s="101"/>
      <c r="LOD3" s="100"/>
      <c r="LOE3" s="102"/>
      <c r="LOG3" s="101"/>
      <c r="LOH3" s="100"/>
      <c r="LOI3" s="102"/>
      <c r="LOK3" s="101"/>
      <c r="LOL3" s="100"/>
      <c r="LOM3" s="102"/>
      <c r="LOO3" s="101"/>
      <c r="LOP3" s="100"/>
      <c r="LOQ3" s="102"/>
      <c r="LOS3" s="101"/>
      <c r="LOT3" s="100"/>
      <c r="LOU3" s="102"/>
      <c r="LOW3" s="101"/>
      <c r="LOX3" s="100"/>
      <c r="LOY3" s="102"/>
      <c r="LPA3" s="101"/>
      <c r="LPB3" s="100"/>
      <c r="LPC3" s="102"/>
      <c r="LPE3" s="101"/>
      <c r="LPF3" s="100"/>
      <c r="LPG3" s="102"/>
      <c r="LPI3" s="101"/>
      <c r="LPJ3" s="100"/>
      <c r="LPK3" s="102"/>
      <c r="LPM3" s="101"/>
      <c r="LPN3" s="100"/>
      <c r="LPO3" s="102"/>
      <c r="LPQ3" s="101"/>
      <c r="LPR3" s="100"/>
      <c r="LPS3" s="102"/>
      <c r="LPU3" s="101"/>
      <c r="LPV3" s="100"/>
      <c r="LPW3" s="102"/>
      <c r="LPY3" s="101"/>
      <c r="LPZ3" s="100"/>
      <c r="LQA3" s="102"/>
      <c r="LQC3" s="101"/>
      <c r="LQD3" s="100"/>
      <c r="LQE3" s="102"/>
      <c r="LQG3" s="101"/>
      <c r="LQH3" s="100"/>
      <c r="LQI3" s="102"/>
      <c r="LQK3" s="101"/>
      <c r="LQL3" s="100"/>
      <c r="LQM3" s="102"/>
      <c r="LQO3" s="101"/>
      <c r="LQP3" s="100"/>
      <c r="LQQ3" s="102"/>
      <c r="LQS3" s="101"/>
      <c r="LQT3" s="100"/>
      <c r="LQU3" s="102"/>
      <c r="LQW3" s="101"/>
      <c r="LQX3" s="100"/>
      <c r="LQY3" s="102"/>
      <c r="LRA3" s="101"/>
      <c r="LRB3" s="100"/>
      <c r="LRC3" s="102"/>
      <c r="LRE3" s="101"/>
      <c r="LRF3" s="100"/>
      <c r="LRG3" s="102"/>
      <c r="LRI3" s="101"/>
      <c r="LRJ3" s="100"/>
      <c r="LRK3" s="102"/>
      <c r="LRM3" s="101"/>
      <c r="LRN3" s="100"/>
      <c r="LRO3" s="102"/>
      <c r="LRQ3" s="101"/>
      <c r="LRR3" s="100"/>
      <c r="LRS3" s="102"/>
      <c r="LRU3" s="101"/>
      <c r="LRV3" s="100"/>
      <c r="LRW3" s="102"/>
      <c r="LRY3" s="101"/>
      <c r="LRZ3" s="100"/>
      <c r="LSA3" s="102"/>
      <c r="LSC3" s="101"/>
      <c r="LSD3" s="100"/>
      <c r="LSE3" s="102"/>
      <c r="LSG3" s="101"/>
      <c r="LSH3" s="100"/>
      <c r="LSI3" s="102"/>
      <c r="LSK3" s="101"/>
      <c r="LSL3" s="100"/>
      <c r="LSM3" s="102"/>
      <c r="LSO3" s="101"/>
      <c r="LSP3" s="100"/>
      <c r="LSQ3" s="102"/>
      <c r="LSS3" s="101"/>
      <c r="LST3" s="100"/>
      <c r="LSU3" s="102"/>
      <c r="LSW3" s="101"/>
      <c r="LSX3" s="100"/>
      <c r="LSY3" s="102"/>
      <c r="LTA3" s="101"/>
      <c r="LTB3" s="100"/>
      <c r="LTC3" s="102"/>
      <c r="LTE3" s="101"/>
      <c r="LTF3" s="100"/>
      <c r="LTG3" s="102"/>
      <c r="LTI3" s="101"/>
      <c r="LTJ3" s="100"/>
      <c r="LTK3" s="102"/>
      <c r="LTM3" s="101"/>
      <c r="LTN3" s="100"/>
      <c r="LTO3" s="102"/>
      <c r="LTQ3" s="101"/>
      <c r="LTR3" s="100"/>
      <c r="LTS3" s="102"/>
      <c r="LTU3" s="101"/>
      <c r="LTV3" s="100"/>
      <c r="LTW3" s="102"/>
      <c r="LTY3" s="101"/>
      <c r="LTZ3" s="100"/>
      <c r="LUA3" s="102"/>
      <c r="LUC3" s="101"/>
      <c r="LUD3" s="100"/>
      <c r="LUE3" s="102"/>
      <c r="LUG3" s="101"/>
      <c r="LUH3" s="100"/>
      <c r="LUI3" s="102"/>
      <c r="LUK3" s="101"/>
      <c r="LUL3" s="100"/>
      <c r="LUM3" s="102"/>
      <c r="LUO3" s="101"/>
      <c r="LUP3" s="100"/>
      <c r="LUQ3" s="102"/>
      <c r="LUS3" s="101"/>
      <c r="LUT3" s="100"/>
      <c r="LUU3" s="102"/>
      <c r="LUW3" s="101"/>
      <c r="LUX3" s="100"/>
      <c r="LUY3" s="102"/>
      <c r="LVA3" s="101"/>
      <c r="LVB3" s="100"/>
      <c r="LVC3" s="102"/>
      <c r="LVE3" s="101"/>
      <c r="LVF3" s="100"/>
      <c r="LVG3" s="102"/>
      <c r="LVI3" s="101"/>
      <c r="LVJ3" s="100"/>
      <c r="LVK3" s="102"/>
      <c r="LVM3" s="101"/>
      <c r="LVN3" s="100"/>
      <c r="LVO3" s="102"/>
      <c r="LVQ3" s="101"/>
      <c r="LVR3" s="100"/>
      <c r="LVS3" s="102"/>
      <c r="LVU3" s="101"/>
      <c r="LVV3" s="100"/>
      <c r="LVW3" s="102"/>
      <c r="LVY3" s="101"/>
      <c r="LVZ3" s="100"/>
      <c r="LWA3" s="102"/>
      <c r="LWC3" s="101"/>
      <c r="LWD3" s="100"/>
      <c r="LWE3" s="102"/>
      <c r="LWG3" s="101"/>
      <c r="LWH3" s="100"/>
      <c r="LWI3" s="102"/>
      <c r="LWK3" s="101"/>
      <c r="LWL3" s="100"/>
      <c r="LWM3" s="102"/>
      <c r="LWO3" s="101"/>
      <c r="LWP3" s="100"/>
      <c r="LWQ3" s="102"/>
      <c r="LWS3" s="101"/>
      <c r="LWT3" s="100"/>
      <c r="LWU3" s="102"/>
      <c r="LWW3" s="101"/>
      <c r="LWX3" s="100"/>
      <c r="LWY3" s="102"/>
      <c r="LXA3" s="101"/>
      <c r="LXB3" s="100"/>
      <c r="LXC3" s="102"/>
      <c r="LXE3" s="101"/>
      <c r="LXF3" s="100"/>
      <c r="LXG3" s="102"/>
      <c r="LXI3" s="101"/>
      <c r="LXJ3" s="100"/>
      <c r="LXK3" s="102"/>
      <c r="LXM3" s="101"/>
      <c r="LXN3" s="100"/>
      <c r="LXO3" s="102"/>
      <c r="LXQ3" s="101"/>
      <c r="LXR3" s="100"/>
      <c r="LXS3" s="102"/>
      <c r="LXU3" s="101"/>
      <c r="LXV3" s="100"/>
      <c r="LXW3" s="102"/>
      <c r="LXY3" s="101"/>
      <c r="LXZ3" s="100"/>
      <c r="LYA3" s="102"/>
      <c r="LYC3" s="101"/>
      <c r="LYD3" s="100"/>
      <c r="LYE3" s="102"/>
      <c r="LYG3" s="101"/>
      <c r="LYH3" s="100"/>
      <c r="LYI3" s="102"/>
      <c r="LYK3" s="101"/>
      <c r="LYL3" s="100"/>
      <c r="LYM3" s="102"/>
      <c r="LYO3" s="101"/>
      <c r="LYP3" s="100"/>
      <c r="LYQ3" s="102"/>
      <c r="LYS3" s="101"/>
      <c r="LYT3" s="100"/>
      <c r="LYU3" s="102"/>
      <c r="LYW3" s="101"/>
      <c r="LYX3" s="100"/>
      <c r="LYY3" s="102"/>
      <c r="LZA3" s="101"/>
      <c r="LZB3" s="100"/>
      <c r="LZC3" s="102"/>
      <c r="LZE3" s="101"/>
      <c r="LZF3" s="100"/>
      <c r="LZG3" s="102"/>
      <c r="LZI3" s="101"/>
      <c r="LZJ3" s="100"/>
      <c r="LZK3" s="102"/>
      <c r="LZM3" s="101"/>
      <c r="LZN3" s="100"/>
      <c r="LZO3" s="102"/>
      <c r="LZQ3" s="101"/>
      <c r="LZR3" s="100"/>
      <c r="LZS3" s="102"/>
      <c r="LZU3" s="101"/>
      <c r="LZV3" s="100"/>
      <c r="LZW3" s="102"/>
      <c r="LZY3" s="101"/>
      <c r="LZZ3" s="100"/>
      <c r="MAA3" s="102"/>
      <c r="MAC3" s="101"/>
      <c r="MAD3" s="100"/>
      <c r="MAE3" s="102"/>
      <c r="MAG3" s="101"/>
      <c r="MAH3" s="100"/>
      <c r="MAI3" s="102"/>
      <c r="MAK3" s="101"/>
      <c r="MAL3" s="100"/>
      <c r="MAM3" s="102"/>
      <c r="MAO3" s="101"/>
      <c r="MAP3" s="100"/>
      <c r="MAQ3" s="102"/>
      <c r="MAS3" s="101"/>
      <c r="MAT3" s="100"/>
      <c r="MAU3" s="102"/>
      <c r="MAW3" s="101"/>
      <c r="MAX3" s="100"/>
      <c r="MAY3" s="102"/>
      <c r="MBA3" s="101"/>
      <c r="MBB3" s="100"/>
      <c r="MBC3" s="102"/>
      <c r="MBE3" s="101"/>
      <c r="MBF3" s="100"/>
      <c r="MBG3" s="102"/>
      <c r="MBI3" s="101"/>
      <c r="MBJ3" s="100"/>
      <c r="MBK3" s="102"/>
      <c r="MBM3" s="101"/>
      <c r="MBN3" s="100"/>
      <c r="MBO3" s="102"/>
      <c r="MBQ3" s="101"/>
      <c r="MBR3" s="100"/>
      <c r="MBS3" s="102"/>
      <c r="MBU3" s="101"/>
      <c r="MBV3" s="100"/>
      <c r="MBW3" s="102"/>
      <c r="MBY3" s="101"/>
      <c r="MBZ3" s="100"/>
      <c r="MCA3" s="102"/>
      <c r="MCC3" s="101"/>
      <c r="MCD3" s="100"/>
      <c r="MCE3" s="102"/>
      <c r="MCG3" s="101"/>
      <c r="MCH3" s="100"/>
      <c r="MCI3" s="102"/>
      <c r="MCK3" s="101"/>
      <c r="MCL3" s="100"/>
      <c r="MCM3" s="102"/>
      <c r="MCO3" s="101"/>
      <c r="MCP3" s="100"/>
      <c r="MCQ3" s="102"/>
      <c r="MCS3" s="101"/>
      <c r="MCT3" s="100"/>
      <c r="MCU3" s="102"/>
      <c r="MCW3" s="101"/>
      <c r="MCX3" s="100"/>
      <c r="MCY3" s="102"/>
      <c r="MDA3" s="101"/>
      <c r="MDB3" s="100"/>
      <c r="MDC3" s="102"/>
      <c r="MDE3" s="101"/>
      <c r="MDF3" s="100"/>
      <c r="MDG3" s="102"/>
      <c r="MDI3" s="101"/>
      <c r="MDJ3" s="100"/>
      <c r="MDK3" s="102"/>
      <c r="MDM3" s="101"/>
      <c r="MDN3" s="100"/>
      <c r="MDO3" s="102"/>
      <c r="MDQ3" s="101"/>
      <c r="MDR3" s="100"/>
      <c r="MDS3" s="102"/>
      <c r="MDU3" s="101"/>
      <c r="MDV3" s="100"/>
      <c r="MDW3" s="102"/>
      <c r="MDY3" s="101"/>
      <c r="MDZ3" s="100"/>
      <c r="MEA3" s="102"/>
      <c r="MEC3" s="101"/>
      <c r="MED3" s="100"/>
      <c r="MEE3" s="102"/>
      <c r="MEG3" s="101"/>
      <c r="MEH3" s="100"/>
      <c r="MEI3" s="102"/>
      <c r="MEK3" s="101"/>
      <c r="MEL3" s="100"/>
      <c r="MEM3" s="102"/>
      <c r="MEO3" s="101"/>
      <c r="MEP3" s="100"/>
      <c r="MEQ3" s="102"/>
      <c r="MES3" s="101"/>
      <c r="MET3" s="100"/>
      <c r="MEU3" s="102"/>
      <c r="MEW3" s="101"/>
      <c r="MEX3" s="100"/>
      <c r="MEY3" s="102"/>
      <c r="MFA3" s="101"/>
      <c r="MFB3" s="100"/>
      <c r="MFC3" s="102"/>
      <c r="MFE3" s="101"/>
      <c r="MFF3" s="100"/>
      <c r="MFG3" s="102"/>
      <c r="MFI3" s="101"/>
      <c r="MFJ3" s="100"/>
      <c r="MFK3" s="102"/>
      <c r="MFM3" s="101"/>
      <c r="MFN3" s="100"/>
      <c r="MFO3" s="102"/>
      <c r="MFQ3" s="101"/>
      <c r="MFR3" s="100"/>
      <c r="MFS3" s="102"/>
      <c r="MFU3" s="101"/>
      <c r="MFV3" s="100"/>
      <c r="MFW3" s="102"/>
      <c r="MFY3" s="101"/>
      <c r="MFZ3" s="100"/>
      <c r="MGA3" s="102"/>
      <c r="MGC3" s="101"/>
      <c r="MGD3" s="100"/>
      <c r="MGE3" s="102"/>
      <c r="MGG3" s="101"/>
      <c r="MGH3" s="100"/>
      <c r="MGI3" s="102"/>
      <c r="MGK3" s="101"/>
      <c r="MGL3" s="100"/>
      <c r="MGM3" s="102"/>
      <c r="MGO3" s="101"/>
      <c r="MGP3" s="100"/>
      <c r="MGQ3" s="102"/>
      <c r="MGS3" s="101"/>
      <c r="MGT3" s="100"/>
      <c r="MGU3" s="102"/>
      <c r="MGW3" s="101"/>
      <c r="MGX3" s="100"/>
      <c r="MGY3" s="102"/>
      <c r="MHA3" s="101"/>
      <c r="MHB3" s="100"/>
      <c r="MHC3" s="102"/>
      <c r="MHE3" s="101"/>
      <c r="MHF3" s="100"/>
      <c r="MHG3" s="102"/>
      <c r="MHI3" s="101"/>
      <c r="MHJ3" s="100"/>
      <c r="MHK3" s="102"/>
      <c r="MHM3" s="101"/>
      <c r="MHN3" s="100"/>
      <c r="MHO3" s="102"/>
      <c r="MHQ3" s="101"/>
      <c r="MHR3" s="100"/>
      <c r="MHS3" s="102"/>
      <c r="MHU3" s="101"/>
      <c r="MHV3" s="100"/>
      <c r="MHW3" s="102"/>
      <c r="MHY3" s="101"/>
      <c r="MHZ3" s="100"/>
      <c r="MIA3" s="102"/>
      <c r="MIC3" s="101"/>
      <c r="MID3" s="100"/>
      <c r="MIE3" s="102"/>
      <c r="MIG3" s="101"/>
      <c r="MIH3" s="100"/>
      <c r="MII3" s="102"/>
      <c r="MIK3" s="101"/>
      <c r="MIL3" s="100"/>
      <c r="MIM3" s="102"/>
      <c r="MIO3" s="101"/>
      <c r="MIP3" s="100"/>
      <c r="MIQ3" s="102"/>
      <c r="MIS3" s="101"/>
      <c r="MIT3" s="100"/>
      <c r="MIU3" s="102"/>
      <c r="MIW3" s="101"/>
      <c r="MIX3" s="100"/>
      <c r="MIY3" s="102"/>
      <c r="MJA3" s="101"/>
      <c r="MJB3" s="100"/>
      <c r="MJC3" s="102"/>
      <c r="MJE3" s="101"/>
      <c r="MJF3" s="100"/>
      <c r="MJG3" s="102"/>
      <c r="MJI3" s="101"/>
      <c r="MJJ3" s="100"/>
      <c r="MJK3" s="102"/>
      <c r="MJM3" s="101"/>
      <c r="MJN3" s="100"/>
      <c r="MJO3" s="102"/>
      <c r="MJQ3" s="101"/>
      <c r="MJR3" s="100"/>
      <c r="MJS3" s="102"/>
      <c r="MJU3" s="101"/>
      <c r="MJV3" s="100"/>
      <c r="MJW3" s="102"/>
      <c r="MJY3" s="101"/>
      <c r="MJZ3" s="100"/>
      <c r="MKA3" s="102"/>
      <c r="MKC3" s="101"/>
      <c r="MKD3" s="100"/>
      <c r="MKE3" s="102"/>
      <c r="MKG3" s="101"/>
      <c r="MKH3" s="100"/>
      <c r="MKI3" s="102"/>
      <c r="MKK3" s="101"/>
      <c r="MKL3" s="100"/>
      <c r="MKM3" s="102"/>
      <c r="MKO3" s="101"/>
      <c r="MKP3" s="100"/>
      <c r="MKQ3" s="102"/>
      <c r="MKS3" s="101"/>
      <c r="MKT3" s="100"/>
      <c r="MKU3" s="102"/>
      <c r="MKW3" s="101"/>
      <c r="MKX3" s="100"/>
      <c r="MKY3" s="102"/>
      <c r="MLA3" s="101"/>
      <c r="MLB3" s="100"/>
      <c r="MLC3" s="102"/>
      <c r="MLE3" s="101"/>
      <c r="MLF3" s="100"/>
      <c r="MLG3" s="102"/>
      <c r="MLI3" s="101"/>
      <c r="MLJ3" s="100"/>
      <c r="MLK3" s="102"/>
      <c r="MLM3" s="101"/>
      <c r="MLN3" s="100"/>
      <c r="MLO3" s="102"/>
      <c r="MLQ3" s="101"/>
      <c r="MLR3" s="100"/>
      <c r="MLS3" s="102"/>
      <c r="MLU3" s="101"/>
      <c r="MLV3" s="100"/>
      <c r="MLW3" s="102"/>
      <c r="MLY3" s="101"/>
      <c r="MLZ3" s="100"/>
      <c r="MMA3" s="102"/>
      <c r="MMC3" s="101"/>
      <c r="MMD3" s="100"/>
      <c r="MME3" s="102"/>
      <c r="MMG3" s="101"/>
      <c r="MMH3" s="100"/>
      <c r="MMI3" s="102"/>
      <c r="MMK3" s="101"/>
      <c r="MML3" s="100"/>
      <c r="MMM3" s="102"/>
      <c r="MMO3" s="101"/>
      <c r="MMP3" s="100"/>
      <c r="MMQ3" s="102"/>
      <c r="MMS3" s="101"/>
      <c r="MMT3" s="100"/>
      <c r="MMU3" s="102"/>
      <c r="MMW3" s="101"/>
      <c r="MMX3" s="100"/>
      <c r="MMY3" s="102"/>
      <c r="MNA3" s="101"/>
      <c r="MNB3" s="100"/>
      <c r="MNC3" s="102"/>
      <c r="MNE3" s="101"/>
      <c r="MNF3" s="100"/>
      <c r="MNG3" s="102"/>
      <c r="MNI3" s="101"/>
      <c r="MNJ3" s="100"/>
      <c r="MNK3" s="102"/>
      <c r="MNM3" s="101"/>
      <c r="MNN3" s="100"/>
      <c r="MNO3" s="102"/>
      <c r="MNQ3" s="101"/>
      <c r="MNR3" s="100"/>
      <c r="MNS3" s="102"/>
      <c r="MNU3" s="101"/>
      <c r="MNV3" s="100"/>
      <c r="MNW3" s="102"/>
      <c r="MNY3" s="101"/>
      <c r="MNZ3" s="100"/>
      <c r="MOA3" s="102"/>
      <c r="MOC3" s="101"/>
      <c r="MOD3" s="100"/>
      <c r="MOE3" s="102"/>
      <c r="MOG3" s="101"/>
      <c r="MOH3" s="100"/>
      <c r="MOI3" s="102"/>
      <c r="MOK3" s="101"/>
      <c r="MOL3" s="100"/>
      <c r="MOM3" s="102"/>
      <c r="MOO3" s="101"/>
      <c r="MOP3" s="100"/>
      <c r="MOQ3" s="102"/>
      <c r="MOS3" s="101"/>
      <c r="MOT3" s="100"/>
      <c r="MOU3" s="102"/>
      <c r="MOW3" s="101"/>
      <c r="MOX3" s="100"/>
      <c r="MOY3" s="102"/>
      <c r="MPA3" s="101"/>
      <c r="MPB3" s="100"/>
      <c r="MPC3" s="102"/>
      <c r="MPE3" s="101"/>
      <c r="MPF3" s="100"/>
      <c r="MPG3" s="102"/>
      <c r="MPI3" s="101"/>
      <c r="MPJ3" s="100"/>
      <c r="MPK3" s="102"/>
      <c r="MPM3" s="101"/>
      <c r="MPN3" s="100"/>
      <c r="MPO3" s="102"/>
      <c r="MPQ3" s="101"/>
      <c r="MPR3" s="100"/>
      <c r="MPS3" s="102"/>
      <c r="MPU3" s="101"/>
      <c r="MPV3" s="100"/>
      <c r="MPW3" s="102"/>
      <c r="MPY3" s="101"/>
      <c r="MPZ3" s="100"/>
      <c r="MQA3" s="102"/>
      <c r="MQC3" s="101"/>
      <c r="MQD3" s="100"/>
      <c r="MQE3" s="102"/>
      <c r="MQG3" s="101"/>
      <c r="MQH3" s="100"/>
      <c r="MQI3" s="102"/>
      <c r="MQK3" s="101"/>
      <c r="MQL3" s="100"/>
      <c r="MQM3" s="102"/>
      <c r="MQO3" s="101"/>
      <c r="MQP3" s="100"/>
      <c r="MQQ3" s="102"/>
      <c r="MQS3" s="101"/>
      <c r="MQT3" s="100"/>
      <c r="MQU3" s="102"/>
      <c r="MQW3" s="101"/>
      <c r="MQX3" s="100"/>
      <c r="MQY3" s="102"/>
      <c r="MRA3" s="101"/>
      <c r="MRB3" s="100"/>
      <c r="MRC3" s="102"/>
      <c r="MRE3" s="101"/>
      <c r="MRF3" s="100"/>
      <c r="MRG3" s="102"/>
      <c r="MRI3" s="101"/>
      <c r="MRJ3" s="100"/>
      <c r="MRK3" s="102"/>
      <c r="MRM3" s="101"/>
      <c r="MRN3" s="100"/>
      <c r="MRO3" s="102"/>
      <c r="MRQ3" s="101"/>
      <c r="MRR3" s="100"/>
      <c r="MRS3" s="102"/>
      <c r="MRU3" s="101"/>
      <c r="MRV3" s="100"/>
      <c r="MRW3" s="102"/>
      <c r="MRY3" s="101"/>
      <c r="MRZ3" s="100"/>
      <c r="MSA3" s="102"/>
      <c r="MSC3" s="101"/>
      <c r="MSD3" s="100"/>
      <c r="MSE3" s="102"/>
      <c r="MSG3" s="101"/>
      <c r="MSH3" s="100"/>
      <c r="MSI3" s="102"/>
      <c r="MSK3" s="101"/>
      <c r="MSL3" s="100"/>
      <c r="MSM3" s="102"/>
      <c r="MSO3" s="101"/>
      <c r="MSP3" s="100"/>
      <c r="MSQ3" s="102"/>
      <c r="MSS3" s="101"/>
      <c r="MST3" s="100"/>
      <c r="MSU3" s="102"/>
      <c r="MSW3" s="101"/>
      <c r="MSX3" s="100"/>
      <c r="MSY3" s="102"/>
      <c r="MTA3" s="101"/>
      <c r="MTB3" s="100"/>
      <c r="MTC3" s="102"/>
      <c r="MTE3" s="101"/>
      <c r="MTF3" s="100"/>
      <c r="MTG3" s="102"/>
      <c r="MTI3" s="101"/>
      <c r="MTJ3" s="100"/>
      <c r="MTK3" s="102"/>
      <c r="MTM3" s="101"/>
      <c r="MTN3" s="100"/>
      <c r="MTO3" s="102"/>
      <c r="MTQ3" s="101"/>
      <c r="MTR3" s="100"/>
      <c r="MTS3" s="102"/>
      <c r="MTU3" s="101"/>
      <c r="MTV3" s="100"/>
      <c r="MTW3" s="102"/>
      <c r="MTY3" s="101"/>
      <c r="MTZ3" s="100"/>
      <c r="MUA3" s="102"/>
      <c r="MUC3" s="101"/>
      <c r="MUD3" s="100"/>
      <c r="MUE3" s="102"/>
      <c r="MUG3" s="101"/>
      <c r="MUH3" s="100"/>
      <c r="MUI3" s="102"/>
      <c r="MUK3" s="101"/>
      <c r="MUL3" s="100"/>
      <c r="MUM3" s="102"/>
      <c r="MUO3" s="101"/>
      <c r="MUP3" s="100"/>
      <c r="MUQ3" s="102"/>
      <c r="MUS3" s="101"/>
      <c r="MUT3" s="100"/>
      <c r="MUU3" s="102"/>
      <c r="MUW3" s="101"/>
      <c r="MUX3" s="100"/>
      <c r="MUY3" s="102"/>
      <c r="MVA3" s="101"/>
      <c r="MVB3" s="100"/>
      <c r="MVC3" s="102"/>
      <c r="MVE3" s="101"/>
      <c r="MVF3" s="100"/>
      <c r="MVG3" s="102"/>
      <c r="MVI3" s="101"/>
      <c r="MVJ3" s="100"/>
      <c r="MVK3" s="102"/>
      <c r="MVM3" s="101"/>
      <c r="MVN3" s="100"/>
      <c r="MVO3" s="102"/>
      <c r="MVQ3" s="101"/>
      <c r="MVR3" s="100"/>
      <c r="MVS3" s="102"/>
      <c r="MVU3" s="101"/>
      <c r="MVV3" s="100"/>
      <c r="MVW3" s="102"/>
      <c r="MVY3" s="101"/>
      <c r="MVZ3" s="100"/>
      <c r="MWA3" s="102"/>
      <c r="MWC3" s="101"/>
      <c r="MWD3" s="100"/>
      <c r="MWE3" s="102"/>
      <c r="MWG3" s="101"/>
      <c r="MWH3" s="100"/>
      <c r="MWI3" s="102"/>
      <c r="MWK3" s="101"/>
      <c r="MWL3" s="100"/>
      <c r="MWM3" s="102"/>
      <c r="MWO3" s="101"/>
      <c r="MWP3" s="100"/>
      <c r="MWQ3" s="102"/>
      <c r="MWS3" s="101"/>
      <c r="MWT3" s="100"/>
      <c r="MWU3" s="102"/>
      <c r="MWW3" s="101"/>
      <c r="MWX3" s="100"/>
      <c r="MWY3" s="102"/>
      <c r="MXA3" s="101"/>
      <c r="MXB3" s="100"/>
      <c r="MXC3" s="102"/>
      <c r="MXE3" s="101"/>
      <c r="MXF3" s="100"/>
      <c r="MXG3" s="102"/>
      <c r="MXI3" s="101"/>
      <c r="MXJ3" s="100"/>
      <c r="MXK3" s="102"/>
      <c r="MXM3" s="101"/>
      <c r="MXN3" s="100"/>
      <c r="MXO3" s="102"/>
      <c r="MXQ3" s="101"/>
      <c r="MXR3" s="100"/>
      <c r="MXS3" s="102"/>
      <c r="MXU3" s="101"/>
      <c r="MXV3" s="100"/>
      <c r="MXW3" s="102"/>
      <c r="MXY3" s="101"/>
      <c r="MXZ3" s="100"/>
      <c r="MYA3" s="102"/>
      <c r="MYC3" s="101"/>
      <c r="MYD3" s="100"/>
      <c r="MYE3" s="102"/>
      <c r="MYG3" s="101"/>
      <c r="MYH3" s="100"/>
      <c r="MYI3" s="102"/>
      <c r="MYK3" s="101"/>
      <c r="MYL3" s="100"/>
      <c r="MYM3" s="102"/>
      <c r="MYO3" s="101"/>
      <c r="MYP3" s="100"/>
      <c r="MYQ3" s="102"/>
      <c r="MYS3" s="101"/>
      <c r="MYT3" s="100"/>
      <c r="MYU3" s="102"/>
      <c r="MYW3" s="101"/>
      <c r="MYX3" s="100"/>
      <c r="MYY3" s="102"/>
      <c r="MZA3" s="101"/>
      <c r="MZB3" s="100"/>
      <c r="MZC3" s="102"/>
      <c r="MZE3" s="101"/>
      <c r="MZF3" s="100"/>
      <c r="MZG3" s="102"/>
      <c r="MZI3" s="101"/>
      <c r="MZJ3" s="100"/>
      <c r="MZK3" s="102"/>
      <c r="MZM3" s="101"/>
      <c r="MZN3" s="100"/>
      <c r="MZO3" s="102"/>
      <c r="MZQ3" s="101"/>
      <c r="MZR3" s="100"/>
      <c r="MZS3" s="102"/>
      <c r="MZU3" s="101"/>
      <c r="MZV3" s="100"/>
      <c r="MZW3" s="102"/>
      <c r="MZY3" s="101"/>
      <c r="MZZ3" s="100"/>
      <c r="NAA3" s="102"/>
      <c r="NAC3" s="101"/>
      <c r="NAD3" s="100"/>
      <c r="NAE3" s="102"/>
      <c r="NAG3" s="101"/>
      <c r="NAH3" s="100"/>
      <c r="NAI3" s="102"/>
      <c r="NAK3" s="101"/>
      <c r="NAL3" s="100"/>
      <c r="NAM3" s="102"/>
      <c r="NAO3" s="101"/>
      <c r="NAP3" s="100"/>
      <c r="NAQ3" s="102"/>
      <c r="NAS3" s="101"/>
      <c r="NAT3" s="100"/>
      <c r="NAU3" s="102"/>
      <c r="NAW3" s="101"/>
      <c r="NAX3" s="100"/>
      <c r="NAY3" s="102"/>
      <c r="NBA3" s="101"/>
      <c r="NBB3" s="100"/>
      <c r="NBC3" s="102"/>
      <c r="NBE3" s="101"/>
      <c r="NBF3" s="100"/>
      <c r="NBG3" s="102"/>
      <c r="NBI3" s="101"/>
      <c r="NBJ3" s="100"/>
      <c r="NBK3" s="102"/>
      <c r="NBM3" s="101"/>
      <c r="NBN3" s="100"/>
      <c r="NBO3" s="102"/>
      <c r="NBQ3" s="101"/>
      <c r="NBR3" s="100"/>
      <c r="NBS3" s="102"/>
      <c r="NBU3" s="101"/>
      <c r="NBV3" s="100"/>
      <c r="NBW3" s="102"/>
      <c r="NBY3" s="101"/>
      <c r="NBZ3" s="100"/>
      <c r="NCA3" s="102"/>
      <c r="NCC3" s="101"/>
      <c r="NCD3" s="100"/>
      <c r="NCE3" s="102"/>
      <c r="NCG3" s="101"/>
      <c r="NCH3" s="100"/>
      <c r="NCI3" s="102"/>
      <c r="NCK3" s="101"/>
      <c r="NCL3" s="100"/>
      <c r="NCM3" s="102"/>
      <c r="NCO3" s="101"/>
      <c r="NCP3" s="100"/>
      <c r="NCQ3" s="102"/>
      <c r="NCS3" s="101"/>
      <c r="NCT3" s="100"/>
      <c r="NCU3" s="102"/>
      <c r="NCW3" s="101"/>
      <c r="NCX3" s="100"/>
      <c r="NCY3" s="102"/>
      <c r="NDA3" s="101"/>
      <c r="NDB3" s="100"/>
      <c r="NDC3" s="102"/>
      <c r="NDE3" s="101"/>
      <c r="NDF3" s="100"/>
      <c r="NDG3" s="102"/>
      <c r="NDI3" s="101"/>
      <c r="NDJ3" s="100"/>
      <c r="NDK3" s="102"/>
      <c r="NDM3" s="101"/>
      <c r="NDN3" s="100"/>
      <c r="NDO3" s="102"/>
      <c r="NDQ3" s="101"/>
      <c r="NDR3" s="100"/>
      <c r="NDS3" s="102"/>
      <c r="NDU3" s="101"/>
      <c r="NDV3" s="100"/>
      <c r="NDW3" s="102"/>
      <c r="NDY3" s="101"/>
      <c r="NDZ3" s="100"/>
      <c r="NEA3" s="102"/>
      <c r="NEC3" s="101"/>
      <c r="NED3" s="100"/>
      <c r="NEE3" s="102"/>
      <c r="NEG3" s="101"/>
      <c r="NEH3" s="100"/>
      <c r="NEI3" s="102"/>
      <c r="NEK3" s="101"/>
      <c r="NEL3" s="100"/>
      <c r="NEM3" s="102"/>
      <c r="NEO3" s="101"/>
      <c r="NEP3" s="100"/>
      <c r="NEQ3" s="102"/>
      <c r="NES3" s="101"/>
      <c r="NET3" s="100"/>
      <c r="NEU3" s="102"/>
      <c r="NEW3" s="101"/>
      <c r="NEX3" s="100"/>
      <c r="NEY3" s="102"/>
      <c r="NFA3" s="101"/>
      <c r="NFB3" s="100"/>
      <c r="NFC3" s="102"/>
      <c r="NFE3" s="101"/>
      <c r="NFF3" s="100"/>
      <c r="NFG3" s="102"/>
      <c r="NFI3" s="101"/>
      <c r="NFJ3" s="100"/>
      <c r="NFK3" s="102"/>
      <c r="NFM3" s="101"/>
      <c r="NFN3" s="100"/>
      <c r="NFO3" s="102"/>
      <c r="NFQ3" s="101"/>
      <c r="NFR3" s="100"/>
      <c r="NFS3" s="102"/>
      <c r="NFU3" s="101"/>
      <c r="NFV3" s="100"/>
      <c r="NFW3" s="102"/>
      <c r="NFY3" s="101"/>
      <c r="NFZ3" s="100"/>
      <c r="NGA3" s="102"/>
      <c r="NGC3" s="101"/>
      <c r="NGD3" s="100"/>
      <c r="NGE3" s="102"/>
      <c r="NGG3" s="101"/>
      <c r="NGH3" s="100"/>
      <c r="NGI3" s="102"/>
      <c r="NGK3" s="101"/>
      <c r="NGL3" s="100"/>
      <c r="NGM3" s="102"/>
      <c r="NGO3" s="101"/>
      <c r="NGP3" s="100"/>
      <c r="NGQ3" s="102"/>
      <c r="NGS3" s="101"/>
      <c r="NGT3" s="100"/>
      <c r="NGU3" s="102"/>
      <c r="NGW3" s="101"/>
      <c r="NGX3" s="100"/>
      <c r="NGY3" s="102"/>
      <c r="NHA3" s="101"/>
      <c r="NHB3" s="100"/>
      <c r="NHC3" s="102"/>
      <c r="NHE3" s="101"/>
      <c r="NHF3" s="100"/>
      <c r="NHG3" s="102"/>
      <c r="NHI3" s="101"/>
      <c r="NHJ3" s="100"/>
      <c r="NHK3" s="102"/>
      <c r="NHM3" s="101"/>
      <c r="NHN3" s="100"/>
      <c r="NHO3" s="102"/>
      <c r="NHQ3" s="101"/>
      <c r="NHR3" s="100"/>
      <c r="NHS3" s="102"/>
      <c r="NHU3" s="101"/>
      <c r="NHV3" s="100"/>
      <c r="NHW3" s="102"/>
      <c r="NHY3" s="101"/>
      <c r="NHZ3" s="100"/>
      <c r="NIA3" s="102"/>
      <c r="NIC3" s="101"/>
      <c r="NID3" s="100"/>
      <c r="NIE3" s="102"/>
      <c r="NIG3" s="101"/>
      <c r="NIH3" s="100"/>
      <c r="NII3" s="102"/>
      <c r="NIK3" s="101"/>
      <c r="NIL3" s="100"/>
      <c r="NIM3" s="102"/>
      <c r="NIO3" s="101"/>
      <c r="NIP3" s="100"/>
      <c r="NIQ3" s="102"/>
      <c r="NIS3" s="101"/>
      <c r="NIT3" s="100"/>
      <c r="NIU3" s="102"/>
      <c r="NIW3" s="101"/>
      <c r="NIX3" s="100"/>
      <c r="NIY3" s="102"/>
      <c r="NJA3" s="101"/>
      <c r="NJB3" s="100"/>
      <c r="NJC3" s="102"/>
      <c r="NJE3" s="101"/>
      <c r="NJF3" s="100"/>
      <c r="NJG3" s="102"/>
      <c r="NJI3" s="101"/>
      <c r="NJJ3" s="100"/>
      <c r="NJK3" s="102"/>
      <c r="NJM3" s="101"/>
      <c r="NJN3" s="100"/>
      <c r="NJO3" s="102"/>
      <c r="NJQ3" s="101"/>
      <c r="NJR3" s="100"/>
      <c r="NJS3" s="102"/>
      <c r="NJU3" s="101"/>
      <c r="NJV3" s="100"/>
      <c r="NJW3" s="102"/>
      <c r="NJY3" s="101"/>
      <c r="NJZ3" s="100"/>
      <c r="NKA3" s="102"/>
      <c r="NKC3" s="101"/>
      <c r="NKD3" s="100"/>
      <c r="NKE3" s="102"/>
      <c r="NKG3" s="101"/>
      <c r="NKH3" s="100"/>
      <c r="NKI3" s="102"/>
      <c r="NKK3" s="101"/>
      <c r="NKL3" s="100"/>
      <c r="NKM3" s="102"/>
      <c r="NKO3" s="101"/>
      <c r="NKP3" s="100"/>
      <c r="NKQ3" s="102"/>
      <c r="NKS3" s="101"/>
      <c r="NKT3" s="100"/>
      <c r="NKU3" s="102"/>
      <c r="NKW3" s="101"/>
      <c r="NKX3" s="100"/>
      <c r="NKY3" s="102"/>
      <c r="NLA3" s="101"/>
      <c r="NLB3" s="100"/>
      <c r="NLC3" s="102"/>
      <c r="NLE3" s="101"/>
      <c r="NLF3" s="100"/>
      <c r="NLG3" s="102"/>
      <c r="NLI3" s="101"/>
      <c r="NLJ3" s="100"/>
      <c r="NLK3" s="102"/>
      <c r="NLM3" s="101"/>
      <c r="NLN3" s="100"/>
      <c r="NLO3" s="102"/>
      <c r="NLQ3" s="101"/>
      <c r="NLR3" s="100"/>
      <c r="NLS3" s="102"/>
      <c r="NLU3" s="101"/>
      <c r="NLV3" s="100"/>
      <c r="NLW3" s="102"/>
      <c r="NLY3" s="101"/>
      <c r="NLZ3" s="100"/>
      <c r="NMA3" s="102"/>
      <c r="NMC3" s="101"/>
      <c r="NMD3" s="100"/>
      <c r="NME3" s="102"/>
      <c r="NMG3" s="101"/>
      <c r="NMH3" s="100"/>
      <c r="NMI3" s="102"/>
      <c r="NMK3" s="101"/>
      <c r="NML3" s="100"/>
      <c r="NMM3" s="102"/>
      <c r="NMO3" s="101"/>
      <c r="NMP3" s="100"/>
      <c r="NMQ3" s="102"/>
      <c r="NMS3" s="101"/>
      <c r="NMT3" s="100"/>
      <c r="NMU3" s="102"/>
      <c r="NMW3" s="101"/>
      <c r="NMX3" s="100"/>
      <c r="NMY3" s="102"/>
      <c r="NNA3" s="101"/>
      <c r="NNB3" s="100"/>
      <c r="NNC3" s="102"/>
      <c r="NNE3" s="101"/>
      <c r="NNF3" s="100"/>
      <c r="NNG3" s="102"/>
      <c r="NNI3" s="101"/>
      <c r="NNJ3" s="100"/>
      <c r="NNK3" s="102"/>
      <c r="NNM3" s="101"/>
      <c r="NNN3" s="100"/>
      <c r="NNO3" s="102"/>
      <c r="NNQ3" s="101"/>
      <c r="NNR3" s="100"/>
      <c r="NNS3" s="102"/>
      <c r="NNU3" s="101"/>
      <c r="NNV3" s="100"/>
      <c r="NNW3" s="102"/>
      <c r="NNY3" s="101"/>
      <c r="NNZ3" s="100"/>
      <c r="NOA3" s="102"/>
      <c r="NOC3" s="101"/>
      <c r="NOD3" s="100"/>
      <c r="NOE3" s="102"/>
      <c r="NOG3" s="101"/>
      <c r="NOH3" s="100"/>
      <c r="NOI3" s="102"/>
      <c r="NOK3" s="101"/>
      <c r="NOL3" s="100"/>
      <c r="NOM3" s="102"/>
      <c r="NOO3" s="101"/>
      <c r="NOP3" s="100"/>
      <c r="NOQ3" s="102"/>
      <c r="NOS3" s="101"/>
      <c r="NOT3" s="100"/>
      <c r="NOU3" s="102"/>
      <c r="NOW3" s="101"/>
      <c r="NOX3" s="100"/>
      <c r="NOY3" s="102"/>
      <c r="NPA3" s="101"/>
      <c r="NPB3" s="100"/>
      <c r="NPC3" s="102"/>
      <c r="NPE3" s="101"/>
      <c r="NPF3" s="100"/>
      <c r="NPG3" s="102"/>
      <c r="NPI3" s="101"/>
      <c r="NPJ3" s="100"/>
      <c r="NPK3" s="102"/>
      <c r="NPM3" s="101"/>
      <c r="NPN3" s="100"/>
      <c r="NPO3" s="102"/>
      <c r="NPQ3" s="101"/>
      <c r="NPR3" s="100"/>
      <c r="NPS3" s="102"/>
      <c r="NPU3" s="101"/>
      <c r="NPV3" s="100"/>
      <c r="NPW3" s="102"/>
      <c r="NPY3" s="101"/>
      <c r="NPZ3" s="100"/>
      <c r="NQA3" s="102"/>
      <c r="NQC3" s="101"/>
      <c r="NQD3" s="100"/>
      <c r="NQE3" s="102"/>
      <c r="NQG3" s="101"/>
      <c r="NQH3" s="100"/>
      <c r="NQI3" s="102"/>
      <c r="NQK3" s="101"/>
      <c r="NQL3" s="100"/>
      <c r="NQM3" s="102"/>
      <c r="NQO3" s="101"/>
      <c r="NQP3" s="100"/>
      <c r="NQQ3" s="102"/>
      <c r="NQS3" s="101"/>
      <c r="NQT3" s="100"/>
      <c r="NQU3" s="102"/>
      <c r="NQW3" s="101"/>
      <c r="NQX3" s="100"/>
      <c r="NQY3" s="102"/>
      <c r="NRA3" s="101"/>
      <c r="NRB3" s="100"/>
      <c r="NRC3" s="102"/>
      <c r="NRE3" s="101"/>
      <c r="NRF3" s="100"/>
      <c r="NRG3" s="102"/>
      <c r="NRI3" s="101"/>
      <c r="NRJ3" s="100"/>
      <c r="NRK3" s="102"/>
      <c r="NRM3" s="101"/>
      <c r="NRN3" s="100"/>
      <c r="NRO3" s="102"/>
      <c r="NRQ3" s="101"/>
      <c r="NRR3" s="100"/>
      <c r="NRS3" s="102"/>
      <c r="NRU3" s="101"/>
      <c r="NRV3" s="100"/>
      <c r="NRW3" s="102"/>
      <c r="NRY3" s="101"/>
      <c r="NRZ3" s="100"/>
      <c r="NSA3" s="102"/>
      <c r="NSC3" s="101"/>
      <c r="NSD3" s="100"/>
      <c r="NSE3" s="102"/>
      <c r="NSG3" s="101"/>
      <c r="NSH3" s="100"/>
      <c r="NSI3" s="102"/>
      <c r="NSK3" s="101"/>
      <c r="NSL3" s="100"/>
      <c r="NSM3" s="102"/>
      <c r="NSO3" s="101"/>
      <c r="NSP3" s="100"/>
      <c r="NSQ3" s="102"/>
      <c r="NSS3" s="101"/>
      <c r="NST3" s="100"/>
      <c r="NSU3" s="102"/>
      <c r="NSW3" s="101"/>
      <c r="NSX3" s="100"/>
      <c r="NSY3" s="102"/>
      <c r="NTA3" s="101"/>
      <c r="NTB3" s="100"/>
      <c r="NTC3" s="102"/>
      <c r="NTE3" s="101"/>
      <c r="NTF3" s="100"/>
      <c r="NTG3" s="102"/>
      <c r="NTI3" s="101"/>
      <c r="NTJ3" s="100"/>
      <c r="NTK3" s="102"/>
      <c r="NTM3" s="101"/>
      <c r="NTN3" s="100"/>
      <c r="NTO3" s="102"/>
      <c r="NTQ3" s="101"/>
      <c r="NTR3" s="100"/>
      <c r="NTS3" s="102"/>
      <c r="NTU3" s="101"/>
      <c r="NTV3" s="100"/>
      <c r="NTW3" s="102"/>
      <c r="NTY3" s="101"/>
      <c r="NTZ3" s="100"/>
      <c r="NUA3" s="102"/>
      <c r="NUC3" s="101"/>
      <c r="NUD3" s="100"/>
      <c r="NUE3" s="102"/>
      <c r="NUG3" s="101"/>
      <c r="NUH3" s="100"/>
      <c r="NUI3" s="102"/>
      <c r="NUK3" s="101"/>
      <c r="NUL3" s="100"/>
      <c r="NUM3" s="102"/>
      <c r="NUO3" s="101"/>
      <c r="NUP3" s="100"/>
      <c r="NUQ3" s="102"/>
      <c r="NUS3" s="101"/>
      <c r="NUT3" s="100"/>
      <c r="NUU3" s="102"/>
      <c r="NUW3" s="101"/>
      <c r="NUX3" s="100"/>
      <c r="NUY3" s="102"/>
      <c r="NVA3" s="101"/>
      <c r="NVB3" s="100"/>
      <c r="NVC3" s="102"/>
      <c r="NVE3" s="101"/>
      <c r="NVF3" s="100"/>
      <c r="NVG3" s="102"/>
      <c r="NVI3" s="101"/>
      <c r="NVJ3" s="100"/>
      <c r="NVK3" s="102"/>
      <c r="NVM3" s="101"/>
      <c r="NVN3" s="100"/>
      <c r="NVO3" s="102"/>
      <c r="NVQ3" s="101"/>
      <c r="NVR3" s="100"/>
      <c r="NVS3" s="102"/>
      <c r="NVU3" s="101"/>
      <c r="NVV3" s="100"/>
      <c r="NVW3" s="102"/>
      <c r="NVY3" s="101"/>
      <c r="NVZ3" s="100"/>
      <c r="NWA3" s="102"/>
      <c r="NWC3" s="101"/>
      <c r="NWD3" s="100"/>
      <c r="NWE3" s="102"/>
      <c r="NWG3" s="101"/>
      <c r="NWH3" s="100"/>
      <c r="NWI3" s="102"/>
      <c r="NWK3" s="101"/>
      <c r="NWL3" s="100"/>
      <c r="NWM3" s="102"/>
      <c r="NWO3" s="101"/>
      <c r="NWP3" s="100"/>
      <c r="NWQ3" s="102"/>
      <c r="NWS3" s="101"/>
      <c r="NWT3" s="100"/>
      <c r="NWU3" s="102"/>
      <c r="NWW3" s="101"/>
      <c r="NWX3" s="100"/>
      <c r="NWY3" s="102"/>
      <c r="NXA3" s="101"/>
      <c r="NXB3" s="100"/>
      <c r="NXC3" s="102"/>
      <c r="NXE3" s="101"/>
      <c r="NXF3" s="100"/>
      <c r="NXG3" s="102"/>
      <c r="NXI3" s="101"/>
      <c r="NXJ3" s="100"/>
      <c r="NXK3" s="102"/>
      <c r="NXM3" s="101"/>
      <c r="NXN3" s="100"/>
      <c r="NXO3" s="102"/>
      <c r="NXQ3" s="101"/>
      <c r="NXR3" s="100"/>
      <c r="NXS3" s="102"/>
      <c r="NXU3" s="101"/>
      <c r="NXV3" s="100"/>
      <c r="NXW3" s="102"/>
      <c r="NXY3" s="101"/>
      <c r="NXZ3" s="100"/>
      <c r="NYA3" s="102"/>
      <c r="NYC3" s="101"/>
      <c r="NYD3" s="100"/>
      <c r="NYE3" s="102"/>
      <c r="NYG3" s="101"/>
      <c r="NYH3" s="100"/>
      <c r="NYI3" s="102"/>
      <c r="NYK3" s="101"/>
      <c r="NYL3" s="100"/>
      <c r="NYM3" s="102"/>
      <c r="NYO3" s="101"/>
      <c r="NYP3" s="100"/>
      <c r="NYQ3" s="102"/>
      <c r="NYS3" s="101"/>
      <c r="NYT3" s="100"/>
      <c r="NYU3" s="102"/>
      <c r="NYW3" s="101"/>
      <c r="NYX3" s="100"/>
      <c r="NYY3" s="102"/>
      <c r="NZA3" s="101"/>
      <c r="NZB3" s="100"/>
      <c r="NZC3" s="102"/>
      <c r="NZE3" s="101"/>
      <c r="NZF3" s="100"/>
      <c r="NZG3" s="102"/>
      <c r="NZI3" s="101"/>
      <c r="NZJ3" s="100"/>
      <c r="NZK3" s="102"/>
      <c r="NZM3" s="101"/>
      <c r="NZN3" s="100"/>
      <c r="NZO3" s="102"/>
      <c r="NZQ3" s="101"/>
      <c r="NZR3" s="100"/>
      <c r="NZS3" s="102"/>
      <c r="NZU3" s="101"/>
      <c r="NZV3" s="100"/>
      <c r="NZW3" s="102"/>
      <c r="NZY3" s="101"/>
      <c r="NZZ3" s="100"/>
      <c r="OAA3" s="102"/>
      <c r="OAC3" s="101"/>
      <c r="OAD3" s="100"/>
      <c r="OAE3" s="102"/>
      <c r="OAG3" s="101"/>
      <c r="OAH3" s="100"/>
      <c r="OAI3" s="102"/>
      <c r="OAK3" s="101"/>
      <c r="OAL3" s="100"/>
      <c r="OAM3" s="102"/>
      <c r="OAO3" s="101"/>
      <c r="OAP3" s="100"/>
      <c r="OAQ3" s="102"/>
      <c r="OAS3" s="101"/>
      <c r="OAT3" s="100"/>
      <c r="OAU3" s="102"/>
      <c r="OAW3" s="101"/>
      <c r="OAX3" s="100"/>
      <c r="OAY3" s="102"/>
      <c r="OBA3" s="101"/>
      <c r="OBB3" s="100"/>
      <c r="OBC3" s="102"/>
      <c r="OBE3" s="101"/>
      <c r="OBF3" s="100"/>
      <c r="OBG3" s="102"/>
      <c r="OBI3" s="101"/>
      <c r="OBJ3" s="100"/>
      <c r="OBK3" s="102"/>
      <c r="OBM3" s="101"/>
      <c r="OBN3" s="100"/>
      <c r="OBO3" s="102"/>
      <c r="OBQ3" s="101"/>
      <c r="OBR3" s="100"/>
      <c r="OBS3" s="102"/>
      <c r="OBU3" s="101"/>
      <c r="OBV3" s="100"/>
      <c r="OBW3" s="102"/>
      <c r="OBY3" s="101"/>
      <c r="OBZ3" s="100"/>
      <c r="OCA3" s="102"/>
      <c r="OCC3" s="101"/>
      <c r="OCD3" s="100"/>
      <c r="OCE3" s="102"/>
      <c r="OCG3" s="101"/>
      <c r="OCH3" s="100"/>
      <c r="OCI3" s="102"/>
      <c r="OCK3" s="101"/>
      <c r="OCL3" s="100"/>
      <c r="OCM3" s="102"/>
      <c r="OCO3" s="101"/>
      <c r="OCP3" s="100"/>
      <c r="OCQ3" s="102"/>
      <c r="OCS3" s="101"/>
      <c r="OCT3" s="100"/>
      <c r="OCU3" s="102"/>
      <c r="OCW3" s="101"/>
      <c r="OCX3" s="100"/>
      <c r="OCY3" s="102"/>
      <c r="ODA3" s="101"/>
      <c r="ODB3" s="100"/>
      <c r="ODC3" s="102"/>
      <c r="ODE3" s="101"/>
      <c r="ODF3" s="100"/>
      <c r="ODG3" s="102"/>
      <c r="ODI3" s="101"/>
      <c r="ODJ3" s="100"/>
      <c r="ODK3" s="102"/>
      <c r="ODM3" s="101"/>
      <c r="ODN3" s="100"/>
      <c r="ODO3" s="102"/>
      <c r="ODQ3" s="101"/>
      <c r="ODR3" s="100"/>
      <c r="ODS3" s="102"/>
      <c r="ODU3" s="101"/>
      <c r="ODV3" s="100"/>
      <c r="ODW3" s="102"/>
      <c r="ODY3" s="101"/>
      <c r="ODZ3" s="100"/>
      <c r="OEA3" s="102"/>
      <c r="OEC3" s="101"/>
      <c r="OED3" s="100"/>
      <c r="OEE3" s="102"/>
      <c r="OEG3" s="101"/>
      <c r="OEH3" s="100"/>
      <c r="OEI3" s="102"/>
      <c r="OEK3" s="101"/>
      <c r="OEL3" s="100"/>
      <c r="OEM3" s="102"/>
      <c r="OEO3" s="101"/>
      <c r="OEP3" s="100"/>
      <c r="OEQ3" s="102"/>
      <c r="OES3" s="101"/>
      <c r="OET3" s="100"/>
      <c r="OEU3" s="102"/>
      <c r="OEW3" s="101"/>
      <c r="OEX3" s="100"/>
      <c r="OEY3" s="102"/>
      <c r="OFA3" s="101"/>
      <c r="OFB3" s="100"/>
      <c r="OFC3" s="102"/>
      <c r="OFE3" s="101"/>
      <c r="OFF3" s="100"/>
      <c r="OFG3" s="102"/>
      <c r="OFI3" s="101"/>
      <c r="OFJ3" s="100"/>
      <c r="OFK3" s="102"/>
      <c r="OFM3" s="101"/>
      <c r="OFN3" s="100"/>
      <c r="OFO3" s="102"/>
      <c r="OFQ3" s="101"/>
      <c r="OFR3" s="100"/>
      <c r="OFS3" s="102"/>
      <c r="OFU3" s="101"/>
      <c r="OFV3" s="100"/>
      <c r="OFW3" s="102"/>
      <c r="OFY3" s="101"/>
      <c r="OFZ3" s="100"/>
      <c r="OGA3" s="102"/>
      <c r="OGC3" s="101"/>
      <c r="OGD3" s="100"/>
      <c r="OGE3" s="102"/>
      <c r="OGG3" s="101"/>
      <c r="OGH3" s="100"/>
      <c r="OGI3" s="102"/>
      <c r="OGK3" s="101"/>
      <c r="OGL3" s="100"/>
      <c r="OGM3" s="102"/>
      <c r="OGO3" s="101"/>
      <c r="OGP3" s="100"/>
      <c r="OGQ3" s="102"/>
      <c r="OGS3" s="101"/>
      <c r="OGT3" s="100"/>
      <c r="OGU3" s="102"/>
      <c r="OGW3" s="101"/>
      <c r="OGX3" s="100"/>
      <c r="OGY3" s="102"/>
      <c r="OHA3" s="101"/>
      <c r="OHB3" s="100"/>
      <c r="OHC3" s="102"/>
      <c r="OHE3" s="101"/>
      <c r="OHF3" s="100"/>
      <c r="OHG3" s="102"/>
      <c r="OHI3" s="101"/>
      <c r="OHJ3" s="100"/>
      <c r="OHK3" s="102"/>
      <c r="OHM3" s="101"/>
      <c r="OHN3" s="100"/>
      <c r="OHO3" s="102"/>
      <c r="OHQ3" s="101"/>
      <c r="OHR3" s="100"/>
      <c r="OHS3" s="102"/>
      <c r="OHU3" s="101"/>
      <c r="OHV3" s="100"/>
      <c r="OHW3" s="102"/>
      <c r="OHY3" s="101"/>
      <c r="OHZ3" s="100"/>
      <c r="OIA3" s="102"/>
      <c r="OIC3" s="101"/>
      <c r="OID3" s="100"/>
      <c r="OIE3" s="102"/>
      <c r="OIG3" s="101"/>
      <c r="OIH3" s="100"/>
      <c r="OII3" s="102"/>
      <c r="OIK3" s="101"/>
      <c r="OIL3" s="100"/>
      <c r="OIM3" s="102"/>
      <c r="OIO3" s="101"/>
      <c r="OIP3" s="100"/>
      <c r="OIQ3" s="102"/>
      <c r="OIS3" s="101"/>
      <c r="OIT3" s="100"/>
      <c r="OIU3" s="102"/>
      <c r="OIW3" s="101"/>
      <c r="OIX3" s="100"/>
      <c r="OIY3" s="102"/>
      <c r="OJA3" s="101"/>
      <c r="OJB3" s="100"/>
      <c r="OJC3" s="102"/>
      <c r="OJE3" s="101"/>
      <c r="OJF3" s="100"/>
      <c r="OJG3" s="102"/>
      <c r="OJI3" s="101"/>
      <c r="OJJ3" s="100"/>
      <c r="OJK3" s="102"/>
      <c r="OJM3" s="101"/>
      <c r="OJN3" s="100"/>
      <c r="OJO3" s="102"/>
      <c r="OJQ3" s="101"/>
      <c r="OJR3" s="100"/>
      <c r="OJS3" s="102"/>
      <c r="OJU3" s="101"/>
      <c r="OJV3" s="100"/>
      <c r="OJW3" s="102"/>
      <c r="OJY3" s="101"/>
      <c r="OJZ3" s="100"/>
      <c r="OKA3" s="102"/>
      <c r="OKC3" s="101"/>
      <c r="OKD3" s="100"/>
      <c r="OKE3" s="102"/>
      <c r="OKG3" s="101"/>
      <c r="OKH3" s="100"/>
      <c r="OKI3" s="102"/>
      <c r="OKK3" s="101"/>
      <c r="OKL3" s="100"/>
      <c r="OKM3" s="102"/>
      <c r="OKO3" s="101"/>
      <c r="OKP3" s="100"/>
      <c r="OKQ3" s="102"/>
      <c r="OKS3" s="101"/>
      <c r="OKT3" s="100"/>
      <c r="OKU3" s="102"/>
      <c r="OKW3" s="101"/>
      <c r="OKX3" s="100"/>
      <c r="OKY3" s="102"/>
      <c r="OLA3" s="101"/>
      <c r="OLB3" s="100"/>
      <c r="OLC3" s="102"/>
      <c r="OLE3" s="101"/>
      <c r="OLF3" s="100"/>
      <c r="OLG3" s="102"/>
      <c r="OLI3" s="101"/>
      <c r="OLJ3" s="100"/>
      <c r="OLK3" s="102"/>
      <c r="OLM3" s="101"/>
      <c r="OLN3" s="100"/>
      <c r="OLO3" s="102"/>
      <c r="OLQ3" s="101"/>
      <c r="OLR3" s="100"/>
      <c r="OLS3" s="102"/>
      <c r="OLU3" s="101"/>
      <c r="OLV3" s="100"/>
      <c r="OLW3" s="102"/>
      <c r="OLY3" s="101"/>
      <c r="OLZ3" s="100"/>
      <c r="OMA3" s="102"/>
      <c r="OMC3" s="101"/>
      <c r="OMD3" s="100"/>
      <c r="OME3" s="102"/>
      <c r="OMG3" s="101"/>
      <c r="OMH3" s="100"/>
      <c r="OMI3" s="102"/>
      <c r="OMK3" s="101"/>
      <c r="OML3" s="100"/>
      <c r="OMM3" s="102"/>
      <c r="OMO3" s="101"/>
      <c r="OMP3" s="100"/>
      <c r="OMQ3" s="102"/>
      <c r="OMS3" s="101"/>
      <c r="OMT3" s="100"/>
      <c r="OMU3" s="102"/>
      <c r="OMW3" s="101"/>
      <c r="OMX3" s="100"/>
      <c r="OMY3" s="102"/>
      <c r="ONA3" s="101"/>
      <c r="ONB3" s="100"/>
      <c r="ONC3" s="102"/>
      <c r="ONE3" s="101"/>
      <c r="ONF3" s="100"/>
      <c r="ONG3" s="102"/>
      <c r="ONI3" s="101"/>
      <c r="ONJ3" s="100"/>
      <c r="ONK3" s="102"/>
      <c r="ONM3" s="101"/>
      <c r="ONN3" s="100"/>
      <c r="ONO3" s="102"/>
      <c r="ONQ3" s="101"/>
      <c r="ONR3" s="100"/>
      <c r="ONS3" s="102"/>
      <c r="ONU3" s="101"/>
      <c r="ONV3" s="100"/>
      <c r="ONW3" s="102"/>
      <c r="ONY3" s="101"/>
      <c r="ONZ3" s="100"/>
      <c r="OOA3" s="102"/>
      <c r="OOC3" s="101"/>
      <c r="OOD3" s="100"/>
      <c r="OOE3" s="102"/>
      <c r="OOG3" s="101"/>
      <c r="OOH3" s="100"/>
      <c r="OOI3" s="102"/>
      <c r="OOK3" s="101"/>
      <c r="OOL3" s="100"/>
      <c r="OOM3" s="102"/>
      <c r="OOO3" s="101"/>
      <c r="OOP3" s="100"/>
      <c r="OOQ3" s="102"/>
      <c r="OOS3" s="101"/>
      <c r="OOT3" s="100"/>
      <c r="OOU3" s="102"/>
      <c r="OOW3" s="101"/>
      <c r="OOX3" s="100"/>
      <c r="OOY3" s="102"/>
      <c r="OPA3" s="101"/>
      <c r="OPB3" s="100"/>
      <c r="OPC3" s="102"/>
      <c r="OPE3" s="101"/>
      <c r="OPF3" s="100"/>
      <c r="OPG3" s="102"/>
      <c r="OPI3" s="101"/>
      <c r="OPJ3" s="100"/>
      <c r="OPK3" s="102"/>
      <c r="OPM3" s="101"/>
      <c r="OPN3" s="100"/>
      <c r="OPO3" s="102"/>
      <c r="OPQ3" s="101"/>
      <c r="OPR3" s="100"/>
      <c r="OPS3" s="102"/>
      <c r="OPU3" s="101"/>
      <c r="OPV3" s="100"/>
      <c r="OPW3" s="102"/>
      <c r="OPY3" s="101"/>
      <c r="OPZ3" s="100"/>
      <c r="OQA3" s="102"/>
      <c r="OQC3" s="101"/>
      <c r="OQD3" s="100"/>
      <c r="OQE3" s="102"/>
      <c r="OQG3" s="101"/>
      <c r="OQH3" s="100"/>
      <c r="OQI3" s="102"/>
      <c r="OQK3" s="101"/>
      <c r="OQL3" s="100"/>
      <c r="OQM3" s="102"/>
      <c r="OQO3" s="101"/>
      <c r="OQP3" s="100"/>
      <c r="OQQ3" s="102"/>
      <c r="OQS3" s="101"/>
      <c r="OQT3" s="100"/>
      <c r="OQU3" s="102"/>
      <c r="OQW3" s="101"/>
      <c r="OQX3" s="100"/>
      <c r="OQY3" s="102"/>
      <c r="ORA3" s="101"/>
      <c r="ORB3" s="100"/>
      <c r="ORC3" s="102"/>
      <c r="ORE3" s="101"/>
      <c r="ORF3" s="100"/>
      <c r="ORG3" s="102"/>
      <c r="ORI3" s="101"/>
      <c r="ORJ3" s="100"/>
      <c r="ORK3" s="102"/>
      <c r="ORM3" s="101"/>
      <c r="ORN3" s="100"/>
      <c r="ORO3" s="102"/>
      <c r="ORQ3" s="101"/>
      <c r="ORR3" s="100"/>
      <c r="ORS3" s="102"/>
      <c r="ORU3" s="101"/>
      <c r="ORV3" s="100"/>
      <c r="ORW3" s="102"/>
      <c r="ORY3" s="101"/>
      <c r="ORZ3" s="100"/>
      <c r="OSA3" s="102"/>
      <c r="OSC3" s="101"/>
      <c r="OSD3" s="100"/>
      <c r="OSE3" s="102"/>
      <c r="OSG3" s="101"/>
      <c r="OSH3" s="100"/>
      <c r="OSI3" s="102"/>
      <c r="OSK3" s="101"/>
      <c r="OSL3" s="100"/>
      <c r="OSM3" s="102"/>
      <c r="OSO3" s="101"/>
      <c r="OSP3" s="100"/>
      <c r="OSQ3" s="102"/>
      <c r="OSS3" s="101"/>
      <c r="OST3" s="100"/>
      <c r="OSU3" s="102"/>
      <c r="OSW3" s="101"/>
      <c r="OSX3" s="100"/>
      <c r="OSY3" s="102"/>
      <c r="OTA3" s="101"/>
      <c r="OTB3" s="100"/>
      <c r="OTC3" s="102"/>
      <c r="OTE3" s="101"/>
      <c r="OTF3" s="100"/>
      <c r="OTG3" s="102"/>
      <c r="OTI3" s="101"/>
      <c r="OTJ3" s="100"/>
      <c r="OTK3" s="102"/>
      <c r="OTM3" s="101"/>
      <c r="OTN3" s="100"/>
      <c r="OTO3" s="102"/>
      <c r="OTQ3" s="101"/>
      <c r="OTR3" s="100"/>
      <c r="OTS3" s="102"/>
      <c r="OTU3" s="101"/>
      <c r="OTV3" s="100"/>
      <c r="OTW3" s="102"/>
      <c r="OTY3" s="101"/>
      <c r="OTZ3" s="100"/>
      <c r="OUA3" s="102"/>
      <c r="OUC3" s="101"/>
      <c r="OUD3" s="100"/>
      <c r="OUE3" s="102"/>
      <c r="OUG3" s="101"/>
      <c r="OUH3" s="100"/>
      <c r="OUI3" s="102"/>
      <c r="OUK3" s="101"/>
      <c r="OUL3" s="100"/>
      <c r="OUM3" s="102"/>
      <c r="OUO3" s="101"/>
      <c r="OUP3" s="100"/>
      <c r="OUQ3" s="102"/>
      <c r="OUS3" s="101"/>
      <c r="OUT3" s="100"/>
      <c r="OUU3" s="102"/>
      <c r="OUW3" s="101"/>
      <c r="OUX3" s="100"/>
      <c r="OUY3" s="102"/>
      <c r="OVA3" s="101"/>
      <c r="OVB3" s="100"/>
      <c r="OVC3" s="102"/>
      <c r="OVE3" s="101"/>
      <c r="OVF3" s="100"/>
      <c r="OVG3" s="102"/>
      <c r="OVI3" s="101"/>
      <c r="OVJ3" s="100"/>
      <c r="OVK3" s="102"/>
      <c r="OVM3" s="101"/>
      <c r="OVN3" s="100"/>
      <c r="OVO3" s="102"/>
      <c r="OVQ3" s="101"/>
      <c r="OVR3" s="100"/>
      <c r="OVS3" s="102"/>
      <c r="OVU3" s="101"/>
      <c r="OVV3" s="100"/>
      <c r="OVW3" s="102"/>
      <c r="OVY3" s="101"/>
      <c r="OVZ3" s="100"/>
      <c r="OWA3" s="102"/>
      <c r="OWC3" s="101"/>
      <c r="OWD3" s="100"/>
      <c r="OWE3" s="102"/>
      <c r="OWG3" s="101"/>
      <c r="OWH3" s="100"/>
      <c r="OWI3" s="102"/>
      <c r="OWK3" s="101"/>
      <c r="OWL3" s="100"/>
      <c r="OWM3" s="102"/>
      <c r="OWO3" s="101"/>
      <c r="OWP3" s="100"/>
      <c r="OWQ3" s="102"/>
      <c r="OWS3" s="101"/>
      <c r="OWT3" s="100"/>
      <c r="OWU3" s="102"/>
      <c r="OWW3" s="101"/>
      <c r="OWX3" s="100"/>
      <c r="OWY3" s="102"/>
      <c r="OXA3" s="101"/>
      <c r="OXB3" s="100"/>
      <c r="OXC3" s="102"/>
      <c r="OXE3" s="101"/>
      <c r="OXF3" s="100"/>
      <c r="OXG3" s="102"/>
      <c r="OXI3" s="101"/>
      <c r="OXJ3" s="100"/>
      <c r="OXK3" s="102"/>
      <c r="OXM3" s="101"/>
      <c r="OXN3" s="100"/>
      <c r="OXO3" s="102"/>
      <c r="OXQ3" s="101"/>
      <c r="OXR3" s="100"/>
      <c r="OXS3" s="102"/>
      <c r="OXU3" s="101"/>
      <c r="OXV3" s="100"/>
      <c r="OXW3" s="102"/>
      <c r="OXY3" s="101"/>
      <c r="OXZ3" s="100"/>
      <c r="OYA3" s="102"/>
      <c r="OYC3" s="101"/>
      <c r="OYD3" s="100"/>
      <c r="OYE3" s="102"/>
      <c r="OYG3" s="101"/>
      <c r="OYH3" s="100"/>
      <c r="OYI3" s="102"/>
      <c r="OYK3" s="101"/>
      <c r="OYL3" s="100"/>
      <c r="OYM3" s="102"/>
      <c r="OYO3" s="101"/>
      <c r="OYP3" s="100"/>
      <c r="OYQ3" s="102"/>
      <c r="OYS3" s="101"/>
      <c r="OYT3" s="100"/>
      <c r="OYU3" s="102"/>
      <c r="OYW3" s="101"/>
      <c r="OYX3" s="100"/>
      <c r="OYY3" s="102"/>
      <c r="OZA3" s="101"/>
      <c r="OZB3" s="100"/>
      <c r="OZC3" s="102"/>
      <c r="OZE3" s="101"/>
      <c r="OZF3" s="100"/>
      <c r="OZG3" s="102"/>
      <c r="OZI3" s="101"/>
      <c r="OZJ3" s="100"/>
      <c r="OZK3" s="102"/>
      <c r="OZM3" s="101"/>
      <c r="OZN3" s="100"/>
      <c r="OZO3" s="102"/>
      <c r="OZQ3" s="101"/>
      <c r="OZR3" s="100"/>
      <c r="OZS3" s="102"/>
      <c r="OZU3" s="101"/>
      <c r="OZV3" s="100"/>
      <c r="OZW3" s="102"/>
      <c r="OZY3" s="101"/>
      <c r="OZZ3" s="100"/>
      <c r="PAA3" s="102"/>
      <c r="PAC3" s="101"/>
      <c r="PAD3" s="100"/>
      <c r="PAE3" s="102"/>
      <c r="PAG3" s="101"/>
      <c r="PAH3" s="100"/>
      <c r="PAI3" s="102"/>
      <c r="PAK3" s="101"/>
      <c r="PAL3" s="100"/>
      <c r="PAM3" s="102"/>
      <c r="PAO3" s="101"/>
      <c r="PAP3" s="100"/>
      <c r="PAQ3" s="102"/>
      <c r="PAS3" s="101"/>
      <c r="PAT3" s="100"/>
      <c r="PAU3" s="102"/>
      <c r="PAW3" s="101"/>
      <c r="PAX3" s="100"/>
      <c r="PAY3" s="102"/>
      <c r="PBA3" s="101"/>
      <c r="PBB3" s="100"/>
      <c r="PBC3" s="102"/>
      <c r="PBE3" s="101"/>
      <c r="PBF3" s="100"/>
      <c r="PBG3" s="102"/>
      <c r="PBI3" s="101"/>
      <c r="PBJ3" s="100"/>
      <c r="PBK3" s="102"/>
      <c r="PBM3" s="101"/>
      <c r="PBN3" s="100"/>
      <c r="PBO3" s="102"/>
      <c r="PBQ3" s="101"/>
      <c r="PBR3" s="100"/>
      <c r="PBS3" s="102"/>
      <c r="PBU3" s="101"/>
      <c r="PBV3" s="100"/>
      <c r="PBW3" s="102"/>
      <c r="PBY3" s="101"/>
      <c r="PBZ3" s="100"/>
      <c r="PCA3" s="102"/>
      <c r="PCC3" s="101"/>
      <c r="PCD3" s="100"/>
      <c r="PCE3" s="102"/>
      <c r="PCG3" s="101"/>
      <c r="PCH3" s="100"/>
      <c r="PCI3" s="102"/>
      <c r="PCK3" s="101"/>
      <c r="PCL3" s="100"/>
      <c r="PCM3" s="102"/>
      <c r="PCO3" s="101"/>
      <c r="PCP3" s="100"/>
      <c r="PCQ3" s="102"/>
      <c r="PCS3" s="101"/>
      <c r="PCT3" s="100"/>
      <c r="PCU3" s="102"/>
      <c r="PCW3" s="101"/>
      <c r="PCX3" s="100"/>
      <c r="PCY3" s="102"/>
      <c r="PDA3" s="101"/>
      <c r="PDB3" s="100"/>
      <c r="PDC3" s="102"/>
      <c r="PDE3" s="101"/>
      <c r="PDF3" s="100"/>
      <c r="PDG3" s="102"/>
      <c r="PDI3" s="101"/>
      <c r="PDJ3" s="100"/>
      <c r="PDK3" s="102"/>
      <c r="PDM3" s="101"/>
      <c r="PDN3" s="100"/>
      <c r="PDO3" s="102"/>
      <c r="PDQ3" s="101"/>
      <c r="PDR3" s="100"/>
      <c r="PDS3" s="102"/>
      <c r="PDU3" s="101"/>
      <c r="PDV3" s="100"/>
      <c r="PDW3" s="102"/>
      <c r="PDY3" s="101"/>
      <c r="PDZ3" s="100"/>
      <c r="PEA3" s="102"/>
      <c r="PEC3" s="101"/>
      <c r="PED3" s="100"/>
      <c r="PEE3" s="102"/>
      <c r="PEG3" s="101"/>
      <c r="PEH3" s="100"/>
      <c r="PEI3" s="102"/>
      <c r="PEK3" s="101"/>
      <c r="PEL3" s="100"/>
      <c r="PEM3" s="102"/>
      <c r="PEO3" s="101"/>
      <c r="PEP3" s="100"/>
      <c r="PEQ3" s="102"/>
      <c r="PES3" s="101"/>
      <c r="PET3" s="100"/>
      <c r="PEU3" s="102"/>
      <c r="PEW3" s="101"/>
      <c r="PEX3" s="100"/>
      <c r="PEY3" s="102"/>
      <c r="PFA3" s="101"/>
      <c r="PFB3" s="100"/>
      <c r="PFC3" s="102"/>
      <c r="PFE3" s="101"/>
      <c r="PFF3" s="100"/>
      <c r="PFG3" s="102"/>
      <c r="PFI3" s="101"/>
      <c r="PFJ3" s="100"/>
      <c r="PFK3" s="102"/>
      <c r="PFM3" s="101"/>
      <c r="PFN3" s="100"/>
      <c r="PFO3" s="102"/>
      <c r="PFQ3" s="101"/>
      <c r="PFR3" s="100"/>
      <c r="PFS3" s="102"/>
      <c r="PFU3" s="101"/>
      <c r="PFV3" s="100"/>
      <c r="PFW3" s="102"/>
      <c r="PFY3" s="101"/>
      <c r="PFZ3" s="100"/>
      <c r="PGA3" s="102"/>
      <c r="PGC3" s="101"/>
      <c r="PGD3" s="100"/>
      <c r="PGE3" s="102"/>
      <c r="PGG3" s="101"/>
      <c r="PGH3" s="100"/>
      <c r="PGI3" s="102"/>
      <c r="PGK3" s="101"/>
      <c r="PGL3" s="100"/>
      <c r="PGM3" s="102"/>
      <c r="PGO3" s="101"/>
      <c r="PGP3" s="100"/>
      <c r="PGQ3" s="102"/>
      <c r="PGS3" s="101"/>
      <c r="PGT3" s="100"/>
      <c r="PGU3" s="102"/>
      <c r="PGW3" s="101"/>
      <c r="PGX3" s="100"/>
      <c r="PGY3" s="102"/>
      <c r="PHA3" s="101"/>
      <c r="PHB3" s="100"/>
      <c r="PHC3" s="102"/>
      <c r="PHE3" s="101"/>
      <c r="PHF3" s="100"/>
      <c r="PHG3" s="102"/>
      <c r="PHI3" s="101"/>
      <c r="PHJ3" s="100"/>
      <c r="PHK3" s="102"/>
      <c r="PHM3" s="101"/>
      <c r="PHN3" s="100"/>
      <c r="PHO3" s="102"/>
      <c r="PHQ3" s="101"/>
      <c r="PHR3" s="100"/>
      <c r="PHS3" s="102"/>
      <c r="PHU3" s="101"/>
      <c r="PHV3" s="100"/>
      <c r="PHW3" s="102"/>
      <c r="PHY3" s="101"/>
      <c r="PHZ3" s="100"/>
      <c r="PIA3" s="102"/>
      <c r="PIC3" s="101"/>
      <c r="PID3" s="100"/>
      <c r="PIE3" s="102"/>
      <c r="PIG3" s="101"/>
      <c r="PIH3" s="100"/>
      <c r="PII3" s="102"/>
      <c r="PIK3" s="101"/>
      <c r="PIL3" s="100"/>
      <c r="PIM3" s="102"/>
      <c r="PIO3" s="101"/>
      <c r="PIP3" s="100"/>
      <c r="PIQ3" s="102"/>
      <c r="PIS3" s="101"/>
      <c r="PIT3" s="100"/>
      <c r="PIU3" s="102"/>
      <c r="PIW3" s="101"/>
      <c r="PIX3" s="100"/>
      <c r="PIY3" s="102"/>
      <c r="PJA3" s="101"/>
      <c r="PJB3" s="100"/>
      <c r="PJC3" s="102"/>
      <c r="PJE3" s="101"/>
      <c r="PJF3" s="100"/>
      <c r="PJG3" s="102"/>
      <c r="PJI3" s="101"/>
      <c r="PJJ3" s="100"/>
      <c r="PJK3" s="102"/>
      <c r="PJM3" s="101"/>
      <c r="PJN3" s="100"/>
      <c r="PJO3" s="102"/>
      <c r="PJQ3" s="101"/>
      <c r="PJR3" s="100"/>
      <c r="PJS3" s="102"/>
      <c r="PJU3" s="101"/>
      <c r="PJV3" s="100"/>
      <c r="PJW3" s="102"/>
      <c r="PJY3" s="101"/>
      <c r="PJZ3" s="100"/>
      <c r="PKA3" s="102"/>
      <c r="PKC3" s="101"/>
      <c r="PKD3" s="100"/>
      <c r="PKE3" s="102"/>
      <c r="PKG3" s="101"/>
      <c r="PKH3" s="100"/>
      <c r="PKI3" s="102"/>
      <c r="PKK3" s="101"/>
      <c r="PKL3" s="100"/>
      <c r="PKM3" s="102"/>
      <c r="PKO3" s="101"/>
      <c r="PKP3" s="100"/>
      <c r="PKQ3" s="102"/>
      <c r="PKS3" s="101"/>
      <c r="PKT3" s="100"/>
      <c r="PKU3" s="102"/>
      <c r="PKW3" s="101"/>
      <c r="PKX3" s="100"/>
      <c r="PKY3" s="102"/>
      <c r="PLA3" s="101"/>
      <c r="PLB3" s="100"/>
      <c r="PLC3" s="102"/>
      <c r="PLE3" s="101"/>
      <c r="PLF3" s="100"/>
      <c r="PLG3" s="102"/>
      <c r="PLI3" s="101"/>
      <c r="PLJ3" s="100"/>
      <c r="PLK3" s="102"/>
      <c r="PLM3" s="101"/>
      <c r="PLN3" s="100"/>
      <c r="PLO3" s="102"/>
      <c r="PLQ3" s="101"/>
      <c r="PLR3" s="100"/>
      <c r="PLS3" s="102"/>
      <c r="PLU3" s="101"/>
      <c r="PLV3" s="100"/>
      <c r="PLW3" s="102"/>
      <c r="PLY3" s="101"/>
      <c r="PLZ3" s="100"/>
      <c r="PMA3" s="102"/>
      <c r="PMC3" s="101"/>
      <c r="PMD3" s="100"/>
      <c r="PME3" s="102"/>
      <c r="PMG3" s="101"/>
      <c r="PMH3" s="100"/>
      <c r="PMI3" s="102"/>
      <c r="PMK3" s="101"/>
      <c r="PML3" s="100"/>
      <c r="PMM3" s="102"/>
      <c r="PMO3" s="101"/>
      <c r="PMP3" s="100"/>
      <c r="PMQ3" s="102"/>
      <c r="PMS3" s="101"/>
      <c r="PMT3" s="100"/>
      <c r="PMU3" s="102"/>
      <c r="PMW3" s="101"/>
      <c r="PMX3" s="100"/>
      <c r="PMY3" s="102"/>
      <c r="PNA3" s="101"/>
      <c r="PNB3" s="100"/>
      <c r="PNC3" s="102"/>
      <c r="PNE3" s="101"/>
      <c r="PNF3" s="100"/>
      <c r="PNG3" s="102"/>
      <c r="PNI3" s="101"/>
      <c r="PNJ3" s="100"/>
      <c r="PNK3" s="102"/>
      <c r="PNM3" s="101"/>
      <c r="PNN3" s="100"/>
      <c r="PNO3" s="102"/>
      <c r="PNQ3" s="101"/>
      <c r="PNR3" s="100"/>
      <c r="PNS3" s="102"/>
      <c r="PNU3" s="101"/>
      <c r="PNV3" s="100"/>
      <c r="PNW3" s="102"/>
      <c r="PNY3" s="101"/>
      <c r="PNZ3" s="100"/>
      <c r="POA3" s="102"/>
      <c r="POC3" s="101"/>
      <c r="POD3" s="100"/>
      <c r="POE3" s="102"/>
      <c r="POG3" s="101"/>
      <c r="POH3" s="100"/>
      <c r="POI3" s="102"/>
      <c r="POK3" s="101"/>
      <c r="POL3" s="100"/>
      <c r="POM3" s="102"/>
      <c r="POO3" s="101"/>
      <c r="POP3" s="100"/>
      <c r="POQ3" s="102"/>
      <c r="POS3" s="101"/>
      <c r="POT3" s="100"/>
      <c r="POU3" s="102"/>
      <c r="POW3" s="101"/>
      <c r="POX3" s="100"/>
      <c r="POY3" s="102"/>
      <c r="PPA3" s="101"/>
      <c r="PPB3" s="100"/>
      <c r="PPC3" s="102"/>
      <c r="PPE3" s="101"/>
      <c r="PPF3" s="100"/>
      <c r="PPG3" s="102"/>
      <c r="PPI3" s="101"/>
      <c r="PPJ3" s="100"/>
      <c r="PPK3" s="102"/>
      <c r="PPM3" s="101"/>
      <c r="PPN3" s="100"/>
      <c r="PPO3" s="102"/>
      <c r="PPQ3" s="101"/>
      <c r="PPR3" s="100"/>
      <c r="PPS3" s="102"/>
      <c r="PPU3" s="101"/>
      <c r="PPV3" s="100"/>
      <c r="PPW3" s="102"/>
      <c r="PPY3" s="101"/>
      <c r="PPZ3" s="100"/>
      <c r="PQA3" s="102"/>
      <c r="PQC3" s="101"/>
      <c r="PQD3" s="100"/>
      <c r="PQE3" s="102"/>
      <c r="PQG3" s="101"/>
      <c r="PQH3" s="100"/>
      <c r="PQI3" s="102"/>
      <c r="PQK3" s="101"/>
      <c r="PQL3" s="100"/>
      <c r="PQM3" s="102"/>
      <c r="PQO3" s="101"/>
      <c r="PQP3" s="100"/>
      <c r="PQQ3" s="102"/>
      <c r="PQS3" s="101"/>
      <c r="PQT3" s="100"/>
      <c r="PQU3" s="102"/>
      <c r="PQW3" s="101"/>
      <c r="PQX3" s="100"/>
      <c r="PQY3" s="102"/>
      <c r="PRA3" s="101"/>
      <c r="PRB3" s="100"/>
      <c r="PRC3" s="102"/>
      <c r="PRE3" s="101"/>
      <c r="PRF3" s="100"/>
      <c r="PRG3" s="102"/>
      <c r="PRI3" s="101"/>
      <c r="PRJ3" s="100"/>
      <c r="PRK3" s="102"/>
      <c r="PRM3" s="101"/>
      <c r="PRN3" s="100"/>
      <c r="PRO3" s="102"/>
      <c r="PRQ3" s="101"/>
      <c r="PRR3" s="100"/>
      <c r="PRS3" s="102"/>
      <c r="PRU3" s="101"/>
      <c r="PRV3" s="100"/>
      <c r="PRW3" s="102"/>
      <c r="PRY3" s="101"/>
      <c r="PRZ3" s="100"/>
      <c r="PSA3" s="102"/>
      <c r="PSC3" s="101"/>
      <c r="PSD3" s="100"/>
      <c r="PSE3" s="102"/>
      <c r="PSG3" s="101"/>
      <c r="PSH3" s="100"/>
      <c r="PSI3" s="102"/>
      <c r="PSK3" s="101"/>
      <c r="PSL3" s="100"/>
      <c r="PSM3" s="102"/>
      <c r="PSO3" s="101"/>
      <c r="PSP3" s="100"/>
      <c r="PSQ3" s="102"/>
      <c r="PSS3" s="101"/>
      <c r="PST3" s="100"/>
      <c r="PSU3" s="102"/>
      <c r="PSW3" s="101"/>
      <c r="PSX3" s="100"/>
      <c r="PSY3" s="102"/>
      <c r="PTA3" s="101"/>
      <c r="PTB3" s="100"/>
      <c r="PTC3" s="102"/>
      <c r="PTE3" s="101"/>
      <c r="PTF3" s="100"/>
      <c r="PTG3" s="102"/>
      <c r="PTI3" s="101"/>
      <c r="PTJ3" s="100"/>
      <c r="PTK3" s="102"/>
      <c r="PTM3" s="101"/>
      <c r="PTN3" s="100"/>
      <c r="PTO3" s="102"/>
      <c r="PTQ3" s="101"/>
      <c r="PTR3" s="100"/>
      <c r="PTS3" s="102"/>
      <c r="PTU3" s="101"/>
      <c r="PTV3" s="100"/>
      <c r="PTW3" s="102"/>
      <c r="PTY3" s="101"/>
      <c r="PTZ3" s="100"/>
      <c r="PUA3" s="102"/>
      <c r="PUC3" s="101"/>
      <c r="PUD3" s="100"/>
      <c r="PUE3" s="102"/>
      <c r="PUG3" s="101"/>
      <c r="PUH3" s="100"/>
      <c r="PUI3" s="102"/>
      <c r="PUK3" s="101"/>
      <c r="PUL3" s="100"/>
      <c r="PUM3" s="102"/>
      <c r="PUO3" s="101"/>
      <c r="PUP3" s="100"/>
      <c r="PUQ3" s="102"/>
      <c r="PUS3" s="101"/>
      <c r="PUT3" s="100"/>
      <c r="PUU3" s="102"/>
      <c r="PUW3" s="101"/>
      <c r="PUX3" s="100"/>
      <c r="PUY3" s="102"/>
      <c r="PVA3" s="101"/>
      <c r="PVB3" s="100"/>
      <c r="PVC3" s="102"/>
      <c r="PVE3" s="101"/>
      <c r="PVF3" s="100"/>
      <c r="PVG3" s="102"/>
      <c r="PVI3" s="101"/>
      <c r="PVJ3" s="100"/>
      <c r="PVK3" s="102"/>
      <c r="PVM3" s="101"/>
      <c r="PVN3" s="100"/>
      <c r="PVO3" s="102"/>
      <c r="PVQ3" s="101"/>
      <c r="PVR3" s="100"/>
      <c r="PVS3" s="102"/>
      <c r="PVU3" s="101"/>
      <c r="PVV3" s="100"/>
      <c r="PVW3" s="102"/>
      <c r="PVY3" s="101"/>
      <c r="PVZ3" s="100"/>
      <c r="PWA3" s="102"/>
      <c r="PWC3" s="101"/>
      <c r="PWD3" s="100"/>
      <c r="PWE3" s="102"/>
      <c r="PWG3" s="101"/>
      <c r="PWH3" s="100"/>
      <c r="PWI3" s="102"/>
      <c r="PWK3" s="101"/>
      <c r="PWL3" s="100"/>
      <c r="PWM3" s="102"/>
      <c r="PWO3" s="101"/>
      <c r="PWP3" s="100"/>
      <c r="PWQ3" s="102"/>
      <c r="PWS3" s="101"/>
      <c r="PWT3" s="100"/>
      <c r="PWU3" s="102"/>
      <c r="PWW3" s="101"/>
      <c r="PWX3" s="100"/>
      <c r="PWY3" s="102"/>
      <c r="PXA3" s="101"/>
      <c r="PXB3" s="100"/>
      <c r="PXC3" s="102"/>
      <c r="PXE3" s="101"/>
      <c r="PXF3" s="100"/>
      <c r="PXG3" s="102"/>
      <c r="PXI3" s="101"/>
      <c r="PXJ3" s="100"/>
      <c r="PXK3" s="102"/>
      <c r="PXM3" s="101"/>
      <c r="PXN3" s="100"/>
      <c r="PXO3" s="102"/>
      <c r="PXQ3" s="101"/>
      <c r="PXR3" s="100"/>
      <c r="PXS3" s="102"/>
      <c r="PXU3" s="101"/>
      <c r="PXV3" s="100"/>
      <c r="PXW3" s="102"/>
      <c r="PXY3" s="101"/>
      <c r="PXZ3" s="100"/>
      <c r="PYA3" s="102"/>
      <c r="PYC3" s="101"/>
      <c r="PYD3" s="100"/>
      <c r="PYE3" s="102"/>
      <c r="PYG3" s="101"/>
      <c r="PYH3" s="100"/>
      <c r="PYI3" s="102"/>
      <c r="PYK3" s="101"/>
      <c r="PYL3" s="100"/>
      <c r="PYM3" s="102"/>
      <c r="PYO3" s="101"/>
      <c r="PYP3" s="100"/>
      <c r="PYQ3" s="102"/>
      <c r="PYS3" s="101"/>
      <c r="PYT3" s="100"/>
      <c r="PYU3" s="102"/>
      <c r="PYW3" s="101"/>
      <c r="PYX3" s="100"/>
      <c r="PYY3" s="102"/>
      <c r="PZA3" s="101"/>
      <c r="PZB3" s="100"/>
      <c r="PZC3" s="102"/>
      <c r="PZE3" s="101"/>
      <c r="PZF3" s="100"/>
      <c r="PZG3" s="102"/>
      <c r="PZI3" s="101"/>
      <c r="PZJ3" s="100"/>
      <c r="PZK3" s="102"/>
      <c r="PZM3" s="101"/>
      <c r="PZN3" s="100"/>
      <c r="PZO3" s="102"/>
      <c r="PZQ3" s="101"/>
      <c r="PZR3" s="100"/>
      <c r="PZS3" s="102"/>
      <c r="PZU3" s="101"/>
      <c r="PZV3" s="100"/>
      <c r="PZW3" s="102"/>
      <c r="PZY3" s="101"/>
      <c r="PZZ3" s="100"/>
      <c r="QAA3" s="102"/>
      <c r="QAC3" s="101"/>
      <c r="QAD3" s="100"/>
      <c r="QAE3" s="102"/>
      <c r="QAG3" s="101"/>
      <c r="QAH3" s="100"/>
      <c r="QAI3" s="102"/>
      <c r="QAK3" s="101"/>
      <c r="QAL3" s="100"/>
      <c r="QAM3" s="102"/>
      <c r="QAO3" s="101"/>
      <c r="QAP3" s="100"/>
      <c r="QAQ3" s="102"/>
      <c r="QAS3" s="101"/>
      <c r="QAT3" s="100"/>
      <c r="QAU3" s="102"/>
      <c r="QAW3" s="101"/>
      <c r="QAX3" s="100"/>
      <c r="QAY3" s="102"/>
      <c r="QBA3" s="101"/>
      <c r="QBB3" s="100"/>
      <c r="QBC3" s="102"/>
      <c r="QBE3" s="101"/>
      <c r="QBF3" s="100"/>
      <c r="QBG3" s="102"/>
      <c r="QBI3" s="101"/>
      <c r="QBJ3" s="100"/>
      <c r="QBK3" s="102"/>
      <c r="QBM3" s="101"/>
      <c r="QBN3" s="100"/>
      <c r="QBO3" s="102"/>
      <c r="QBQ3" s="101"/>
      <c r="QBR3" s="100"/>
      <c r="QBS3" s="102"/>
      <c r="QBU3" s="101"/>
      <c r="QBV3" s="100"/>
      <c r="QBW3" s="102"/>
      <c r="QBY3" s="101"/>
      <c r="QBZ3" s="100"/>
      <c r="QCA3" s="102"/>
      <c r="QCC3" s="101"/>
      <c r="QCD3" s="100"/>
      <c r="QCE3" s="102"/>
      <c r="QCG3" s="101"/>
      <c r="QCH3" s="100"/>
      <c r="QCI3" s="102"/>
      <c r="QCK3" s="101"/>
      <c r="QCL3" s="100"/>
      <c r="QCM3" s="102"/>
      <c r="QCO3" s="101"/>
      <c r="QCP3" s="100"/>
      <c r="QCQ3" s="102"/>
      <c r="QCS3" s="101"/>
      <c r="QCT3" s="100"/>
      <c r="QCU3" s="102"/>
      <c r="QCW3" s="101"/>
      <c r="QCX3" s="100"/>
      <c r="QCY3" s="102"/>
      <c r="QDA3" s="101"/>
      <c r="QDB3" s="100"/>
      <c r="QDC3" s="102"/>
      <c r="QDE3" s="101"/>
      <c r="QDF3" s="100"/>
      <c r="QDG3" s="102"/>
      <c r="QDI3" s="101"/>
      <c r="QDJ3" s="100"/>
      <c r="QDK3" s="102"/>
      <c r="QDM3" s="101"/>
      <c r="QDN3" s="100"/>
      <c r="QDO3" s="102"/>
      <c r="QDQ3" s="101"/>
      <c r="QDR3" s="100"/>
      <c r="QDS3" s="102"/>
      <c r="QDU3" s="101"/>
      <c r="QDV3" s="100"/>
      <c r="QDW3" s="102"/>
      <c r="QDY3" s="101"/>
      <c r="QDZ3" s="100"/>
      <c r="QEA3" s="102"/>
      <c r="QEC3" s="101"/>
      <c r="QED3" s="100"/>
      <c r="QEE3" s="102"/>
      <c r="QEG3" s="101"/>
      <c r="QEH3" s="100"/>
      <c r="QEI3" s="102"/>
      <c r="QEK3" s="101"/>
      <c r="QEL3" s="100"/>
      <c r="QEM3" s="102"/>
      <c r="QEO3" s="101"/>
      <c r="QEP3" s="100"/>
      <c r="QEQ3" s="102"/>
      <c r="QES3" s="101"/>
      <c r="QET3" s="100"/>
      <c r="QEU3" s="102"/>
      <c r="QEW3" s="101"/>
      <c r="QEX3" s="100"/>
      <c r="QEY3" s="102"/>
      <c r="QFA3" s="101"/>
      <c r="QFB3" s="100"/>
      <c r="QFC3" s="102"/>
      <c r="QFE3" s="101"/>
      <c r="QFF3" s="100"/>
      <c r="QFG3" s="102"/>
      <c r="QFI3" s="101"/>
      <c r="QFJ3" s="100"/>
      <c r="QFK3" s="102"/>
      <c r="QFM3" s="101"/>
      <c r="QFN3" s="100"/>
      <c r="QFO3" s="102"/>
      <c r="QFQ3" s="101"/>
      <c r="QFR3" s="100"/>
      <c r="QFS3" s="102"/>
      <c r="QFU3" s="101"/>
      <c r="QFV3" s="100"/>
      <c r="QFW3" s="102"/>
      <c r="QFY3" s="101"/>
      <c r="QFZ3" s="100"/>
      <c r="QGA3" s="102"/>
      <c r="QGC3" s="101"/>
      <c r="QGD3" s="100"/>
      <c r="QGE3" s="102"/>
      <c r="QGG3" s="101"/>
      <c r="QGH3" s="100"/>
      <c r="QGI3" s="102"/>
      <c r="QGK3" s="101"/>
      <c r="QGL3" s="100"/>
      <c r="QGM3" s="102"/>
      <c r="QGO3" s="101"/>
      <c r="QGP3" s="100"/>
      <c r="QGQ3" s="102"/>
      <c r="QGS3" s="101"/>
      <c r="QGT3" s="100"/>
      <c r="QGU3" s="102"/>
      <c r="QGW3" s="101"/>
      <c r="QGX3" s="100"/>
      <c r="QGY3" s="102"/>
      <c r="QHA3" s="101"/>
      <c r="QHB3" s="100"/>
      <c r="QHC3" s="102"/>
      <c r="QHE3" s="101"/>
      <c r="QHF3" s="100"/>
      <c r="QHG3" s="102"/>
      <c r="QHI3" s="101"/>
      <c r="QHJ3" s="100"/>
      <c r="QHK3" s="102"/>
      <c r="QHM3" s="101"/>
      <c r="QHN3" s="100"/>
      <c r="QHO3" s="102"/>
      <c r="QHQ3" s="101"/>
      <c r="QHR3" s="100"/>
      <c r="QHS3" s="102"/>
      <c r="QHU3" s="101"/>
      <c r="QHV3" s="100"/>
      <c r="QHW3" s="102"/>
      <c r="QHY3" s="101"/>
      <c r="QHZ3" s="100"/>
      <c r="QIA3" s="102"/>
      <c r="QIC3" s="101"/>
      <c r="QID3" s="100"/>
      <c r="QIE3" s="102"/>
      <c r="QIG3" s="101"/>
      <c r="QIH3" s="100"/>
      <c r="QII3" s="102"/>
      <c r="QIK3" s="101"/>
      <c r="QIL3" s="100"/>
      <c r="QIM3" s="102"/>
      <c r="QIO3" s="101"/>
      <c r="QIP3" s="100"/>
      <c r="QIQ3" s="102"/>
      <c r="QIS3" s="101"/>
      <c r="QIT3" s="100"/>
      <c r="QIU3" s="102"/>
      <c r="QIW3" s="101"/>
      <c r="QIX3" s="100"/>
      <c r="QIY3" s="102"/>
      <c r="QJA3" s="101"/>
      <c r="QJB3" s="100"/>
      <c r="QJC3" s="102"/>
      <c r="QJE3" s="101"/>
      <c r="QJF3" s="100"/>
      <c r="QJG3" s="102"/>
      <c r="QJI3" s="101"/>
      <c r="QJJ3" s="100"/>
      <c r="QJK3" s="102"/>
      <c r="QJM3" s="101"/>
      <c r="QJN3" s="100"/>
      <c r="QJO3" s="102"/>
      <c r="QJQ3" s="101"/>
      <c r="QJR3" s="100"/>
      <c r="QJS3" s="102"/>
      <c r="QJU3" s="101"/>
      <c r="QJV3" s="100"/>
      <c r="QJW3" s="102"/>
      <c r="QJY3" s="101"/>
      <c r="QJZ3" s="100"/>
      <c r="QKA3" s="102"/>
      <c r="QKC3" s="101"/>
      <c r="QKD3" s="100"/>
      <c r="QKE3" s="102"/>
      <c r="QKG3" s="101"/>
      <c r="QKH3" s="100"/>
      <c r="QKI3" s="102"/>
      <c r="QKK3" s="101"/>
      <c r="QKL3" s="100"/>
      <c r="QKM3" s="102"/>
      <c r="QKO3" s="101"/>
      <c r="QKP3" s="100"/>
      <c r="QKQ3" s="102"/>
      <c r="QKS3" s="101"/>
      <c r="QKT3" s="100"/>
      <c r="QKU3" s="102"/>
      <c r="QKW3" s="101"/>
      <c r="QKX3" s="100"/>
      <c r="QKY3" s="102"/>
      <c r="QLA3" s="101"/>
      <c r="QLB3" s="100"/>
      <c r="QLC3" s="102"/>
      <c r="QLE3" s="101"/>
      <c r="QLF3" s="100"/>
      <c r="QLG3" s="102"/>
      <c r="QLI3" s="101"/>
      <c r="QLJ3" s="100"/>
      <c r="QLK3" s="102"/>
      <c r="QLM3" s="101"/>
      <c r="QLN3" s="100"/>
      <c r="QLO3" s="102"/>
      <c r="QLQ3" s="101"/>
      <c r="QLR3" s="100"/>
      <c r="QLS3" s="102"/>
      <c r="QLU3" s="101"/>
      <c r="QLV3" s="100"/>
      <c r="QLW3" s="102"/>
      <c r="QLY3" s="101"/>
      <c r="QLZ3" s="100"/>
      <c r="QMA3" s="102"/>
      <c r="QMC3" s="101"/>
      <c r="QMD3" s="100"/>
      <c r="QME3" s="102"/>
      <c r="QMG3" s="101"/>
      <c r="QMH3" s="100"/>
      <c r="QMI3" s="102"/>
      <c r="QMK3" s="101"/>
      <c r="QML3" s="100"/>
      <c r="QMM3" s="102"/>
      <c r="QMO3" s="101"/>
      <c r="QMP3" s="100"/>
      <c r="QMQ3" s="102"/>
      <c r="QMS3" s="101"/>
      <c r="QMT3" s="100"/>
      <c r="QMU3" s="102"/>
      <c r="QMW3" s="101"/>
      <c r="QMX3" s="100"/>
      <c r="QMY3" s="102"/>
      <c r="QNA3" s="101"/>
      <c r="QNB3" s="100"/>
      <c r="QNC3" s="102"/>
      <c r="QNE3" s="101"/>
      <c r="QNF3" s="100"/>
      <c r="QNG3" s="102"/>
      <c r="QNI3" s="101"/>
      <c r="QNJ3" s="100"/>
      <c r="QNK3" s="102"/>
      <c r="QNM3" s="101"/>
      <c r="QNN3" s="100"/>
      <c r="QNO3" s="102"/>
      <c r="QNQ3" s="101"/>
      <c r="QNR3" s="100"/>
      <c r="QNS3" s="102"/>
      <c r="QNU3" s="101"/>
      <c r="QNV3" s="100"/>
      <c r="QNW3" s="102"/>
      <c r="QNY3" s="101"/>
      <c r="QNZ3" s="100"/>
      <c r="QOA3" s="102"/>
      <c r="QOC3" s="101"/>
      <c r="QOD3" s="100"/>
      <c r="QOE3" s="102"/>
      <c r="QOG3" s="101"/>
      <c r="QOH3" s="100"/>
      <c r="QOI3" s="102"/>
      <c r="QOK3" s="101"/>
      <c r="QOL3" s="100"/>
      <c r="QOM3" s="102"/>
      <c r="QOO3" s="101"/>
      <c r="QOP3" s="100"/>
      <c r="QOQ3" s="102"/>
      <c r="QOS3" s="101"/>
      <c r="QOT3" s="100"/>
      <c r="QOU3" s="102"/>
      <c r="QOW3" s="101"/>
      <c r="QOX3" s="100"/>
      <c r="QOY3" s="102"/>
      <c r="QPA3" s="101"/>
      <c r="QPB3" s="100"/>
      <c r="QPC3" s="102"/>
      <c r="QPE3" s="101"/>
      <c r="QPF3" s="100"/>
      <c r="QPG3" s="102"/>
      <c r="QPI3" s="101"/>
      <c r="QPJ3" s="100"/>
      <c r="QPK3" s="102"/>
      <c r="QPM3" s="101"/>
      <c r="QPN3" s="100"/>
      <c r="QPO3" s="102"/>
      <c r="QPQ3" s="101"/>
      <c r="QPR3" s="100"/>
      <c r="QPS3" s="102"/>
      <c r="QPU3" s="101"/>
      <c r="QPV3" s="100"/>
      <c r="QPW3" s="102"/>
      <c r="QPY3" s="101"/>
      <c r="QPZ3" s="100"/>
      <c r="QQA3" s="102"/>
      <c r="QQC3" s="101"/>
      <c r="QQD3" s="100"/>
      <c r="QQE3" s="102"/>
      <c r="QQG3" s="101"/>
      <c r="QQH3" s="100"/>
      <c r="QQI3" s="102"/>
      <c r="QQK3" s="101"/>
      <c r="QQL3" s="100"/>
      <c r="QQM3" s="102"/>
      <c r="QQO3" s="101"/>
      <c r="QQP3" s="100"/>
      <c r="QQQ3" s="102"/>
      <c r="QQS3" s="101"/>
      <c r="QQT3" s="100"/>
      <c r="QQU3" s="102"/>
      <c r="QQW3" s="101"/>
      <c r="QQX3" s="100"/>
      <c r="QQY3" s="102"/>
      <c r="QRA3" s="101"/>
      <c r="QRB3" s="100"/>
      <c r="QRC3" s="102"/>
      <c r="QRE3" s="101"/>
      <c r="QRF3" s="100"/>
      <c r="QRG3" s="102"/>
      <c r="QRI3" s="101"/>
      <c r="QRJ3" s="100"/>
      <c r="QRK3" s="102"/>
      <c r="QRM3" s="101"/>
      <c r="QRN3" s="100"/>
      <c r="QRO3" s="102"/>
      <c r="QRQ3" s="101"/>
      <c r="QRR3" s="100"/>
      <c r="QRS3" s="102"/>
      <c r="QRU3" s="101"/>
      <c r="QRV3" s="100"/>
      <c r="QRW3" s="102"/>
      <c r="QRY3" s="101"/>
      <c r="QRZ3" s="100"/>
      <c r="QSA3" s="102"/>
      <c r="QSC3" s="101"/>
      <c r="QSD3" s="100"/>
      <c r="QSE3" s="102"/>
      <c r="QSG3" s="101"/>
      <c r="QSH3" s="100"/>
      <c r="QSI3" s="102"/>
      <c r="QSK3" s="101"/>
      <c r="QSL3" s="100"/>
      <c r="QSM3" s="102"/>
      <c r="QSO3" s="101"/>
      <c r="QSP3" s="100"/>
      <c r="QSQ3" s="102"/>
      <c r="QSS3" s="101"/>
      <c r="QST3" s="100"/>
      <c r="QSU3" s="102"/>
      <c r="QSW3" s="101"/>
      <c r="QSX3" s="100"/>
      <c r="QSY3" s="102"/>
      <c r="QTA3" s="101"/>
      <c r="QTB3" s="100"/>
      <c r="QTC3" s="102"/>
      <c r="QTE3" s="101"/>
      <c r="QTF3" s="100"/>
      <c r="QTG3" s="102"/>
      <c r="QTI3" s="101"/>
      <c r="QTJ3" s="100"/>
      <c r="QTK3" s="102"/>
      <c r="QTM3" s="101"/>
      <c r="QTN3" s="100"/>
      <c r="QTO3" s="102"/>
      <c r="QTQ3" s="101"/>
      <c r="QTR3" s="100"/>
      <c r="QTS3" s="102"/>
      <c r="QTU3" s="101"/>
      <c r="QTV3" s="100"/>
      <c r="QTW3" s="102"/>
      <c r="QTY3" s="101"/>
      <c r="QTZ3" s="100"/>
      <c r="QUA3" s="102"/>
      <c r="QUC3" s="101"/>
      <c r="QUD3" s="100"/>
      <c r="QUE3" s="102"/>
      <c r="QUG3" s="101"/>
      <c r="QUH3" s="100"/>
      <c r="QUI3" s="102"/>
      <c r="QUK3" s="101"/>
      <c r="QUL3" s="100"/>
      <c r="QUM3" s="102"/>
      <c r="QUO3" s="101"/>
      <c r="QUP3" s="100"/>
      <c r="QUQ3" s="102"/>
      <c r="QUS3" s="101"/>
      <c r="QUT3" s="100"/>
      <c r="QUU3" s="102"/>
      <c r="QUW3" s="101"/>
      <c r="QUX3" s="100"/>
      <c r="QUY3" s="102"/>
      <c r="QVA3" s="101"/>
      <c r="QVB3" s="100"/>
      <c r="QVC3" s="102"/>
      <c r="QVE3" s="101"/>
      <c r="QVF3" s="100"/>
      <c r="QVG3" s="102"/>
      <c r="QVI3" s="101"/>
      <c r="QVJ3" s="100"/>
      <c r="QVK3" s="102"/>
      <c r="QVM3" s="101"/>
      <c r="QVN3" s="100"/>
      <c r="QVO3" s="102"/>
      <c r="QVQ3" s="101"/>
      <c r="QVR3" s="100"/>
      <c r="QVS3" s="102"/>
      <c r="QVU3" s="101"/>
      <c r="QVV3" s="100"/>
      <c r="QVW3" s="102"/>
      <c r="QVY3" s="101"/>
      <c r="QVZ3" s="100"/>
      <c r="QWA3" s="102"/>
      <c r="QWC3" s="101"/>
      <c r="QWD3" s="100"/>
      <c r="QWE3" s="102"/>
      <c r="QWG3" s="101"/>
      <c r="QWH3" s="100"/>
      <c r="QWI3" s="102"/>
      <c r="QWK3" s="101"/>
      <c r="QWL3" s="100"/>
      <c r="QWM3" s="102"/>
      <c r="QWO3" s="101"/>
      <c r="QWP3" s="100"/>
      <c r="QWQ3" s="102"/>
      <c r="QWS3" s="101"/>
      <c r="QWT3" s="100"/>
      <c r="QWU3" s="102"/>
      <c r="QWW3" s="101"/>
      <c r="QWX3" s="100"/>
      <c r="QWY3" s="102"/>
      <c r="QXA3" s="101"/>
      <c r="QXB3" s="100"/>
      <c r="QXC3" s="102"/>
      <c r="QXE3" s="101"/>
      <c r="QXF3" s="100"/>
      <c r="QXG3" s="102"/>
      <c r="QXI3" s="101"/>
      <c r="QXJ3" s="100"/>
      <c r="QXK3" s="102"/>
      <c r="QXM3" s="101"/>
      <c r="QXN3" s="100"/>
      <c r="QXO3" s="102"/>
      <c r="QXQ3" s="101"/>
      <c r="QXR3" s="100"/>
      <c r="QXS3" s="102"/>
      <c r="QXU3" s="101"/>
      <c r="QXV3" s="100"/>
      <c r="QXW3" s="102"/>
      <c r="QXY3" s="101"/>
      <c r="QXZ3" s="100"/>
      <c r="QYA3" s="102"/>
      <c r="QYC3" s="101"/>
      <c r="QYD3" s="100"/>
      <c r="QYE3" s="102"/>
      <c r="QYG3" s="101"/>
      <c r="QYH3" s="100"/>
      <c r="QYI3" s="102"/>
      <c r="QYK3" s="101"/>
      <c r="QYL3" s="100"/>
      <c r="QYM3" s="102"/>
      <c r="QYO3" s="101"/>
      <c r="QYP3" s="100"/>
      <c r="QYQ3" s="102"/>
      <c r="QYS3" s="101"/>
      <c r="QYT3" s="100"/>
      <c r="QYU3" s="102"/>
      <c r="QYW3" s="101"/>
      <c r="QYX3" s="100"/>
      <c r="QYY3" s="102"/>
      <c r="QZA3" s="101"/>
      <c r="QZB3" s="100"/>
      <c r="QZC3" s="102"/>
      <c r="QZE3" s="101"/>
      <c r="QZF3" s="100"/>
      <c r="QZG3" s="102"/>
      <c r="QZI3" s="101"/>
      <c r="QZJ3" s="100"/>
      <c r="QZK3" s="102"/>
      <c r="QZM3" s="101"/>
      <c r="QZN3" s="100"/>
      <c r="QZO3" s="102"/>
      <c r="QZQ3" s="101"/>
      <c r="QZR3" s="100"/>
      <c r="QZS3" s="102"/>
      <c r="QZU3" s="101"/>
      <c r="QZV3" s="100"/>
      <c r="QZW3" s="102"/>
      <c r="QZY3" s="101"/>
      <c r="QZZ3" s="100"/>
      <c r="RAA3" s="102"/>
      <c r="RAC3" s="101"/>
      <c r="RAD3" s="100"/>
      <c r="RAE3" s="102"/>
      <c r="RAG3" s="101"/>
      <c r="RAH3" s="100"/>
      <c r="RAI3" s="102"/>
      <c r="RAK3" s="101"/>
      <c r="RAL3" s="100"/>
      <c r="RAM3" s="102"/>
      <c r="RAO3" s="101"/>
      <c r="RAP3" s="100"/>
      <c r="RAQ3" s="102"/>
      <c r="RAS3" s="101"/>
      <c r="RAT3" s="100"/>
      <c r="RAU3" s="102"/>
      <c r="RAW3" s="101"/>
      <c r="RAX3" s="100"/>
      <c r="RAY3" s="102"/>
      <c r="RBA3" s="101"/>
      <c r="RBB3" s="100"/>
      <c r="RBC3" s="102"/>
      <c r="RBE3" s="101"/>
      <c r="RBF3" s="100"/>
      <c r="RBG3" s="102"/>
      <c r="RBI3" s="101"/>
      <c r="RBJ3" s="100"/>
      <c r="RBK3" s="102"/>
      <c r="RBM3" s="101"/>
      <c r="RBN3" s="100"/>
      <c r="RBO3" s="102"/>
      <c r="RBQ3" s="101"/>
      <c r="RBR3" s="100"/>
      <c r="RBS3" s="102"/>
      <c r="RBU3" s="101"/>
      <c r="RBV3" s="100"/>
      <c r="RBW3" s="102"/>
      <c r="RBY3" s="101"/>
      <c r="RBZ3" s="100"/>
      <c r="RCA3" s="102"/>
      <c r="RCC3" s="101"/>
      <c r="RCD3" s="100"/>
      <c r="RCE3" s="102"/>
      <c r="RCG3" s="101"/>
      <c r="RCH3" s="100"/>
      <c r="RCI3" s="102"/>
      <c r="RCK3" s="101"/>
      <c r="RCL3" s="100"/>
      <c r="RCM3" s="102"/>
      <c r="RCO3" s="101"/>
      <c r="RCP3" s="100"/>
      <c r="RCQ3" s="102"/>
      <c r="RCS3" s="101"/>
      <c r="RCT3" s="100"/>
      <c r="RCU3" s="102"/>
      <c r="RCW3" s="101"/>
      <c r="RCX3" s="100"/>
      <c r="RCY3" s="102"/>
      <c r="RDA3" s="101"/>
      <c r="RDB3" s="100"/>
      <c r="RDC3" s="102"/>
      <c r="RDE3" s="101"/>
      <c r="RDF3" s="100"/>
      <c r="RDG3" s="102"/>
      <c r="RDI3" s="101"/>
      <c r="RDJ3" s="100"/>
      <c r="RDK3" s="102"/>
      <c r="RDM3" s="101"/>
      <c r="RDN3" s="100"/>
      <c r="RDO3" s="102"/>
      <c r="RDQ3" s="101"/>
      <c r="RDR3" s="100"/>
      <c r="RDS3" s="102"/>
      <c r="RDU3" s="101"/>
      <c r="RDV3" s="100"/>
      <c r="RDW3" s="102"/>
      <c r="RDY3" s="101"/>
      <c r="RDZ3" s="100"/>
      <c r="REA3" s="102"/>
      <c r="REC3" s="101"/>
      <c r="RED3" s="100"/>
      <c r="REE3" s="102"/>
      <c r="REG3" s="101"/>
      <c r="REH3" s="100"/>
      <c r="REI3" s="102"/>
      <c r="REK3" s="101"/>
      <c r="REL3" s="100"/>
      <c r="REM3" s="102"/>
      <c r="REO3" s="101"/>
      <c r="REP3" s="100"/>
      <c r="REQ3" s="102"/>
      <c r="RES3" s="101"/>
      <c r="RET3" s="100"/>
      <c r="REU3" s="102"/>
      <c r="REW3" s="101"/>
      <c r="REX3" s="100"/>
      <c r="REY3" s="102"/>
      <c r="RFA3" s="101"/>
      <c r="RFB3" s="100"/>
      <c r="RFC3" s="102"/>
      <c r="RFE3" s="101"/>
      <c r="RFF3" s="100"/>
      <c r="RFG3" s="102"/>
      <c r="RFI3" s="101"/>
      <c r="RFJ3" s="100"/>
      <c r="RFK3" s="102"/>
      <c r="RFM3" s="101"/>
      <c r="RFN3" s="100"/>
      <c r="RFO3" s="102"/>
      <c r="RFQ3" s="101"/>
      <c r="RFR3" s="100"/>
      <c r="RFS3" s="102"/>
      <c r="RFU3" s="101"/>
      <c r="RFV3" s="100"/>
      <c r="RFW3" s="102"/>
      <c r="RFY3" s="101"/>
      <c r="RFZ3" s="100"/>
      <c r="RGA3" s="102"/>
      <c r="RGC3" s="101"/>
      <c r="RGD3" s="100"/>
      <c r="RGE3" s="102"/>
      <c r="RGG3" s="101"/>
      <c r="RGH3" s="100"/>
      <c r="RGI3" s="102"/>
      <c r="RGK3" s="101"/>
      <c r="RGL3" s="100"/>
      <c r="RGM3" s="102"/>
      <c r="RGO3" s="101"/>
      <c r="RGP3" s="100"/>
      <c r="RGQ3" s="102"/>
      <c r="RGS3" s="101"/>
      <c r="RGT3" s="100"/>
      <c r="RGU3" s="102"/>
      <c r="RGW3" s="101"/>
      <c r="RGX3" s="100"/>
      <c r="RGY3" s="102"/>
      <c r="RHA3" s="101"/>
      <c r="RHB3" s="100"/>
      <c r="RHC3" s="102"/>
      <c r="RHE3" s="101"/>
      <c r="RHF3" s="100"/>
      <c r="RHG3" s="102"/>
      <c r="RHI3" s="101"/>
      <c r="RHJ3" s="100"/>
      <c r="RHK3" s="102"/>
      <c r="RHM3" s="101"/>
      <c r="RHN3" s="100"/>
      <c r="RHO3" s="102"/>
      <c r="RHQ3" s="101"/>
      <c r="RHR3" s="100"/>
      <c r="RHS3" s="102"/>
      <c r="RHU3" s="101"/>
      <c r="RHV3" s="100"/>
      <c r="RHW3" s="102"/>
      <c r="RHY3" s="101"/>
      <c r="RHZ3" s="100"/>
      <c r="RIA3" s="102"/>
      <c r="RIC3" s="101"/>
      <c r="RID3" s="100"/>
      <c r="RIE3" s="102"/>
      <c r="RIG3" s="101"/>
      <c r="RIH3" s="100"/>
      <c r="RII3" s="102"/>
      <c r="RIK3" s="101"/>
      <c r="RIL3" s="100"/>
      <c r="RIM3" s="102"/>
      <c r="RIO3" s="101"/>
      <c r="RIP3" s="100"/>
      <c r="RIQ3" s="102"/>
      <c r="RIS3" s="101"/>
      <c r="RIT3" s="100"/>
      <c r="RIU3" s="102"/>
      <c r="RIW3" s="101"/>
      <c r="RIX3" s="100"/>
      <c r="RIY3" s="102"/>
      <c r="RJA3" s="101"/>
      <c r="RJB3" s="100"/>
      <c r="RJC3" s="102"/>
      <c r="RJE3" s="101"/>
      <c r="RJF3" s="100"/>
      <c r="RJG3" s="102"/>
      <c r="RJI3" s="101"/>
      <c r="RJJ3" s="100"/>
      <c r="RJK3" s="102"/>
      <c r="RJM3" s="101"/>
      <c r="RJN3" s="100"/>
      <c r="RJO3" s="102"/>
      <c r="RJQ3" s="101"/>
      <c r="RJR3" s="100"/>
      <c r="RJS3" s="102"/>
      <c r="RJU3" s="101"/>
      <c r="RJV3" s="100"/>
      <c r="RJW3" s="102"/>
      <c r="RJY3" s="101"/>
      <c r="RJZ3" s="100"/>
      <c r="RKA3" s="102"/>
      <c r="RKC3" s="101"/>
      <c r="RKD3" s="100"/>
      <c r="RKE3" s="102"/>
      <c r="RKG3" s="101"/>
      <c r="RKH3" s="100"/>
      <c r="RKI3" s="102"/>
      <c r="RKK3" s="101"/>
      <c r="RKL3" s="100"/>
      <c r="RKM3" s="102"/>
      <c r="RKO3" s="101"/>
      <c r="RKP3" s="100"/>
      <c r="RKQ3" s="102"/>
      <c r="RKS3" s="101"/>
      <c r="RKT3" s="100"/>
      <c r="RKU3" s="102"/>
      <c r="RKW3" s="101"/>
      <c r="RKX3" s="100"/>
      <c r="RKY3" s="102"/>
      <c r="RLA3" s="101"/>
      <c r="RLB3" s="100"/>
      <c r="RLC3" s="102"/>
      <c r="RLE3" s="101"/>
      <c r="RLF3" s="100"/>
      <c r="RLG3" s="102"/>
      <c r="RLI3" s="101"/>
      <c r="RLJ3" s="100"/>
      <c r="RLK3" s="102"/>
      <c r="RLM3" s="101"/>
      <c r="RLN3" s="100"/>
      <c r="RLO3" s="102"/>
      <c r="RLQ3" s="101"/>
      <c r="RLR3" s="100"/>
      <c r="RLS3" s="102"/>
      <c r="RLU3" s="101"/>
      <c r="RLV3" s="100"/>
      <c r="RLW3" s="102"/>
      <c r="RLY3" s="101"/>
      <c r="RLZ3" s="100"/>
      <c r="RMA3" s="102"/>
      <c r="RMC3" s="101"/>
      <c r="RMD3" s="100"/>
      <c r="RME3" s="102"/>
      <c r="RMG3" s="101"/>
      <c r="RMH3" s="100"/>
      <c r="RMI3" s="102"/>
      <c r="RMK3" s="101"/>
      <c r="RML3" s="100"/>
      <c r="RMM3" s="102"/>
      <c r="RMO3" s="101"/>
      <c r="RMP3" s="100"/>
      <c r="RMQ3" s="102"/>
      <c r="RMS3" s="101"/>
      <c r="RMT3" s="100"/>
      <c r="RMU3" s="102"/>
      <c r="RMW3" s="101"/>
      <c r="RMX3" s="100"/>
      <c r="RMY3" s="102"/>
      <c r="RNA3" s="101"/>
      <c r="RNB3" s="100"/>
      <c r="RNC3" s="102"/>
      <c r="RNE3" s="101"/>
      <c r="RNF3" s="100"/>
      <c r="RNG3" s="102"/>
      <c r="RNI3" s="101"/>
      <c r="RNJ3" s="100"/>
      <c r="RNK3" s="102"/>
      <c r="RNM3" s="101"/>
      <c r="RNN3" s="100"/>
      <c r="RNO3" s="102"/>
      <c r="RNQ3" s="101"/>
      <c r="RNR3" s="100"/>
      <c r="RNS3" s="102"/>
      <c r="RNU3" s="101"/>
      <c r="RNV3" s="100"/>
      <c r="RNW3" s="102"/>
      <c r="RNY3" s="101"/>
      <c r="RNZ3" s="100"/>
      <c r="ROA3" s="102"/>
      <c r="ROC3" s="101"/>
      <c r="ROD3" s="100"/>
      <c r="ROE3" s="102"/>
      <c r="ROG3" s="101"/>
      <c r="ROH3" s="100"/>
      <c r="ROI3" s="102"/>
      <c r="ROK3" s="101"/>
      <c r="ROL3" s="100"/>
      <c r="ROM3" s="102"/>
      <c r="ROO3" s="101"/>
      <c r="ROP3" s="100"/>
      <c r="ROQ3" s="102"/>
      <c r="ROS3" s="101"/>
      <c r="ROT3" s="100"/>
      <c r="ROU3" s="102"/>
      <c r="ROW3" s="101"/>
      <c r="ROX3" s="100"/>
      <c r="ROY3" s="102"/>
      <c r="RPA3" s="101"/>
      <c r="RPB3" s="100"/>
      <c r="RPC3" s="102"/>
      <c r="RPE3" s="101"/>
      <c r="RPF3" s="100"/>
      <c r="RPG3" s="102"/>
      <c r="RPI3" s="101"/>
      <c r="RPJ3" s="100"/>
      <c r="RPK3" s="102"/>
      <c r="RPM3" s="101"/>
      <c r="RPN3" s="100"/>
      <c r="RPO3" s="102"/>
      <c r="RPQ3" s="101"/>
      <c r="RPR3" s="100"/>
      <c r="RPS3" s="102"/>
      <c r="RPU3" s="101"/>
      <c r="RPV3" s="100"/>
      <c r="RPW3" s="102"/>
      <c r="RPY3" s="101"/>
      <c r="RPZ3" s="100"/>
      <c r="RQA3" s="102"/>
      <c r="RQC3" s="101"/>
      <c r="RQD3" s="100"/>
      <c r="RQE3" s="102"/>
      <c r="RQG3" s="101"/>
      <c r="RQH3" s="100"/>
      <c r="RQI3" s="102"/>
      <c r="RQK3" s="101"/>
      <c r="RQL3" s="100"/>
      <c r="RQM3" s="102"/>
      <c r="RQO3" s="101"/>
      <c r="RQP3" s="100"/>
      <c r="RQQ3" s="102"/>
      <c r="RQS3" s="101"/>
      <c r="RQT3" s="100"/>
      <c r="RQU3" s="102"/>
      <c r="RQW3" s="101"/>
      <c r="RQX3" s="100"/>
      <c r="RQY3" s="102"/>
      <c r="RRA3" s="101"/>
      <c r="RRB3" s="100"/>
      <c r="RRC3" s="102"/>
      <c r="RRE3" s="101"/>
      <c r="RRF3" s="100"/>
      <c r="RRG3" s="102"/>
      <c r="RRI3" s="101"/>
      <c r="RRJ3" s="100"/>
      <c r="RRK3" s="102"/>
      <c r="RRM3" s="101"/>
      <c r="RRN3" s="100"/>
      <c r="RRO3" s="102"/>
      <c r="RRQ3" s="101"/>
      <c r="RRR3" s="100"/>
      <c r="RRS3" s="102"/>
      <c r="RRU3" s="101"/>
      <c r="RRV3" s="100"/>
      <c r="RRW3" s="102"/>
      <c r="RRY3" s="101"/>
      <c r="RRZ3" s="100"/>
      <c r="RSA3" s="102"/>
      <c r="RSC3" s="101"/>
      <c r="RSD3" s="100"/>
      <c r="RSE3" s="102"/>
      <c r="RSG3" s="101"/>
      <c r="RSH3" s="100"/>
      <c r="RSI3" s="102"/>
      <c r="RSK3" s="101"/>
      <c r="RSL3" s="100"/>
      <c r="RSM3" s="102"/>
      <c r="RSO3" s="101"/>
      <c r="RSP3" s="100"/>
      <c r="RSQ3" s="102"/>
      <c r="RSS3" s="101"/>
      <c r="RST3" s="100"/>
      <c r="RSU3" s="102"/>
      <c r="RSW3" s="101"/>
      <c r="RSX3" s="100"/>
      <c r="RSY3" s="102"/>
      <c r="RTA3" s="101"/>
      <c r="RTB3" s="100"/>
      <c r="RTC3" s="102"/>
      <c r="RTE3" s="101"/>
      <c r="RTF3" s="100"/>
      <c r="RTG3" s="102"/>
      <c r="RTI3" s="101"/>
      <c r="RTJ3" s="100"/>
      <c r="RTK3" s="102"/>
      <c r="RTM3" s="101"/>
      <c r="RTN3" s="100"/>
      <c r="RTO3" s="102"/>
      <c r="RTQ3" s="101"/>
      <c r="RTR3" s="100"/>
      <c r="RTS3" s="102"/>
      <c r="RTU3" s="101"/>
      <c r="RTV3" s="100"/>
      <c r="RTW3" s="102"/>
      <c r="RTY3" s="101"/>
      <c r="RTZ3" s="100"/>
      <c r="RUA3" s="102"/>
      <c r="RUC3" s="101"/>
      <c r="RUD3" s="100"/>
      <c r="RUE3" s="102"/>
      <c r="RUG3" s="101"/>
      <c r="RUH3" s="100"/>
      <c r="RUI3" s="102"/>
      <c r="RUK3" s="101"/>
      <c r="RUL3" s="100"/>
      <c r="RUM3" s="102"/>
      <c r="RUO3" s="101"/>
      <c r="RUP3" s="100"/>
      <c r="RUQ3" s="102"/>
      <c r="RUS3" s="101"/>
      <c r="RUT3" s="100"/>
      <c r="RUU3" s="102"/>
      <c r="RUW3" s="101"/>
      <c r="RUX3" s="100"/>
      <c r="RUY3" s="102"/>
      <c r="RVA3" s="101"/>
      <c r="RVB3" s="100"/>
      <c r="RVC3" s="102"/>
      <c r="RVE3" s="101"/>
      <c r="RVF3" s="100"/>
      <c r="RVG3" s="102"/>
      <c r="RVI3" s="101"/>
      <c r="RVJ3" s="100"/>
      <c r="RVK3" s="102"/>
      <c r="RVM3" s="101"/>
      <c r="RVN3" s="100"/>
      <c r="RVO3" s="102"/>
      <c r="RVQ3" s="101"/>
      <c r="RVR3" s="100"/>
      <c r="RVS3" s="102"/>
      <c r="RVU3" s="101"/>
      <c r="RVV3" s="100"/>
      <c r="RVW3" s="102"/>
      <c r="RVY3" s="101"/>
      <c r="RVZ3" s="100"/>
      <c r="RWA3" s="102"/>
      <c r="RWC3" s="101"/>
      <c r="RWD3" s="100"/>
      <c r="RWE3" s="102"/>
      <c r="RWG3" s="101"/>
      <c r="RWH3" s="100"/>
      <c r="RWI3" s="102"/>
      <c r="RWK3" s="101"/>
      <c r="RWL3" s="100"/>
      <c r="RWM3" s="102"/>
      <c r="RWO3" s="101"/>
      <c r="RWP3" s="100"/>
      <c r="RWQ3" s="102"/>
      <c r="RWS3" s="101"/>
      <c r="RWT3" s="100"/>
      <c r="RWU3" s="102"/>
      <c r="RWW3" s="101"/>
      <c r="RWX3" s="100"/>
      <c r="RWY3" s="102"/>
      <c r="RXA3" s="101"/>
      <c r="RXB3" s="100"/>
      <c r="RXC3" s="102"/>
      <c r="RXE3" s="101"/>
      <c r="RXF3" s="100"/>
      <c r="RXG3" s="102"/>
      <c r="RXI3" s="101"/>
      <c r="RXJ3" s="100"/>
      <c r="RXK3" s="102"/>
      <c r="RXM3" s="101"/>
      <c r="RXN3" s="100"/>
      <c r="RXO3" s="102"/>
      <c r="RXQ3" s="101"/>
      <c r="RXR3" s="100"/>
      <c r="RXS3" s="102"/>
      <c r="RXU3" s="101"/>
      <c r="RXV3" s="100"/>
      <c r="RXW3" s="102"/>
      <c r="RXY3" s="101"/>
      <c r="RXZ3" s="100"/>
      <c r="RYA3" s="102"/>
      <c r="RYC3" s="101"/>
      <c r="RYD3" s="100"/>
      <c r="RYE3" s="102"/>
      <c r="RYG3" s="101"/>
      <c r="RYH3" s="100"/>
      <c r="RYI3" s="102"/>
      <c r="RYK3" s="101"/>
      <c r="RYL3" s="100"/>
      <c r="RYM3" s="102"/>
      <c r="RYO3" s="101"/>
      <c r="RYP3" s="100"/>
      <c r="RYQ3" s="102"/>
      <c r="RYS3" s="101"/>
      <c r="RYT3" s="100"/>
      <c r="RYU3" s="102"/>
      <c r="RYW3" s="101"/>
      <c r="RYX3" s="100"/>
      <c r="RYY3" s="102"/>
      <c r="RZA3" s="101"/>
      <c r="RZB3" s="100"/>
      <c r="RZC3" s="102"/>
      <c r="RZE3" s="101"/>
      <c r="RZF3" s="100"/>
      <c r="RZG3" s="102"/>
      <c r="RZI3" s="101"/>
      <c r="RZJ3" s="100"/>
      <c r="RZK3" s="102"/>
      <c r="RZM3" s="101"/>
      <c r="RZN3" s="100"/>
      <c r="RZO3" s="102"/>
      <c r="RZQ3" s="101"/>
      <c r="RZR3" s="100"/>
      <c r="RZS3" s="102"/>
      <c r="RZU3" s="101"/>
      <c r="RZV3" s="100"/>
      <c r="RZW3" s="102"/>
      <c r="RZY3" s="101"/>
      <c r="RZZ3" s="100"/>
      <c r="SAA3" s="102"/>
      <c r="SAC3" s="101"/>
      <c r="SAD3" s="100"/>
      <c r="SAE3" s="102"/>
      <c r="SAG3" s="101"/>
      <c r="SAH3" s="100"/>
      <c r="SAI3" s="102"/>
      <c r="SAK3" s="101"/>
      <c r="SAL3" s="100"/>
      <c r="SAM3" s="102"/>
      <c r="SAO3" s="101"/>
      <c r="SAP3" s="100"/>
      <c r="SAQ3" s="102"/>
      <c r="SAS3" s="101"/>
      <c r="SAT3" s="100"/>
      <c r="SAU3" s="102"/>
      <c r="SAW3" s="101"/>
      <c r="SAX3" s="100"/>
      <c r="SAY3" s="102"/>
      <c r="SBA3" s="101"/>
      <c r="SBB3" s="100"/>
      <c r="SBC3" s="102"/>
      <c r="SBE3" s="101"/>
      <c r="SBF3" s="100"/>
      <c r="SBG3" s="102"/>
      <c r="SBI3" s="101"/>
      <c r="SBJ3" s="100"/>
      <c r="SBK3" s="102"/>
      <c r="SBM3" s="101"/>
      <c r="SBN3" s="100"/>
      <c r="SBO3" s="102"/>
      <c r="SBQ3" s="101"/>
      <c r="SBR3" s="100"/>
      <c r="SBS3" s="102"/>
      <c r="SBU3" s="101"/>
      <c r="SBV3" s="100"/>
      <c r="SBW3" s="102"/>
      <c r="SBY3" s="101"/>
      <c r="SBZ3" s="100"/>
      <c r="SCA3" s="102"/>
      <c r="SCC3" s="101"/>
      <c r="SCD3" s="100"/>
      <c r="SCE3" s="102"/>
      <c r="SCG3" s="101"/>
      <c r="SCH3" s="100"/>
      <c r="SCI3" s="102"/>
      <c r="SCK3" s="101"/>
      <c r="SCL3" s="100"/>
      <c r="SCM3" s="102"/>
      <c r="SCO3" s="101"/>
      <c r="SCP3" s="100"/>
      <c r="SCQ3" s="102"/>
      <c r="SCS3" s="101"/>
      <c r="SCT3" s="100"/>
      <c r="SCU3" s="102"/>
      <c r="SCW3" s="101"/>
      <c r="SCX3" s="100"/>
      <c r="SCY3" s="102"/>
      <c r="SDA3" s="101"/>
      <c r="SDB3" s="100"/>
      <c r="SDC3" s="102"/>
      <c r="SDE3" s="101"/>
      <c r="SDF3" s="100"/>
      <c r="SDG3" s="102"/>
      <c r="SDI3" s="101"/>
      <c r="SDJ3" s="100"/>
      <c r="SDK3" s="102"/>
      <c r="SDM3" s="101"/>
      <c r="SDN3" s="100"/>
      <c r="SDO3" s="102"/>
      <c r="SDQ3" s="101"/>
      <c r="SDR3" s="100"/>
      <c r="SDS3" s="102"/>
      <c r="SDU3" s="101"/>
      <c r="SDV3" s="100"/>
      <c r="SDW3" s="102"/>
      <c r="SDY3" s="101"/>
      <c r="SDZ3" s="100"/>
      <c r="SEA3" s="102"/>
      <c r="SEC3" s="101"/>
      <c r="SED3" s="100"/>
      <c r="SEE3" s="102"/>
      <c r="SEG3" s="101"/>
      <c r="SEH3" s="100"/>
      <c r="SEI3" s="102"/>
      <c r="SEK3" s="101"/>
      <c r="SEL3" s="100"/>
      <c r="SEM3" s="102"/>
      <c r="SEO3" s="101"/>
      <c r="SEP3" s="100"/>
      <c r="SEQ3" s="102"/>
      <c r="SES3" s="101"/>
      <c r="SET3" s="100"/>
      <c r="SEU3" s="102"/>
      <c r="SEW3" s="101"/>
      <c r="SEX3" s="100"/>
      <c r="SEY3" s="102"/>
      <c r="SFA3" s="101"/>
      <c r="SFB3" s="100"/>
      <c r="SFC3" s="102"/>
      <c r="SFE3" s="101"/>
      <c r="SFF3" s="100"/>
      <c r="SFG3" s="102"/>
      <c r="SFI3" s="101"/>
      <c r="SFJ3" s="100"/>
      <c r="SFK3" s="102"/>
      <c r="SFM3" s="101"/>
      <c r="SFN3" s="100"/>
      <c r="SFO3" s="102"/>
      <c r="SFQ3" s="101"/>
      <c r="SFR3" s="100"/>
      <c r="SFS3" s="102"/>
      <c r="SFU3" s="101"/>
      <c r="SFV3" s="100"/>
      <c r="SFW3" s="102"/>
      <c r="SFY3" s="101"/>
      <c r="SFZ3" s="100"/>
      <c r="SGA3" s="102"/>
      <c r="SGC3" s="101"/>
      <c r="SGD3" s="100"/>
      <c r="SGE3" s="102"/>
      <c r="SGG3" s="101"/>
      <c r="SGH3" s="100"/>
      <c r="SGI3" s="102"/>
      <c r="SGK3" s="101"/>
      <c r="SGL3" s="100"/>
      <c r="SGM3" s="102"/>
      <c r="SGO3" s="101"/>
      <c r="SGP3" s="100"/>
      <c r="SGQ3" s="102"/>
      <c r="SGS3" s="101"/>
      <c r="SGT3" s="100"/>
      <c r="SGU3" s="102"/>
      <c r="SGW3" s="101"/>
      <c r="SGX3" s="100"/>
      <c r="SGY3" s="102"/>
      <c r="SHA3" s="101"/>
      <c r="SHB3" s="100"/>
      <c r="SHC3" s="102"/>
      <c r="SHE3" s="101"/>
      <c r="SHF3" s="100"/>
      <c r="SHG3" s="102"/>
      <c r="SHI3" s="101"/>
      <c r="SHJ3" s="100"/>
      <c r="SHK3" s="102"/>
      <c r="SHM3" s="101"/>
      <c r="SHN3" s="100"/>
      <c r="SHO3" s="102"/>
      <c r="SHQ3" s="101"/>
      <c r="SHR3" s="100"/>
      <c r="SHS3" s="102"/>
      <c r="SHU3" s="101"/>
      <c r="SHV3" s="100"/>
      <c r="SHW3" s="102"/>
      <c r="SHY3" s="101"/>
      <c r="SHZ3" s="100"/>
      <c r="SIA3" s="102"/>
      <c r="SIC3" s="101"/>
      <c r="SID3" s="100"/>
      <c r="SIE3" s="102"/>
      <c r="SIG3" s="101"/>
      <c r="SIH3" s="100"/>
      <c r="SII3" s="102"/>
      <c r="SIK3" s="101"/>
      <c r="SIL3" s="100"/>
      <c r="SIM3" s="102"/>
      <c r="SIO3" s="101"/>
      <c r="SIP3" s="100"/>
      <c r="SIQ3" s="102"/>
      <c r="SIS3" s="101"/>
      <c r="SIT3" s="100"/>
      <c r="SIU3" s="102"/>
      <c r="SIW3" s="101"/>
      <c r="SIX3" s="100"/>
      <c r="SIY3" s="102"/>
      <c r="SJA3" s="101"/>
      <c r="SJB3" s="100"/>
      <c r="SJC3" s="102"/>
      <c r="SJE3" s="101"/>
      <c r="SJF3" s="100"/>
      <c r="SJG3" s="102"/>
      <c r="SJI3" s="101"/>
      <c r="SJJ3" s="100"/>
      <c r="SJK3" s="102"/>
      <c r="SJM3" s="101"/>
      <c r="SJN3" s="100"/>
      <c r="SJO3" s="102"/>
      <c r="SJQ3" s="101"/>
      <c r="SJR3" s="100"/>
      <c r="SJS3" s="102"/>
      <c r="SJU3" s="101"/>
      <c r="SJV3" s="100"/>
      <c r="SJW3" s="102"/>
      <c r="SJY3" s="101"/>
      <c r="SJZ3" s="100"/>
      <c r="SKA3" s="102"/>
      <c r="SKC3" s="101"/>
      <c r="SKD3" s="100"/>
      <c r="SKE3" s="102"/>
      <c r="SKG3" s="101"/>
      <c r="SKH3" s="100"/>
      <c r="SKI3" s="102"/>
      <c r="SKK3" s="101"/>
      <c r="SKL3" s="100"/>
      <c r="SKM3" s="102"/>
      <c r="SKO3" s="101"/>
      <c r="SKP3" s="100"/>
      <c r="SKQ3" s="102"/>
      <c r="SKS3" s="101"/>
      <c r="SKT3" s="100"/>
      <c r="SKU3" s="102"/>
      <c r="SKW3" s="101"/>
      <c r="SKX3" s="100"/>
      <c r="SKY3" s="102"/>
      <c r="SLA3" s="101"/>
      <c r="SLB3" s="100"/>
      <c r="SLC3" s="102"/>
      <c r="SLE3" s="101"/>
      <c r="SLF3" s="100"/>
      <c r="SLG3" s="102"/>
      <c r="SLI3" s="101"/>
      <c r="SLJ3" s="100"/>
      <c r="SLK3" s="102"/>
      <c r="SLM3" s="101"/>
      <c r="SLN3" s="100"/>
      <c r="SLO3" s="102"/>
      <c r="SLQ3" s="101"/>
      <c r="SLR3" s="100"/>
      <c r="SLS3" s="102"/>
      <c r="SLU3" s="101"/>
      <c r="SLV3" s="100"/>
      <c r="SLW3" s="102"/>
      <c r="SLY3" s="101"/>
      <c r="SLZ3" s="100"/>
      <c r="SMA3" s="102"/>
      <c r="SMC3" s="101"/>
      <c r="SMD3" s="100"/>
      <c r="SME3" s="102"/>
      <c r="SMG3" s="101"/>
      <c r="SMH3" s="100"/>
      <c r="SMI3" s="102"/>
      <c r="SMK3" s="101"/>
      <c r="SML3" s="100"/>
      <c r="SMM3" s="102"/>
      <c r="SMO3" s="101"/>
      <c r="SMP3" s="100"/>
      <c r="SMQ3" s="102"/>
      <c r="SMS3" s="101"/>
      <c r="SMT3" s="100"/>
      <c r="SMU3" s="102"/>
      <c r="SMW3" s="101"/>
      <c r="SMX3" s="100"/>
      <c r="SMY3" s="102"/>
      <c r="SNA3" s="101"/>
      <c r="SNB3" s="100"/>
      <c r="SNC3" s="102"/>
      <c r="SNE3" s="101"/>
      <c r="SNF3" s="100"/>
      <c r="SNG3" s="102"/>
      <c r="SNI3" s="101"/>
      <c r="SNJ3" s="100"/>
      <c r="SNK3" s="102"/>
      <c r="SNM3" s="101"/>
      <c r="SNN3" s="100"/>
      <c r="SNO3" s="102"/>
      <c r="SNQ3" s="101"/>
      <c r="SNR3" s="100"/>
      <c r="SNS3" s="102"/>
      <c r="SNU3" s="101"/>
      <c r="SNV3" s="100"/>
      <c r="SNW3" s="102"/>
      <c r="SNY3" s="101"/>
      <c r="SNZ3" s="100"/>
      <c r="SOA3" s="102"/>
      <c r="SOC3" s="101"/>
      <c r="SOD3" s="100"/>
      <c r="SOE3" s="102"/>
      <c r="SOG3" s="101"/>
      <c r="SOH3" s="100"/>
      <c r="SOI3" s="102"/>
      <c r="SOK3" s="101"/>
      <c r="SOL3" s="100"/>
      <c r="SOM3" s="102"/>
      <c r="SOO3" s="101"/>
      <c r="SOP3" s="100"/>
      <c r="SOQ3" s="102"/>
      <c r="SOS3" s="101"/>
      <c r="SOT3" s="100"/>
      <c r="SOU3" s="102"/>
      <c r="SOW3" s="101"/>
      <c r="SOX3" s="100"/>
      <c r="SOY3" s="102"/>
      <c r="SPA3" s="101"/>
      <c r="SPB3" s="100"/>
      <c r="SPC3" s="102"/>
      <c r="SPE3" s="101"/>
      <c r="SPF3" s="100"/>
      <c r="SPG3" s="102"/>
      <c r="SPI3" s="101"/>
      <c r="SPJ3" s="100"/>
      <c r="SPK3" s="102"/>
      <c r="SPM3" s="101"/>
      <c r="SPN3" s="100"/>
      <c r="SPO3" s="102"/>
      <c r="SPQ3" s="101"/>
      <c r="SPR3" s="100"/>
      <c r="SPS3" s="102"/>
      <c r="SPU3" s="101"/>
      <c r="SPV3" s="100"/>
      <c r="SPW3" s="102"/>
      <c r="SPY3" s="101"/>
      <c r="SPZ3" s="100"/>
      <c r="SQA3" s="102"/>
      <c r="SQC3" s="101"/>
      <c r="SQD3" s="100"/>
      <c r="SQE3" s="102"/>
      <c r="SQG3" s="101"/>
      <c r="SQH3" s="100"/>
      <c r="SQI3" s="102"/>
      <c r="SQK3" s="101"/>
      <c r="SQL3" s="100"/>
      <c r="SQM3" s="102"/>
      <c r="SQO3" s="101"/>
      <c r="SQP3" s="100"/>
      <c r="SQQ3" s="102"/>
      <c r="SQS3" s="101"/>
      <c r="SQT3" s="100"/>
      <c r="SQU3" s="102"/>
      <c r="SQW3" s="101"/>
      <c r="SQX3" s="100"/>
      <c r="SQY3" s="102"/>
      <c r="SRA3" s="101"/>
      <c r="SRB3" s="100"/>
      <c r="SRC3" s="102"/>
      <c r="SRE3" s="101"/>
      <c r="SRF3" s="100"/>
      <c r="SRG3" s="102"/>
      <c r="SRI3" s="101"/>
      <c r="SRJ3" s="100"/>
      <c r="SRK3" s="102"/>
      <c r="SRM3" s="101"/>
      <c r="SRN3" s="100"/>
      <c r="SRO3" s="102"/>
      <c r="SRQ3" s="101"/>
      <c r="SRR3" s="100"/>
      <c r="SRS3" s="102"/>
      <c r="SRU3" s="101"/>
      <c r="SRV3" s="100"/>
      <c r="SRW3" s="102"/>
      <c r="SRY3" s="101"/>
      <c r="SRZ3" s="100"/>
      <c r="SSA3" s="102"/>
      <c r="SSC3" s="101"/>
      <c r="SSD3" s="100"/>
      <c r="SSE3" s="102"/>
      <c r="SSG3" s="101"/>
      <c r="SSH3" s="100"/>
      <c r="SSI3" s="102"/>
      <c r="SSK3" s="101"/>
      <c r="SSL3" s="100"/>
      <c r="SSM3" s="102"/>
      <c r="SSO3" s="101"/>
      <c r="SSP3" s="100"/>
      <c r="SSQ3" s="102"/>
      <c r="SSS3" s="101"/>
      <c r="SST3" s="100"/>
      <c r="SSU3" s="102"/>
      <c r="SSW3" s="101"/>
      <c r="SSX3" s="100"/>
      <c r="SSY3" s="102"/>
      <c r="STA3" s="101"/>
      <c r="STB3" s="100"/>
      <c r="STC3" s="102"/>
      <c r="STE3" s="101"/>
      <c r="STF3" s="100"/>
      <c r="STG3" s="102"/>
      <c r="STI3" s="101"/>
      <c r="STJ3" s="100"/>
      <c r="STK3" s="102"/>
      <c r="STM3" s="101"/>
      <c r="STN3" s="100"/>
      <c r="STO3" s="102"/>
      <c r="STQ3" s="101"/>
      <c r="STR3" s="100"/>
      <c r="STS3" s="102"/>
      <c r="STU3" s="101"/>
      <c r="STV3" s="100"/>
      <c r="STW3" s="102"/>
      <c r="STY3" s="101"/>
      <c r="STZ3" s="100"/>
      <c r="SUA3" s="102"/>
      <c r="SUC3" s="101"/>
      <c r="SUD3" s="100"/>
      <c r="SUE3" s="102"/>
      <c r="SUG3" s="101"/>
      <c r="SUH3" s="100"/>
      <c r="SUI3" s="102"/>
      <c r="SUK3" s="101"/>
      <c r="SUL3" s="100"/>
      <c r="SUM3" s="102"/>
      <c r="SUO3" s="101"/>
      <c r="SUP3" s="100"/>
      <c r="SUQ3" s="102"/>
      <c r="SUS3" s="101"/>
      <c r="SUT3" s="100"/>
      <c r="SUU3" s="102"/>
      <c r="SUW3" s="101"/>
      <c r="SUX3" s="100"/>
      <c r="SUY3" s="102"/>
      <c r="SVA3" s="101"/>
      <c r="SVB3" s="100"/>
      <c r="SVC3" s="102"/>
      <c r="SVE3" s="101"/>
      <c r="SVF3" s="100"/>
      <c r="SVG3" s="102"/>
      <c r="SVI3" s="101"/>
      <c r="SVJ3" s="100"/>
      <c r="SVK3" s="102"/>
      <c r="SVM3" s="101"/>
      <c r="SVN3" s="100"/>
      <c r="SVO3" s="102"/>
      <c r="SVQ3" s="101"/>
      <c r="SVR3" s="100"/>
      <c r="SVS3" s="102"/>
      <c r="SVU3" s="101"/>
      <c r="SVV3" s="100"/>
      <c r="SVW3" s="102"/>
      <c r="SVY3" s="101"/>
      <c r="SVZ3" s="100"/>
      <c r="SWA3" s="102"/>
      <c r="SWC3" s="101"/>
      <c r="SWD3" s="100"/>
      <c r="SWE3" s="102"/>
      <c r="SWG3" s="101"/>
      <c r="SWH3" s="100"/>
      <c r="SWI3" s="102"/>
      <c r="SWK3" s="101"/>
      <c r="SWL3" s="100"/>
      <c r="SWM3" s="102"/>
      <c r="SWO3" s="101"/>
      <c r="SWP3" s="100"/>
      <c r="SWQ3" s="102"/>
      <c r="SWS3" s="101"/>
      <c r="SWT3" s="100"/>
      <c r="SWU3" s="102"/>
      <c r="SWW3" s="101"/>
      <c r="SWX3" s="100"/>
      <c r="SWY3" s="102"/>
      <c r="SXA3" s="101"/>
      <c r="SXB3" s="100"/>
      <c r="SXC3" s="102"/>
      <c r="SXE3" s="101"/>
      <c r="SXF3" s="100"/>
      <c r="SXG3" s="102"/>
      <c r="SXI3" s="101"/>
      <c r="SXJ3" s="100"/>
      <c r="SXK3" s="102"/>
      <c r="SXM3" s="101"/>
      <c r="SXN3" s="100"/>
      <c r="SXO3" s="102"/>
      <c r="SXQ3" s="101"/>
      <c r="SXR3" s="100"/>
      <c r="SXS3" s="102"/>
      <c r="SXU3" s="101"/>
      <c r="SXV3" s="100"/>
      <c r="SXW3" s="102"/>
      <c r="SXY3" s="101"/>
      <c r="SXZ3" s="100"/>
      <c r="SYA3" s="102"/>
      <c r="SYC3" s="101"/>
      <c r="SYD3" s="100"/>
      <c r="SYE3" s="102"/>
      <c r="SYG3" s="101"/>
      <c r="SYH3" s="100"/>
      <c r="SYI3" s="102"/>
      <c r="SYK3" s="101"/>
      <c r="SYL3" s="100"/>
      <c r="SYM3" s="102"/>
      <c r="SYO3" s="101"/>
      <c r="SYP3" s="100"/>
      <c r="SYQ3" s="102"/>
      <c r="SYS3" s="101"/>
      <c r="SYT3" s="100"/>
      <c r="SYU3" s="102"/>
      <c r="SYW3" s="101"/>
      <c r="SYX3" s="100"/>
      <c r="SYY3" s="102"/>
      <c r="SZA3" s="101"/>
      <c r="SZB3" s="100"/>
      <c r="SZC3" s="102"/>
      <c r="SZE3" s="101"/>
      <c r="SZF3" s="100"/>
      <c r="SZG3" s="102"/>
      <c r="SZI3" s="101"/>
      <c r="SZJ3" s="100"/>
      <c r="SZK3" s="102"/>
      <c r="SZM3" s="101"/>
      <c r="SZN3" s="100"/>
      <c r="SZO3" s="102"/>
      <c r="SZQ3" s="101"/>
      <c r="SZR3" s="100"/>
      <c r="SZS3" s="102"/>
      <c r="SZU3" s="101"/>
      <c r="SZV3" s="100"/>
      <c r="SZW3" s="102"/>
      <c r="SZY3" s="101"/>
      <c r="SZZ3" s="100"/>
      <c r="TAA3" s="102"/>
      <c r="TAC3" s="101"/>
      <c r="TAD3" s="100"/>
      <c r="TAE3" s="102"/>
      <c r="TAG3" s="101"/>
      <c r="TAH3" s="100"/>
      <c r="TAI3" s="102"/>
      <c r="TAK3" s="101"/>
      <c r="TAL3" s="100"/>
      <c r="TAM3" s="102"/>
      <c r="TAO3" s="101"/>
      <c r="TAP3" s="100"/>
      <c r="TAQ3" s="102"/>
      <c r="TAS3" s="101"/>
      <c r="TAT3" s="100"/>
      <c r="TAU3" s="102"/>
      <c r="TAW3" s="101"/>
      <c r="TAX3" s="100"/>
      <c r="TAY3" s="102"/>
      <c r="TBA3" s="101"/>
      <c r="TBB3" s="100"/>
      <c r="TBC3" s="102"/>
      <c r="TBE3" s="101"/>
      <c r="TBF3" s="100"/>
      <c r="TBG3" s="102"/>
      <c r="TBI3" s="101"/>
      <c r="TBJ3" s="100"/>
      <c r="TBK3" s="102"/>
      <c r="TBM3" s="101"/>
      <c r="TBN3" s="100"/>
      <c r="TBO3" s="102"/>
      <c r="TBQ3" s="101"/>
      <c r="TBR3" s="100"/>
      <c r="TBS3" s="102"/>
      <c r="TBU3" s="101"/>
      <c r="TBV3" s="100"/>
      <c r="TBW3" s="102"/>
      <c r="TBY3" s="101"/>
      <c r="TBZ3" s="100"/>
      <c r="TCA3" s="102"/>
      <c r="TCC3" s="101"/>
      <c r="TCD3" s="100"/>
      <c r="TCE3" s="102"/>
      <c r="TCG3" s="101"/>
      <c r="TCH3" s="100"/>
      <c r="TCI3" s="102"/>
      <c r="TCK3" s="101"/>
      <c r="TCL3" s="100"/>
      <c r="TCM3" s="102"/>
      <c r="TCO3" s="101"/>
      <c r="TCP3" s="100"/>
      <c r="TCQ3" s="102"/>
      <c r="TCS3" s="101"/>
      <c r="TCT3" s="100"/>
      <c r="TCU3" s="102"/>
      <c r="TCW3" s="101"/>
      <c r="TCX3" s="100"/>
      <c r="TCY3" s="102"/>
      <c r="TDA3" s="101"/>
      <c r="TDB3" s="100"/>
      <c r="TDC3" s="102"/>
      <c r="TDE3" s="101"/>
      <c r="TDF3" s="100"/>
      <c r="TDG3" s="102"/>
      <c r="TDI3" s="101"/>
      <c r="TDJ3" s="100"/>
      <c r="TDK3" s="102"/>
      <c r="TDM3" s="101"/>
      <c r="TDN3" s="100"/>
      <c r="TDO3" s="102"/>
      <c r="TDQ3" s="101"/>
      <c r="TDR3" s="100"/>
      <c r="TDS3" s="102"/>
      <c r="TDU3" s="101"/>
      <c r="TDV3" s="100"/>
      <c r="TDW3" s="102"/>
      <c r="TDY3" s="101"/>
      <c r="TDZ3" s="100"/>
      <c r="TEA3" s="102"/>
      <c r="TEC3" s="101"/>
      <c r="TED3" s="100"/>
      <c r="TEE3" s="102"/>
      <c r="TEG3" s="101"/>
      <c r="TEH3" s="100"/>
      <c r="TEI3" s="102"/>
      <c r="TEK3" s="101"/>
      <c r="TEL3" s="100"/>
      <c r="TEM3" s="102"/>
      <c r="TEO3" s="101"/>
      <c r="TEP3" s="100"/>
      <c r="TEQ3" s="102"/>
      <c r="TES3" s="101"/>
      <c r="TET3" s="100"/>
      <c r="TEU3" s="102"/>
      <c r="TEW3" s="101"/>
      <c r="TEX3" s="100"/>
      <c r="TEY3" s="102"/>
      <c r="TFA3" s="101"/>
      <c r="TFB3" s="100"/>
      <c r="TFC3" s="102"/>
      <c r="TFE3" s="101"/>
      <c r="TFF3" s="100"/>
      <c r="TFG3" s="102"/>
      <c r="TFI3" s="101"/>
      <c r="TFJ3" s="100"/>
      <c r="TFK3" s="102"/>
      <c r="TFM3" s="101"/>
      <c r="TFN3" s="100"/>
      <c r="TFO3" s="102"/>
      <c r="TFQ3" s="101"/>
      <c r="TFR3" s="100"/>
      <c r="TFS3" s="102"/>
      <c r="TFU3" s="101"/>
      <c r="TFV3" s="100"/>
      <c r="TFW3" s="102"/>
      <c r="TFY3" s="101"/>
      <c r="TFZ3" s="100"/>
      <c r="TGA3" s="102"/>
      <c r="TGC3" s="101"/>
      <c r="TGD3" s="100"/>
      <c r="TGE3" s="102"/>
      <c r="TGG3" s="101"/>
      <c r="TGH3" s="100"/>
      <c r="TGI3" s="102"/>
      <c r="TGK3" s="101"/>
      <c r="TGL3" s="100"/>
      <c r="TGM3" s="102"/>
      <c r="TGO3" s="101"/>
      <c r="TGP3" s="100"/>
      <c r="TGQ3" s="102"/>
      <c r="TGS3" s="101"/>
      <c r="TGT3" s="100"/>
      <c r="TGU3" s="102"/>
      <c r="TGW3" s="101"/>
      <c r="TGX3" s="100"/>
      <c r="TGY3" s="102"/>
      <c r="THA3" s="101"/>
      <c r="THB3" s="100"/>
      <c r="THC3" s="102"/>
      <c r="THE3" s="101"/>
      <c r="THF3" s="100"/>
      <c r="THG3" s="102"/>
      <c r="THI3" s="101"/>
      <c r="THJ3" s="100"/>
      <c r="THK3" s="102"/>
      <c r="THM3" s="101"/>
      <c r="THN3" s="100"/>
      <c r="THO3" s="102"/>
      <c r="THQ3" s="101"/>
      <c r="THR3" s="100"/>
      <c r="THS3" s="102"/>
      <c r="THU3" s="101"/>
      <c r="THV3" s="100"/>
      <c r="THW3" s="102"/>
      <c r="THY3" s="101"/>
      <c r="THZ3" s="100"/>
      <c r="TIA3" s="102"/>
      <c r="TIC3" s="101"/>
      <c r="TID3" s="100"/>
      <c r="TIE3" s="102"/>
      <c r="TIG3" s="101"/>
      <c r="TIH3" s="100"/>
      <c r="TII3" s="102"/>
      <c r="TIK3" s="101"/>
      <c r="TIL3" s="100"/>
      <c r="TIM3" s="102"/>
      <c r="TIO3" s="101"/>
      <c r="TIP3" s="100"/>
      <c r="TIQ3" s="102"/>
      <c r="TIS3" s="101"/>
      <c r="TIT3" s="100"/>
      <c r="TIU3" s="102"/>
      <c r="TIW3" s="101"/>
      <c r="TIX3" s="100"/>
      <c r="TIY3" s="102"/>
      <c r="TJA3" s="101"/>
      <c r="TJB3" s="100"/>
      <c r="TJC3" s="102"/>
      <c r="TJE3" s="101"/>
      <c r="TJF3" s="100"/>
      <c r="TJG3" s="102"/>
      <c r="TJI3" s="101"/>
      <c r="TJJ3" s="100"/>
      <c r="TJK3" s="102"/>
      <c r="TJM3" s="101"/>
      <c r="TJN3" s="100"/>
      <c r="TJO3" s="102"/>
      <c r="TJQ3" s="101"/>
      <c r="TJR3" s="100"/>
      <c r="TJS3" s="102"/>
      <c r="TJU3" s="101"/>
      <c r="TJV3" s="100"/>
      <c r="TJW3" s="102"/>
      <c r="TJY3" s="101"/>
      <c r="TJZ3" s="100"/>
      <c r="TKA3" s="102"/>
      <c r="TKC3" s="101"/>
      <c r="TKD3" s="100"/>
      <c r="TKE3" s="102"/>
      <c r="TKG3" s="101"/>
      <c r="TKH3" s="100"/>
      <c r="TKI3" s="102"/>
      <c r="TKK3" s="101"/>
      <c r="TKL3" s="100"/>
      <c r="TKM3" s="102"/>
      <c r="TKO3" s="101"/>
      <c r="TKP3" s="100"/>
      <c r="TKQ3" s="102"/>
      <c r="TKS3" s="101"/>
      <c r="TKT3" s="100"/>
      <c r="TKU3" s="102"/>
      <c r="TKW3" s="101"/>
      <c r="TKX3" s="100"/>
      <c r="TKY3" s="102"/>
      <c r="TLA3" s="101"/>
      <c r="TLB3" s="100"/>
      <c r="TLC3" s="102"/>
      <c r="TLE3" s="101"/>
      <c r="TLF3" s="100"/>
      <c r="TLG3" s="102"/>
      <c r="TLI3" s="101"/>
      <c r="TLJ3" s="100"/>
      <c r="TLK3" s="102"/>
      <c r="TLM3" s="101"/>
      <c r="TLN3" s="100"/>
      <c r="TLO3" s="102"/>
      <c r="TLQ3" s="101"/>
      <c r="TLR3" s="100"/>
      <c r="TLS3" s="102"/>
      <c r="TLU3" s="101"/>
      <c r="TLV3" s="100"/>
      <c r="TLW3" s="102"/>
      <c r="TLY3" s="101"/>
      <c r="TLZ3" s="100"/>
      <c r="TMA3" s="102"/>
      <c r="TMC3" s="101"/>
      <c r="TMD3" s="100"/>
      <c r="TME3" s="102"/>
      <c r="TMG3" s="101"/>
      <c r="TMH3" s="100"/>
      <c r="TMI3" s="102"/>
      <c r="TMK3" s="101"/>
      <c r="TML3" s="100"/>
      <c r="TMM3" s="102"/>
      <c r="TMO3" s="101"/>
      <c r="TMP3" s="100"/>
      <c r="TMQ3" s="102"/>
      <c r="TMS3" s="101"/>
      <c r="TMT3" s="100"/>
      <c r="TMU3" s="102"/>
      <c r="TMW3" s="101"/>
      <c r="TMX3" s="100"/>
      <c r="TMY3" s="102"/>
      <c r="TNA3" s="101"/>
      <c r="TNB3" s="100"/>
      <c r="TNC3" s="102"/>
      <c r="TNE3" s="101"/>
      <c r="TNF3" s="100"/>
      <c r="TNG3" s="102"/>
      <c r="TNI3" s="101"/>
      <c r="TNJ3" s="100"/>
      <c r="TNK3" s="102"/>
      <c r="TNM3" s="101"/>
      <c r="TNN3" s="100"/>
      <c r="TNO3" s="102"/>
      <c r="TNQ3" s="101"/>
      <c r="TNR3" s="100"/>
      <c r="TNS3" s="102"/>
      <c r="TNU3" s="101"/>
      <c r="TNV3" s="100"/>
      <c r="TNW3" s="102"/>
      <c r="TNY3" s="101"/>
      <c r="TNZ3" s="100"/>
      <c r="TOA3" s="102"/>
      <c r="TOC3" s="101"/>
      <c r="TOD3" s="100"/>
      <c r="TOE3" s="102"/>
      <c r="TOG3" s="101"/>
      <c r="TOH3" s="100"/>
      <c r="TOI3" s="102"/>
      <c r="TOK3" s="101"/>
      <c r="TOL3" s="100"/>
      <c r="TOM3" s="102"/>
      <c r="TOO3" s="101"/>
      <c r="TOP3" s="100"/>
      <c r="TOQ3" s="102"/>
      <c r="TOS3" s="101"/>
      <c r="TOT3" s="100"/>
      <c r="TOU3" s="102"/>
      <c r="TOW3" s="101"/>
      <c r="TOX3" s="100"/>
      <c r="TOY3" s="102"/>
      <c r="TPA3" s="101"/>
      <c r="TPB3" s="100"/>
      <c r="TPC3" s="102"/>
      <c r="TPE3" s="101"/>
      <c r="TPF3" s="100"/>
      <c r="TPG3" s="102"/>
      <c r="TPI3" s="101"/>
      <c r="TPJ3" s="100"/>
      <c r="TPK3" s="102"/>
      <c r="TPM3" s="101"/>
      <c r="TPN3" s="100"/>
      <c r="TPO3" s="102"/>
      <c r="TPQ3" s="101"/>
      <c r="TPR3" s="100"/>
      <c r="TPS3" s="102"/>
      <c r="TPU3" s="101"/>
      <c r="TPV3" s="100"/>
      <c r="TPW3" s="102"/>
      <c r="TPY3" s="101"/>
      <c r="TPZ3" s="100"/>
      <c r="TQA3" s="102"/>
      <c r="TQC3" s="101"/>
      <c r="TQD3" s="100"/>
      <c r="TQE3" s="102"/>
      <c r="TQG3" s="101"/>
      <c r="TQH3" s="100"/>
      <c r="TQI3" s="102"/>
      <c r="TQK3" s="101"/>
      <c r="TQL3" s="100"/>
      <c r="TQM3" s="102"/>
      <c r="TQO3" s="101"/>
      <c r="TQP3" s="100"/>
      <c r="TQQ3" s="102"/>
      <c r="TQS3" s="101"/>
      <c r="TQT3" s="100"/>
      <c r="TQU3" s="102"/>
      <c r="TQW3" s="101"/>
      <c r="TQX3" s="100"/>
      <c r="TQY3" s="102"/>
      <c r="TRA3" s="101"/>
      <c r="TRB3" s="100"/>
      <c r="TRC3" s="102"/>
      <c r="TRE3" s="101"/>
      <c r="TRF3" s="100"/>
      <c r="TRG3" s="102"/>
      <c r="TRI3" s="101"/>
      <c r="TRJ3" s="100"/>
      <c r="TRK3" s="102"/>
      <c r="TRM3" s="101"/>
      <c r="TRN3" s="100"/>
      <c r="TRO3" s="102"/>
      <c r="TRQ3" s="101"/>
      <c r="TRR3" s="100"/>
      <c r="TRS3" s="102"/>
      <c r="TRU3" s="101"/>
      <c r="TRV3" s="100"/>
      <c r="TRW3" s="102"/>
      <c r="TRY3" s="101"/>
      <c r="TRZ3" s="100"/>
      <c r="TSA3" s="102"/>
      <c r="TSC3" s="101"/>
      <c r="TSD3" s="100"/>
      <c r="TSE3" s="102"/>
      <c r="TSG3" s="101"/>
      <c r="TSH3" s="100"/>
      <c r="TSI3" s="102"/>
      <c r="TSK3" s="101"/>
      <c r="TSL3" s="100"/>
      <c r="TSM3" s="102"/>
      <c r="TSO3" s="101"/>
      <c r="TSP3" s="100"/>
      <c r="TSQ3" s="102"/>
      <c r="TSS3" s="101"/>
      <c r="TST3" s="100"/>
      <c r="TSU3" s="102"/>
      <c r="TSW3" s="101"/>
      <c r="TSX3" s="100"/>
      <c r="TSY3" s="102"/>
      <c r="TTA3" s="101"/>
      <c r="TTB3" s="100"/>
      <c r="TTC3" s="102"/>
      <c r="TTE3" s="101"/>
      <c r="TTF3" s="100"/>
      <c r="TTG3" s="102"/>
      <c r="TTI3" s="101"/>
      <c r="TTJ3" s="100"/>
      <c r="TTK3" s="102"/>
      <c r="TTM3" s="101"/>
      <c r="TTN3" s="100"/>
      <c r="TTO3" s="102"/>
      <c r="TTQ3" s="101"/>
      <c r="TTR3" s="100"/>
      <c r="TTS3" s="102"/>
      <c r="TTU3" s="101"/>
      <c r="TTV3" s="100"/>
      <c r="TTW3" s="102"/>
      <c r="TTY3" s="101"/>
      <c r="TTZ3" s="100"/>
      <c r="TUA3" s="102"/>
      <c r="TUC3" s="101"/>
      <c r="TUD3" s="100"/>
      <c r="TUE3" s="102"/>
      <c r="TUG3" s="101"/>
      <c r="TUH3" s="100"/>
      <c r="TUI3" s="102"/>
      <c r="TUK3" s="101"/>
      <c r="TUL3" s="100"/>
      <c r="TUM3" s="102"/>
      <c r="TUO3" s="101"/>
      <c r="TUP3" s="100"/>
      <c r="TUQ3" s="102"/>
      <c r="TUS3" s="101"/>
      <c r="TUT3" s="100"/>
      <c r="TUU3" s="102"/>
      <c r="TUW3" s="101"/>
      <c r="TUX3" s="100"/>
      <c r="TUY3" s="102"/>
      <c r="TVA3" s="101"/>
      <c r="TVB3" s="100"/>
      <c r="TVC3" s="102"/>
      <c r="TVE3" s="101"/>
      <c r="TVF3" s="100"/>
      <c r="TVG3" s="102"/>
      <c r="TVI3" s="101"/>
      <c r="TVJ3" s="100"/>
      <c r="TVK3" s="102"/>
      <c r="TVM3" s="101"/>
      <c r="TVN3" s="100"/>
      <c r="TVO3" s="102"/>
      <c r="TVQ3" s="101"/>
      <c r="TVR3" s="100"/>
      <c r="TVS3" s="102"/>
      <c r="TVU3" s="101"/>
      <c r="TVV3" s="100"/>
      <c r="TVW3" s="102"/>
      <c r="TVY3" s="101"/>
      <c r="TVZ3" s="100"/>
      <c r="TWA3" s="102"/>
      <c r="TWC3" s="101"/>
      <c r="TWD3" s="100"/>
      <c r="TWE3" s="102"/>
      <c r="TWG3" s="101"/>
      <c r="TWH3" s="100"/>
      <c r="TWI3" s="102"/>
      <c r="TWK3" s="101"/>
      <c r="TWL3" s="100"/>
      <c r="TWM3" s="102"/>
      <c r="TWO3" s="101"/>
      <c r="TWP3" s="100"/>
      <c r="TWQ3" s="102"/>
      <c r="TWS3" s="101"/>
      <c r="TWT3" s="100"/>
      <c r="TWU3" s="102"/>
      <c r="TWW3" s="101"/>
      <c r="TWX3" s="100"/>
      <c r="TWY3" s="102"/>
      <c r="TXA3" s="101"/>
      <c r="TXB3" s="100"/>
      <c r="TXC3" s="102"/>
      <c r="TXE3" s="101"/>
      <c r="TXF3" s="100"/>
      <c r="TXG3" s="102"/>
      <c r="TXI3" s="101"/>
      <c r="TXJ3" s="100"/>
      <c r="TXK3" s="102"/>
      <c r="TXM3" s="101"/>
      <c r="TXN3" s="100"/>
      <c r="TXO3" s="102"/>
      <c r="TXQ3" s="101"/>
      <c r="TXR3" s="100"/>
      <c r="TXS3" s="102"/>
      <c r="TXU3" s="101"/>
      <c r="TXV3" s="100"/>
      <c r="TXW3" s="102"/>
      <c r="TXY3" s="101"/>
      <c r="TXZ3" s="100"/>
      <c r="TYA3" s="102"/>
      <c r="TYC3" s="101"/>
      <c r="TYD3" s="100"/>
      <c r="TYE3" s="102"/>
      <c r="TYG3" s="101"/>
      <c r="TYH3" s="100"/>
      <c r="TYI3" s="102"/>
      <c r="TYK3" s="101"/>
      <c r="TYL3" s="100"/>
      <c r="TYM3" s="102"/>
      <c r="TYO3" s="101"/>
      <c r="TYP3" s="100"/>
      <c r="TYQ3" s="102"/>
      <c r="TYS3" s="101"/>
      <c r="TYT3" s="100"/>
      <c r="TYU3" s="102"/>
      <c r="TYW3" s="101"/>
      <c r="TYX3" s="100"/>
      <c r="TYY3" s="102"/>
      <c r="TZA3" s="101"/>
      <c r="TZB3" s="100"/>
      <c r="TZC3" s="102"/>
      <c r="TZE3" s="101"/>
      <c r="TZF3" s="100"/>
      <c r="TZG3" s="102"/>
      <c r="TZI3" s="101"/>
      <c r="TZJ3" s="100"/>
      <c r="TZK3" s="102"/>
      <c r="TZM3" s="101"/>
      <c r="TZN3" s="100"/>
      <c r="TZO3" s="102"/>
      <c r="TZQ3" s="101"/>
      <c r="TZR3" s="100"/>
      <c r="TZS3" s="102"/>
      <c r="TZU3" s="101"/>
      <c r="TZV3" s="100"/>
      <c r="TZW3" s="102"/>
      <c r="TZY3" s="101"/>
      <c r="TZZ3" s="100"/>
      <c r="UAA3" s="102"/>
      <c r="UAC3" s="101"/>
      <c r="UAD3" s="100"/>
      <c r="UAE3" s="102"/>
      <c r="UAG3" s="101"/>
      <c r="UAH3" s="100"/>
      <c r="UAI3" s="102"/>
      <c r="UAK3" s="101"/>
      <c r="UAL3" s="100"/>
      <c r="UAM3" s="102"/>
      <c r="UAO3" s="101"/>
      <c r="UAP3" s="100"/>
      <c r="UAQ3" s="102"/>
      <c r="UAS3" s="101"/>
      <c r="UAT3" s="100"/>
      <c r="UAU3" s="102"/>
      <c r="UAW3" s="101"/>
      <c r="UAX3" s="100"/>
      <c r="UAY3" s="102"/>
      <c r="UBA3" s="101"/>
      <c r="UBB3" s="100"/>
      <c r="UBC3" s="102"/>
      <c r="UBE3" s="101"/>
      <c r="UBF3" s="100"/>
      <c r="UBG3" s="102"/>
      <c r="UBI3" s="101"/>
      <c r="UBJ3" s="100"/>
      <c r="UBK3" s="102"/>
      <c r="UBM3" s="101"/>
      <c r="UBN3" s="100"/>
      <c r="UBO3" s="102"/>
      <c r="UBQ3" s="101"/>
      <c r="UBR3" s="100"/>
      <c r="UBS3" s="102"/>
      <c r="UBU3" s="101"/>
      <c r="UBV3" s="100"/>
      <c r="UBW3" s="102"/>
      <c r="UBY3" s="101"/>
      <c r="UBZ3" s="100"/>
      <c r="UCA3" s="102"/>
      <c r="UCC3" s="101"/>
      <c r="UCD3" s="100"/>
      <c r="UCE3" s="102"/>
      <c r="UCG3" s="101"/>
      <c r="UCH3" s="100"/>
      <c r="UCI3" s="102"/>
      <c r="UCK3" s="101"/>
      <c r="UCL3" s="100"/>
      <c r="UCM3" s="102"/>
      <c r="UCO3" s="101"/>
      <c r="UCP3" s="100"/>
      <c r="UCQ3" s="102"/>
      <c r="UCS3" s="101"/>
      <c r="UCT3" s="100"/>
      <c r="UCU3" s="102"/>
      <c r="UCW3" s="101"/>
      <c r="UCX3" s="100"/>
      <c r="UCY3" s="102"/>
      <c r="UDA3" s="101"/>
      <c r="UDB3" s="100"/>
      <c r="UDC3" s="102"/>
      <c r="UDE3" s="101"/>
      <c r="UDF3" s="100"/>
      <c r="UDG3" s="102"/>
      <c r="UDI3" s="101"/>
      <c r="UDJ3" s="100"/>
      <c r="UDK3" s="102"/>
      <c r="UDM3" s="101"/>
      <c r="UDN3" s="100"/>
      <c r="UDO3" s="102"/>
      <c r="UDQ3" s="101"/>
      <c r="UDR3" s="100"/>
      <c r="UDS3" s="102"/>
      <c r="UDU3" s="101"/>
      <c r="UDV3" s="100"/>
      <c r="UDW3" s="102"/>
      <c r="UDY3" s="101"/>
      <c r="UDZ3" s="100"/>
      <c r="UEA3" s="102"/>
      <c r="UEC3" s="101"/>
      <c r="UED3" s="100"/>
      <c r="UEE3" s="102"/>
      <c r="UEG3" s="101"/>
      <c r="UEH3" s="100"/>
      <c r="UEI3" s="102"/>
      <c r="UEK3" s="101"/>
      <c r="UEL3" s="100"/>
      <c r="UEM3" s="102"/>
      <c r="UEO3" s="101"/>
      <c r="UEP3" s="100"/>
      <c r="UEQ3" s="102"/>
      <c r="UES3" s="101"/>
      <c r="UET3" s="100"/>
      <c r="UEU3" s="102"/>
      <c r="UEW3" s="101"/>
      <c r="UEX3" s="100"/>
      <c r="UEY3" s="102"/>
      <c r="UFA3" s="101"/>
      <c r="UFB3" s="100"/>
      <c r="UFC3" s="102"/>
      <c r="UFE3" s="101"/>
      <c r="UFF3" s="100"/>
      <c r="UFG3" s="102"/>
      <c r="UFI3" s="101"/>
      <c r="UFJ3" s="100"/>
      <c r="UFK3" s="102"/>
      <c r="UFM3" s="101"/>
      <c r="UFN3" s="100"/>
      <c r="UFO3" s="102"/>
      <c r="UFQ3" s="101"/>
      <c r="UFR3" s="100"/>
      <c r="UFS3" s="102"/>
      <c r="UFU3" s="101"/>
      <c r="UFV3" s="100"/>
      <c r="UFW3" s="102"/>
      <c r="UFY3" s="101"/>
      <c r="UFZ3" s="100"/>
      <c r="UGA3" s="102"/>
      <c r="UGC3" s="101"/>
      <c r="UGD3" s="100"/>
      <c r="UGE3" s="102"/>
      <c r="UGG3" s="101"/>
      <c r="UGH3" s="100"/>
      <c r="UGI3" s="102"/>
      <c r="UGK3" s="101"/>
      <c r="UGL3" s="100"/>
      <c r="UGM3" s="102"/>
      <c r="UGO3" s="101"/>
      <c r="UGP3" s="100"/>
      <c r="UGQ3" s="102"/>
      <c r="UGS3" s="101"/>
      <c r="UGT3" s="100"/>
      <c r="UGU3" s="102"/>
      <c r="UGW3" s="101"/>
      <c r="UGX3" s="100"/>
      <c r="UGY3" s="102"/>
      <c r="UHA3" s="101"/>
      <c r="UHB3" s="100"/>
      <c r="UHC3" s="102"/>
      <c r="UHE3" s="101"/>
      <c r="UHF3" s="100"/>
      <c r="UHG3" s="102"/>
      <c r="UHI3" s="101"/>
      <c r="UHJ3" s="100"/>
      <c r="UHK3" s="102"/>
      <c r="UHM3" s="101"/>
      <c r="UHN3" s="100"/>
      <c r="UHO3" s="102"/>
      <c r="UHQ3" s="101"/>
      <c r="UHR3" s="100"/>
      <c r="UHS3" s="102"/>
      <c r="UHU3" s="101"/>
      <c r="UHV3" s="100"/>
      <c r="UHW3" s="102"/>
      <c r="UHY3" s="101"/>
      <c r="UHZ3" s="100"/>
      <c r="UIA3" s="102"/>
      <c r="UIC3" s="101"/>
      <c r="UID3" s="100"/>
      <c r="UIE3" s="102"/>
      <c r="UIG3" s="101"/>
      <c r="UIH3" s="100"/>
      <c r="UII3" s="102"/>
      <c r="UIK3" s="101"/>
      <c r="UIL3" s="100"/>
      <c r="UIM3" s="102"/>
      <c r="UIO3" s="101"/>
      <c r="UIP3" s="100"/>
      <c r="UIQ3" s="102"/>
      <c r="UIS3" s="101"/>
      <c r="UIT3" s="100"/>
      <c r="UIU3" s="102"/>
      <c r="UIW3" s="101"/>
      <c r="UIX3" s="100"/>
      <c r="UIY3" s="102"/>
      <c r="UJA3" s="101"/>
      <c r="UJB3" s="100"/>
      <c r="UJC3" s="102"/>
      <c r="UJE3" s="101"/>
      <c r="UJF3" s="100"/>
      <c r="UJG3" s="102"/>
      <c r="UJI3" s="101"/>
      <c r="UJJ3" s="100"/>
      <c r="UJK3" s="102"/>
      <c r="UJM3" s="101"/>
      <c r="UJN3" s="100"/>
      <c r="UJO3" s="102"/>
      <c r="UJQ3" s="101"/>
      <c r="UJR3" s="100"/>
      <c r="UJS3" s="102"/>
      <c r="UJU3" s="101"/>
      <c r="UJV3" s="100"/>
      <c r="UJW3" s="102"/>
      <c r="UJY3" s="101"/>
      <c r="UJZ3" s="100"/>
      <c r="UKA3" s="102"/>
      <c r="UKC3" s="101"/>
      <c r="UKD3" s="100"/>
      <c r="UKE3" s="102"/>
      <c r="UKG3" s="101"/>
      <c r="UKH3" s="100"/>
      <c r="UKI3" s="102"/>
      <c r="UKK3" s="101"/>
      <c r="UKL3" s="100"/>
      <c r="UKM3" s="102"/>
      <c r="UKO3" s="101"/>
      <c r="UKP3" s="100"/>
      <c r="UKQ3" s="102"/>
      <c r="UKS3" s="101"/>
      <c r="UKT3" s="100"/>
      <c r="UKU3" s="102"/>
      <c r="UKW3" s="101"/>
      <c r="UKX3" s="100"/>
      <c r="UKY3" s="102"/>
      <c r="ULA3" s="101"/>
      <c r="ULB3" s="100"/>
      <c r="ULC3" s="102"/>
      <c r="ULE3" s="101"/>
      <c r="ULF3" s="100"/>
      <c r="ULG3" s="102"/>
      <c r="ULI3" s="101"/>
      <c r="ULJ3" s="100"/>
      <c r="ULK3" s="102"/>
      <c r="ULM3" s="101"/>
      <c r="ULN3" s="100"/>
      <c r="ULO3" s="102"/>
      <c r="ULQ3" s="101"/>
      <c r="ULR3" s="100"/>
      <c r="ULS3" s="102"/>
      <c r="ULU3" s="101"/>
      <c r="ULV3" s="100"/>
      <c r="ULW3" s="102"/>
      <c r="ULY3" s="101"/>
      <c r="ULZ3" s="100"/>
      <c r="UMA3" s="102"/>
      <c r="UMC3" s="101"/>
      <c r="UMD3" s="100"/>
      <c r="UME3" s="102"/>
      <c r="UMG3" s="101"/>
      <c r="UMH3" s="100"/>
      <c r="UMI3" s="102"/>
      <c r="UMK3" s="101"/>
      <c r="UML3" s="100"/>
      <c r="UMM3" s="102"/>
      <c r="UMO3" s="101"/>
      <c r="UMP3" s="100"/>
      <c r="UMQ3" s="102"/>
      <c r="UMS3" s="101"/>
      <c r="UMT3" s="100"/>
      <c r="UMU3" s="102"/>
      <c r="UMW3" s="101"/>
      <c r="UMX3" s="100"/>
      <c r="UMY3" s="102"/>
      <c r="UNA3" s="101"/>
      <c r="UNB3" s="100"/>
      <c r="UNC3" s="102"/>
      <c r="UNE3" s="101"/>
      <c r="UNF3" s="100"/>
      <c r="UNG3" s="102"/>
      <c r="UNI3" s="101"/>
      <c r="UNJ3" s="100"/>
      <c r="UNK3" s="102"/>
      <c r="UNM3" s="101"/>
      <c r="UNN3" s="100"/>
      <c r="UNO3" s="102"/>
      <c r="UNQ3" s="101"/>
      <c r="UNR3" s="100"/>
      <c r="UNS3" s="102"/>
      <c r="UNU3" s="101"/>
      <c r="UNV3" s="100"/>
      <c r="UNW3" s="102"/>
      <c r="UNY3" s="101"/>
      <c r="UNZ3" s="100"/>
      <c r="UOA3" s="102"/>
      <c r="UOC3" s="101"/>
      <c r="UOD3" s="100"/>
      <c r="UOE3" s="102"/>
      <c r="UOG3" s="101"/>
      <c r="UOH3" s="100"/>
      <c r="UOI3" s="102"/>
      <c r="UOK3" s="101"/>
      <c r="UOL3" s="100"/>
      <c r="UOM3" s="102"/>
      <c r="UOO3" s="101"/>
      <c r="UOP3" s="100"/>
      <c r="UOQ3" s="102"/>
      <c r="UOS3" s="101"/>
      <c r="UOT3" s="100"/>
      <c r="UOU3" s="102"/>
      <c r="UOW3" s="101"/>
      <c r="UOX3" s="100"/>
      <c r="UOY3" s="102"/>
      <c r="UPA3" s="101"/>
      <c r="UPB3" s="100"/>
      <c r="UPC3" s="102"/>
      <c r="UPE3" s="101"/>
      <c r="UPF3" s="100"/>
      <c r="UPG3" s="102"/>
      <c r="UPI3" s="101"/>
      <c r="UPJ3" s="100"/>
      <c r="UPK3" s="102"/>
      <c r="UPM3" s="101"/>
      <c r="UPN3" s="100"/>
      <c r="UPO3" s="102"/>
      <c r="UPQ3" s="101"/>
      <c r="UPR3" s="100"/>
      <c r="UPS3" s="102"/>
      <c r="UPU3" s="101"/>
      <c r="UPV3" s="100"/>
      <c r="UPW3" s="102"/>
      <c r="UPY3" s="101"/>
      <c r="UPZ3" s="100"/>
      <c r="UQA3" s="102"/>
      <c r="UQC3" s="101"/>
      <c r="UQD3" s="100"/>
      <c r="UQE3" s="102"/>
      <c r="UQG3" s="101"/>
      <c r="UQH3" s="100"/>
      <c r="UQI3" s="102"/>
      <c r="UQK3" s="101"/>
      <c r="UQL3" s="100"/>
      <c r="UQM3" s="102"/>
      <c r="UQO3" s="101"/>
      <c r="UQP3" s="100"/>
      <c r="UQQ3" s="102"/>
      <c r="UQS3" s="101"/>
      <c r="UQT3" s="100"/>
      <c r="UQU3" s="102"/>
      <c r="UQW3" s="101"/>
      <c r="UQX3" s="100"/>
      <c r="UQY3" s="102"/>
      <c r="URA3" s="101"/>
      <c r="URB3" s="100"/>
      <c r="URC3" s="102"/>
      <c r="URE3" s="101"/>
      <c r="URF3" s="100"/>
      <c r="URG3" s="102"/>
      <c r="URI3" s="101"/>
      <c r="URJ3" s="100"/>
      <c r="URK3" s="102"/>
      <c r="URM3" s="101"/>
      <c r="URN3" s="100"/>
      <c r="URO3" s="102"/>
      <c r="URQ3" s="101"/>
      <c r="URR3" s="100"/>
      <c r="URS3" s="102"/>
      <c r="URU3" s="101"/>
      <c r="URV3" s="100"/>
      <c r="URW3" s="102"/>
      <c r="URY3" s="101"/>
      <c r="URZ3" s="100"/>
      <c r="USA3" s="102"/>
      <c r="USC3" s="101"/>
      <c r="USD3" s="100"/>
      <c r="USE3" s="102"/>
      <c r="USG3" s="101"/>
      <c r="USH3" s="100"/>
      <c r="USI3" s="102"/>
      <c r="USK3" s="101"/>
      <c r="USL3" s="100"/>
      <c r="USM3" s="102"/>
      <c r="USO3" s="101"/>
      <c r="USP3" s="100"/>
      <c r="USQ3" s="102"/>
      <c r="USS3" s="101"/>
      <c r="UST3" s="100"/>
      <c r="USU3" s="102"/>
      <c r="USW3" s="101"/>
      <c r="USX3" s="100"/>
      <c r="USY3" s="102"/>
      <c r="UTA3" s="101"/>
      <c r="UTB3" s="100"/>
      <c r="UTC3" s="102"/>
      <c r="UTE3" s="101"/>
      <c r="UTF3" s="100"/>
      <c r="UTG3" s="102"/>
      <c r="UTI3" s="101"/>
      <c r="UTJ3" s="100"/>
      <c r="UTK3" s="102"/>
      <c r="UTM3" s="101"/>
      <c r="UTN3" s="100"/>
      <c r="UTO3" s="102"/>
      <c r="UTQ3" s="101"/>
      <c r="UTR3" s="100"/>
      <c r="UTS3" s="102"/>
      <c r="UTU3" s="101"/>
      <c r="UTV3" s="100"/>
      <c r="UTW3" s="102"/>
      <c r="UTY3" s="101"/>
      <c r="UTZ3" s="100"/>
      <c r="UUA3" s="102"/>
      <c r="UUC3" s="101"/>
      <c r="UUD3" s="100"/>
      <c r="UUE3" s="102"/>
      <c r="UUG3" s="101"/>
      <c r="UUH3" s="100"/>
      <c r="UUI3" s="102"/>
      <c r="UUK3" s="101"/>
      <c r="UUL3" s="100"/>
      <c r="UUM3" s="102"/>
      <c r="UUO3" s="101"/>
      <c r="UUP3" s="100"/>
      <c r="UUQ3" s="102"/>
      <c r="UUS3" s="101"/>
      <c r="UUT3" s="100"/>
      <c r="UUU3" s="102"/>
      <c r="UUW3" s="101"/>
      <c r="UUX3" s="100"/>
      <c r="UUY3" s="102"/>
      <c r="UVA3" s="101"/>
      <c r="UVB3" s="100"/>
      <c r="UVC3" s="102"/>
      <c r="UVE3" s="101"/>
      <c r="UVF3" s="100"/>
      <c r="UVG3" s="102"/>
      <c r="UVI3" s="101"/>
      <c r="UVJ3" s="100"/>
      <c r="UVK3" s="102"/>
      <c r="UVM3" s="101"/>
      <c r="UVN3" s="100"/>
      <c r="UVO3" s="102"/>
      <c r="UVQ3" s="101"/>
      <c r="UVR3" s="100"/>
      <c r="UVS3" s="102"/>
      <c r="UVU3" s="101"/>
      <c r="UVV3" s="100"/>
      <c r="UVW3" s="102"/>
      <c r="UVY3" s="101"/>
      <c r="UVZ3" s="100"/>
      <c r="UWA3" s="102"/>
      <c r="UWC3" s="101"/>
      <c r="UWD3" s="100"/>
      <c r="UWE3" s="102"/>
      <c r="UWG3" s="101"/>
      <c r="UWH3" s="100"/>
      <c r="UWI3" s="102"/>
      <c r="UWK3" s="101"/>
      <c r="UWL3" s="100"/>
      <c r="UWM3" s="102"/>
      <c r="UWO3" s="101"/>
      <c r="UWP3" s="100"/>
      <c r="UWQ3" s="102"/>
      <c r="UWS3" s="101"/>
      <c r="UWT3" s="100"/>
      <c r="UWU3" s="102"/>
      <c r="UWW3" s="101"/>
      <c r="UWX3" s="100"/>
      <c r="UWY3" s="102"/>
      <c r="UXA3" s="101"/>
      <c r="UXB3" s="100"/>
      <c r="UXC3" s="102"/>
      <c r="UXE3" s="101"/>
      <c r="UXF3" s="100"/>
      <c r="UXG3" s="102"/>
      <c r="UXI3" s="101"/>
      <c r="UXJ3" s="100"/>
      <c r="UXK3" s="102"/>
      <c r="UXM3" s="101"/>
      <c r="UXN3" s="100"/>
      <c r="UXO3" s="102"/>
      <c r="UXQ3" s="101"/>
      <c r="UXR3" s="100"/>
      <c r="UXS3" s="102"/>
      <c r="UXU3" s="101"/>
      <c r="UXV3" s="100"/>
      <c r="UXW3" s="102"/>
      <c r="UXY3" s="101"/>
      <c r="UXZ3" s="100"/>
      <c r="UYA3" s="102"/>
      <c r="UYC3" s="101"/>
      <c r="UYD3" s="100"/>
      <c r="UYE3" s="102"/>
      <c r="UYG3" s="101"/>
      <c r="UYH3" s="100"/>
      <c r="UYI3" s="102"/>
      <c r="UYK3" s="101"/>
      <c r="UYL3" s="100"/>
      <c r="UYM3" s="102"/>
      <c r="UYO3" s="101"/>
      <c r="UYP3" s="100"/>
      <c r="UYQ3" s="102"/>
      <c r="UYS3" s="101"/>
      <c r="UYT3" s="100"/>
      <c r="UYU3" s="102"/>
      <c r="UYW3" s="101"/>
      <c r="UYX3" s="100"/>
      <c r="UYY3" s="102"/>
      <c r="UZA3" s="101"/>
      <c r="UZB3" s="100"/>
      <c r="UZC3" s="102"/>
      <c r="UZE3" s="101"/>
      <c r="UZF3" s="100"/>
      <c r="UZG3" s="102"/>
      <c r="UZI3" s="101"/>
      <c r="UZJ3" s="100"/>
      <c r="UZK3" s="102"/>
      <c r="UZM3" s="101"/>
      <c r="UZN3" s="100"/>
      <c r="UZO3" s="102"/>
      <c r="UZQ3" s="101"/>
      <c r="UZR3" s="100"/>
      <c r="UZS3" s="102"/>
      <c r="UZU3" s="101"/>
      <c r="UZV3" s="100"/>
      <c r="UZW3" s="102"/>
      <c r="UZY3" s="101"/>
      <c r="UZZ3" s="100"/>
      <c r="VAA3" s="102"/>
      <c r="VAC3" s="101"/>
      <c r="VAD3" s="100"/>
      <c r="VAE3" s="102"/>
      <c r="VAG3" s="101"/>
      <c r="VAH3" s="100"/>
      <c r="VAI3" s="102"/>
      <c r="VAK3" s="101"/>
      <c r="VAL3" s="100"/>
      <c r="VAM3" s="102"/>
      <c r="VAO3" s="101"/>
      <c r="VAP3" s="100"/>
      <c r="VAQ3" s="102"/>
      <c r="VAS3" s="101"/>
      <c r="VAT3" s="100"/>
      <c r="VAU3" s="102"/>
      <c r="VAW3" s="101"/>
      <c r="VAX3" s="100"/>
      <c r="VAY3" s="102"/>
      <c r="VBA3" s="101"/>
      <c r="VBB3" s="100"/>
      <c r="VBC3" s="102"/>
      <c r="VBE3" s="101"/>
      <c r="VBF3" s="100"/>
      <c r="VBG3" s="102"/>
      <c r="VBI3" s="101"/>
      <c r="VBJ3" s="100"/>
      <c r="VBK3" s="102"/>
      <c r="VBM3" s="101"/>
      <c r="VBN3" s="100"/>
      <c r="VBO3" s="102"/>
      <c r="VBQ3" s="101"/>
      <c r="VBR3" s="100"/>
      <c r="VBS3" s="102"/>
      <c r="VBU3" s="101"/>
      <c r="VBV3" s="100"/>
      <c r="VBW3" s="102"/>
      <c r="VBY3" s="101"/>
      <c r="VBZ3" s="100"/>
      <c r="VCA3" s="102"/>
      <c r="VCC3" s="101"/>
      <c r="VCD3" s="100"/>
      <c r="VCE3" s="102"/>
      <c r="VCG3" s="101"/>
      <c r="VCH3" s="100"/>
      <c r="VCI3" s="102"/>
      <c r="VCK3" s="101"/>
      <c r="VCL3" s="100"/>
      <c r="VCM3" s="102"/>
      <c r="VCO3" s="101"/>
      <c r="VCP3" s="100"/>
      <c r="VCQ3" s="102"/>
      <c r="VCS3" s="101"/>
      <c r="VCT3" s="100"/>
      <c r="VCU3" s="102"/>
      <c r="VCW3" s="101"/>
      <c r="VCX3" s="100"/>
      <c r="VCY3" s="102"/>
      <c r="VDA3" s="101"/>
      <c r="VDB3" s="100"/>
      <c r="VDC3" s="102"/>
      <c r="VDE3" s="101"/>
      <c r="VDF3" s="100"/>
      <c r="VDG3" s="102"/>
      <c r="VDI3" s="101"/>
      <c r="VDJ3" s="100"/>
      <c r="VDK3" s="102"/>
      <c r="VDM3" s="101"/>
      <c r="VDN3" s="100"/>
      <c r="VDO3" s="102"/>
      <c r="VDQ3" s="101"/>
      <c r="VDR3" s="100"/>
      <c r="VDS3" s="102"/>
      <c r="VDU3" s="101"/>
      <c r="VDV3" s="100"/>
      <c r="VDW3" s="102"/>
      <c r="VDY3" s="101"/>
      <c r="VDZ3" s="100"/>
      <c r="VEA3" s="102"/>
      <c r="VEC3" s="101"/>
      <c r="VED3" s="100"/>
      <c r="VEE3" s="102"/>
      <c r="VEG3" s="101"/>
      <c r="VEH3" s="100"/>
      <c r="VEI3" s="102"/>
      <c r="VEK3" s="101"/>
      <c r="VEL3" s="100"/>
      <c r="VEM3" s="102"/>
      <c r="VEO3" s="101"/>
      <c r="VEP3" s="100"/>
      <c r="VEQ3" s="102"/>
      <c r="VES3" s="101"/>
      <c r="VET3" s="100"/>
      <c r="VEU3" s="102"/>
      <c r="VEW3" s="101"/>
      <c r="VEX3" s="100"/>
      <c r="VEY3" s="102"/>
      <c r="VFA3" s="101"/>
      <c r="VFB3" s="100"/>
      <c r="VFC3" s="102"/>
      <c r="VFE3" s="101"/>
      <c r="VFF3" s="100"/>
      <c r="VFG3" s="102"/>
      <c r="VFI3" s="101"/>
      <c r="VFJ3" s="100"/>
      <c r="VFK3" s="102"/>
      <c r="VFM3" s="101"/>
      <c r="VFN3" s="100"/>
      <c r="VFO3" s="102"/>
      <c r="VFQ3" s="101"/>
      <c r="VFR3" s="100"/>
      <c r="VFS3" s="102"/>
      <c r="VFU3" s="101"/>
      <c r="VFV3" s="100"/>
      <c r="VFW3" s="102"/>
      <c r="VFY3" s="101"/>
      <c r="VFZ3" s="100"/>
      <c r="VGA3" s="102"/>
      <c r="VGC3" s="101"/>
      <c r="VGD3" s="100"/>
      <c r="VGE3" s="102"/>
      <c r="VGG3" s="101"/>
      <c r="VGH3" s="100"/>
      <c r="VGI3" s="102"/>
      <c r="VGK3" s="101"/>
      <c r="VGL3" s="100"/>
      <c r="VGM3" s="102"/>
      <c r="VGO3" s="101"/>
      <c r="VGP3" s="100"/>
      <c r="VGQ3" s="102"/>
      <c r="VGS3" s="101"/>
      <c r="VGT3" s="100"/>
      <c r="VGU3" s="102"/>
      <c r="VGW3" s="101"/>
      <c r="VGX3" s="100"/>
      <c r="VGY3" s="102"/>
      <c r="VHA3" s="101"/>
      <c r="VHB3" s="100"/>
      <c r="VHC3" s="102"/>
      <c r="VHE3" s="101"/>
      <c r="VHF3" s="100"/>
      <c r="VHG3" s="102"/>
      <c r="VHI3" s="101"/>
      <c r="VHJ3" s="100"/>
      <c r="VHK3" s="102"/>
      <c r="VHM3" s="101"/>
      <c r="VHN3" s="100"/>
      <c r="VHO3" s="102"/>
      <c r="VHQ3" s="101"/>
      <c r="VHR3" s="100"/>
      <c r="VHS3" s="102"/>
      <c r="VHU3" s="101"/>
      <c r="VHV3" s="100"/>
      <c r="VHW3" s="102"/>
      <c r="VHY3" s="101"/>
      <c r="VHZ3" s="100"/>
      <c r="VIA3" s="102"/>
      <c r="VIC3" s="101"/>
      <c r="VID3" s="100"/>
      <c r="VIE3" s="102"/>
      <c r="VIG3" s="101"/>
      <c r="VIH3" s="100"/>
      <c r="VII3" s="102"/>
      <c r="VIK3" s="101"/>
      <c r="VIL3" s="100"/>
      <c r="VIM3" s="102"/>
      <c r="VIO3" s="101"/>
      <c r="VIP3" s="100"/>
      <c r="VIQ3" s="102"/>
      <c r="VIS3" s="101"/>
      <c r="VIT3" s="100"/>
      <c r="VIU3" s="102"/>
      <c r="VIW3" s="101"/>
      <c r="VIX3" s="100"/>
      <c r="VIY3" s="102"/>
      <c r="VJA3" s="101"/>
      <c r="VJB3" s="100"/>
      <c r="VJC3" s="102"/>
      <c r="VJE3" s="101"/>
      <c r="VJF3" s="100"/>
      <c r="VJG3" s="102"/>
      <c r="VJI3" s="101"/>
      <c r="VJJ3" s="100"/>
      <c r="VJK3" s="102"/>
      <c r="VJM3" s="101"/>
      <c r="VJN3" s="100"/>
      <c r="VJO3" s="102"/>
      <c r="VJQ3" s="101"/>
      <c r="VJR3" s="100"/>
      <c r="VJS3" s="102"/>
      <c r="VJU3" s="101"/>
      <c r="VJV3" s="100"/>
      <c r="VJW3" s="102"/>
      <c r="VJY3" s="101"/>
      <c r="VJZ3" s="100"/>
      <c r="VKA3" s="102"/>
      <c r="VKC3" s="101"/>
      <c r="VKD3" s="100"/>
      <c r="VKE3" s="102"/>
      <c r="VKG3" s="101"/>
      <c r="VKH3" s="100"/>
      <c r="VKI3" s="102"/>
      <c r="VKK3" s="101"/>
      <c r="VKL3" s="100"/>
      <c r="VKM3" s="102"/>
      <c r="VKO3" s="101"/>
      <c r="VKP3" s="100"/>
      <c r="VKQ3" s="102"/>
      <c r="VKS3" s="101"/>
      <c r="VKT3" s="100"/>
      <c r="VKU3" s="102"/>
      <c r="VKW3" s="101"/>
      <c r="VKX3" s="100"/>
      <c r="VKY3" s="102"/>
      <c r="VLA3" s="101"/>
      <c r="VLB3" s="100"/>
      <c r="VLC3" s="102"/>
      <c r="VLE3" s="101"/>
      <c r="VLF3" s="100"/>
      <c r="VLG3" s="102"/>
      <c r="VLI3" s="101"/>
      <c r="VLJ3" s="100"/>
      <c r="VLK3" s="102"/>
      <c r="VLM3" s="101"/>
      <c r="VLN3" s="100"/>
      <c r="VLO3" s="102"/>
      <c r="VLQ3" s="101"/>
      <c r="VLR3" s="100"/>
      <c r="VLS3" s="102"/>
      <c r="VLU3" s="101"/>
      <c r="VLV3" s="100"/>
      <c r="VLW3" s="102"/>
      <c r="VLY3" s="101"/>
      <c r="VLZ3" s="100"/>
      <c r="VMA3" s="102"/>
      <c r="VMC3" s="101"/>
      <c r="VMD3" s="100"/>
      <c r="VME3" s="102"/>
      <c r="VMG3" s="101"/>
      <c r="VMH3" s="100"/>
      <c r="VMI3" s="102"/>
      <c r="VMK3" s="101"/>
      <c r="VML3" s="100"/>
      <c r="VMM3" s="102"/>
      <c r="VMO3" s="101"/>
      <c r="VMP3" s="100"/>
      <c r="VMQ3" s="102"/>
      <c r="VMS3" s="101"/>
      <c r="VMT3" s="100"/>
      <c r="VMU3" s="102"/>
      <c r="VMW3" s="101"/>
      <c r="VMX3" s="100"/>
      <c r="VMY3" s="102"/>
      <c r="VNA3" s="101"/>
      <c r="VNB3" s="100"/>
      <c r="VNC3" s="102"/>
      <c r="VNE3" s="101"/>
      <c r="VNF3" s="100"/>
      <c r="VNG3" s="102"/>
      <c r="VNI3" s="101"/>
      <c r="VNJ3" s="100"/>
      <c r="VNK3" s="102"/>
      <c r="VNM3" s="101"/>
      <c r="VNN3" s="100"/>
      <c r="VNO3" s="102"/>
      <c r="VNQ3" s="101"/>
      <c r="VNR3" s="100"/>
      <c r="VNS3" s="102"/>
      <c r="VNU3" s="101"/>
      <c r="VNV3" s="100"/>
      <c r="VNW3" s="102"/>
      <c r="VNY3" s="101"/>
      <c r="VNZ3" s="100"/>
      <c r="VOA3" s="102"/>
      <c r="VOC3" s="101"/>
      <c r="VOD3" s="100"/>
      <c r="VOE3" s="102"/>
      <c r="VOG3" s="101"/>
      <c r="VOH3" s="100"/>
      <c r="VOI3" s="102"/>
      <c r="VOK3" s="101"/>
      <c r="VOL3" s="100"/>
      <c r="VOM3" s="102"/>
      <c r="VOO3" s="101"/>
      <c r="VOP3" s="100"/>
      <c r="VOQ3" s="102"/>
      <c r="VOS3" s="101"/>
      <c r="VOT3" s="100"/>
      <c r="VOU3" s="102"/>
      <c r="VOW3" s="101"/>
      <c r="VOX3" s="100"/>
      <c r="VOY3" s="102"/>
      <c r="VPA3" s="101"/>
      <c r="VPB3" s="100"/>
      <c r="VPC3" s="102"/>
      <c r="VPE3" s="101"/>
      <c r="VPF3" s="100"/>
      <c r="VPG3" s="102"/>
      <c r="VPI3" s="101"/>
      <c r="VPJ3" s="100"/>
      <c r="VPK3" s="102"/>
      <c r="VPM3" s="101"/>
      <c r="VPN3" s="100"/>
      <c r="VPO3" s="102"/>
      <c r="VPQ3" s="101"/>
      <c r="VPR3" s="100"/>
      <c r="VPS3" s="102"/>
      <c r="VPU3" s="101"/>
      <c r="VPV3" s="100"/>
      <c r="VPW3" s="102"/>
      <c r="VPY3" s="101"/>
      <c r="VPZ3" s="100"/>
      <c r="VQA3" s="102"/>
      <c r="VQC3" s="101"/>
      <c r="VQD3" s="100"/>
      <c r="VQE3" s="102"/>
      <c r="VQG3" s="101"/>
      <c r="VQH3" s="100"/>
      <c r="VQI3" s="102"/>
      <c r="VQK3" s="101"/>
      <c r="VQL3" s="100"/>
      <c r="VQM3" s="102"/>
      <c r="VQO3" s="101"/>
      <c r="VQP3" s="100"/>
      <c r="VQQ3" s="102"/>
      <c r="VQS3" s="101"/>
      <c r="VQT3" s="100"/>
      <c r="VQU3" s="102"/>
      <c r="VQW3" s="101"/>
      <c r="VQX3" s="100"/>
      <c r="VQY3" s="102"/>
      <c r="VRA3" s="101"/>
      <c r="VRB3" s="100"/>
      <c r="VRC3" s="102"/>
      <c r="VRE3" s="101"/>
      <c r="VRF3" s="100"/>
      <c r="VRG3" s="102"/>
      <c r="VRI3" s="101"/>
      <c r="VRJ3" s="100"/>
      <c r="VRK3" s="102"/>
      <c r="VRM3" s="101"/>
      <c r="VRN3" s="100"/>
      <c r="VRO3" s="102"/>
      <c r="VRQ3" s="101"/>
      <c r="VRR3" s="100"/>
      <c r="VRS3" s="102"/>
      <c r="VRU3" s="101"/>
      <c r="VRV3" s="100"/>
      <c r="VRW3" s="102"/>
      <c r="VRY3" s="101"/>
      <c r="VRZ3" s="100"/>
      <c r="VSA3" s="102"/>
      <c r="VSC3" s="101"/>
      <c r="VSD3" s="100"/>
      <c r="VSE3" s="102"/>
      <c r="VSG3" s="101"/>
      <c r="VSH3" s="100"/>
      <c r="VSI3" s="102"/>
      <c r="VSK3" s="101"/>
      <c r="VSL3" s="100"/>
      <c r="VSM3" s="102"/>
      <c r="VSO3" s="101"/>
      <c r="VSP3" s="100"/>
      <c r="VSQ3" s="102"/>
      <c r="VSS3" s="101"/>
      <c r="VST3" s="100"/>
      <c r="VSU3" s="102"/>
      <c r="VSW3" s="101"/>
      <c r="VSX3" s="100"/>
      <c r="VSY3" s="102"/>
      <c r="VTA3" s="101"/>
      <c r="VTB3" s="100"/>
      <c r="VTC3" s="102"/>
      <c r="VTE3" s="101"/>
      <c r="VTF3" s="100"/>
      <c r="VTG3" s="102"/>
      <c r="VTI3" s="101"/>
      <c r="VTJ3" s="100"/>
      <c r="VTK3" s="102"/>
      <c r="VTM3" s="101"/>
      <c r="VTN3" s="100"/>
      <c r="VTO3" s="102"/>
      <c r="VTQ3" s="101"/>
      <c r="VTR3" s="100"/>
      <c r="VTS3" s="102"/>
      <c r="VTU3" s="101"/>
      <c r="VTV3" s="100"/>
      <c r="VTW3" s="102"/>
      <c r="VTY3" s="101"/>
      <c r="VTZ3" s="100"/>
      <c r="VUA3" s="102"/>
      <c r="VUC3" s="101"/>
      <c r="VUD3" s="100"/>
      <c r="VUE3" s="102"/>
      <c r="VUG3" s="101"/>
      <c r="VUH3" s="100"/>
      <c r="VUI3" s="102"/>
      <c r="VUK3" s="101"/>
      <c r="VUL3" s="100"/>
      <c r="VUM3" s="102"/>
      <c r="VUO3" s="101"/>
      <c r="VUP3" s="100"/>
      <c r="VUQ3" s="102"/>
      <c r="VUS3" s="101"/>
      <c r="VUT3" s="100"/>
      <c r="VUU3" s="102"/>
      <c r="VUW3" s="101"/>
      <c r="VUX3" s="100"/>
      <c r="VUY3" s="102"/>
      <c r="VVA3" s="101"/>
      <c r="VVB3" s="100"/>
      <c r="VVC3" s="102"/>
      <c r="VVE3" s="101"/>
      <c r="VVF3" s="100"/>
      <c r="VVG3" s="102"/>
      <c r="VVI3" s="101"/>
      <c r="VVJ3" s="100"/>
      <c r="VVK3" s="102"/>
      <c r="VVM3" s="101"/>
      <c r="VVN3" s="100"/>
      <c r="VVO3" s="102"/>
      <c r="VVQ3" s="101"/>
      <c r="VVR3" s="100"/>
      <c r="VVS3" s="102"/>
      <c r="VVU3" s="101"/>
      <c r="VVV3" s="100"/>
      <c r="VVW3" s="102"/>
      <c r="VVY3" s="101"/>
      <c r="VVZ3" s="100"/>
      <c r="VWA3" s="102"/>
      <c r="VWC3" s="101"/>
      <c r="VWD3" s="100"/>
      <c r="VWE3" s="102"/>
      <c r="VWG3" s="101"/>
      <c r="VWH3" s="100"/>
      <c r="VWI3" s="102"/>
      <c r="VWK3" s="101"/>
      <c r="VWL3" s="100"/>
      <c r="VWM3" s="102"/>
      <c r="VWO3" s="101"/>
      <c r="VWP3" s="100"/>
      <c r="VWQ3" s="102"/>
      <c r="VWS3" s="101"/>
      <c r="VWT3" s="100"/>
      <c r="VWU3" s="102"/>
      <c r="VWW3" s="101"/>
      <c r="VWX3" s="100"/>
      <c r="VWY3" s="102"/>
      <c r="VXA3" s="101"/>
      <c r="VXB3" s="100"/>
      <c r="VXC3" s="102"/>
      <c r="VXE3" s="101"/>
      <c r="VXF3" s="100"/>
      <c r="VXG3" s="102"/>
      <c r="VXI3" s="101"/>
      <c r="VXJ3" s="100"/>
      <c r="VXK3" s="102"/>
      <c r="VXM3" s="101"/>
      <c r="VXN3" s="100"/>
      <c r="VXO3" s="102"/>
      <c r="VXQ3" s="101"/>
      <c r="VXR3" s="100"/>
      <c r="VXS3" s="102"/>
      <c r="VXU3" s="101"/>
      <c r="VXV3" s="100"/>
      <c r="VXW3" s="102"/>
      <c r="VXY3" s="101"/>
      <c r="VXZ3" s="100"/>
      <c r="VYA3" s="102"/>
      <c r="VYC3" s="101"/>
      <c r="VYD3" s="100"/>
      <c r="VYE3" s="102"/>
      <c r="VYG3" s="101"/>
      <c r="VYH3" s="100"/>
      <c r="VYI3" s="102"/>
      <c r="VYK3" s="101"/>
      <c r="VYL3" s="100"/>
      <c r="VYM3" s="102"/>
      <c r="VYO3" s="101"/>
      <c r="VYP3" s="100"/>
      <c r="VYQ3" s="102"/>
      <c r="VYS3" s="101"/>
      <c r="VYT3" s="100"/>
      <c r="VYU3" s="102"/>
      <c r="VYW3" s="101"/>
      <c r="VYX3" s="100"/>
      <c r="VYY3" s="102"/>
      <c r="VZA3" s="101"/>
      <c r="VZB3" s="100"/>
      <c r="VZC3" s="102"/>
      <c r="VZE3" s="101"/>
      <c r="VZF3" s="100"/>
      <c r="VZG3" s="102"/>
      <c r="VZI3" s="101"/>
      <c r="VZJ3" s="100"/>
      <c r="VZK3" s="102"/>
      <c r="VZM3" s="101"/>
      <c r="VZN3" s="100"/>
      <c r="VZO3" s="102"/>
      <c r="VZQ3" s="101"/>
      <c r="VZR3" s="100"/>
      <c r="VZS3" s="102"/>
      <c r="VZU3" s="101"/>
      <c r="VZV3" s="100"/>
      <c r="VZW3" s="102"/>
      <c r="VZY3" s="101"/>
      <c r="VZZ3" s="100"/>
      <c r="WAA3" s="102"/>
      <c r="WAC3" s="101"/>
      <c r="WAD3" s="100"/>
      <c r="WAE3" s="102"/>
      <c r="WAG3" s="101"/>
      <c r="WAH3" s="100"/>
      <c r="WAI3" s="102"/>
      <c r="WAK3" s="101"/>
      <c r="WAL3" s="100"/>
      <c r="WAM3" s="102"/>
      <c r="WAO3" s="101"/>
      <c r="WAP3" s="100"/>
      <c r="WAQ3" s="102"/>
      <c r="WAS3" s="101"/>
      <c r="WAT3" s="100"/>
      <c r="WAU3" s="102"/>
      <c r="WAW3" s="101"/>
      <c r="WAX3" s="100"/>
      <c r="WAY3" s="102"/>
      <c r="WBA3" s="101"/>
      <c r="WBB3" s="100"/>
      <c r="WBC3" s="102"/>
      <c r="WBE3" s="101"/>
      <c r="WBF3" s="100"/>
      <c r="WBG3" s="102"/>
      <c r="WBI3" s="101"/>
      <c r="WBJ3" s="100"/>
      <c r="WBK3" s="102"/>
      <c r="WBM3" s="101"/>
      <c r="WBN3" s="100"/>
      <c r="WBO3" s="102"/>
      <c r="WBQ3" s="101"/>
      <c r="WBR3" s="100"/>
      <c r="WBS3" s="102"/>
      <c r="WBU3" s="101"/>
      <c r="WBV3" s="100"/>
      <c r="WBW3" s="102"/>
      <c r="WBY3" s="101"/>
      <c r="WBZ3" s="100"/>
      <c r="WCA3" s="102"/>
      <c r="WCC3" s="101"/>
      <c r="WCD3" s="100"/>
      <c r="WCE3" s="102"/>
      <c r="WCG3" s="101"/>
      <c r="WCH3" s="100"/>
      <c r="WCI3" s="102"/>
      <c r="WCK3" s="101"/>
      <c r="WCL3" s="100"/>
      <c r="WCM3" s="102"/>
      <c r="WCO3" s="101"/>
      <c r="WCP3" s="100"/>
      <c r="WCQ3" s="102"/>
      <c r="WCS3" s="101"/>
      <c r="WCT3" s="100"/>
      <c r="WCU3" s="102"/>
      <c r="WCW3" s="101"/>
      <c r="WCX3" s="100"/>
      <c r="WCY3" s="102"/>
      <c r="WDA3" s="101"/>
      <c r="WDB3" s="100"/>
      <c r="WDC3" s="102"/>
      <c r="WDE3" s="101"/>
      <c r="WDF3" s="100"/>
      <c r="WDG3" s="102"/>
      <c r="WDI3" s="101"/>
      <c r="WDJ3" s="100"/>
      <c r="WDK3" s="102"/>
      <c r="WDM3" s="101"/>
      <c r="WDN3" s="100"/>
      <c r="WDO3" s="102"/>
      <c r="WDQ3" s="101"/>
      <c r="WDR3" s="100"/>
      <c r="WDS3" s="102"/>
      <c r="WDU3" s="101"/>
      <c r="WDV3" s="100"/>
      <c r="WDW3" s="102"/>
      <c r="WDY3" s="101"/>
      <c r="WDZ3" s="100"/>
      <c r="WEA3" s="102"/>
      <c r="WEC3" s="101"/>
      <c r="WED3" s="100"/>
      <c r="WEE3" s="102"/>
      <c r="WEG3" s="101"/>
      <c r="WEH3" s="100"/>
      <c r="WEI3" s="102"/>
      <c r="WEK3" s="101"/>
      <c r="WEL3" s="100"/>
      <c r="WEM3" s="102"/>
      <c r="WEO3" s="101"/>
      <c r="WEP3" s="100"/>
      <c r="WEQ3" s="102"/>
      <c r="WES3" s="101"/>
      <c r="WET3" s="100"/>
      <c r="WEU3" s="102"/>
      <c r="WEW3" s="101"/>
      <c r="WEX3" s="100"/>
      <c r="WEY3" s="102"/>
      <c r="WFA3" s="101"/>
      <c r="WFB3" s="100"/>
      <c r="WFC3" s="102"/>
      <c r="WFE3" s="101"/>
      <c r="WFF3" s="100"/>
      <c r="WFG3" s="102"/>
      <c r="WFI3" s="101"/>
      <c r="WFJ3" s="100"/>
      <c r="WFK3" s="102"/>
      <c r="WFM3" s="101"/>
      <c r="WFN3" s="100"/>
      <c r="WFO3" s="102"/>
      <c r="WFQ3" s="101"/>
      <c r="WFR3" s="100"/>
      <c r="WFS3" s="102"/>
      <c r="WFU3" s="101"/>
      <c r="WFV3" s="100"/>
      <c r="WFW3" s="102"/>
      <c r="WFY3" s="101"/>
      <c r="WFZ3" s="100"/>
      <c r="WGA3" s="102"/>
      <c r="WGC3" s="101"/>
      <c r="WGD3" s="100"/>
      <c r="WGE3" s="102"/>
      <c r="WGG3" s="101"/>
      <c r="WGH3" s="100"/>
      <c r="WGI3" s="102"/>
      <c r="WGK3" s="101"/>
      <c r="WGL3" s="100"/>
      <c r="WGM3" s="102"/>
      <c r="WGO3" s="101"/>
      <c r="WGP3" s="100"/>
      <c r="WGQ3" s="102"/>
      <c r="WGS3" s="101"/>
      <c r="WGT3" s="100"/>
      <c r="WGU3" s="102"/>
      <c r="WGW3" s="101"/>
      <c r="WGX3" s="100"/>
      <c r="WGY3" s="102"/>
      <c r="WHA3" s="101"/>
      <c r="WHB3" s="100"/>
      <c r="WHC3" s="102"/>
      <c r="WHE3" s="101"/>
      <c r="WHF3" s="100"/>
      <c r="WHG3" s="102"/>
      <c r="WHI3" s="101"/>
      <c r="WHJ3" s="100"/>
      <c r="WHK3" s="102"/>
      <c r="WHM3" s="101"/>
      <c r="WHN3" s="100"/>
      <c r="WHO3" s="102"/>
      <c r="WHQ3" s="101"/>
      <c r="WHR3" s="100"/>
      <c r="WHS3" s="102"/>
      <c r="WHU3" s="101"/>
      <c r="WHV3" s="100"/>
      <c r="WHW3" s="102"/>
      <c r="WHY3" s="101"/>
      <c r="WHZ3" s="100"/>
      <c r="WIA3" s="102"/>
      <c r="WIC3" s="101"/>
      <c r="WID3" s="100"/>
      <c r="WIE3" s="102"/>
      <c r="WIG3" s="101"/>
      <c r="WIH3" s="100"/>
      <c r="WII3" s="102"/>
      <c r="WIK3" s="101"/>
      <c r="WIL3" s="100"/>
      <c r="WIM3" s="102"/>
      <c r="WIO3" s="101"/>
      <c r="WIP3" s="100"/>
      <c r="WIQ3" s="102"/>
      <c r="WIS3" s="101"/>
      <c r="WIT3" s="100"/>
      <c r="WIU3" s="102"/>
      <c r="WIW3" s="101"/>
      <c r="WIX3" s="100"/>
      <c r="WIY3" s="102"/>
      <c r="WJA3" s="101"/>
      <c r="WJB3" s="100"/>
      <c r="WJC3" s="102"/>
      <c r="WJE3" s="101"/>
      <c r="WJF3" s="100"/>
      <c r="WJG3" s="102"/>
      <c r="WJI3" s="101"/>
      <c r="WJJ3" s="100"/>
      <c r="WJK3" s="102"/>
      <c r="WJM3" s="101"/>
      <c r="WJN3" s="100"/>
      <c r="WJO3" s="102"/>
      <c r="WJQ3" s="101"/>
      <c r="WJR3" s="100"/>
      <c r="WJS3" s="102"/>
      <c r="WJU3" s="101"/>
      <c r="WJV3" s="100"/>
      <c r="WJW3" s="102"/>
      <c r="WJY3" s="101"/>
      <c r="WJZ3" s="100"/>
      <c r="WKA3" s="102"/>
      <c r="WKC3" s="101"/>
      <c r="WKD3" s="100"/>
      <c r="WKE3" s="102"/>
      <c r="WKG3" s="101"/>
      <c r="WKH3" s="100"/>
      <c r="WKI3" s="102"/>
      <c r="WKK3" s="101"/>
      <c r="WKL3" s="100"/>
      <c r="WKM3" s="102"/>
      <c r="WKO3" s="101"/>
      <c r="WKP3" s="100"/>
      <c r="WKQ3" s="102"/>
      <c r="WKS3" s="101"/>
      <c r="WKT3" s="100"/>
      <c r="WKU3" s="102"/>
      <c r="WKW3" s="101"/>
      <c r="WKX3" s="100"/>
      <c r="WKY3" s="102"/>
      <c r="WLA3" s="101"/>
      <c r="WLB3" s="100"/>
      <c r="WLC3" s="102"/>
      <c r="WLE3" s="101"/>
      <c r="WLF3" s="100"/>
      <c r="WLG3" s="102"/>
      <c r="WLI3" s="101"/>
      <c r="WLJ3" s="100"/>
      <c r="WLK3" s="102"/>
      <c r="WLM3" s="101"/>
      <c r="WLN3" s="100"/>
      <c r="WLO3" s="102"/>
      <c r="WLQ3" s="101"/>
      <c r="WLR3" s="100"/>
      <c r="WLS3" s="102"/>
      <c r="WLU3" s="101"/>
      <c r="WLV3" s="100"/>
      <c r="WLW3" s="102"/>
      <c r="WLY3" s="101"/>
      <c r="WLZ3" s="100"/>
      <c r="WMA3" s="102"/>
      <c r="WMC3" s="101"/>
      <c r="WMD3" s="100"/>
      <c r="WME3" s="102"/>
      <c r="WMG3" s="101"/>
      <c r="WMH3" s="100"/>
      <c r="WMI3" s="102"/>
      <c r="WMK3" s="101"/>
      <c r="WML3" s="100"/>
      <c r="WMM3" s="102"/>
      <c r="WMO3" s="101"/>
      <c r="WMP3" s="100"/>
      <c r="WMQ3" s="102"/>
      <c r="WMS3" s="101"/>
      <c r="WMT3" s="100"/>
      <c r="WMU3" s="102"/>
      <c r="WMW3" s="101"/>
      <c r="WMX3" s="100"/>
      <c r="WMY3" s="102"/>
      <c r="WNA3" s="101"/>
      <c r="WNB3" s="100"/>
      <c r="WNC3" s="102"/>
      <c r="WNE3" s="101"/>
      <c r="WNF3" s="100"/>
      <c r="WNG3" s="102"/>
      <c r="WNI3" s="101"/>
      <c r="WNJ3" s="100"/>
      <c r="WNK3" s="102"/>
      <c r="WNM3" s="101"/>
      <c r="WNN3" s="100"/>
      <c r="WNO3" s="102"/>
      <c r="WNQ3" s="101"/>
      <c r="WNR3" s="100"/>
      <c r="WNS3" s="102"/>
      <c r="WNU3" s="101"/>
      <c r="WNV3" s="100"/>
      <c r="WNW3" s="102"/>
      <c r="WNY3" s="101"/>
      <c r="WNZ3" s="100"/>
      <c r="WOA3" s="102"/>
      <c r="WOC3" s="101"/>
      <c r="WOD3" s="100"/>
      <c r="WOE3" s="102"/>
      <c r="WOG3" s="101"/>
      <c r="WOH3" s="100"/>
      <c r="WOI3" s="102"/>
      <c r="WOK3" s="101"/>
      <c r="WOL3" s="100"/>
      <c r="WOM3" s="102"/>
      <c r="WOO3" s="101"/>
      <c r="WOP3" s="100"/>
      <c r="WOQ3" s="102"/>
      <c r="WOS3" s="101"/>
      <c r="WOT3" s="100"/>
      <c r="WOU3" s="102"/>
      <c r="WOW3" s="101"/>
      <c r="WOX3" s="100"/>
      <c r="WOY3" s="102"/>
      <c r="WPA3" s="101"/>
      <c r="WPB3" s="100"/>
      <c r="WPC3" s="102"/>
      <c r="WPE3" s="101"/>
      <c r="WPF3" s="100"/>
      <c r="WPG3" s="102"/>
      <c r="WPI3" s="101"/>
      <c r="WPJ3" s="100"/>
      <c r="WPK3" s="102"/>
      <c r="WPM3" s="101"/>
      <c r="WPN3" s="100"/>
      <c r="WPO3" s="102"/>
      <c r="WPQ3" s="101"/>
      <c r="WPR3" s="100"/>
      <c r="WPS3" s="102"/>
      <c r="WPU3" s="101"/>
      <c r="WPV3" s="100"/>
      <c r="WPW3" s="102"/>
      <c r="WPY3" s="101"/>
      <c r="WPZ3" s="100"/>
      <c r="WQA3" s="102"/>
      <c r="WQC3" s="101"/>
      <c r="WQD3" s="100"/>
      <c r="WQE3" s="102"/>
      <c r="WQG3" s="101"/>
      <c r="WQH3" s="100"/>
      <c r="WQI3" s="102"/>
      <c r="WQK3" s="101"/>
      <c r="WQL3" s="100"/>
      <c r="WQM3" s="102"/>
      <c r="WQO3" s="101"/>
      <c r="WQP3" s="100"/>
      <c r="WQQ3" s="102"/>
      <c r="WQS3" s="101"/>
      <c r="WQT3" s="100"/>
      <c r="WQU3" s="102"/>
      <c r="WQW3" s="101"/>
      <c r="WQX3" s="100"/>
      <c r="WQY3" s="102"/>
      <c r="WRA3" s="101"/>
      <c r="WRB3" s="100"/>
      <c r="WRC3" s="102"/>
      <c r="WRE3" s="101"/>
      <c r="WRF3" s="100"/>
      <c r="WRG3" s="102"/>
      <c r="WRI3" s="101"/>
      <c r="WRJ3" s="100"/>
      <c r="WRK3" s="102"/>
      <c r="WRM3" s="101"/>
      <c r="WRN3" s="100"/>
      <c r="WRO3" s="102"/>
      <c r="WRQ3" s="101"/>
      <c r="WRR3" s="100"/>
      <c r="WRS3" s="102"/>
      <c r="WRU3" s="101"/>
      <c r="WRV3" s="100"/>
      <c r="WRW3" s="102"/>
      <c r="WRY3" s="101"/>
      <c r="WRZ3" s="100"/>
      <c r="WSA3" s="102"/>
      <c r="WSC3" s="101"/>
      <c r="WSD3" s="100"/>
      <c r="WSE3" s="102"/>
      <c r="WSG3" s="101"/>
      <c r="WSH3" s="100"/>
      <c r="WSI3" s="102"/>
      <c r="WSK3" s="101"/>
      <c r="WSL3" s="100"/>
      <c r="WSM3" s="102"/>
      <c r="WSO3" s="101"/>
      <c r="WSP3" s="100"/>
      <c r="WSQ3" s="102"/>
      <c r="WSS3" s="101"/>
      <c r="WST3" s="100"/>
      <c r="WSU3" s="102"/>
      <c r="WSW3" s="101"/>
      <c r="WSX3" s="100"/>
      <c r="WSY3" s="102"/>
      <c r="WTA3" s="101"/>
      <c r="WTB3" s="100"/>
      <c r="WTC3" s="102"/>
      <c r="WTE3" s="101"/>
      <c r="WTF3" s="100"/>
      <c r="WTG3" s="102"/>
      <c r="WTI3" s="101"/>
      <c r="WTJ3" s="100"/>
      <c r="WTK3" s="102"/>
      <c r="WTM3" s="101"/>
      <c r="WTN3" s="100"/>
      <c r="WTO3" s="102"/>
      <c r="WTQ3" s="101"/>
      <c r="WTR3" s="100"/>
      <c r="WTS3" s="102"/>
      <c r="WTU3" s="101"/>
      <c r="WTV3" s="100"/>
      <c r="WTW3" s="102"/>
      <c r="WTY3" s="101"/>
      <c r="WTZ3" s="100"/>
      <c r="WUA3" s="102"/>
      <c r="WUC3" s="101"/>
      <c r="WUD3" s="100"/>
      <c r="WUE3" s="102"/>
      <c r="WUG3" s="101"/>
      <c r="WUH3" s="100"/>
      <c r="WUI3" s="102"/>
      <c r="WUK3" s="101"/>
      <c r="WUL3" s="100"/>
      <c r="WUM3" s="102"/>
      <c r="WUO3" s="101"/>
      <c r="WUP3" s="100"/>
      <c r="WUQ3" s="102"/>
      <c r="WUS3" s="101"/>
      <c r="WUT3" s="100"/>
      <c r="WUU3" s="102"/>
      <c r="WUW3" s="101"/>
      <c r="WUX3" s="100"/>
      <c r="WUY3" s="102"/>
      <c r="WVA3" s="101"/>
      <c r="WVB3" s="100"/>
      <c r="WVC3" s="102"/>
      <c r="WVE3" s="101"/>
      <c r="WVF3" s="100"/>
      <c r="WVG3" s="102"/>
      <c r="WVI3" s="101"/>
      <c r="WVJ3" s="100"/>
      <c r="WVK3" s="102"/>
      <c r="WVM3" s="101"/>
      <c r="WVN3" s="100"/>
      <c r="WVO3" s="102"/>
      <c r="WVQ3" s="101"/>
      <c r="WVR3" s="100"/>
      <c r="WVS3" s="102"/>
      <c r="WVU3" s="101"/>
      <c r="WVV3" s="100"/>
      <c r="WVW3" s="102"/>
      <c r="WVY3" s="101"/>
      <c r="WVZ3" s="100"/>
      <c r="WWA3" s="102"/>
      <c r="WWC3" s="101"/>
      <c r="WWD3" s="100"/>
      <c r="WWE3" s="102"/>
      <c r="WWG3" s="101"/>
      <c r="WWH3" s="100"/>
      <c r="WWI3" s="102"/>
      <c r="WWK3" s="101"/>
      <c r="WWL3" s="100"/>
      <c r="WWM3" s="102"/>
      <c r="WWO3" s="101"/>
      <c r="WWP3" s="100"/>
      <c r="WWQ3" s="102"/>
      <c r="WWS3" s="101"/>
      <c r="WWT3" s="100"/>
      <c r="WWU3" s="102"/>
      <c r="WWW3" s="101"/>
      <c r="WWX3" s="100"/>
      <c r="WWY3" s="102"/>
      <c r="WXA3" s="101"/>
      <c r="WXB3" s="100"/>
      <c r="WXC3" s="102"/>
      <c r="WXE3" s="101"/>
      <c r="WXF3" s="100"/>
      <c r="WXG3" s="102"/>
      <c r="WXI3" s="101"/>
      <c r="WXJ3" s="100"/>
      <c r="WXK3" s="102"/>
      <c r="WXM3" s="101"/>
      <c r="WXN3" s="100"/>
      <c r="WXO3" s="102"/>
      <c r="WXQ3" s="101"/>
      <c r="WXR3" s="100"/>
      <c r="WXS3" s="102"/>
      <c r="WXU3" s="101"/>
      <c r="WXV3" s="100"/>
      <c r="WXW3" s="102"/>
      <c r="WXY3" s="101"/>
      <c r="WXZ3" s="100"/>
      <c r="WYA3" s="102"/>
      <c r="WYC3" s="101"/>
      <c r="WYD3" s="100"/>
      <c r="WYE3" s="102"/>
      <c r="WYG3" s="101"/>
      <c r="WYH3" s="100"/>
      <c r="WYI3" s="102"/>
      <c r="WYK3" s="101"/>
      <c r="WYL3" s="100"/>
      <c r="WYM3" s="102"/>
      <c r="WYO3" s="101"/>
      <c r="WYP3" s="100"/>
      <c r="WYQ3" s="102"/>
      <c r="WYS3" s="101"/>
      <c r="WYT3" s="100"/>
      <c r="WYU3" s="102"/>
      <c r="WYW3" s="101"/>
      <c r="WYX3" s="100"/>
      <c r="WYY3" s="102"/>
      <c r="WZA3" s="101"/>
      <c r="WZB3" s="100"/>
      <c r="WZC3" s="102"/>
      <c r="WZE3" s="101"/>
      <c r="WZF3" s="100"/>
      <c r="WZG3" s="102"/>
      <c r="WZI3" s="101"/>
      <c r="WZJ3" s="100"/>
      <c r="WZK3" s="102"/>
      <c r="WZM3" s="101"/>
      <c r="WZN3" s="100"/>
      <c r="WZO3" s="102"/>
      <c r="WZQ3" s="101"/>
      <c r="WZR3" s="100"/>
      <c r="WZS3" s="102"/>
      <c r="WZU3" s="101"/>
      <c r="WZV3" s="100"/>
      <c r="WZW3" s="102"/>
      <c r="WZY3" s="101"/>
      <c r="WZZ3" s="100"/>
      <c r="XAA3" s="102"/>
      <c r="XAC3" s="101"/>
      <c r="XAD3" s="100"/>
      <c r="XAE3" s="102"/>
      <c r="XAG3" s="101"/>
      <c r="XAH3" s="100"/>
      <c r="XAI3" s="102"/>
      <c r="XAK3" s="101"/>
      <c r="XAL3" s="100"/>
      <c r="XAM3" s="102"/>
      <c r="XAO3" s="101"/>
      <c r="XAP3" s="100"/>
      <c r="XAQ3" s="102"/>
      <c r="XAS3" s="101"/>
      <c r="XAT3" s="100"/>
      <c r="XAU3" s="102"/>
      <c r="XAW3" s="101"/>
      <c r="XAX3" s="100"/>
      <c r="XAY3" s="102"/>
      <c r="XBA3" s="101"/>
      <c r="XBB3" s="100"/>
      <c r="XBC3" s="102"/>
      <c r="XBE3" s="101"/>
      <c r="XBF3" s="100"/>
      <c r="XBG3" s="102"/>
      <c r="XBI3" s="101"/>
      <c r="XBJ3" s="100"/>
      <c r="XBK3" s="102"/>
      <c r="XBM3" s="101"/>
      <c r="XBN3" s="100"/>
      <c r="XBO3" s="102"/>
      <c r="XBQ3" s="101"/>
      <c r="XBR3" s="100"/>
      <c r="XBS3" s="102"/>
      <c r="XBU3" s="101"/>
      <c r="XBV3" s="100"/>
      <c r="XBW3" s="102"/>
      <c r="XBY3" s="101"/>
      <c r="XBZ3" s="100"/>
      <c r="XCA3" s="102"/>
      <c r="XCC3" s="101"/>
      <c r="XCD3" s="100"/>
      <c r="XCE3" s="102"/>
      <c r="XCG3" s="101"/>
      <c r="XCH3" s="100"/>
      <c r="XCI3" s="102"/>
      <c r="XCK3" s="101"/>
      <c r="XCL3" s="100"/>
      <c r="XCM3" s="102"/>
      <c r="XCO3" s="101"/>
      <c r="XCP3" s="100"/>
      <c r="XCQ3" s="102"/>
      <c r="XCS3" s="101"/>
      <c r="XCT3" s="100"/>
      <c r="XCU3" s="102"/>
      <c r="XCW3" s="101"/>
      <c r="XCX3" s="100"/>
      <c r="XCY3" s="102"/>
      <c r="XDA3" s="101"/>
      <c r="XDB3" s="100"/>
      <c r="XDC3" s="102"/>
      <c r="XDE3" s="101"/>
      <c r="XDF3" s="100"/>
      <c r="XDG3" s="102"/>
      <c r="XDI3" s="101"/>
      <c r="XDJ3" s="100"/>
      <c r="XDK3" s="102"/>
      <c r="XDM3" s="101"/>
      <c r="XDN3" s="100"/>
      <c r="XDO3" s="102"/>
      <c r="XDQ3" s="101"/>
      <c r="XDR3" s="100"/>
      <c r="XDS3" s="102"/>
      <c r="XDU3" s="101"/>
      <c r="XDV3" s="100"/>
      <c r="XDW3" s="102"/>
      <c r="XDY3" s="101"/>
      <c r="XDZ3" s="100"/>
      <c r="XEA3" s="102"/>
      <c r="XEC3" s="101"/>
      <c r="XED3" s="100"/>
      <c r="XEE3" s="102"/>
      <c r="XEG3" s="101"/>
      <c r="XEH3" s="100"/>
      <c r="XEI3" s="102"/>
      <c r="XEK3" s="101"/>
      <c r="XEL3" s="100"/>
      <c r="XEM3" s="102"/>
      <c r="XEO3" s="101"/>
      <c r="XEP3" s="100"/>
      <c r="XEQ3" s="102"/>
      <c r="XES3" s="101"/>
      <c r="XET3" s="100"/>
      <c r="XEU3" s="102"/>
      <c r="XEW3" s="101"/>
      <c r="XEX3" s="100"/>
      <c r="XEY3" s="102"/>
      <c r="XFA3" s="101"/>
      <c r="XFB3" s="100"/>
      <c r="XFC3" s="102"/>
    </row>
    <row r="4" spans="2:1023 1025:2047 2049:3071 3073:4095 4097:5119 5121:6143 6145:7167 7169:8191 8193:9215 9217:10239 10241:11263 11265:12287 12289:13311 13313:14335 14337:15359 15361:16383" x14ac:dyDescent="0.25">
      <c r="B4"/>
      <c r="C4" s="101"/>
      <c r="D4" s="100"/>
      <c r="E4" s="102"/>
      <c r="I4" s="101"/>
      <c r="J4" s="100"/>
      <c r="K4" s="100"/>
      <c r="L4" s="100"/>
      <c r="M4" s="101"/>
      <c r="N4" s="100"/>
      <c r="O4" s="102"/>
      <c r="Q4" s="101"/>
      <c r="R4" s="100"/>
      <c r="S4" s="102"/>
      <c r="U4" s="101"/>
      <c r="V4" s="100"/>
      <c r="W4" s="102"/>
      <c r="Y4" s="101"/>
      <c r="Z4" s="100"/>
      <c r="AA4" s="102"/>
      <c r="AC4" s="101"/>
      <c r="AD4" s="100"/>
      <c r="AE4" s="102"/>
      <c r="AG4" s="101"/>
      <c r="AH4" s="100"/>
      <c r="AI4" s="102"/>
      <c r="AK4" s="101"/>
      <c r="AL4" s="100"/>
      <c r="AM4" s="102"/>
      <c r="AO4" s="101"/>
      <c r="AP4" s="100"/>
      <c r="AQ4" s="102"/>
      <c r="AS4" s="101"/>
      <c r="AT4" s="100"/>
      <c r="AU4" s="102"/>
      <c r="AW4" s="101"/>
      <c r="AX4" s="100"/>
      <c r="AY4" s="102"/>
      <c r="BA4" s="101"/>
      <c r="BB4" s="100"/>
      <c r="BC4" s="102"/>
      <c r="BE4" s="101"/>
      <c r="BF4" s="100"/>
      <c r="BG4" s="102"/>
      <c r="BI4" s="101"/>
      <c r="BJ4" s="100"/>
      <c r="BK4" s="102"/>
      <c r="BM4" s="101"/>
      <c r="BN4" s="100"/>
      <c r="BO4" s="102"/>
      <c r="BQ4" s="101"/>
      <c r="BR4" s="100"/>
      <c r="BS4" s="102"/>
      <c r="BU4" s="101"/>
      <c r="BV4" s="100"/>
      <c r="BW4" s="102"/>
      <c r="BY4" s="101"/>
      <c r="BZ4" s="100"/>
      <c r="CA4" s="102"/>
      <c r="CC4" s="101"/>
      <c r="CD4" s="100"/>
      <c r="CE4" s="102"/>
      <c r="CG4" s="101"/>
      <c r="CH4" s="100"/>
      <c r="CI4" s="102"/>
      <c r="CK4" s="101"/>
      <c r="CL4" s="100"/>
      <c r="CM4" s="102"/>
      <c r="CO4" s="101"/>
      <c r="CP4" s="100"/>
      <c r="CQ4" s="102"/>
      <c r="CS4" s="101"/>
      <c r="CT4" s="100"/>
      <c r="CU4" s="102"/>
      <c r="CW4" s="101"/>
      <c r="CX4" s="100"/>
      <c r="CY4" s="102"/>
      <c r="DA4" s="101"/>
      <c r="DB4" s="100"/>
      <c r="DC4" s="102"/>
      <c r="DE4" s="101"/>
      <c r="DF4" s="100"/>
      <c r="DG4" s="102"/>
      <c r="DI4" s="101"/>
      <c r="DJ4" s="100"/>
      <c r="DK4" s="102"/>
      <c r="DM4" s="101"/>
      <c r="DN4" s="100"/>
      <c r="DO4" s="102"/>
      <c r="DQ4" s="101"/>
      <c r="DR4" s="100"/>
      <c r="DS4" s="102"/>
      <c r="DU4" s="101"/>
      <c r="DV4" s="100"/>
      <c r="DW4" s="102"/>
      <c r="DY4" s="101"/>
      <c r="DZ4" s="100"/>
      <c r="EA4" s="102"/>
      <c r="EC4" s="101"/>
      <c r="ED4" s="100"/>
      <c r="EE4" s="102"/>
      <c r="EG4" s="101"/>
      <c r="EH4" s="100"/>
      <c r="EI4" s="102"/>
      <c r="EK4" s="101"/>
      <c r="EL4" s="100"/>
      <c r="EM4" s="102"/>
      <c r="EO4" s="101"/>
      <c r="EP4" s="100"/>
      <c r="EQ4" s="102"/>
      <c r="ES4" s="101"/>
      <c r="ET4" s="100"/>
      <c r="EU4" s="102"/>
      <c r="EW4" s="101"/>
      <c r="EX4" s="100"/>
      <c r="EY4" s="102"/>
      <c r="FA4" s="101"/>
      <c r="FB4" s="100"/>
      <c r="FC4" s="102"/>
      <c r="FE4" s="101"/>
      <c r="FF4" s="100"/>
      <c r="FG4" s="102"/>
      <c r="FI4" s="101"/>
      <c r="FJ4" s="100"/>
      <c r="FK4" s="102"/>
      <c r="FM4" s="101"/>
      <c r="FN4" s="100"/>
      <c r="FO4" s="102"/>
      <c r="FQ4" s="101"/>
      <c r="FR4" s="100"/>
      <c r="FS4" s="102"/>
      <c r="FU4" s="101"/>
      <c r="FV4" s="100"/>
      <c r="FW4" s="102"/>
      <c r="FY4" s="101"/>
      <c r="FZ4" s="100"/>
      <c r="GA4" s="102"/>
      <c r="GC4" s="101"/>
      <c r="GD4" s="100"/>
      <c r="GE4" s="102"/>
      <c r="GG4" s="101"/>
      <c r="GH4" s="100"/>
      <c r="GI4" s="102"/>
      <c r="GK4" s="101"/>
      <c r="GL4" s="100"/>
      <c r="GM4" s="102"/>
      <c r="GO4" s="101"/>
      <c r="GP4" s="100"/>
      <c r="GQ4" s="102"/>
      <c r="GS4" s="101"/>
      <c r="GT4" s="100"/>
      <c r="GU4" s="102"/>
      <c r="GW4" s="101"/>
      <c r="GX4" s="100"/>
      <c r="GY4" s="102"/>
      <c r="HA4" s="101"/>
      <c r="HB4" s="100"/>
      <c r="HC4" s="102"/>
      <c r="HE4" s="101"/>
      <c r="HF4" s="100"/>
      <c r="HG4" s="102"/>
      <c r="HI4" s="101"/>
      <c r="HJ4" s="100"/>
      <c r="HK4" s="102"/>
      <c r="HM4" s="101"/>
      <c r="HN4" s="100"/>
      <c r="HO4" s="102"/>
      <c r="HQ4" s="101"/>
      <c r="HR4" s="100"/>
      <c r="HS4" s="102"/>
      <c r="HU4" s="101"/>
      <c r="HV4" s="100"/>
      <c r="HW4" s="102"/>
      <c r="HY4" s="101"/>
      <c r="HZ4" s="100"/>
      <c r="IA4" s="102"/>
      <c r="IC4" s="101"/>
      <c r="ID4" s="100"/>
      <c r="IE4" s="102"/>
      <c r="IG4" s="101"/>
      <c r="IH4" s="100"/>
      <c r="II4" s="102"/>
      <c r="IK4" s="101"/>
      <c r="IL4" s="100"/>
      <c r="IM4" s="102"/>
      <c r="IO4" s="101"/>
      <c r="IP4" s="100"/>
      <c r="IQ4" s="102"/>
      <c r="IS4" s="101"/>
      <c r="IT4" s="100"/>
      <c r="IU4" s="102"/>
      <c r="IW4" s="101"/>
      <c r="IX4" s="100"/>
      <c r="IY4" s="102"/>
      <c r="JA4" s="101"/>
      <c r="JB4" s="100"/>
      <c r="JC4" s="102"/>
      <c r="JE4" s="101"/>
      <c r="JF4" s="100"/>
      <c r="JG4" s="102"/>
      <c r="JI4" s="101"/>
      <c r="JJ4" s="100"/>
      <c r="JK4" s="102"/>
      <c r="JM4" s="101"/>
      <c r="JN4" s="100"/>
      <c r="JO4" s="102"/>
      <c r="JQ4" s="101"/>
      <c r="JR4" s="100"/>
      <c r="JS4" s="102"/>
      <c r="JU4" s="101"/>
      <c r="JV4" s="100"/>
      <c r="JW4" s="102"/>
      <c r="JY4" s="101"/>
      <c r="JZ4" s="100"/>
      <c r="KA4" s="102"/>
      <c r="KC4" s="101"/>
      <c r="KD4" s="100"/>
      <c r="KE4" s="102"/>
      <c r="KG4" s="101"/>
      <c r="KH4" s="100"/>
      <c r="KI4" s="102"/>
      <c r="KK4" s="101"/>
      <c r="KL4" s="100"/>
      <c r="KM4" s="102"/>
      <c r="KO4" s="101"/>
      <c r="KP4" s="100"/>
      <c r="KQ4" s="102"/>
      <c r="KS4" s="101"/>
      <c r="KT4" s="100"/>
      <c r="KU4" s="102"/>
      <c r="KW4" s="101"/>
      <c r="KX4" s="100"/>
      <c r="KY4" s="102"/>
      <c r="LA4" s="101"/>
      <c r="LB4" s="100"/>
      <c r="LC4" s="102"/>
      <c r="LE4" s="101"/>
      <c r="LF4" s="100"/>
      <c r="LG4" s="102"/>
      <c r="LI4" s="101"/>
      <c r="LJ4" s="100"/>
      <c r="LK4" s="102"/>
      <c r="LM4" s="101"/>
      <c r="LN4" s="100"/>
      <c r="LO4" s="102"/>
      <c r="LQ4" s="101"/>
      <c r="LR4" s="100"/>
      <c r="LS4" s="102"/>
      <c r="LU4" s="101"/>
      <c r="LV4" s="100"/>
      <c r="LW4" s="102"/>
      <c r="LY4" s="101"/>
      <c r="LZ4" s="100"/>
      <c r="MA4" s="102"/>
      <c r="MC4" s="101"/>
      <c r="MD4" s="100"/>
      <c r="ME4" s="102"/>
      <c r="MG4" s="101"/>
      <c r="MH4" s="100"/>
      <c r="MI4" s="102"/>
      <c r="MK4" s="101"/>
      <c r="ML4" s="100"/>
      <c r="MM4" s="102"/>
      <c r="MO4" s="101"/>
      <c r="MP4" s="100"/>
      <c r="MQ4" s="102"/>
      <c r="MS4" s="101"/>
      <c r="MT4" s="100"/>
      <c r="MU4" s="102"/>
      <c r="MW4" s="101"/>
      <c r="MX4" s="100"/>
      <c r="MY4" s="102"/>
      <c r="NA4" s="101"/>
      <c r="NB4" s="100"/>
      <c r="NC4" s="102"/>
      <c r="NE4" s="101"/>
      <c r="NF4" s="100"/>
      <c r="NG4" s="102"/>
      <c r="NI4" s="101"/>
      <c r="NJ4" s="100"/>
      <c r="NK4" s="102"/>
      <c r="NM4" s="101"/>
      <c r="NN4" s="100"/>
      <c r="NO4" s="102"/>
      <c r="NQ4" s="101"/>
      <c r="NR4" s="100"/>
      <c r="NS4" s="102"/>
      <c r="NU4" s="101"/>
      <c r="NV4" s="100"/>
      <c r="NW4" s="102"/>
      <c r="NY4" s="101"/>
      <c r="NZ4" s="100"/>
      <c r="OA4" s="102"/>
      <c r="OC4" s="101"/>
      <c r="OD4" s="100"/>
      <c r="OE4" s="102"/>
      <c r="OG4" s="101"/>
      <c r="OH4" s="100"/>
      <c r="OI4" s="102"/>
      <c r="OK4" s="101"/>
      <c r="OL4" s="100"/>
      <c r="OM4" s="102"/>
      <c r="OO4" s="101"/>
      <c r="OP4" s="100"/>
      <c r="OQ4" s="102"/>
      <c r="OS4" s="101"/>
      <c r="OT4" s="100"/>
      <c r="OU4" s="102"/>
      <c r="OW4" s="101"/>
      <c r="OX4" s="100"/>
      <c r="OY4" s="102"/>
      <c r="PA4" s="101"/>
      <c r="PB4" s="100"/>
      <c r="PC4" s="102"/>
      <c r="PE4" s="101"/>
      <c r="PF4" s="100"/>
      <c r="PG4" s="102"/>
      <c r="PI4" s="101"/>
      <c r="PJ4" s="100"/>
      <c r="PK4" s="102"/>
      <c r="PM4" s="101"/>
      <c r="PN4" s="100"/>
      <c r="PO4" s="102"/>
      <c r="PQ4" s="101"/>
      <c r="PR4" s="100"/>
      <c r="PS4" s="102"/>
      <c r="PU4" s="101"/>
      <c r="PV4" s="100"/>
      <c r="PW4" s="102"/>
      <c r="PY4" s="101"/>
      <c r="PZ4" s="100"/>
      <c r="QA4" s="102"/>
      <c r="QC4" s="101"/>
      <c r="QD4" s="100"/>
      <c r="QE4" s="102"/>
      <c r="QG4" s="101"/>
      <c r="QH4" s="100"/>
      <c r="QI4" s="102"/>
      <c r="QK4" s="101"/>
      <c r="QL4" s="100"/>
      <c r="QM4" s="102"/>
      <c r="QO4" s="101"/>
      <c r="QP4" s="100"/>
      <c r="QQ4" s="102"/>
      <c r="QS4" s="101"/>
      <c r="QT4" s="100"/>
      <c r="QU4" s="102"/>
      <c r="QW4" s="101"/>
      <c r="QX4" s="100"/>
      <c r="QY4" s="102"/>
      <c r="RA4" s="101"/>
      <c r="RB4" s="100"/>
      <c r="RC4" s="102"/>
      <c r="RE4" s="101"/>
      <c r="RF4" s="100"/>
      <c r="RG4" s="102"/>
      <c r="RI4" s="101"/>
      <c r="RJ4" s="100"/>
      <c r="RK4" s="102"/>
      <c r="RM4" s="101"/>
      <c r="RN4" s="100"/>
      <c r="RO4" s="102"/>
      <c r="RQ4" s="101"/>
      <c r="RR4" s="100"/>
      <c r="RS4" s="102"/>
      <c r="RU4" s="101"/>
      <c r="RV4" s="100"/>
      <c r="RW4" s="102"/>
      <c r="RY4" s="101"/>
      <c r="RZ4" s="100"/>
      <c r="SA4" s="102"/>
      <c r="SC4" s="101"/>
      <c r="SD4" s="100"/>
      <c r="SE4" s="102"/>
      <c r="SG4" s="101"/>
      <c r="SH4" s="100"/>
      <c r="SI4" s="102"/>
      <c r="SK4" s="101"/>
      <c r="SL4" s="100"/>
      <c r="SM4" s="102"/>
      <c r="SO4" s="101"/>
      <c r="SP4" s="100"/>
      <c r="SQ4" s="102"/>
      <c r="SS4" s="101"/>
      <c r="ST4" s="100"/>
      <c r="SU4" s="102"/>
      <c r="SW4" s="101"/>
      <c r="SX4" s="100"/>
      <c r="SY4" s="102"/>
      <c r="TA4" s="101"/>
      <c r="TB4" s="100"/>
      <c r="TC4" s="102"/>
      <c r="TE4" s="101"/>
      <c r="TF4" s="100"/>
      <c r="TG4" s="102"/>
      <c r="TI4" s="101"/>
      <c r="TJ4" s="100"/>
      <c r="TK4" s="102"/>
      <c r="TM4" s="101"/>
      <c r="TN4" s="100"/>
      <c r="TO4" s="102"/>
      <c r="TQ4" s="101"/>
      <c r="TR4" s="100"/>
      <c r="TS4" s="102"/>
      <c r="TU4" s="101"/>
      <c r="TV4" s="100"/>
      <c r="TW4" s="102"/>
      <c r="TY4" s="101"/>
      <c r="TZ4" s="100"/>
      <c r="UA4" s="102"/>
      <c r="UC4" s="101"/>
      <c r="UD4" s="100"/>
      <c r="UE4" s="102"/>
      <c r="UG4" s="101"/>
      <c r="UH4" s="100"/>
      <c r="UI4" s="102"/>
      <c r="UK4" s="101"/>
      <c r="UL4" s="100"/>
      <c r="UM4" s="102"/>
      <c r="UO4" s="101"/>
      <c r="UP4" s="100"/>
      <c r="UQ4" s="102"/>
      <c r="US4" s="101"/>
      <c r="UT4" s="100"/>
      <c r="UU4" s="102"/>
      <c r="UW4" s="101"/>
      <c r="UX4" s="100"/>
      <c r="UY4" s="102"/>
      <c r="VA4" s="101"/>
      <c r="VB4" s="100"/>
      <c r="VC4" s="102"/>
      <c r="VE4" s="101"/>
      <c r="VF4" s="100"/>
      <c r="VG4" s="102"/>
      <c r="VI4" s="101"/>
      <c r="VJ4" s="100"/>
      <c r="VK4" s="102"/>
      <c r="VM4" s="101"/>
      <c r="VN4" s="100"/>
      <c r="VO4" s="102"/>
      <c r="VQ4" s="101"/>
      <c r="VR4" s="100"/>
      <c r="VS4" s="102"/>
      <c r="VU4" s="101"/>
      <c r="VV4" s="100"/>
      <c r="VW4" s="102"/>
      <c r="VY4" s="101"/>
      <c r="VZ4" s="100"/>
      <c r="WA4" s="102"/>
      <c r="WC4" s="101"/>
      <c r="WD4" s="100"/>
      <c r="WE4" s="102"/>
      <c r="WG4" s="101"/>
      <c r="WH4" s="100"/>
      <c r="WI4" s="102"/>
      <c r="WK4" s="101"/>
      <c r="WL4" s="100"/>
      <c r="WM4" s="102"/>
      <c r="WO4" s="101"/>
      <c r="WP4" s="100"/>
      <c r="WQ4" s="102"/>
      <c r="WS4" s="101"/>
      <c r="WT4" s="100"/>
      <c r="WU4" s="102"/>
      <c r="WW4" s="101"/>
      <c r="WX4" s="100"/>
      <c r="WY4" s="102"/>
      <c r="XA4" s="101"/>
      <c r="XB4" s="100"/>
      <c r="XC4" s="102"/>
      <c r="XE4" s="101"/>
      <c r="XF4" s="100"/>
      <c r="XG4" s="102"/>
      <c r="XI4" s="101"/>
      <c r="XJ4" s="100"/>
      <c r="XK4" s="102"/>
      <c r="XM4" s="101"/>
      <c r="XN4" s="100"/>
      <c r="XO4" s="102"/>
      <c r="XQ4" s="101"/>
      <c r="XR4" s="100"/>
      <c r="XS4" s="102"/>
      <c r="XU4" s="101"/>
      <c r="XV4" s="100"/>
      <c r="XW4" s="102"/>
      <c r="XY4" s="101"/>
      <c r="XZ4" s="100"/>
      <c r="YA4" s="102"/>
      <c r="YC4" s="101"/>
      <c r="YD4" s="100"/>
      <c r="YE4" s="102"/>
      <c r="YG4" s="101"/>
      <c r="YH4" s="100"/>
      <c r="YI4" s="102"/>
      <c r="YK4" s="101"/>
      <c r="YL4" s="100"/>
      <c r="YM4" s="102"/>
      <c r="YO4" s="101"/>
      <c r="YP4" s="100"/>
      <c r="YQ4" s="102"/>
      <c r="YS4" s="101"/>
      <c r="YT4" s="100"/>
      <c r="YU4" s="102"/>
      <c r="YW4" s="101"/>
      <c r="YX4" s="100"/>
      <c r="YY4" s="102"/>
      <c r="ZA4" s="101"/>
      <c r="ZB4" s="100"/>
      <c r="ZC4" s="102"/>
      <c r="ZE4" s="101"/>
      <c r="ZF4" s="100"/>
      <c r="ZG4" s="102"/>
      <c r="ZI4" s="101"/>
      <c r="ZJ4" s="100"/>
      <c r="ZK4" s="102"/>
      <c r="ZM4" s="101"/>
      <c r="ZN4" s="100"/>
      <c r="ZO4" s="102"/>
      <c r="ZQ4" s="101"/>
      <c r="ZR4" s="100"/>
      <c r="ZS4" s="102"/>
      <c r="ZU4" s="101"/>
      <c r="ZV4" s="100"/>
      <c r="ZW4" s="102"/>
      <c r="ZY4" s="101"/>
      <c r="ZZ4" s="100"/>
      <c r="AAA4" s="102"/>
      <c r="AAC4" s="101"/>
      <c r="AAD4" s="100"/>
      <c r="AAE4" s="102"/>
      <c r="AAG4" s="101"/>
      <c r="AAH4" s="100"/>
      <c r="AAI4" s="102"/>
      <c r="AAK4" s="101"/>
      <c r="AAL4" s="100"/>
      <c r="AAM4" s="102"/>
      <c r="AAO4" s="101"/>
      <c r="AAP4" s="100"/>
      <c r="AAQ4" s="102"/>
      <c r="AAS4" s="101"/>
      <c r="AAT4" s="100"/>
      <c r="AAU4" s="102"/>
      <c r="AAW4" s="101"/>
      <c r="AAX4" s="100"/>
      <c r="AAY4" s="102"/>
      <c r="ABA4" s="101"/>
      <c r="ABB4" s="100"/>
      <c r="ABC4" s="102"/>
      <c r="ABE4" s="101"/>
      <c r="ABF4" s="100"/>
      <c r="ABG4" s="102"/>
      <c r="ABI4" s="101"/>
      <c r="ABJ4" s="100"/>
      <c r="ABK4" s="102"/>
      <c r="ABM4" s="101"/>
      <c r="ABN4" s="100"/>
      <c r="ABO4" s="102"/>
      <c r="ABQ4" s="101"/>
      <c r="ABR4" s="100"/>
      <c r="ABS4" s="102"/>
      <c r="ABU4" s="101"/>
      <c r="ABV4" s="100"/>
      <c r="ABW4" s="102"/>
      <c r="ABY4" s="101"/>
      <c r="ABZ4" s="100"/>
      <c r="ACA4" s="102"/>
      <c r="ACC4" s="101"/>
      <c r="ACD4" s="100"/>
      <c r="ACE4" s="102"/>
      <c r="ACG4" s="101"/>
      <c r="ACH4" s="100"/>
      <c r="ACI4" s="102"/>
      <c r="ACK4" s="101"/>
      <c r="ACL4" s="100"/>
      <c r="ACM4" s="102"/>
      <c r="ACO4" s="101"/>
      <c r="ACP4" s="100"/>
      <c r="ACQ4" s="102"/>
      <c r="ACS4" s="101"/>
      <c r="ACT4" s="100"/>
      <c r="ACU4" s="102"/>
      <c r="ACW4" s="101"/>
      <c r="ACX4" s="100"/>
      <c r="ACY4" s="102"/>
      <c r="ADA4" s="101"/>
      <c r="ADB4" s="100"/>
      <c r="ADC4" s="102"/>
      <c r="ADE4" s="101"/>
      <c r="ADF4" s="100"/>
      <c r="ADG4" s="102"/>
      <c r="ADI4" s="101"/>
      <c r="ADJ4" s="100"/>
      <c r="ADK4" s="102"/>
      <c r="ADM4" s="101"/>
      <c r="ADN4" s="100"/>
      <c r="ADO4" s="102"/>
      <c r="ADQ4" s="101"/>
      <c r="ADR4" s="100"/>
      <c r="ADS4" s="102"/>
      <c r="ADU4" s="101"/>
      <c r="ADV4" s="100"/>
      <c r="ADW4" s="102"/>
      <c r="ADY4" s="101"/>
      <c r="ADZ4" s="100"/>
      <c r="AEA4" s="102"/>
      <c r="AEC4" s="101"/>
      <c r="AED4" s="100"/>
      <c r="AEE4" s="102"/>
      <c r="AEG4" s="101"/>
      <c r="AEH4" s="100"/>
      <c r="AEI4" s="102"/>
      <c r="AEK4" s="101"/>
      <c r="AEL4" s="100"/>
      <c r="AEM4" s="102"/>
      <c r="AEO4" s="101"/>
      <c r="AEP4" s="100"/>
      <c r="AEQ4" s="102"/>
      <c r="AES4" s="101"/>
      <c r="AET4" s="100"/>
      <c r="AEU4" s="102"/>
      <c r="AEW4" s="101"/>
      <c r="AEX4" s="100"/>
      <c r="AEY4" s="102"/>
      <c r="AFA4" s="101"/>
      <c r="AFB4" s="100"/>
      <c r="AFC4" s="102"/>
      <c r="AFE4" s="101"/>
      <c r="AFF4" s="100"/>
      <c r="AFG4" s="102"/>
      <c r="AFI4" s="101"/>
      <c r="AFJ4" s="100"/>
      <c r="AFK4" s="102"/>
      <c r="AFM4" s="101"/>
      <c r="AFN4" s="100"/>
      <c r="AFO4" s="102"/>
      <c r="AFQ4" s="101"/>
      <c r="AFR4" s="100"/>
      <c r="AFS4" s="102"/>
      <c r="AFU4" s="101"/>
      <c r="AFV4" s="100"/>
      <c r="AFW4" s="102"/>
      <c r="AFY4" s="101"/>
      <c r="AFZ4" s="100"/>
      <c r="AGA4" s="102"/>
      <c r="AGC4" s="101"/>
      <c r="AGD4" s="100"/>
      <c r="AGE4" s="102"/>
      <c r="AGG4" s="101"/>
      <c r="AGH4" s="100"/>
      <c r="AGI4" s="102"/>
      <c r="AGK4" s="101"/>
      <c r="AGL4" s="100"/>
      <c r="AGM4" s="102"/>
      <c r="AGO4" s="101"/>
      <c r="AGP4" s="100"/>
      <c r="AGQ4" s="102"/>
      <c r="AGS4" s="101"/>
      <c r="AGT4" s="100"/>
      <c r="AGU4" s="102"/>
      <c r="AGW4" s="101"/>
      <c r="AGX4" s="100"/>
      <c r="AGY4" s="102"/>
      <c r="AHA4" s="101"/>
      <c r="AHB4" s="100"/>
      <c r="AHC4" s="102"/>
      <c r="AHE4" s="101"/>
      <c r="AHF4" s="100"/>
      <c r="AHG4" s="102"/>
      <c r="AHI4" s="101"/>
      <c r="AHJ4" s="100"/>
      <c r="AHK4" s="102"/>
      <c r="AHM4" s="101"/>
      <c r="AHN4" s="100"/>
      <c r="AHO4" s="102"/>
      <c r="AHQ4" s="101"/>
      <c r="AHR4" s="100"/>
      <c r="AHS4" s="102"/>
      <c r="AHU4" s="101"/>
      <c r="AHV4" s="100"/>
      <c r="AHW4" s="102"/>
      <c r="AHY4" s="101"/>
      <c r="AHZ4" s="100"/>
      <c r="AIA4" s="102"/>
      <c r="AIC4" s="101"/>
      <c r="AID4" s="100"/>
      <c r="AIE4" s="102"/>
      <c r="AIG4" s="101"/>
      <c r="AIH4" s="100"/>
      <c r="AII4" s="102"/>
      <c r="AIK4" s="101"/>
      <c r="AIL4" s="100"/>
      <c r="AIM4" s="102"/>
      <c r="AIO4" s="101"/>
      <c r="AIP4" s="100"/>
      <c r="AIQ4" s="102"/>
      <c r="AIS4" s="101"/>
      <c r="AIT4" s="100"/>
      <c r="AIU4" s="102"/>
      <c r="AIW4" s="101"/>
      <c r="AIX4" s="100"/>
      <c r="AIY4" s="102"/>
      <c r="AJA4" s="101"/>
      <c r="AJB4" s="100"/>
      <c r="AJC4" s="102"/>
      <c r="AJE4" s="101"/>
      <c r="AJF4" s="100"/>
      <c r="AJG4" s="102"/>
      <c r="AJI4" s="101"/>
      <c r="AJJ4" s="100"/>
      <c r="AJK4" s="102"/>
      <c r="AJM4" s="101"/>
      <c r="AJN4" s="100"/>
      <c r="AJO4" s="102"/>
      <c r="AJQ4" s="101"/>
      <c r="AJR4" s="100"/>
      <c r="AJS4" s="102"/>
      <c r="AJU4" s="101"/>
      <c r="AJV4" s="100"/>
      <c r="AJW4" s="102"/>
      <c r="AJY4" s="101"/>
      <c r="AJZ4" s="100"/>
      <c r="AKA4" s="102"/>
      <c r="AKC4" s="101"/>
      <c r="AKD4" s="100"/>
      <c r="AKE4" s="102"/>
      <c r="AKG4" s="101"/>
      <c r="AKH4" s="100"/>
      <c r="AKI4" s="102"/>
      <c r="AKK4" s="101"/>
      <c r="AKL4" s="100"/>
      <c r="AKM4" s="102"/>
      <c r="AKO4" s="101"/>
      <c r="AKP4" s="100"/>
      <c r="AKQ4" s="102"/>
      <c r="AKS4" s="101"/>
      <c r="AKT4" s="100"/>
      <c r="AKU4" s="102"/>
      <c r="AKW4" s="101"/>
      <c r="AKX4" s="100"/>
      <c r="AKY4" s="102"/>
      <c r="ALA4" s="101"/>
      <c r="ALB4" s="100"/>
      <c r="ALC4" s="102"/>
      <c r="ALE4" s="101"/>
      <c r="ALF4" s="100"/>
      <c r="ALG4" s="102"/>
      <c r="ALI4" s="101"/>
      <c r="ALJ4" s="100"/>
      <c r="ALK4" s="102"/>
      <c r="ALM4" s="101"/>
      <c r="ALN4" s="100"/>
      <c r="ALO4" s="102"/>
      <c r="ALQ4" s="101"/>
      <c r="ALR4" s="100"/>
      <c r="ALS4" s="102"/>
      <c r="ALU4" s="101"/>
      <c r="ALV4" s="100"/>
      <c r="ALW4" s="102"/>
      <c r="ALY4" s="101"/>
      <c r="ALZ4" s="100"/>
      <c r="AMA4" s="102"/>
      <c r="AMC4" s="101"/>
      <c r="AMD4" s="100"/>
      <c r="AME4" s="102"/>
      <c r="AMG4" s="101"/>
      <c r="AMH4" s="100"/>
      <c r="AMI4" s="102"/>
      <c r="AMK4" s="101"/>
      <c r="AML4" s="100"/>
      <c r="AMM4" s="102"/>
      <c r="AMO4" s="101"/>
      <c r="AMP4" s="100"/>
      <c r="AMQ4" s="102"/>
      <c r="AMS4" s="101"/>
      <c r="AMT4" s="100"/>
      <c r="AMU4" s="102"/>
      <c r="AMW4" s="101"/>
      <c r="AMX4" s="100"/>
      <c r="AMY4" s="102"/>
      <c r="ANA4" s="101"/>
      <c r="ANB4" s="100"/>
      <c r="ANC4" s="102"/>
      <c r="ANE4" s="101"/>
      <c r="ANF4" s="100"/>
      <c r="ANG4" s="102"/>
      <c r="ANI4" s="101"/>
      <c r="ANJ4" s="100"/>
      <c r="ANK4" s="102"/>
      <c r="ANM4" s="101"/>
      <c r="ANN4" s="100"/>
      <c r="ANO4" s="102"/>
      <c r="ANQ4" s="101"/>
      <c r="ANR4" s="100"/>
      <c r="ANS4" s="102"/>
      <c r="ANU4" s="101"/>
      <c r="ANV4" s="100"/>
      <c r="ANW4" s="102"/>
      <c r="ANY4" s="101"/>
      <c r="ANZ4" s="100"/>
      <c r="AOA4" s="102"/>
      <c r="AOC4" s="101"/>
      <c r="AOD4" s="100"/>
      <c r="AOE4" s="102"/>
      <c r="AOG4" s="101"/>
      <c r="AOH4" s="100"/>
      <c r="AOI4" s="102"/>
      <c r="AOK4" s="101"/>
      <c r="AOL4" s="100"/>
      <c r="AOM4" s="102"/>
      <c r="AOO4" s="101"/>
      <c r="AOP4" s="100"/>
      <c r="AOQ4" s="102"/>
      <c r="AOS4" s="101"/>
      <c r="AOT4" s="100"/>
      <c r="AOU4" s="102"/>
      <c r="AOW4" s="101"/>
      <c r="AOX4" s="100"/>
      <c r="AOY4" s="102"/>
      <c r="APA4" s="101"/>
      <c r="APB4" s="100"/>
      <c r="APC4" s="102"/>
      <c r="APE4" s="101"/>
      <c r="APF4" s="100"/>
      <c r="APG4" s="102"/>
      <c r="API4" s="101"/>
      <c r="APJ4" s="100"/>
      <c r="APK4" s="102"/>
      <c r="APM4" s="101"/>
      <c r="APN4" s="100"/>
      <c r="APO4" s="102"/>
      <c r="APQ4" s="101"/>
      <c r="APR4" s="100"/>
      <c r="APS4" s="102"/>
      <c r="APU4" s="101"/>
      <c r="APV4" s="100"/>
      <c r="APW4" s="102"/>
      <c r="APY4" s="101"/>
      <c r="APZ4" s="100"/>
      <c r="AQA4" s="102"/>
      <c r="AQC4" s="101"/>
      <c r="AQD4" s="100"/>
      <c r="AQE4" s="102"/>
      <c r="AQG4" s="101"/>
      <c r="AQH4" s="100"/>
      <c r="AQI4" s="102"/>
      <c r="AQK4" s="101"/>
      <c r="AQL4" s="100"/>
      <c r="AQM4" s="102"/>
      <c r="AQO4" s="101"/>
      <c r="AQP4" s="100"/>
      <c r="AQQ4" s="102"/>
      <c r="AQS4" s="101"/>
      <c r="AQT4" s="100"/>
      <c r="AQU4" s="102"/>
      <c r="AQW4" s="101"/>
      <c r="AQX4" s="100"/>
      <c r="AQY4" s="102"/>
      <c r="ARA4" s="101"/>
      <c r="ARB4" s="100"/>
      <c r="ARC4" s="102"/>
      <c r="ARE4" s="101"/>
      <c r="ARF4" s="100"/>
      <c r="ARG4" s="102"/>
      <c r="ARI4" s="101"/>
      <c r="ARJ4" s="100"/>
      <c r="ARK4" s="102"/>
      <c r="ARM4" s="101"/>
      <c r="ARN4" s="100"/>
      <c r="ARO4" s="102"/>
      <c r="ARQ4" s="101"/>
      <c r="ARR4" s="100"/>
      <c r="ARS4" s="102"/>
      <c r="ARU4" s="101"/>
      <c r="ARV4" s="100"/>
      <c r="ARW4" s="102"/>
      <c r="ARY4" s="101"/>
      <c r="ARZ4" s="100"/>
      <c r="ASA4" s="102"/>
      <c r="ASC4" s="101"/>
      <c r="ASD4" s="100"/>
      <c r="ASE4" s="102"/>
      <c r="ASG4" s="101"/>
      <c r="ASH4" s="100"/>
      <c r="ASI4" s="102"/>
      <c r="ASK4" s="101"/>
      <c r="ASL4" s="100"/>
      <c r="ASM4" s="102"/>
      <c r="ASO4" s="101"/>
      <c r="ASP4" s="100"/>
      <c r="ASQ4" s="102"/>
      <c r="ASS4" s="101"/>
      <c r="AST4" s="100"/>
      <c r="ASU4" s="102"/>
      <c r="ASW4" s="101"/>
      <c r="ASX4" s="100"/>
      <c r="ASY4" s="102"/>
      <c r="ATA4" s="101"/>
      <c r="ATB4" s="100"/>
      <c r="ATC4" s="102"/>
      <c r="ATE4" s="101"/>
      <c r="ATF4" s="100"/>
      <c r="ATG4" s="102"/>
      <c r="ATI4" s="101"/>
      <c r="ATJ4" s="100"/>
      <c r="ATK4" s="102"/>
      <c r="ATM4" s="101"/>
      <c r="ATN4" s="100"/>
      <c r="ATO4" s="102"/>
      <c r="ATQ4" s="101"/>
      <c r="ATR4" s="100"/>
      <c r="ATS4" s="102"/>
      <c r="ATU4" s="101"/>
      <c r="ATV4" s="100"/>
      <c r="ATW4" s="102"/>
      <c r="ATY4" s="101"/>
      <c r="ATZ4" s="100"/>
      <c r="AUA4" s="102"/>
      <c r="AUC4" s="101"/>
      <c r="AUD4" s="100"/>
      <c r="AUE4" s="102"/>
      <c r="AUG4" s="101"/>
      <c r="AUH4" s="100"/>
      <c r="AUI4" s="102"/>
      <c r="AUK4" s="101"/>
      <c r="AUL4" s="100"/>
      <c r="AUM4" s="102"/>
      <c r="AUO4" s="101"/>
      <c r="AUP4" s="100"/>
      <c r="AUQ4" s="102"/>
      <c r="AUS4" s="101"/>
      <c r="AUT4" s="100"/>
      <c r="AUU4" s="102"/>
      <c r="AUW4" s="101"/>
      <c r="AUX4" s="100"/>
      <c r="AUY4" s="102"/>
      <c r="AVA4" s="101"/>
      <c r="AVB4" s="100"/>
      <c r="AVC4" s="102"/>
      <c r="AVE4" s="101"/>
      <c r="AVF4" s="100"/>
      <c r="AVG4" s="102"/>
      <c r="AVI4" s="101"/>
      <c r="AVJ4" s="100"/>
      <c r="AVK4" s="102"/>
      <c r="AVM4" s="101"/>
      <c r="AVN4" s="100"/>
      <c r="AVO4" s="102"/>
      <c r="AVQ4" s="101"/>
      <c r="AVR4" s="100"/>
      <c r="AVS4" s="102"/>
      <c r="AVU4" s="101"/>
      <c r="AVV4" s="100"/>
      <c r="AVW4" s="102"/>
      <c r="AVY4" s="101"/>
      <c r="AVZ4" s="100"/>
      <c r="AWA4" s="102"/>
      <c r="AWC4" s="101"/>
      <c r="AWD4" s="100"/>
      <c r="AWE4" s="102"/>
      <c r="AWG4" s="101"/>
      <c r="AWH4" s="100"/>
      <c r="AWI4" s="102"/>
      <c r="AWK4" s="101"/>
      <c r="AWL4" s="100"/>
      <c r="AWM4" s="102"/>
      <c r="AWO4" s="101"/>
      <c r="AWP4" s="100"/>
      <c r="AWQ4" s="102"/>
      <c r="AWS4" s="101"/>
      <c r="AWT4" s="100"/>
      <c r="AWU4" s="102"/>
      <c r="AWW4" s="101"/>
      <c r="AWX4" s="100"/>
      <c r="AWY4" s="102"/>
      <c r="AXA4" s="101"/>
      <c r="AXB4" s="100"/>
      <c r="AXC4" s="102"/>
      <c r="AXE4" s="101"/>
      <c r="AXF4" s="100"/>
      <c r="AXG4" s="102"/>
      <c r="AXI4" s="101"/>
      <c r="AXJ4" s="100"/>
      <c r="AXK4" s="102"/>
      <c r="AXM4" s="101"/>
      <c r="AXN4" s="100"/>
      <c r="AXO4" s="102"/>
      <c r="AXQ4" s="101"/>
      <c r="AXR4" s="100"/>
      <c r="AXS4" s="102"/>
      <c r="AXU4" s="101"/>
      <c r="AXV4" s="100"/>
      <c r="AXW4" s="102"/>
      <c r="AXY4" s="101"/>
      <c r="AXZ4" s="100"/>
      <c r="AYA4" s="102"/>
      <c r="AYC4" s="101"/>
      <c r="AYD4" s="100"/>
      <c r="AYE4" s="102"/>
      <c r="AYG4" s="101"/>
      <c r="AYH4" s="100"/>
      <c r="AYI4" s="102"/>
      <c r="AYK4" s="101"/>
      <c r="AYL4" s="100"/>
      <c r="AYM4" s="102"/>
      <c r="AYO4" s="101"/>
      <c r="AYP4" s="100"/>
      <c r="AYQ4" s="102"/>
      <c r="AYS4" s="101"/>
      <c r="AYT4" s="100"/>
      <c r="AYU4" s="102"/>
      <c r="AYW4" s="101"/>
      <c r="AYX4" s="100"/>
      <c r="AYY4" s="102"/>
      <c r="AZA4" s="101"/>
      <c r="AZB4" s="100"/>
      <c r="AZC4" s="102"/>
      <c r="AZE4" s="101"/>
      <c r="AZF4" s="100"/>
      <c r="AZG4" s="102"/>
      <c r="AZI4" s="101"/>
      <c r="AZJ4" s="100"/>
      <c r="AZK4" s="102"/>
      <c r="AZM4" s="101"/>
      <c r="AZN4" s="100"/>
      <c r="AZO4" s="102"/>
      <c r="AZQ4" s="101"/>
      <c r="AZR4" s="100"/>
      <c r="AZS4" s="102"/>
      <c r="AZU4" s="101"/>
      <c r="AZV4" s="100"/>
      <c r="AZW4" s="102"/>
      <c r="AZY4" s="101"/>
      <c r="AZZ4" s="100"/>
      <c r="BAA4" s="102"/>
      <c r="BAC4" s="101"/>
      <c r="BAD4" s="100"/>
      <c r="BAE4" s="102"/>
      <c r="BAG4" s="101"/>
      <c r="BAH4" s="100"/>
      <c r="BAI4" s="102"/>
      <c r="BAK4" s="101"/>
      <c r="BAL4" s="100"/>
      <c r="BAM4" s="102"/>
      <c r="BAO4" s="101"/>
      <c r="BAP4" s="100"/>
      <c r="BAQ4" s="102"/>
      <c r="BAS4" s="101"/>
      <c r="BAT4" s="100"/>
      <c r="BAU4" s="102"/>
      <c r="BAW4" s="101"/>
      <c r="BAX4" s="100"/>
      <c r="BAY4" s="102"/>
      <c r="BBA4" s="101"/>
      <c r="BBB4" s="100"/>
      <c r="BBC4" s="102"/>
      <c r="BBE4" s="101"/>
      <c r="BBF4" s="100"/>
      <c r="BBG4" s="102"/>
      <c r="BBI4" s="101"/>
      <c r="BBJ4" s="100"/>
      <c r="BBK4" s="102"/>
      <c r="BBM4" s="101"/>
      <c r="BBN4" s="100"/>
      <c r="BBO4" s="102"/>
      <c r="BBQ4" s="101"/>
      <c r="BBR4" s="100"/>
      <c r="BBS4" s="102"/>
      <c r="BBU4" s="101"/>
      <c r="BBV4" s="100"/>
      <c r="BBW4" s="102"/>
      <c r="BBY4" s="101"/>
      <c r="BBZ4" s="100"/>
      <c r="BCA4" s="102"/>
      <c r="BCC4" s="101"/>
      <c r="BCD4" s="100"/>
      <c r="BCE4" s="102"/>
      <c r="BCG4" s="101"/>
      <c r="BCH4" s="100"/>
      <c r="BCI4" s="102"/>
      <c r="BCK4" s="101"/>
      <c r="BCL4" s="100"/>
      <c r="BCM4" s="102"/>
      <c r="BCO4" s="101"/>
      <c r="BCP4" s="100"/>
      <c r="BCQ4" s="102"/>
      <c r="BCS4" s="101"/>
      <c r="BCT4" s="100"/>
      <c r="BCU4" s="102"/>
      <c r="BCW4" s="101"/>
      <c r="BCX4" s="100"/>
      <c r="BCY4" s="102"/>
      <c r="BDA4" s="101"/>
      <c r="BDB4" s="100"/>
      <c r="BDC4" s="102"/>
      <c r="BDE4" s="101"/>
      <c r="BDF4" s="100"/>
      <c r="BDG4" s="102"/>
      <c r="BDI4" s="101"/>
      <c r="BDJ4" s="100"/>
      <c r="BDK4" s="102"/>
      <c r="BDM4" s="101"/>
      <c r="BDN4" s="100"/>
      <c r="BDO4" s="102"/>
      <c r="BDQ4" s="101"/>
      <c r="BDR4" s="100"/>
      <c r="BDS4" s="102"/>
      <c r="BDU4" s="101"/>
      <c r="BDV4" s="100"/>
      <c r="BDW4" s="102"/>
      <c r="BDY4" s="101"/>
      <c r="BDZ4" s="100"/>
      <c r="BEA4" s="102"/>
      <c r="BEC4" s="101"/>
      <c r="BED4" s="100"/>
      <c r="BEE4" s="102"/>
      <c r="BEG4" s="101"/>
      <c r="BEH4" s="100"/>
      <c r="BEI4" s="102"/>
      <c r="BEK4" s="101"/>
      <c r="BEL4" s="100"/>
      <c r="BEM4" s="102"/>
      <c r="BEO4" s="101"/>
      <c r="BEP4" s="100"/>
      <c r="BEQ4" s="102"/>
      <c r="BES4" s="101"/>
      <c r="BET4" s="100"/>
      <c r="BEU4" s="102"/>
      <c r="BEW4" s="101"/>
      <c r="BEX4" s="100"/>
      <c r="BEY4" s="102"/>
      <c r="BFA4" s="101"/>
      <c r="BFB4" s="100"/>
      <c r="BFC4" s="102"/>
      <c r="BFE4" s="101"/>
      <c r="BFF4" s="100"/>
      <c r="BFG4" s="102"/>
      <c r="BFI4" s="101"/>
      <c r="BFJ4" s="100"/>
      <c r="BFK4" s="102"/>
      <c r="BFM4" s="101"/>
      <c r="BFN4" s="100"/>
      <c r="BFO4" s="102"/>
      <c r="BFQ4" s="101"/>
      <c r="BFR4" s="100"/>
      <c r="BFS4" s="102"/>
      <c r="BFU4" s="101"/>
      <c r="BFV4" s="100"/>
      <c r="BFW4" s="102"/>
      <c r="BFY4" s="101"/>
      <c r="BFZ4" s="100"/>
      <c r="BGA4" s="102"/>
      <c r="BGC4" s="101"/>
      <c r="BGD4" s="100"/>
      <c r="BGE4" s="102"/>
      <c r="BGG4" s="101"/>
      <c r="BGH4" s="100"/>
      <c r="BGI4" s="102"/>
      <c r="BGK4" s="101"/>
      <c r="BGL4" s="100"/>
      <c r="BGM4" s="102"/>
      <c r="BGO4" s="101"/>
      <c r="BGP4" s="100"/>
      <c r="BGQ4" s="102"/>
      <c r="BGS4" s="101"/>
      <c r="BGT4" s="100"/>
      <c r="BGU4" s="102"/>
      <c r="BGW4" s="101"/>
      <c r="BGX4" s="100"/>
      <c r="BGY4" s="102"/>
      <c r="BHA4" s="101"/>
      <c r="BHB4" s="100"/>
      <c r="BHC4" s="102"/>
      <c r="BHE4" s="101"/>
      <c r="BHF4" s="100"/>
      <c r="BHG4" s="102"/>
      <c r="BHI4" s="101"/>
      <c r="BHJ4" s="100"/>
      <c r="BHK4" s="102"/>
      <c r="BHM4" s="101"/>
      <c r="BHN4" s="100"/>
      <c r="BHO4" s="102"/>
      <c r="BHQ4" s="101"/>
      <c r="BHR4" s="100"/>
      <c r="BHS4" s="102"/>
      <c r="BHU4" s="101"/>
      <c r="BHV4" s="100"/>
      <c r="BHW4" s="102"/>
      <c r="BHY4" s="101"/>
      <c r="BHZ4" s="100"/>
      <c r="BIA4" s="102"/>
      <c r="BIC4" s="101"/>
      <c r="BID4" s="100"/>
      <c r="BIE4" s="102"/>
      <c r="BIG4" s="101"/>
      <c r="BIH4" s="100"/>
      <c r="BII4" s="102"/>
      <c r="BIK4" s="101"/>
      <c r="BIL4" s="100"/>
      <c r="BIM4" s="102"/>
      <c r="BIO4" s="101"/>
      <c r="BIP4" s="100"/>
      <c r="BIQ4" s="102"/>
      <c r="BIS4" s="101"/>
      <c r="BIT4" s="100"/>
      <c r="BIU4" s="102"/>
      <c r="BIW4" s="101"/>
      <c r="BIX4" s="100"/>
      <c r="BIY4" s="102"/>
      <c r="BJA4" s="101"/>
      <c r="BJB4" s="100"/>
      <c r="BJC4" s="102"/>
      <c r="BJE4" s="101"/>
      <c r="BJF4" s="100"/>
      <c r="BJG4" s="102"/>
      <c r="BJI4" s="101"/>
      <c r="BJJ4" s="100"/>
      <c r="BJK4" s="102"/>
      <c r="BJM4" s="101"/>
      <c r="BJN4" s="100"/>
      <c r="BJO4" s="102"/>
      <c r="BJQ4" s="101"/>
      <c r="BJR4" s="100"/>
      <c r="BJS4" s="102"/>
      <c r="BJU4" s="101"/>
      <c r="BJV4" s="100"/>
      <c r="BJW4" s="102"/>
      <c r="BJY4" s="101"/>
      <c r="BJZ4" s="100"/>
      <c r="BKA4" s="102"/>
      <c r="BKC4" s="101"/>
      <c r="BKD4" s="100"/>
      <c r="BKE4" s="102"/>
      <c r="BKG4" s="101"/>
      <c r="BKH4" s="100"/>
      <c r="BKI4" s="102"/>
      <c r="BKK4" s="101"/>
      <c r="BKL4" s="100"/>
      <c r="BKM4" s="102"/>
      <c r="BKO4" s="101"/>
      <c r="BKP4" s="100"/>
      <c r="BKQ4" s="102"/>
      <c r="BKS4" s="101"/>
      <c r="BKT4" s="100"/>
      <c r="BKU4" s="102"/>
      <c r="BKW4" s="101"/>
      <c r="BKX4" s="100"/>
      <c r="BKY4" s="102"/>
      <c r="BLA4" s="101"/>
      <c r="BLB4" s="100"/>
      <c r="BLC4" s="102"/>
      <c r="BLE4" s="101"/>
      <c r="BLF4" s="100"/>
      <c r="BLG4" s="102"/>
      <c r="BLI4" s="101"/>
      <c r="BLJ4" s="100"/>
      <c r="BLK4" s="102"/>
      <c r="BLM4" s="101"/>
      <c r="BLN4" s="100"/>
      <c r="BLO4" s="102"/>
      <c r="BLQ4" s="101"/>
      <c r="BLR4" s="100"/>
      <c r="BLS4" s="102"/>
      <c r="BLU4" s="101"/>
      <c r="BLV4" s="100"/>
      <c r="BLW4" s="102"/>
      <c r="BLY4" s="101"/>
      <c r="BLZ4" s="100"/>
      <c r="BMA4" s="102"/>
      <c r="BMC4" s="101"/>
      <c r="BMD4" s="100"/>
      <c r="BME4" s="102"/>
      <c r="BMG4" s="101"/>
      <c r="BMH4" s="100"/>
      <c r="BMI4" s="102"/>
      <c r="BMK4" s="101"/>
      <c r="BML4" s="100"/>
      <c r="BMM4" s="102"/>
      <c r="BMO4" s="101"/>
      <c r="BMP4" s="100"/>
      <c r="BMQ4" s="102"/>
      <c r="BMS4" s="101"/>
      <c r="BMT4" s="100"/>
      <c r="BMU4" s="102"/>
      <c r="BMW4" s="101"/>
      <c r="BMX4" s="100"/>
      <c r="BMY4" s="102"/>
      <c r="BNA4" s="101"/>
      <c r="BNB4" s="100"/>
      <c r="BNC4" s="102"/>
      <c r="BNE4" s="101"/>
      <c r="BNF4" s="100"/>
      <c r="BNG4" s="102"/>
      <c r="BNI4" s="101"/>
      <c r="BNJ4" s="100"/>
      <c r="BNK4" s="102"/>
      <c r="BNM4" s="101"/>
      <c r="BNN4" s="100"/>
      <c r="BNO4" s="102"/>
      <c r="BNQ4" s="101"/>
      <c r="BNR4" s="100"/>
      <c r="BNS4" s="102"/>
      <c r="BNU4" s="101"/>
      <c r="BNV4" s="100"/>
      <c r="BNW4" s="102"/>
      <c r="BNY4" s="101"/>
      <c r="BNZ4" s="100"/>
      <c r="BOA4" s="102"/>
      <c r="BOC4" s="101"/>
      <c r="BOD4" s="100"/>
      <c r="BOE4" s="102"/>
      <c r="BOG4" s="101"/>
      <c r="BOH4" s="100"/>
      <c r="BOI4" s="102"/>
      <c r="BOK4" s="101"/>
      <c r="BOL4" s="100"/>
      <c r="BOM4" s="102"/>
      <c r="BOO4" s="101"/>
      <c r="BOP4" s="100"/>
      <c r="BOQ4" s="102"/>
      <c r="BOS4" s="101"/>
      <c r="BOT4" s="100"/>
      <c r="BOU4" s="102"/>
      <c r="BOW4" s="101"/>
      <c r="BOX4" s="100"/>
      <c r="BOY4" s="102"/>
      <c r="BPA4" s="101"/>
      <c r="BPB4" s="100"/>
      <c r="BPC4" s="102"/>
      <c r="BPE4" s="101"/>
      <c r="BPF4" s="100"/>
      <c r="BPG4" s="102"/>
      <c r="BPI4" s="101"/>
      <c r="BPJ4" s="100"/>
      <c r="BPK4" s="102"/>
      <c r="BPM4" s="101"/>
      <c r="BPN4" s="100"/>
      <c r="BPO4" s="102"/>
      <c r="BPQ4" s="101"/>
      <c r="BPR4" s="100"/>
      <c r="BPS4" s="102"/>
      <c r="BPU4" s="101"/>
      <c r="BPV4" s="100"/>
      <c r="BPW4" s="102"/>
      <c r="BPY4" s="101"/>
      <c r="BPZ4" s="100"/>
      <c r="BQA4" s="102"/>
      <c r="BQC4" s="101"/>
      <c r="BQD4" s="100"/>
      <c r="BQE4" s="102"/>
      <c r="BQG4" s="101"/>
      <c r="BQH4" s="100"/>
      <c r="BQI4" s="102"/>
      <c r="BQK4" s="101"/>
      <c r="BQL4" s="100"/>
      <c r="BQM4" s="102"/>
      <c r="BQO4" s="101"/>
      <c r="BQP4" s="100"/>
      <c r="BQQ4" s="102"/>
      <c r="BQS4" s="101"/>
      <c r="BQT4" s="100"/>
      <c r="BQU4" s="102"/>
      <c r="BQW4" s="101"/>
      <c r="BQX4" s="100"/>
      <c r="BQY4" s="102"/>
      <c r="BRA4" s="101"/>
      <c r="BRB4" s="100"/>
      <c r="BRC4" s="102"/>
      <c r="BRE4" s="101"/>
      <c r="BRF4" s="100"/>
      <c r="BRG4" s="102"/>
      <c r="BRI4" s="101"/>
      <c r="BRJ4" s="100"/>
      <c r="BRK4" s="102"/>
      <c r="BRM4" s="101"/>
      <c r="BRN4" s="100"/>
      <c r="BRO4" s="102"/>
      <c r="BRQ4" s="101"/>
      <c r="BRR4" s="100"/>
      <c r="BRS4" s="102"/>
      <c r="BRU4" s="101"/>
      <c r="BRV4" s="100"/>
      <c r="BRW4" s="102"/>
      <c r="BRY4" s="101"/>
      <c r="BRZ4" s="100"/>
      <c r="BSA4" s="102"/>
      <c r="BSC4" s="101"/>
      <c r="BSD4" s="100"/>
      <c r="BSE4" s="102"/>
      <c r="BSG4" s="101"/>
      <c r="BSH4" s="100"/>
      <c r="BSI4" s="102"/>
      <c r="BSK4" s="101"/>
      <c r="BSL4" s="100"/>
      <c r="BSM4" s="102"/>
      <c r="BSO4" s="101"/>
      <c r="BSP4" s="100"/>
      <c r="BSQ4" s="102"/>
      <c r="BSS4" s="101"/>
      <c r="BST4" s="100"/>
      <c r="BSU4" s="102"/>
      <c r="BSW4" s="101"/>
      <c r="BSX4" s="100"/>
      <c r="BSY4" s="102"/>
      <c r="BTA4" s="101"/>
      <c r="BTB4" s="100"/>
      <c r="BTC4" s="102"/>
      <c r="BTE4" s="101"/>
      <c r="BTF4" s="100"/>
      <c r="BTG4" s="102"/>
      <c r="BTI4" s="101"/>
      <c r="BTJ4" s="100"/>
      <c r="BTK4" s="102"/>
      <c r="BTM4" s="101"/>
      <c r="BTN4" s="100"/>
      <c r="BTO4" s="102"/>
      <c r="BTQ4" s="101"/>
      <c r="BTR4" s="100"/>
      <c r="BTS4" s="102"/>
      <c r="BTU4" s="101"/>
      <c r="BTV4" s="100"/>
      <c r="BTW4" s="102"/>
      <c r="BTY4" s="101"/>
      <c r="BTZ4" s="100"/>
      <c r="BUA4" s="102"/>
      <c r="BUC4" s="101"/>
      <c r="BUD4" s="100"/>
      <c r="BUE4" s="102"/>
      <c r="BUG4" s="101"/>
      <c r="BUH4" s="100"/>
      <c r="BUI4" s="102"/>
      <c r="BUK4" s="101"/>
      <c r="BUL4" s="100"/>
      <c r="BUM4" s="102"/>
      <c r="BUO4" s="101"/>
      <c r="BUP4" s="100"/>
      <c r="BUQ4" s="102"/>
      <c r="BUS4" s="101"/>
      <c r="BUT4" s="100"/>
      <c r="BUU4" s="102"/>
      <c r="BUW4" s="101"/>
      <c r="BUX4" s="100"/>
      <c r="BUY4" s="102"/>
      <c r="BVA4" s="101"/>
      <c r="BVB4" s="100"/>
      <c r="BVC4" s="102"/>
      <c r="BVE4" s="101"/>
      <c r="BVF4" s="100"/>
      <c r="BVG4" s="102"/>
      <c r="BVI4" s="101"/>
      <c r="BVJ4" s="100"/>
      <c r="BVK4" s="102"/>
      <c r="BVM4" s="101"/>
      <c r="BVN4" s="100"/>
      <c r="BVO4" s="102"/>
      <c r="BVQ4" s="101"/>
      <c r="BVR4" s="100"/>
      <c r="BVS4" s="102"/>
      <c r="BVU4" s="101"/>
      <c r="BVV4" s="100"/>
      <c r="BVW4" s="102"/>
      <c r="BVY4" s="101"/>
      <c r="BVZ4" s="100"/>
      <c r="BWA4" s="102"/>
      <c r="BWC4" s="101"/>
      <c r="BWD4" s="100"/>
      <c r="BWE4" s="102"/>
      <c r="BWG4" s="101"/>
      <c r="BWH4" s="100"/>
      <c r="BWI4" s="102"/>
      <c r="BWK4" s="101"/>
      <c r="BWL4" s="100"/>
      <c r="BWM4" s="102"/>
      <c r="BWO4" s="101"/>
      <c r="BWP4" s="100"/>
      <c r="BWQ4" s="102"/>
      <c r="BWS4" s="101"/>
      <c r="BWT4" s="100"/>
      <c r="BWU4" s="102"/>
      <c r="BWW4" s="101"/>
      <c r="BWX4" s="100"/>
      <c r="BWY4" s="102"/>
      <c r="BXA4" s="101"/>
      <c r="BXB4" s="100"/>
      <c r="BXC4" s="102"/>
      <c r="BXE4" s="101"/>
      <c r="BXF4" s="100"/>
      <c r="BXG4" s="102"/>
      <c r="BXI4" s="101"/>
      <c r="BXJ4" s="100"/>
      <c r="BXK4" s="102"/>
      <c r="BXM4" s="101"/>
      <c r="BXN4" s="100"/>
      <c r="BXO4" s="102"/>
      <c r="BXQ4" s="101"/>
      <c r="BXR4" s="100"/>
      <c r="BXS4" s="102"/>
      <c r="BXU4" s="101"/>
      <c r="BXV4" s="100"/>
      <c r="BXW4" s="102"/>
      <c r="BXY4" s="101"/>
      <c r="BXZ4" s="100"/>
      <c r="BYA4" s="102"/>
      <c r="BYC4" s="101"/>
      <c r="BYD4" s="100"/>
      <c r="BYE4" s="102"/>
      <c r="BYG4" s="101"/>
      <c r="BYH4" s="100"/>
      <c r="BYI4" s="102"/>
      <c r="BYK4" s="101"/>
      <c r="BYL4" s="100"/>
      <c r="BYM4" s="102"/>
      <c r="BYO4" s="101"/>
      <c r="BYP4" s="100"/>
      <c r="BYQ4" s="102"/>
      <c r="BYS4" s="101"/>
      <c r="BYT4" s="100"/>
      <c r="BYU4" s="102"/>
      <c r="BYW4" s="101"/>
      <c r="BYX4" s="100"/>
      <c r="BYY4" s="102"/>
      <c r="BZA4" s="101"/>
      <c r="BZB4" s="100"/>
      <c r="BZC4" s="102"/>
      <c r="BZE4" s="101"/>
      <c r="BZF4" s="100"/>
      <c r="BZG4" s="102"/>
      <c r="BZI4" s="101"/>
      <c r="BZJ4" s="100"/>
      <c r="BZK4" s="102"/>
      <c r="BZM4" s="101"/>
      <c r="BZN4" s="100"/>
      <c r="BZO4" s="102"/>
      <c r="BZQ4" s="101"/>
      <c r="BZR4" s="100"/>
      <c r="BZS4" s="102"/>
      <c r="BZU4" s="101"/>
      <c r="BZV4" s="100"/>
      <c r="BZW4" s="102"/>
      <c r="BZY4" s="101"/>
      <c r="BZZ4" s="100"/>
      <c r="CAA4" s="102"/>
      <c r="CAC4" s="101"/>
      <c r="CAD4" s="100"/>
      <c r="CAE4" s="102"/>
      <c r="CAG4" s="101"/>
      <c r="CAH4" s="100"/>
      <c r="CAI4" s="102"/>
      <c r="CAK4" s="101"/>
      <c r="CAL4" s="100"/>
      <c r="CAM4" s="102"/>
      <c r="CAO4" s="101"/>
      <c r="CAP4" s="100"/>
      <c r="CAQ4" s="102"/>
      <c r="CAS4" s="101"/>
      <c r="CAT4" s="100"/>
      <c r="CAU4" s="102"/>
      <c r="CAW4" s="101"/>
      <c r="CAX4" s="100"/>
      <c r="CAY4" s="102"/>
      <c r="CBA4" s="101"/>
      <c r="CBB4" s="100"/>
      <c r="CBC4" s="102"/>
      <c r="CBE4" s="101"/>
      <c r="CBF4" s="100"/>
      <c r="CBG4" s="102"/>
      <c r="CBI4" s="101"/>
      <c r="CBJ4" s="100"/>
      <c r="CBK4" s="102"/>
      <c r="CBM4" s="101"/>
      <c r="CBN4" s="100"/>
      <c r="CBO4" s="102"/>
      <c r="CBQ4" s="101"/>
      <c r="CBR4" s="100"/>
      <c r="CBS4" s="102"/>
      <c r="CBU4" s="101"/>
      <c r="CBV4" s="100"/>
      <c r="CBW4" s="102"/>
      <c r="CBY4" s="101"/>
      <c r="CBZ4" s="100"/>
      <c r="CCA4" s="102"/>
      <c r="CCC4" s="101"/>
      <c r="CCD4" s="100"/>
      <c r="CCE4" s="102"/>
      <c r="CCG4" s="101"/>
      <c r="CCH4" s="100"/>
      <c r="CCI4" s="102"/>
      <c r="CCK4" s="101"/>
      <c r="CCL4" s="100"/>
      <c r="CCM4" s="102"/>
      <c r="CCO4" s="101"/>
      <c r="CCP4" s="100"/>
      <c r="CCQ4" s="102"/>
      <c r="CCS4" s="101"/>
      <c r="CCT4" s="100"/>
      <c r="CCU4" s="102"/>
      <c r="CCW4" s="101"/>
      <c r="CCX4" s="100"/>
      <c r="CCY4" s="102"/>
      <c r="CDA4" s="101"/>
      <c r="CDB4" s="100"/>
      <c r="CDC4" s="102"/>
      <c r="CDE4" s="101"/>
      <c r="CDF4" s="100"/>
      <c r="CDG4" s="102"/>
      <c r="CDI4" s="101"/>
      <c r="CDJ4" s="100"/>
      <c r="CDK4" s="102"/>
      <c r="CDM4" s="101"/>
      <c r="CDN4" s="100"/>
      <c r="CDO4" s="102"/>
      <c r="CDQ4" s="101"/>
      <c r="CDR4" s="100"/>
      <c r="CDS4" s="102"/>
      <c r="CDU4" s="101"/>
      <c r="CDV4" s="100"/>
      <c r="CDW4" s="102"/>
      <c r="CDY4" s="101"/>
      <c r="CDZ4" s="100"/>
      <c r="CEA4" s="102"/>
      <c r="CEC4" s="101"/>
      <c r="CED4" s="100"/>
      <c r="CEE4" s="102"/>
      <c r="CEG4" s="101"/>
      <c r="CEH4" s="100"/>
      <c r="CEI4" s="102"/>
      <c r="CEK4" s="101"/>
      <c r="CEL4" s="100"/>
      <c r="CEM4" s="102"/>
      <c r="CEO4" s="101"/>
      <c r="CEP4" s="100"/>
      <c r="CEQ4" s="102"/>
      <c r="CES4" s="101"/>
      <c r="CET4" s="100"/>
      <c r="CEU4" s="102"/>
      <c r="CEW4" s="101"/>
      <c r="CEX4" s="100"/>
      <c r="CEY4" s="102"/>
      <c r="CFA4" s="101"/>
      <c r="CFB4" s="100"/>
      <c r="CFC4" s="102"/>
      <c r="CFE4" s="101"/>
      <c r="CFF4" s="100"/>
      <c r="CFG4" s="102"/>
      <c r="CFI4" s="101"/>
      <c r="CFJ4" s="100"/>
      <c r="CFK4" s="102"/>
      <c r="CFM4" s="101"/>
      <c r="CFN4" s="100"/>
      <c r="CFO4" s="102"/>
      <c r="CFQ4" s="101"/>
      <c r="CFR4" s="100"/>
      <c r="CFS4" s="102"/>
      <c r="CFU4" s="101"/>
      <c r="CFV4" s="100"/>
      <c r="CFW4" s="102"/>
      <c r="CFY4" s="101"/>
      <c r="CFZ4" s="100"/>
      <c r="CGA4" s="102"/>
      <c r="CGC4" s="101"/>
      <c r="CGD4" s="100"/>
      <c r="CGE4" s="102"/>
      <c r="CGG4" s="101"/>
      <c r="CGH4" s="100"/>
      <c r="CGI4" s="102"/>
      <c r="CGK4" s="101"/>
      <c r="CGL4" s="100"/>
      <c r="CGM4" s="102"/>
      <c r="CGO4" s="101"/>
      <c r="CGP4" s="100"/>
      <c r="CGQ4" s="102"/>
      <c r="CGS4" s="101"/>
      <c r="CGT4" s="100"/>
      <c r="CGU4" s="102"/>
      <c r="CGW4" s="101"/>
      <c r="CGX4" s="100"/>
      <c r="CGY4" s="102"/>
      <c r="CHA4" s="101"/>
      <c r="CHB4" s="100"/>
      <c r="CHC4" s="102"/>
      <c r="CHE4" s="101"/>
      <c r="CHF4" s="100"/>
      <c r="CHG4" s="102"/>
      <c r="CHI4" s="101"/>
      <c r="CHJ4" s="100"/>
      <c r="CHK4" s="102"/>
      <c r="CHM4" s="101"/>
      <c r="CHN4" s="100"/>
      <c r="CHO4" s="102"/>
      <c r="CHQ4" s="101"/>
      <c r="CHR4" s="100"/>
      <c r="CHS4" s="102"/>
      <c r="CHU4" s="101"/>
      <c r="CHV4" s="100"/>
      <c r="CHW4" s="102"/>
      <c r="CHY4" s="101"/>
      <c r="CHZ4" s="100"/>
      <c r="CIA4" s="102"/>
      <c r="CIC4" s="101"/>
      <c r="CID4" s="100"/>
      <c r="CIE4" s="102"/>
      <c r="CIG4" s="101"/>
      <c r="CIH4" s="100"/>
      <c r="CII4" s="102"/>
      <c r="CIK4" s="101"/>
      <c r="CIL4" s="100"/>
      <c r="CIM4" s="102"/>
      <c r="CIO4" s="101"/>
      <c r="CIP4" s="100"/>
      <c r="CIQ4" s="102"/>
      <c r="CIS4" s="101"/>
      <c r="CIT4" s="100"/>
      <c r="CIU4" s="102"/>
      <c r="CIW4" s="101"/>
      <c r="CIX4" s="100"/>
      <c r="CIY4" s="102"/>
      <c r="CJA4" s="101"/>
      <c r="CJB4" s="100"/>
      <c r="CJC4" s="102"/>
      <c r="CJE4" s="101"/>
      <c r="CJF4" s="100"/>
      <c r="CJG4" s="102"/>
      <c r="CJI4" s="101"/>
      <c r="CJJ4" s="100"/>
      <c r="CJK4" s="102"/>
      <c r="CJM4" s="101"/>
      <c r="CJN4" s="100"/>
      <c r="CJO4" s="102"/>
      <c r="CJQ4" s="101"/>
      <c r="CJR4" s="100"/>
      <c r="CJS4" s="102"/>
      <c r="CJU4" s="101"/>
      <c r="CJV4" s="100"/>
      <c r="CJW4" s="102"/>
      <c r="CJY4" s="101"/>
      <c r="CJZ4" s="100"/>
      <c r="CKA4" s="102"/>
      <c r="CKC4" s="101"/>
      <c r="CKD4" s="100"/>
      <c r="CKE4" s="102"/>
      <c r="CKG4" s="101"/>
      <c r="CKH4" s="100"/>
      <c r="CKI4" s="102"/>
      <c r="CKK4" s="101"/>
      <c r="CKL4" s="100"/>
      <c r="CKM4" s="102"/>
      <c r="CKO4" s="101"/>
      <c r="CKP4" s="100"/>
      <c r="CKQ4" s="102"/>
      <c r="CKS4" s="101"/>
      <c r="CKT4" s="100"/>
      <c r="CKU4" s="102"/>
      <c r="CKW4" s="101"/>
      <c r="CKX4" s="100"/>
      <c r="CKY4" s="102"/>
      <c r="CLA4" s="101"/>
      <c r="CLB4" s="100"/>
      <c r="CLC4" s="102"/>
      <c r="CLE4" s="101"/>
      <c r="CLF4" s="100"/>
      <c r="CLG4" s="102"/>
      <c r="CLI4" s="101"/>
      <c r="CLJ4" s="100"/>
      <c r="CLK4" s="102"/>
      <c r="CLM4" s="101"/>
      <c r="CLN4" s="100"/>
      <c r="CLO4" s="102"/>
      <c r="CLQ4" s="101"/>
      <c r="CLR4" s="100"/>
      <c r="CLS4" s="102"/>
      <c r="CLU4" s="101"/>
      <c r="CLV4" s="100"/>
      <c r="CLW4" s="102"/>
      <c r="CLY4" s="101"/>
      <c r="CLZ4" s="100"/>
      <c r="CMA4" s="102"/>
      <c r="CMC4" s="101"/>
      <c r="CMD4" s="100"/>
      <c r="CME4" s="102"/>
      <c r="CMG4" s="101"/>
      <c r="CMH4" s="100"/>
      <c r="CMI4" s="102"/>
      <c r="CMK4" s="101"/>
      <c r="CML4" s="100"/>
      <c r="CMM4" s="102"/>
      <c r="CMO4" s="101"/>
      <c r="CMP4" s="100"/>
      <c r="CMQ4" s="102"/>
      <c r="CMS4" s="101"/>
      <c r="CMT4" s="100"/>
      <c r="CMU4" s="102"/>
      <c r="CMW4" s="101"/>
      <c r="CMX4" s="100"/>
      <c r="CMY4" s="102"/>
      <c r="CNA4" s="101"/>
      <c r="CNB4" s="100"/>
      <c r="CNC4" s="102"/>
      <c r="CNE4" s="101"/>
      <c r="CNF4" s="100"/>
      <c r="CNG4" s="102"/>
      <c r="CNI4" s="101"/>
      <c r="CNJ4" s="100"/>
      <c r="CNK4" s="102"/>
      <c r="CNM4" s="101"/>
      <c r="CNN4" s="100"/>
      <c r="CNO4" s="102"/>
      <c r="CNQ4" s="101"/>
      <c r="CNR4" s="100"/>
      <c r="CNS4" s="102"/>
      <c r="CNU4" s="101"/>
      <c r="CNV4" s="100"/>
      <c r="CNW4" s="102"/>
      <c r="CNY4" s="101"/>
      <c r="CNZ4" s="100"/>
      <c r="COA4" s="102"/>
      <c r="COC4" s="101"/>
      <c r="COD4" s="100"/>
      <c r="COE4" s="102"/>
      <c r="COG4" s="101"/>
      <c r="COH4" s="100"/>
      <c r="COI4" s="102"/>
      <c r="COK4" s="101"/>
      <c r="COL4" s="100"/>
      <c r="COM4" s="102"/>
      <c r="COO4" s="101"/>
      <c r="COP4" s="100"/>
      <c r="COQ4" s="102"/>
      <c r="COS4" s="101"/>
      <c r="COT4" s="100"/>
      <c r="COU4" s="102"/>
      <c r="COW4" s="101"/>
      <c r="COX4" s="100"/>
      <c r="COY4" s="102"/>
      <c r="CPA4" s="101"/>
      <c r="CPB4" s="100"/>
      <c r="CPC4" s="102"/>
      <c r="CPE4" s="101"/>
      <c r="CPF4" s="100"/>
      <c r="CPG4" s="102"/>
      <c r="CPI4" s="101"/>
      <c r="CPJ4" s="100"/>
      <c r="CPK4" s="102"/>
      <c r="CPM4" s="101"/>
      <c r="CPN4" s="100"/>
      <c r="CPO4" s="102"/>
      <c r="CPQ4" s="101"/>
      <c r="CPR4" s="100"/>
      <c r="CPS4" s="102"/>
      <c r="CPU4" s="101"/>
      <c r="CPV4" s="100"/>
      <c r="CPW4" s="102"/>
      <c r="CPY4" s="101"/>
      <c r="CPZ4" s="100"/>
      <c r="CQA4" s="102"/>
      <c r="CQC4" s="101"/>
      <c r="CQD4" s="100"/>
      <c r="CQE4" s="102"/>
      <c r="CQG4" s="101"/>
      <c r="CQH4" s="100"/>
      <c r="CQI4" s="102"/>
      <c r="CQK4" s="101"/>
      <c r="CQL4" s="100"/>
      <c r="CQM4" s="102"/>
      <c r="CQO4" s="101"/>
      <c r="CQP4" s="100"/>
      <c r="CQQ4" s="102"/>
      <c r="CQS4" s="101"/>
      <c r="CQT4" s="100"/>
      <c r="CQU4" s="102"/>
      <c r="CQW4" s="101"/>
      <c r="CQX4" s="100"/>
      <c r="CQY4" s="102"/>
      <c r="CRA4" s="101"/>
      <c r="CRB4" s="100"/>
      <c r="CRC4" s="102"/>
      <c r="CRE4" s="101"/>
      <c r="CRF4" s="100"/>
      <c r="CRG4" s="102"/>
      <c r="CRI4" s="101"/>
      <c r="CRJ4" s="100"/>
      <c r="CRK4" s="102"/>
      <c r="CRM4" s="101"/>
      <c r="CRN4" s="100"/>
      <c r="CRO4" s="102"/>
      <c r="CRQ4" s="101"/>
      <c r="CRR4" s="100"/>
      <c r="CRS4" s="102"/>
      <c r="CRU4" s="101"/>
      <c r="CRV4" s="100"/>
      <c r="CRW4" s="102"/>
      <c r="CRY4" s="101"/>
      <c r="CRZ4" s="100"/>
      <c r="CSA4" s="102"/>
      <c r="CSC4" s="101"/>
      <c r="CSD4" s="100"/>
      <c r="CSE4" s="102"/>
      <c r="CSG4" s="101"/>
      <c r="CSH4" s="100"/>
      <c r="CSI4" s="102"/>
      <c r="CSK4" s="101"/>
      <c r="CSL4" s="100"/>
      <c r="CSM4" s="102"/>
      <c r="CSO4" s="101"/>
      <c r="CSP4" s="100"/>
      <c r="CSQ4" s="102"/>
      <c r="CSS4" s="101"/>
      <c r="CST4" s="100"/>
      <c r="CSU4" s="102"/>
      <c r="CSW4" s="101"/>
      <c r="CSX4" s="100"/>
      <c r="CSY4" s="102"/>
      <c r="CTA4" s="101"/>
      <c r="CTB4" s="100"/>
      <c r="CTC4" s="102"/>
      <c r="CTE4" s="101"/>
      <c r="CTF4" s="100"/>
      <c r="CTG4" s="102"/>
      <c r="CTI4" s="101"/>
      <c r="CTJ4" s="100"/>
      <c r="CTK4" s="102"/>
      <c r="CTM4" s="101"/>
      <c r="CTN4" s="100"/>
      <c r="CTO4" s="102"/>
      <c r="CTQ4" s="101"/>
      <c r="CTR4" s="100"/>
      <c r="CTS4" s="102"/>
      <c r="CTU4" s="101"/>
      <c r="CTV4" s="100"/>
      <c r="CTW4" s="102"/>
      <c r="CTY4" s="101"/>
      <c r="CTZ4" s="100"/>
      <c r="CUA4" s="102"/>
      <c r="CUC4" s="101"/>
      <c r="CUD4" s="100"/>
      <c r="CUE4" s="102"/>
      <c r="CUG4" s="101"/>
      <c r="CUH4" s="100"/>
      <c r="CUI4" s="102"/>
      <c r="CUK4" s="101"/>
      <c r="CUL4" s="100"/>
      <c r="CUM4" s="102"/>
      <c r="CUO4" s="101"/>
      <c r="CUP4" s="100"/>
      <c r="CUQ4" s="102"/>
      <c r="CUS4" s="101"/>
      <c r="CUT4" s="100"/>
      <c r="CUU4" s="102"/>
      <c r="CUW4" s="101"/>
      <c r="CUX4" s="100"/>
      <c r="CUY4" s="102"/>
      <c r="CVA4" s="101"/>
      <c r="CVB4" s="100"/>
      <c r="CVC4" s="102"/>
      <c r="CVE4" s="101"/>
      <c r="CVF4" s="100"/>
      <c r="CVG4" s="102"/>
      <c r="CVI4" s="101"/>
      <c r="CVJ4" s="100"/>
      <c r="CVK4" s="102"/>
      <c r="CVM4" s="101"/>
      <c r="CVN4" s="100"/>
      <c r="CVO4" s="102"/>
      <c r="CVQ4" s="101"/>
      <c r="CVR4" s="100"/>
      <c r="CVS4" s="102"/>
      <c r="CVU4" s="101"/>
      <c r="CVV4" s="100"/>
      <c r="CVW4" s="102"/>
      <c r="CVY4" s="101"/>
      <c r="CVZ4" s="100"/>
      <c r="CWA4" s="102"/>
      <c r="CWC4" s="101"/>
      <c r="CWD4" s="100"/>
      <c r="CWE4" s="102"/>
      <c r="CWG4" s="101"/>
      <c r="CWH4" s="100"/>
      <c r="CWI4" s="102"/>
      <c r="CWK4" s="101"/>
      <c r="CWL4" s="100"/>
      <c r="CWM4" s="102"/>
      <c r="CWO4" s="101"/>
      <c r="CWP4" s="100"/>
      <c r="CWQ4" s="102"/>
      <c r="CWS4" s="101"/>
      <c r="CWT4" s="100"/>
      <c r="CWU4" s="102"/>
      <c r="CWW4" s="101"/>
      <c r="CWX4" s="100"/>
      <c r="CWY4" s="102"/>
      <c r="CXA4" s="101"/>
      <c r="CXB4" s="100"/>
      <c r="CXC4" s="102"/>
      <c r="CXE4" s="101"/>
      <c r="CXF4" s="100"/>
      <c r="CXG4" s="102"/>
      <c r="CXI4" s="101"/>
      <c r="CXJ4" s="100"/>
      <c r="CXK4" s="102"/>
      <c r="CXM4" s="101"/>
      <c r="CXN4" s="100"/>
      <c r="CXO4" s="102"/>
      <c r="CXQ4" s="101"/>
      <c r="CXR4" s="100"/>
      <c r="CXS4" s="102"/>
      <c r="CXU4" s="101"/>
      <c r="CXV4" s="100"/>
      <c r="CXW4" s="102"/>
      <c r="CXY4" s="101"/>
      <c r="CXZ4" s="100"/>
      <c r="CYA4" s="102"/>
      <c r="CYC4" s="101"/>
      <c r="CYD4" s="100"/>
      <c r="CYE4" s="102"/>
      <c r="CYG4" s="101"/>
      <c r="CYH4" s="100"/>
      <c r="CYI4" s="102"/>
      <c r="CYK4" s="101"/>
      <c r="CYL4" s="100"/>
      <c r="CYM4" s="102"/>
      <c r="CYO4" s="101"/>
      <c r="CYP4" s="100"/>
      <c r="CYQ4" s="102"/>
      <c r="CYS4" s="101"/>
      <c r="CYT4" s="100"/>
      <c r="CYU4" s="102"/>
      <c r="CYW4" s="101"/>
      <c r="CYX4" s="100"/>
      <c r="CYY4" s="102"/>
      <c r="CZA4" s="101"/>
      <c r="CZB4" s="100"/>
      <c r="CZC4" s="102"/>
      <c r="CZE4" s="101"/>
      <c r="CZF4" s="100"/>
      <c r="CZG4" s="102"/>
      <c r="CZI4" s="101"/>
      <c r="CZJ4" s="100"/>
      <c r="CZK4" s="102"/>
      <c r="CZM4" s="101"/>
      <c r="CZN4" s="100"/>
      <c r="CZO4" s="102"/>
      <c r="CZQ4" s="101"/>
      <c r="CZR4" s="100"/>
      <c r="CZS4" s="102"/>
      <c r="CZU4" s="101"/>
      <c r="CZV4" s="100"/>
      <c r="CZW4" s="102"/>
      <c r="CZY4" s="101"/>
      <c r="CZZ4" s="100"/>
      <c r="DAA4" s="102"/>
      <c r="DAC4" s="101"/>
      <c r="DAD4" s="100"/>
      <c r="DAE4" s="102"/>
      <c r="DAG4" s="101"/>
      <c r="DAH4" s="100"/>
      <c r="DAI4" s="102"/>
      <c r="DAK4" s="101"/>
      <c r="DAL4" s="100"/>
      <c r="DAM4" s="102"/>
      <c r="DAO4" s="101"/>
      <c r="DAP4" s="100"/>
      <c r="DAQ4" s="102"/>
      <c r="DAS4" s="101"/>
      <c r="DAT4" s="100"/>
      <c r="DAU4" s="102"/>
      <c r="DAW4" s="101"/>
      <c r="DAX4" s="100"/>
      <c r="DAY4" s="102"/>
      <c r="DBA4" s="101"/>
      <c r="DBB4" s="100"/>
      <c r="DBC4" s="102"/>
      <c r="DBE4" s="101"/>
      <c r="DBF4" s="100"/>
      <c r="DBG4" s="102"/>
      <c r="DBI4" s="101"/>
      <c r="DBJ4" s="100"/>
      <c r="DBK4" s="102"/>
      <c r="DBM4" s="101"/>
      <c r="DBN4" s="100"/>
      <c r="DBO4" s="102"/>
      <c r="DBQ4" s="101"/>
      <c r="DBR4" s="100"/>
      <c r="DBS4" s="102"/>
      <c r="DBU4" s="101"/>
      <c r="DBV4" s="100"/>
      <c r="DBW4" s="102"/>
      <c r="DBY4" s="101"/>
      <c r="DBZ4" s="100"/>
      <c r="DCA4" s="102"/>
      <c r="DCC4" s="101"/>
      <c r="DCD4" s="100"/>
      <c r="DCE4" s="102"/>
      <c r="DCG4" s="101"/>
      <c r="DCH4" s="100"/>
      <c r="DCI4" s="102"/>
      <c r="DCK4" s="101"/>
      <c r="DCL4" s="100"/>
      <c r="DCM4" s="102"/>
      <c r="DCO4" s="101"/>
      <c r="DCP4" s="100"/>
      <c r="DCQ4" s="102"/>
      <c r="DCS4" s="101"/>
      <c r="DCT4" s="100"/>
      <c r="DCU4" s="102"/>
      <c r="DCW4" s="101"/>
      <c r="DCX4" s="100"/>
      <c r="DCY4" s="102"/>
      <c r="DDA4" s="101"/>
      <c r="DDB4" s="100"/>
      <c r="DDC4" s="102"/>
      <c r="DDE4" s="101"/>
      <c r="DDF4" s="100"/>
      <c r="DDG4" s="102"/>
      <c r="DDI4" s="101"/>
      <c r="DDJ4" s="100"/>
      <c r="DDK4" s="102"/>
      <c r="DDM4" s="101"/>
      <c r="DDN4" s="100"/>
      <c r="DDO4" s="102"/>
      <c r="DDQ4" s="101"/>
      <c r="DDR4" s="100"/>
      <c r="DDS4" s="102"/>
      <c r="DDU4" s="101"/>
      <c r="DDV4" s="100"/>
      <c r="DDW4" s="102"/>
      <c r="DDY4" s="101"/>
      <c r="DDZ4" s="100"/>
      <c r="DEA4" s="102"/>
      <c r="DEC4" s="101"/>
      <c r="DED4" s="100"/>
      <c r="DEE4" s="102"/>
      <c r="DEG4" s="101"/>
      <c r="DEH4" s="100"/>
      <c r="DEI4" s="102"/>
      <c r="DEK4" s="101"/>
      <c r="DEL4" s="100"/>
      <c r="DEM4" s="102"/>
      <c r="DEO4" s="101"/>
      <c r="DEP4" s="100"/>
      <c r="DEQ4" s="102"/>
      <c r="DES4" s="101"/>
      <c r="DET4" s="100"/>
      <c r="DEU4" s="102"/>
      <c r="DEW4" s="101"/>
      <c r="DEX4" s="100"/>
      <c r="DEY4" s="102"/>
      <c r="DFA4" s="101"/>
      <c r="DFB4" s="100"/>
      <c r="DFC4" s="102"/>
      <c r="DFE4" s="101"/>
      <c r="DFF4" s="100"/>
      <c r="DFG4" s="102"/>
      <c r="DFI4" s="101"/>
      <c r="DFJ4" s="100"/>
      <c r="DFK4" s="102"/>
      <c r="DFM4" s="101"/>
      <c r="DFN4" s="100"/>
      <c r="DFO4" s="102"/>
      <c r="DFQ4" s="101"/>
      <c r="DFR4" s="100"/>
      <c r="DFS4" s="102"/>
      <c r="DFU4" s="101"/>
      <c r="DFV4" s="100"/>
      <c r="DFW4" s="102"/>
      <c r="DFY4" s="101"/>
      <c r="DFZ4" s="100"/>
      <c r="DGA4" s="102"/>
      <c r="DGC4" s="101"/>
      <c r="DGD4" s="100"/>
      <c r="DGE4" s="102"/>
      <c r="DGG4" s="101"/>
      <c r="DGH4" s="100"/>
      <c r="DGI4" s="102"/>
      <c r="DGK4" s="101"/>
      <c r="DGL4" s="100"/>
      <c r="DGM4" s="102"/>
      <c r="DGO4" s="101"/>
      <c r="DGP4" s="100"/>
      <c r="DGQ4" s="102"/>
      <c r="DGS4" s="101"/>
      <c r="DGT4" s="100"/>
      <c r="DGU4" s="102"/>
      <c r="DGW4" s="101"/>
      <c r="DGX4" s="100"/>
      <c r="DGY4" s="102"/>
      <c r="DHA4" s="101"/>
      <c r="DHB4" s="100"/>
      <c r="DHC4" s="102"/>
      <c r="DHE4" s="101"/>
      <c r="DHF4" s="100"/>
      <c r="DHG4" s="102"/>
      <c r="DHI4" s="101"/>
      <c r="DHJ4" s="100"/>
      <c r="DHK4" s="102"/>
      <c r="DHM4" s="101"/>
      <c r="DHN4" s="100"/>
      <c r="DHO4" s="102"/>
      <c r="DHQ4" s="101"/>
      <c r="DHR4" s="100"/>
      <c r="DHS4" s="102"/>
      <c r="DHU4" s="101"/>
      <c r="DHV4" s="100"/>
      <c r="DHW4" s="102"/>
      <c r="DHY4" s="101"/>
      <c r="DHZ4" s="100"/>
      <c r="DIA4" s="102"/>
      <c r="DIC4" s="101"/>
      <c r="DID4" s="100"/>
      <c r="DIE4" s="102"/>
      <c r="DIG4" s="101"/>
      <c r="DIH4" s="100"/>
      <c r="DII4" s="102"/>
      <c r="DIK4" s="101"/>
      <c r="DIL4" s="100"/>
      <c r="DIM4" s="102"/>
      <c r="DIO4" s="101"/>
      <c r="DIP4" s="100"/>
      <c r="DIQ4" s="102"/>
      <c r="DIS4" s="101"/>
      <c r="DIT4" s="100"/>
      <c r="DIU4" s="102"/>
      <c r="DIW4" s="101"/>
      <c r="DIX4" s="100"/>
      <c r="DIY4" s="102"/>
      <c r="DJA4" s="101"/>
      <c r="DJB4" s="100"/>
      <c r="DJC4" s="102"/>
      <c r="DJE4" s="101"/>
      <c r="DJF4" s="100"/>
      <c r="DJG4" s="102"/>
      <c r="DJI4" s="101"/>
      <c r="DJJ4" s="100"/>
      <c r="DJK4" s="102"/>
      <c r="DJM4" s="101"/>
      <c r="DJN4" s="100"/>
      <c r="DJO4" s="102"/>
      <c r="DJQ4" s="101"/>
      <c r="DJR4" s="100"/>
      <c r="DJS4" s="102"/>
      <c r="DJU4" s="101"/>
      <c r="DJV4" s="100"/>
      <c r="DJW4" s="102"/>
      <c r="DJY4" s="101"/>
      <c r="DJZ4" s="100"/>
      <c r="DKA4" s="102"/>
      <c r="DKC4" s="101"/>
      <c r="DKD4" s="100"/>
      <c r="DKE4" s="102"/>
      <c r="DKG4" s="101"/>
      <c r="DKH4" s="100"/>
      <c r="DKI4" s="102"/>
      <c r="DKK4" s="101"/>
      <c r="DKL4" s="100"/>
      <c r="DKM4" s="102"/>
      <c r="DKO4" s="101"/>
      <c r="DKP4" s="100"/>
      <c r="DKQ4" s="102"/>
      <c r="DKS4" s="101"/>
      <c r="DKT4" s="100"/>
      <c r="DKU4" s="102"/>
      <c r="DKW4" s="101"/>
      <c r="DKX4" s="100"/>
      <c r="DKY4" s="102"/>
      <c r="DLA4" s="101"/>
      <c r="DLB4" s="100"/>
      <c r="DLC4" s="102"/>
      <c r="DLE4" s="101"/>
      <c r="DLF4" s="100"/>
      <c r="DLG4" s="102"/>
      <c r="DLI4" s="101"/>
      <c r="DLJ4" s="100"/>
      <c r="DLK4" s="102"/>
      <c r="DLM4" s="101"/>
      <c r="DLN4" s="100"/>
      <c r="DLO4" s="102"/>
      <c r="DLQ4" s="101"/>
      <c r="DLR4" s="100"/>
      <c r="DLS4" s="102"/>
      <c r="DLU4" s="101"/>
      <c r="DLV4" s="100"/>
      <c r="DLW4" s="102"/>
      <c r="DLY4" s="101"/>
      <c r="DLZ4" s="100"/>
      <c r="DMA4" s="102"/>
      <c r="DMC4" s="101"/>
      <c r="DMD4" s="100"/>
      <c r="DME4" s="102"/>
      <c r="DMG4" s="101"/>
      <c r="DMH4" s="100"/>
      <c r="DMI4" s="102"/>
      <c r="DMK4" s="101"/>
      <c r="DML4" s="100"/>
      <c r="DMM4" s="102"/>
      <c r="DMO4" s="101"/>
      <c r="DMP4" s="100"/>
      <c r="DMQ4" s="102"/>
      <c r="DMS4" s="101"/>
      <c r="DMT4" s="100"/>
      <c r="DMU4" s="102"/>
      <c r="DMW4" s="101"/>
      <c r="DMX4" s="100"/>
      <c r="DMY4" s="102"/>
      <c r="DNA4" s="101"/>
      <c r="DNB4" s="100"/>
      <c r="DNC4" s="102"/>
      <c r="DNE4" s="101"/>
      <c r="DNF4" s="100"/>
      <c r="DNG4" s="102"/>
      <c r="DNI4" s="101"/>
      <c r="DNJ4" s="100"/>
      <c r="DNK4" s="102"/>
      <c r="DNM4" s="101"/>
      <c r="DNN4" s="100"/>
      <c r="DNO4" s="102"/>
      <c r="DNQ4" s="101"/>
      <c r="DNR4" s="100"/>
      <c r="DNS4" s="102"/>
      <c r="DNU4" s="101"/>
      <c r="DNV4" s="100"/>
      <c r="DNW4" s="102"/>
      <c r="DNY4" s="101"/>
      <c r="DNZ4" s="100"/>
      <c r="DOA4" s="102"/>
      <c r="DOC4" s="101"/>
      <c r="DOD4" s="100"/>
      <c r="DOE4" s="102"/>
      <c r="DOG4" s="101"/>
      <c r="DOH4" s="100"/>
      <c r="DOI4" s="102"/>
      <c r="DOK4" s="101"/>
      <c r="DOL4" s="100"/>
      <c r="DOM4" s="102"/>
      <c r="DOO4" s="101"/>
      <c r="DOP4" s="100"/>
      <c r="DOQ4" s="102"/>
      <c r="DOS4" s="101"/>
      <c r="DOT4" s="100"/>
      <c r="DOU4" s="102"/>
      <c r="DOW4" s="101"/>
      <c r="DOX4" s="100"/>
      <c r="DOY4" s="102"/>
      <c r="DPA4" s="101"/>
      <c r="DPB4" s="100"/>
      <c r="DPC4" s="102"/>
      <c r="DPE4" s="101"/>
      <c r="DPF4" s="100"/>
      <c r="DPG4" s="102"/>
      <c r="DPI4" s="101"/>
      <c r="DPJ4" s="100"/>
      <c r="DPK4" s="102"/>
      <c r="DPM4" s="101"/>
      <c r="DPN4" s="100"/>
      <c r="DPO4" s="102"/>
      <c r="DPQ4" s="101"/>
      <c r="DPR4" s="100"/>
      <c r="DPS4" s="102"/>
      <c r="DPU4" s="101"/>
      <c r="DPV4" s="100"/>
      <c r="DPW4" s="102"/>
      <c r="DPY4" s="101"/>
      <c r="DPZ4" s="100"/>
      <c r="DQA4" s="102"/>
      <c r="DQC4" s="101"/>
      <c r="DQD4" s="100"/>
      <c r="DQE4" s="102"/>
      <c r="DQG4" s="101"/>
      <c r="DQH4" s="100"/>
      <c r="DQI4" s="102"/>
      <c r="DQK4" s="101"/>
      <c r="DQL4" s="100"/>
      <c r="DQM4" s="102"/>
      <c r="DQO4" s="101"/>
      <c r="DQP4" s="100"/>
      <c r="DQQ4" s="102"/>
      <c r="DQS4" s="101"/>
      <c r="DQT4" s="100"/>
      <c r="DQU4" s="102"/>
      <c r="DQW4" s="101"/>
      <c r="DQX4" s="100"/>
      <c r="DQY4" s="102"/>
      <c r="DRA4" s="101"/>
      <c r="DRB4" s="100"/>
      <c r="DRC4" s="102"/>
      <c r="DRE4" s="101"/>
      <c r="DRF4" s="100"/>
      <c r="DRG4" s="102"/>
      <c r="DRI4" s="101"/>
      <c r="DRJ4" s="100"/>
      <c r="DRK4" s="102"/>
      <c r="DRM4" s="101"/>
      <c r="DRN4" s="100"/>
      <c r="DRO4" s="102"/>
      <c r="DRQ4" s="101"/>
      <c r="DRR4" s="100"/>
      <c r="DRS4" s="102"/>
      <c r="DRU4" s="101"/>
      <c r="DRV4" s="100"/>
      <c r="DRW4" s="102"/>
      <c r="DRY4" s="101"/>
      <c r="DRZ4" s="100"/>
      <c r="DSA4" s="102"/>
      <c r="DSC4" s="101"/>
      <c r="DSD4" s="100"/>
      <c r="DSE4" s="102"/>
      <c r="DSG4" s="101"/>
      <c r="DSH4" s="100"/>
      <c r="DSI4" s="102"/>
      <c r="DSK4" s="101"/>
      <c r="DSL4" s="100"/>
      <c r="DSM4" s="102"/>
      <c r="DSO4" s="101"/>
      <c r="DSP4" s="100"/>
      <c r="DSQ4" s="102"/>
      <c r="DSS4" s="101"/>
      <c r="DST4" s="100"/>
      <c r="DSU4" s="102"/>
      <c r="DSW4" s="101"/>
      <c r="DSX4" s="100"/>
      <c r="DSY4" s="102"/>
      <c r="DTA4" s="101"/>
      <c r="DTB4" s="100"/>
      <c r="DTC4" s="102"/>
      <c r="DTE4" s="101"/>
      <c r="DTF4" s="100"/>
      <c r="DTG4" s="102"/>
      <c r="DTI4" s="101"/>
      <c r="DTJ4" s="100"/>
      <c r="DTK4" s="102"/>
      <c r="DTM4" s="101"/>
      <c r="DTN4" s="100"/>
      <c r="DTO4" s="102"/>
      <c r="DTQ4" s="101"/>
      <c r="DTR4" s="100"/>
      <c r="DTS4" s="102"/>
      <c r="DTU4" s="101"/>
      <c r="DTV4" s="100"/>
      <c r="DTW4" s="102"/>
      <c r="DTY4" s="101"/>
      <c r="DTZ4" s="100"/>
      <c r="DUA4" s="102"/>
      <c r="DUC4" s="101"/>
      <c r="DUD4" s="100"/>
      <c r="DUE4" s="102"/>
      <c r="DUG4" s="101"/>
      <c r="DUH4" s="100"/>
      <c r="DUI4" s="102"/>
      <c r="DUK4" s="101"/>
      <c r="DUL4" s="100"/>
      <c r="DUM4" s="102"/>
      <c r="DUO4" s="101"/>
      <c r="DUP4" s="100"/>
      <c r="DUQ4" s="102"/>
      <c r="DUS4" s="101"/>
      <c r="DUT4" s="100"/>
      <c r="DUU4" s="102"/>
      <c r="DUW4" s="101"/>
      <c r="DUX4" s="100"/>
      <c r="DUY4" s="102"/>
      <c r="DVA4" s="101"/>
      <c r="DVB4" s="100"/>
      <c r="DVC4" s="102"/>
      <c r="DVE4" s="101"/>
      <c r="DVF4" s="100"/>
      <c r="DVG4" s="102"/>
      <c r="DVI4" s="101"/>
      <c r="DVJ4" s="100"/>
      <c r="DVK4" s="102"/>
      <c r="DVM4" s="101"/>
      <c r="DVN4" s="100"/>
      <c r="DVO4" s="102"/>
      <c r="DVQ4" s="101"/>
      <c r="DVR4" s="100"/>
      <c r="DVS4" s="102"/>
      <c r="DVU4" s="101"/>
      <c r="DVV4" s="100"/>
      <c r="DVW4" s="102"/>
      <c r="DVY4" s="101"/>
      <c r="DVZ4" s="100"/>
      <c r="DWA4" s="102"/>
      <c r="DWC4" s="101"/>
      <c r="DWD4" s="100"/>
      <c r="DWE4" s="102"/>
      <c r="DWG4" s="101"/>
      <c r="DWH4" s="100"/>
      <c r="DWI4" s="102"/>
      <c r="DWK4" s="101"/>
      <c r="DWL4" s="100"/>
      <c r="DWM4" s="102"/>
      <c r="DWO4" s="101"/>
      <c r="DWP4" s="100"/>
      <c r="DWQ4" s="102"/>
      <c r="DWS4" s="101"/>
      <c r="DWT4" s="100"/>
      <c r="DWU4" s="102"/>
      <c r="DWW4" s="101"/>
      <c r="DWX4" s="100"/>
      <c r="DWY4" s="102"/>
      <c r="DXA4" s="101"/>
      <c r="DXB4" s="100"/>
      <c r="DXC4" s="102"/>
      <c r="DXE4" s="101"/>
      <c r="DXF4" s="100"/>
      <c r="DXG4" s="102"/>
      <c r="DXI4" s="101"/>
      <c r="DXJ4" s="100"/>
      <c r="DXK4" s="102"/>
      <c r="DXM4" s="101"/>
      <c r="DXN4" s="100"/>
      <c r="DXO4" s="102"/>
      <c r="DXQ4" s="101"/>
      <c r="DXR4" s="100"/>
      <c r="DXS4" s="102"/>
      <c r="DXU4" s="101"/>
      <c r="DXV4" s="100"/>
      <c r="DXW4" s="102"/>
      <c r="DXY4" s="101"/>
      <c r="DXZ4" s="100"/>
      <c r="DYA4" s="102"/>
      <c r="DYC4" s="101"/>
      <c r="DYD4" s="100"/>
      <c r="DYE4" s="102"/>
      <c r="DYG4" s="101"/>
      <c r="DYH4" s="100"/>
      <c r="DYI4" s="102"/>
      <c r="DYK4" s="101"/>
      <c r="DYL4" s="100"/>
      <c r="DYM4" s="102"/>
      <c r="DYO4" s="101"/>
      <c r="DYP4" s="100"/>
      <c r="DYQ4" s="102"/>
      <c r="DYS4" s="101"/>
      <c r="DYT4" s="100"/>
      <c r="DYU4" s="102"/>
      <c r="DYW4" s="101"/>
      <c r="DYX4" s="100"/>
      <c r="DYY4" s="102"/>
      <c r="DZA4" s="101"/>
      <c r="DZB4" s="100"/>
      <c r="DZC4" s="102"/>
      <c r="DZE4" s="101"/>
      <c r="DZF4" s="100"/>
      <c r="DZG4" s="102"/>
      <c r="DZI4" s="101"/>
      <c r="DZJ4" s="100"/>
      <c r="DZK4" s="102"/>
      <c r="DZM4" s="101"/>
      <c r="DZN4" s="100"/>
      <c r="DZO4" s="102"/>
      <c r="DZQ4" s="101"/>
      <c r="DZR4" s="100"/>
      <c r="DZS4" s="102"/>
      <c r="DZU4" s="101"/>
      <c r="DZV4" s="100"/>
      <c r="DZW4" s="102"/>
      <c r="DZY4" s="101"/>
      <c r="DZZ4" s="100"/>
      <c r="EAA4" s="102"/>
      <c r="EAC4" s="101"/>
      <c r="EAD4" s="100"/>
      <c r="EAE4" s="102"/>
      <c r="EAG4" s="101"/>
      <c r="EAH4" s="100"/>
      <c r="EAI4" s="102"/>
      <c r="EAK4" s="101"/>
      <c r="EAL4" s="100"/>
      <c r="EAM4" s="102"/>
      <c r="EAO4" s="101"/>
      <c r="EAP4" s="100"/>
      <c r="EAQ4" s="102"/>
      <c r="EAS4" s="101"/>
      <c r="EAT4" s="100"/>
      <c r="EAU4" s="102"/>
      <c r="EAW4" s="101"/>
      <c r="EAX4" s="100"/>
      <c r="EAY4" s="102"/>
      <c r="EBA4" s="101"/>
      <c r="EBB4" s="100"/>
      <c r="EBC4" s="102"/>
      <c r="EBE4" s="101"/>
      <c r="EBF4" s="100"/>
      <c r="EBG4" s="102"/>
      <c r="EBI4" s="101"/>
      <c r="EBJ4" s="100"/>
      <c r="EBK4" s="102"/>
      <c r="EBM4" s="101"/>
      <c r="EBN4" s="100"/>
      <c r="EBO4" s="102"/>
      <c r="EBQ4" s="101"/>
      <c r="EBR4" s="100"/>
      <c r="EBS4" s="102"/>
      <c r="EBU4" s="101"/>
      <c r="EBV4" s="100"/>
      <c r="EBW4" s="102"/>
      <c r="EBY4" s="101"/>
      <c r="EBZ4" s="100"/>
      <c r="ECA4" s="102"/>
      <c r="ECC4" s="101"/>
      <c r="ECD4" s="100"/>
      <c r="ECE4" s="102"/>
      <c r="ECG4" s="101"/>
      <c r="ECH4" s="100"/>
      <c r="ECI4" s="102"/>
      <c r="ECK4" s="101"/>
      <c r="ECL4" s="100"/>
      <c r="ECM4" s="102"/>
      <c r="ECO4" s="101"/>
      <c r="ECP4" s="100"/>
      <c r="ECQ4" s="102"/>
      <c r="ECS4" s="101"/>
      <c r="ECT4" s="100"/>
      <c r="ECU4" s="102"/>
      <c r="ECW4" s="101"/>
      <c r="ECX4" s="100"/>
      <c r="ECY4" s="102"/>
      <c r="EDA4" s="101"/>
      <c r="EDB4" s="100"/>
      <c r="EDC4" s="102"/>
      <c r="EDE4" s="101"/>
      <c r="EDF4" s="100"/>
      <c r="EDG4" s="102"/>
      <c r="EDI4" s="101"/>
      <c r="EDJ4" s="100"/>
      <c r="EDK4" s="102"/>
      <c r="EDM4" s="101"/>
      <c r="EDN4" s="100"/>
      <c r="EDO4" s="102"/>
      <c r="EDQ4" s="101"/>
      <c r="EDR4" s="100"/>
      <c r="EDS4" s="102"/>
      <c r="EDU4" s="101"/>
      <c r="EDV4" s="100"/>
      <c r="EDW4" s="102"/>
      <c r="EDY4" s="101"/>
      <c r="EDZ4" s="100"/>
      <c r="EEA4" s="102"/>
      <c r="EEC4" s="101"/>
      <c r="EED4" s="100"/>
      <c r="EEE4" s="102"/>
      <c r="EEG4" s="101"/>
      <c r="EEH4" s="100"/>
      <c r="EEI4" s="102"/>
      <c r="EEK4" s="101"/>
      <c r="EEL4" s="100"/>
      <c r="EEM4" s="102"/>
      <c r="EEO4" s="101"/>
      <c r="EEP4" s="100"/>
      <c r="EEQ4" s="102"/>
      <c r="EES4" s="101"/>
      <c r="EET4" s="100"/>
      <c r="EEU4" s="102"/>
      <c r="EEW4" s="101"/>
      <c r="EEX4" s="100"/>
      <c r="EEY4" s="102"/>
      <c r="EFA4" s="101"/>
      <c r="EFB4" s="100"/>
      <c r="EFC4" s="102"/>
      <c r="EFE4" s="101"/>
      <c r="EFF4" s="100"/>
      <c r="EFG4" s="102"/>
      <c r="EFI4" s="101"/>
      <c r="EFJ4" s="100"/>
      <c r="EFK4" s="102"/>
      <c r="EFM4" s="101"/>
      <c r="EFN4" s="100"/>
      <c r="EFO4" s="102"/>
      <c r="EFQ4" s="101"/>
      <c r="EFR4" s="100"/>
      <c r="EFS4" s="102"/>
      <c r="EFU4" s="101"/>
      <c r="EFV4" s="100"/>
      <c r="EFW4" s="102"/>
      <c r="EFY4" s="101"/>
      <c r="EFZ4" s="100"/>
      <c r="EGA4" s="102"/>
      <c r="EGC4" s="101"/>
      <c r="EGD4" s="100"/>
      <c r="EGE4" s="102"/>
      <c r="EGG4" s="101"/>
      <c r="EGH4" s="100"/>
      <c r="EGI4" s="102"/>
      <c r="EGK4" s="101"/>
      <c r="EGL4" s="100"/>
      <c r="EGM4" s="102"/>
      <c r="EGO4" s="101"/>
      <c r="EGP4" s="100"/>
      <c r="EGQ4" s="102"/>
      <c r="EGS4" s="101"/>
      <c r="EGT4" s="100"/>
      <c r="EGU4" s="102"/>
      <c r="EGW4" s="101"/>
      <c r="EGX4" s="100"/>
      <c r="EGY4" s="102"/>
      <c r="EHA4" s="101"/>
      <c r="EHB4" s="100"/>
      <c r="EHC4" s="102"/>
      <c r="EHE4" s="101"/>
      <c r="EHF4" s="100"/>
      <c r="EHG4" s="102"/>
      <c r="EHI4" s="101"/>
      <c r="EHJ4" s="100"/>
      <c r="EHK4" s="102"/>
      <c r="EHM4" s="101"/>
      <c r="EHN4" s="100"/>
      <c r="EHO4" s="102"/>
      <c r="EHQ4" s="101"/>
      <c r="EHR4" s="100"/>
      <c r="EHS4" s="102"/>
      <c r="EHU4" s="101"/>
      <c r="EHV4" s="100"/>
      <c r="EHW4" s="102"/>
      <c r="EHY4" s="101"/>
      <c r="EHZ4" s="100"/>
      <c r="EIA4" s="102"/>
      <c r="EIC4" s="101"/>
      <c r="EID4" s="100"/>
      <c r="EIE4" s="102"/>
      <c r="EIG4" s="101"/>
      <c r="EIH4" s="100"/>
      <c r="EII4" s="102"/>
      <c r="EIK4" s="101"/>
      <c r="EIL4" s="100"/>
      <c r="EIM4" s="102"/>
      <c r="EIO4" s="101"/>
      <c r="EIP4" s="100"/>
      <c r="EIQ4" s="102"/>
      <c r="EIS4" s="101"/>
      <c r="EIT4" s="100"/>
      <c r="EIU4" s="102"/>
      <c r="EIW4" s="101"/>
      <c r="EIX4" s="100"/>
      <c r="EIY4" s="102"/>
      <c r="EJA4" s="101"/>
      <c r="EJB4" s="100"/>
      <c r="EJC4" s="102"/>
      <c r="EJE4" s="101"/>
      <c r="EJF4" s="100"/>
      <c r="EJG4" s="102"/>
      <c r="EJI4" s="101"/>
      <c r="EJJ4" s="100"/>
      <c r="EJK4" s="102"/>
      <c r="EJM4" s="101"/>
      <c r="EJN4" s="100"/>
      <c r="EJO4" s="102"/>
      <c r="EJQ4" s="101"/>
      <c r="EJR4" s="100"/>
      <c r="EJS4" s="102"/>
      <c r="EJU4" s="101"/>
      <c r="EJV4" s="100"/>
      <c r="EJW4" s="102"/>
      <c r="EJY4" s="101"/>
      <c r="EJZ4" s="100"/>
      <c r="EKA4" s="102"/>
      <c r="EKC4" s="101"/>
      <c r="EKD4" s="100"/>
      <c r="EKE4" s="102"/>
      <c r="EKG4" s="101"/>
      <c r="EKH4" s="100"/>
      <c r="EKI4" s="102"/>
      <c r="EKK4" s="101"/>
      <c r="EKL4" s="100"/>
      <c r="EKM4" s="102"/>
      <c r="EKO4" s="101"/>
      <c r="EKP4" s="100"/>
      <c r="EKQ4" s="102"/>
      <c r="EKS4" s="101"/>
      <c r="EKT4" s="100"/>
      <c r="EKU4" s="102"/>
      <c r="EKW4" s="101"/>
      <c r="EKX4" s="100"/>
      <c r="EKY4" s="102"/>
      <c r="ELA4" s="101"/>
      <c r="ELB4" s="100"/>
      <c r="ELC4" s="102"/>
      <c r="ELE4" s="101"/>
      <c r="ELF4" s="100"/>
      <c r="ELG4" s="102"/>
      <c r="ELI4" s="101"/>
      <c r="ELJ4" s="100"/>
      <c r="ELK4" s="102"/>
      <c r="ELM4" s="101"/>
      <c r="ELN4" s="100"/>
      <c r="ELO4" s="102"/>
      <c r="ELQ4" s="101"/>
      <c r="ELR4" s="100"/>
      <c r="ELS4" s="102"/>
      <c r="ELU4" s="101"/>
      <c r="ELV4" s="100"/>
      <c r="ELW4" s="102"/>
      <c r="ELY4" s="101"/>
      <c r="ELZ4" s="100"/>
      <c r="EMA4" s="102"/>
      <c r="EMC4" s="101"/>
      <c r="EMD4" s="100"/>
      <c r="EME4" s="102"/>
      <c r="EMG4" s="101"/>
      <c r="EMH4" s="100"/>
      <c r="EMI4" s="102"/>
      <c r="EMK4" s="101"/>
      <c r="EML4" s="100"/>
      <c r="EMM4" s="102"/>
      <c r="EMO4" s="101"/>
      <c r="EMP4" s="100"/>
      <c r="EMQ4" s="102"/>
      <c r="EMS4" s="101"/>
      <c r="EMT4" s="100"/>
      <c r="EMU4" s="102"/>
      <c r="EMW4" s="101"/>
      <c r="EMX4" s="100"/>
      <c r="EMY4" s="102"/>
      <c r="ENA4" s="101"/>
      <c r="ENB4" s="100"/>
      <c r="ENC4" s="102"/>
      <c r="ENE4" s="101"/>
      <c r="ENF4" s="100"/>
      <c r="ENG4" s="102"/>
      <c r="ENI4" s="101"/>
      <c r="ENJ4" s="100"/>
      <c r="ENK4" s="102"/>
      <c r="ENM4" s="101"/>
      <c r="ENN4" s="100"/>
      <c r="ENO4" s="102"/>
      <c r="ENQ4" s="101"/>
      <c r="ENR4" s="100"/>
      <c r="ENS4" s="102"/>
      <c r="ENU4" s="101"/>
      <c r="ENV4" s="100"/>
      <c r="ENW4" s="102"/>
      <c r="ENY4" s="101"/>
      <c r="ENZ4" s="100"/>
      <c r="EOA4" s="102"/>
      <c r="EOC4" s="101"/>
      <c r="EOD4" s="100"/>
      <c r="EOE4" s="102"/>
      <c r="EOG4" s="101"/>
      <c r="EOH4" s="100"/>
      <c r="EOI4" s="102"/>
      <c r="EOK4" s="101"/>
      <c r="EOL4" s="100"/>
      <c r="EOM4" s="102"/>
      <c r="EOO4" s="101"/>
      <c r="EOP4" s="100"/>
      <c r="EOQ4" s="102"/>
      <c r="EOS4" s="101"/>
      <c r="EOT4" s="100"/>
      <c r="EOU4" s="102"/>
      <c r="EOW4" s="101"/>
      <c r="EOX4" s="100"/>
      <c r="EOY4" s="102"/>
      <c r="EPA4" s="101"/>
      <c r="EPB4" s="100"/>
      <c r="EPC4" s="102"/>
      <c r="EPE4" s="101"/>
      <c r="EPF4" s="100"/>
      <c r="EPG4" s="102"/>
      <c r="EPI4" s="101"/>
      <c r="EPJ4" s="100"/>
      <c r="EPK4" s="102"/>
      <c r="EPM4" s="101"/>
      <c r="EPN4" s="100"/>
      <c r="EPO4" s="102"/>
      <c r="EPQ4" s="101"/>
      <c r="EPR4" s="100"/>
      <c r="EPS4" s="102"/>
      <c r="EPU4" s="101"/>
      <c r="EPV4" s="100"/>
      <c r="EPW4" s="102"/>
      <c r="EPY4" s="101"/>
      <c r="EPZ4" s="100"/>
      <c r="EQA4" s="102"/>
      <c r="EQC4" s="101"/>
      <c r="EQD4" s="100"/>
      <c r="EQE4" s="102"/>
      <c r="EQG4" s="101"/>
      <c r="EQH4" s="100"/>
      <c r="EQI4" s="102"/>
      <c r="EQK4" s="101"/>
      <c r="EQL4" s="100"/>
      <c r="EQM4" s="102"/>
      <c r="EQO4" s="101"/>
      <c r="EQP4" s="100"/>
      <c r="EQQ4" s="102"/>
      <c r="EQS4" s="101"/>
      <c r="EQT4" s="100"/>
      <c r="EQU4" s="102"/>
      <c r="EQW4" s="101"/>
      <c r="EQX4" s="100"/>
      <c r="EQY4" s="102"/>
      <c r="ERA4" s="101"/>
      <c r="ERB4" s="100"/>
      <c r="ERC4" s="102"/>
      <c r="ERE4" s="101"/>
      <c r="ERF4" s="100"/>
      <c r="ERG4" s="102"/>
      <c r="ERI4" s="101"/>
      <c r="ERJ4" s="100"/>
      <c r="ERK4" s="102"/>
      <c r="ERM4" s="101"/>
      <c r="ERN4" s="100"/>
      <c r="ERO4" s="102"/>
      <c r="ERQ4" s="101"/>
      <c r="ERR4" s="100"/>
      <c r="ERS4" s="102"/>
      <c r="ERU4" s="101"/>
      <c r="ERV4" s="100"/>
      <c r="ERW4" s="102"/>
      <c r="ERY4" s="101"/>
      <c r="ERZ4" s="100"/>
      <c r="ESA4" s="102"/>
      <c r="ESC4" s="101"/>
      <c r="ESD4" s="100"/>
      <c r="ESE4" s="102"/>
      <c r="ESG4" s="101"/>
      <c r="ESH4" s="100"/>
      <c r="ESI4" s="102"/>
      <c r="ESK4" s="101"/>
      <c r="ESL4" s="100"/>
      <c r="ESM4" s="102"/>
      <c r="ESO4" s="101"/>
      <c r="ESP4" s="100"/>
      <c r="ESQ4" s="102"/>
      <c r="ESS4" s="101"/>
      <c r="EST4" s="100"/>
      <c r="ESU4" s="102"/>
      <c r="ESW4" s="101"/>
      <c r="ESX4" s="100"/>
      <c r="ESY4" s="102"/>
      <c r="ETA4" s="101"/>
      <c r="ETB4" s="100"/>
      <c r="ETC4" s="102"/>
      <c r="ETE4" s="101"/>
      <c r="ETF4" s="100"/>
      <c r="ETG4" s="102"/>
      <c r="ETI4" s="101"/>
      <c r="ETJ4" s="100"/>
      <c r="ETK4" s="102"/>
      <c r="ETM4" s="101"/>
      <c r="ETN4" s="100"/>
      <c r="ETO4" s="102"/>
      <c r="ETQ4" s="101"/>
      <c r="ETR4" s="100"/>
      <c r="ETS4" s="102"/>
      <c r="ETU4" s="101"/>
      <c r="ETV4" s="100"/>
      <c r="ETW4" s="102"/>
      <c r="ETY4" s="101"/>
      <c r="ETZ4" s="100"/>
      <c r="EUA4" s="102"/>
      <c r="EUC4" s="101"/>
      <c r="EUD4" s="100"/>
      <c r="EUE4" s="102"/>
      <c r="EUG4" s="101"/>
      <c r="EUH4" s="100"/>
      <c r="EUI4" s="102"/>
      <c r="EUK4" s="101"/>
      <c r="EUL4" s="100"/>
      <c r="EUM4" s="102"/>
      <c r="EUO4" s="101"/>
      <c r="EUP4" s="100"/>
      <c r="EUQ4" s="102"/>
      <c r="EUS4" s="101"/>
      <c r="EUT4" s="100"/>
      <c r="EUU4" s="102"/>
      <c r="EUW4" s="101"/>
      <c r="EUX4" s="100"/>
      <c r="EUY4" s="102"/>
      <c r="EVA4" s="101"/>
      <c r="EVB4" s="100"/>
      <c r="EVC4" s="102"/>
      <c r="EVE4" s="101"/>
      <c r="EVF4" s="100"/>
      <c r="EVG4" s="102"/>
      <c r="EVI4" s="101"/>
      <c r="EVJ4" s="100"/>
      <c r="EVK4" s="102"/>
      <c r="EVM4" s="101"/>
      <c r="EVN4" s="100"/>
      <c r="EVO4" s="102"/>
      <c r="EVQ4" s="101"/>
      <c r="EVR4" s="100"/>
      <c r="EVS4" s="102"/>
      <c r="EVU4" s="101"/>
      <c r="EVV4" s="100"/>
      <c r="EVW4" s="102"/>
      <c r="EVY4" s="101"/>
      <c r="EVZ4" s="100"/>
      <c r="EWA4" s="102"/>
      <c r="EWC4" s="101"/>
      <c r="EWD4" s="100"/>
      <c r="EWE4" s="102"/>
      <c r="EWG4" s="101"/>
      <c r="EWH4" s="100"/>
      <c r="EWI4" s="102"/>
      <c r="EWK4" s="101"/>
      <c r="EWL4" s="100"/>
      <c r="EWM4" s="102"/>
      <c r="EWO4" s="101"/>
      <c r="EWP4" s="100"/>
      <c r="EWQ4" s="102"/>
      <c r="EWS4" s="101"/>
      <c r="EWT4" s="100"/>
      <c r="EWU4" s="102"/>
      <c r="EWW4" s="101"/>
      <c r="EWX4" s="100"/>
      <c r="EWY4" s="102"/>
      <c r="EXA4" s="101"/>
      <c r="EXB4" s="100"/>
      <c r="EXC4" s="102"/>
      <c r="EXE4" s="101"/>
      <c r="EXF4" s="100"/>
      <c r="EXG4" s="102"/>
      <c r="EXI4" s="101"/>
      <c r="EXJ4" s="100"/>
      <c r="EXK4" s="102"/>
      <c r="EXM4" s="101"/>
      <c r="EXN4" s="100"/>
      <c r="EXO4" s="102"/>
      <c r="EXQ4" s="101"/>
      <c r="EXR4" s="100"/>
      <c r="EXS4" s="102"/>
      <c r="EXU4" s="101"/>
      <c r="EXV4" s="100"/>
      <c r="EXW4" s="102"/>
      <c r="EXY4" s="101"/>
      <c r="EXZ4" s="100"/>
      <c r="EYA4" s="102"/>
      <c r="EYC4" s="101"/>
      <c r="EYD4" s="100"/>
      <c r="EYE4" s="102"/>
      <c r="EYG4" s="101"/>
      <c r="EYH4" s="100"/>
      <c r="EYI4" s="102"/>
      <c r="EYK4" s="101"/>
      <c r="EYL4" s="100"/>
      <c r="EYM4" s="102"/>
      <c r="EYO4" s="101"/>
      <c r="EYP4" s="100"/>
      <c r="EYQ4" s="102"/>
      <c r="EYS4" s="101"/>
      <c r="EYT4" s="100"/>
      <c r="EYU4" s="102"/>
      <c r="EYW4" s="101"/>
      <c r="EYX4" s="100"/>
      <c r="EYY4" s="102"/>
      <c r="EZA4" s="101"/>
      <c r="EZB4" s="100"/>
      <c r="EZC4" s="102"/>
      <c r="EZE4" s="101"/>
      <c r="EZF4" s="100"/>
      <c r="EZG4" s="102"/>
      <c r="EZI4" s="101"/>
      <c r="EZJ4" s="100"/>
      <c r="EZK4" s="102"/>
      <c r="EZM4" s="101"/>
      <c r="EZN4" s="100"/>
      <c r="EZO4" s="102"/>
      <c r="EZQ4" s="101"/>
      <c r="EZR4" s="100"/>
      <c r="EZS4" s="102"/>
      <c r="EZU4" s="101"/>
      <c r="EZV4" s="100"/>
      <c r="EZW4" s="102"/>
      <c r="EZY4" s="101"/>
      <c r="EZZ4" s="100"/>
      <c r="FAA4" s="102"/>
      <c r="FAC4" s="101"/>
      <c r="FAD4" s="100"/>
      <c r="FAE4" s="102"/>
      <c r="FAG4" s="101"/>
      <c r="FAH4" s="100"/>
      <c r="FAI4" s="102"/>
      <c r="FAK4" s="101"/>
      <c r="FAL4" s="100"/>
      <c r="FAM4" s="102"/>
      <c r="FAO4" s="101"/>
      <c r="FAP4" s="100"/>
      <c r="FAQ4" s="102"/>
      <c r="FAS4" s="101"/>
      <c r="FAT4" s="100"/>
      <c r="FAU4" s="102"/>
      <c r="FAW4" s="101"/>
      <c r="FAX4" s="100"/>
      <c r="FAY4" s="102"/>
      <c r="FBA4" s="101"/>
      <c r="FBB4" s="100"/>
      <c r="FBC4" s="102"/>
      <c r="FBE4" s="101"/>
      <c r="FBF4" s="100"/>
      <c r="FBG4" s="102"/>
      <c r="FBI4" s="101"/>
      <c r="FBJ4" s="100"/>
      <c r="FBK4" s="102"/>
      <c r="FBM4" s="101"/>
      <c r="FBN4" s="100"/>
      <c r="FBO4" s="102"/>
      <c r="FBQ4" s="101"/>
      <c r="FBR4" s="100"/>
      <c r="FBS4" s="102"/>
      <c r="FBU4" s="101"/>
      <c r="FBV4" s="100"/>
      <c r="FBW4" s="102"/>
      <c r="FBY4" s="101"/>
      <c r="FBZ4" s="100"/>
      <c r="FCA4" s="102"/>
      <c r="FCC4" s="101"/>
      <c r="FCD4" s="100"/>
      <c r="FCE4" s="102"/>
      <c r="FCG4" s="101"/>
      <c r="FCH4" s="100"/>
      <c r="FCI4" s="102"/>
      <c r="FCK4" s="101"/>
      <c r="FCL4" s="100"/>
      <c r="FCM4" s="102"/>
      <c r="FCO4" s="101"/>
      <c r="FCP4" s="100"/>
      <c r="FCQ4" s="102"/>
      <c r="FCS4" s="101"/>
      <c r="FCT4" s="100"/>
      <c r="FCU4" s="102"/>
      <c r="FCW4" s="101"/>
      <c r="FCX4" s="100"/>
      <c r="FCY4" s="102"/>
      <c r="FDA4" s="101"/>
      <c r="FDB4" s="100"/>
      <c r="FDC4" s="102"/>
      <c r="FDE4" s="101"/>
      <c r="FDF4" s="100"/>
      <c r="FDG4" s="102"/>
      <c r="FDI4" s="101"/>
      <c r="FDJ4" s="100"/>
      <c r="FDK4" s="102"/>
      <c r="FDM4" s="101"/>
      <c r="FDN4" s="100"/>
      <c r="FDO4" s="102"/>
      <c r="FDQ4" s="101"/>
      <c r="FDR4" s="100"/>
      <c r="FDS4" s="102"/>
      <c r="FDU4" s="101"/>
      <c r="FDV4" s="100"/>
      <c r="FDW4" s="102"/>
      <c r="FDY4" s="101"/>
      <c r="FDZ4" s="100"/>
      <c r="FEA4" s="102"/>
      <c r="FEC4" s="101"/>
      <c r="FED4" s="100"/>
      <c r="FEE4" s="102"/>
      <c r="FEG4" s="101"/>
      <c r="FEH4" s="100"/>
      <c r="FEI4" s="102"/>
      <c r="FEK4" s="101"/>
      <c r="FEL4" s="100"/>
      <c r="FEM4" s="102"/>
      <c r="FEO4" s="101"/>
      <c r="FEP4" s="100"/>
      <c r="FEQ4" s="102"/>
      <c r="FES4" s="101"/>
      <c r="FET4" s="100"/>
      <c r="FEU4" s="102"/>
      <c r="FEW4" s="101"/>
      <c r="FEX4" s="100"/>
      <c r="FEY4" s="102"/>
      <c r="FFA4" s="101"/>
      <c r="FFB4" s="100"/>
      <c r="FFC4" s="102"/>
      <c r="FFE4" s="101"/>
      <c r="FFF4" s="100"/>
      <c r="FFG4" s="102"/>
      <c r="FFI4" s="101"/>
      <c r="FFJ4" s="100"/>
      <c r="FFK4" s="102"/>
      <c r="FFM4" s="101"/>
      <c r="FFN4" s="100"/>
      <c r="FFO4" s="102"/>
      <c r="FFQ4" s="101"/>
      <c r="FFR4" s="100"/>
      <c r="FFS4" s="102"/>
      <c r="FFU4" s="101"/>
      <c r="FFV4" s="100"/>
      <c r="FFW4" s="102"/>
      <c r="FFY4" s="101"/>
      <c r="FFZ4" s="100"/>
      <c r="FGA4" s="102"/>
      <c r="FGC4" s="101"/>
      <c r="FGD4" s="100"/>
      <c r="FGE4" s="102"/>
      <c r="FGG4" s="101"/>
      <c r="FGH4" s="100"/>
      <c r="FGI4" s="102"/>
      <c r="FGK4" s="101"/>
      <c r="FGL4" s="100"/>
      <c r="FGM4" s="102"/>
      <c r="FGO4" s="101"/>
      <c r="FGP4" s="100"/>
      <c r="FGQ4" s="102"/>
      <c r="FGS4" s="101"/>
      <c r="FGT4" s="100"/>
      <c r="FGU4" s="102"/>
      <c r="FGW4" s="101"/>
      <c r="FGX4" s="100"/>
      <c r="FGY4" s="102"/>
      <c r="FHA4" s="101"/>
      <c r="FHB4" s="100"/>
      <c r="FHC4" s="102"/>
      <c r="FHE4" s="101"/>
      <c r="FHF4" s="100"/>
      <c r="FHG4" s="102"/>
      <c r="FHI4" s="101"/>
      <c r="FHJ4" s="100"/>
      <c r="FHK4" s="102"/>
      <c r="FHM4" s="101"/>
      <c r="FHN4" s="100"/>
      <c r="FHO4" s="102"/>
      <c r="FHQ4" s="101"/>
      <c r="FHR4" s="100"/>
      <c r="FHS4" s="102"/>
      <c r="FHU4" s="101"/>
      <c r="FHV4" s="100"/>
      <c r="FHW4" s="102"/>
      <c r="FHY4" s="101"/>
      <c r="FHZ4" s="100"/>
      <c r="FIA4" s="102"/>
      <c r="FIC4" s="101"/>
      <c r="FID4" s="100"/>
      <c r="FIE4" s="102"/>
      <c r="FIG4" s="101"/>
      <c r="FIH4" s="100"/>
      <c r="FII4" s="102"/>
      <c r="FIK4" s="101"/>
      <c r="FIL4" s="100"/>
      <c r="FIM4" s="102"/>
      <c r="FIO4" s="101"/>
      <c r="FIP4" s="100"/>
      <c r="FIQ4" s="102"/>
      <c r="FIS4" s="101"/>
      <c r="FIT4" s="100"/>
      <c r="FIU4" s="102"/>
      <c r="FIW4" s="101"/>
      <c r="FIX4" s="100"/>
      <c r="FIY4" s="102"/>
      <c r="FJA4" s="101"/>
      <c r="FJB4" s="100"/>
      <c r="FJC4" s="102"/>
      <c r="FJE4" s="101"/>
      <c r="FJF4" s="100"/>
      <c r="FJG4" s="102"/>
      <c r="FJI4" s="101"/>
      <c r="FJJ4" s="100"/>
      <c r="FJK4" s="102"/>
      <c r="FJM4" s="101"/>
      <c r="FJN4" s="100"/>
      <c r="FJO4" s="102"/>
      <c r="FJQ4" s="101"/>
      <c r="FJR4" s="100"/>
      <c r="FJS4" s="102"/>
      <c r="FJU4" s="101"/>
      <c r="FJV4" s="100"/>
      <c r="FJW4" s="102"/>
      <c r="FJY4" s="101"/>
      <c r="FJZ4" s="100"/>
      <c r="FKA4" s="102"/>
      <c r="FKC4" s="101"/>
      <c r="FKD4" s="100"/>
      <c r="FKE4" s="102"/>
      <c r="FKG4" s="101"/>
      <c r="FKH4" s="100"/>
      <c r="FKI4" s="102"/>
      <c r="FKK4" s="101"/>
      <c r="FKL4" s="100"/>
      <c r="FKM4" s="102"/>
      <c r="FKO4" s="101"/>
      <c r="FKP4" s="100"/>
      <c r="FKQ4" s="102"/>
      <c r="FKS4" s="101"/>
      <c r="FKT4" s="100"/>
      <c r="FKU4" s="102"/>
      <c r="FKW4" s="101"/>
      <c r="FKX4" s="100"/>
      <c r="FKY4" s="102"/>
      <c r="FLA4" s="101"/>
      <c r="FLB4" s="100"/>
      <c r="FLC4" s="102"/>
      <c r="FLE4" s="101"/>
      <c r="FLF4" s="100"/>
      <c r="FLG4" s="102"/>
      <c r="FLI4" s="101"/>
      <c r="FLJ4" s="100"/>
      <c r="FLK4" s="102"/>
      <c r="FLM4" s="101"/>
      <c r="FLN4" s="100"/>
      <c r="FLO4" s="102"/>
      <c r="FLQ4" s="101"/>
      <c r="FLR4" s="100"/>
      <c r="FLS4" s="102"/>
      <c r="FLU4" s="101"/>
      <c r="FLV4" s="100"/>
      <c r="FLW4" s="102"/>
      <c r="FLY4" s="101"/>
      <c r="FLZ4" s="100"/>
      <c r="FMA4" s="102"/>
      <c r="FMC4" s="101"/>
      <c r="FMD4" s="100"/>
      <c r="FME4" s="102"/>
      <c r="FMG4" s="101"/>
      <c r="FMH4" s="100"/>
      <c r="FMI4" s="102"/>
      <c r="FMK4" s="101"/>
      <c r="FML4" s="100"/>
      <c r="FMM4" s="102"/>
      <c r="FMO4" s="101"/>
      <c r="FMP4" s="100"/>
      <c r="FMQ4" s="102"/>
      <c r="FMS4" s="101"/>
      <c r="FMT4" s="100"/>
      <c r="FMU4" s="102"/>
      <c r="FMW4" s="101"/>
      <c r="FMX4" s="100"/>
      <c r="FMY4" s="102"/>
      <c r="FNA4" s="101"/>
      <c r="FNB4" s="100"/>
      <c r="FNC4" s="102"/>
      <c r="FNE4" s="101"/>
      <c r="FNF4" s="100"/>
      <c r="FNG4" s="102"/>
      <c r="FNI4" s="101"/>
      <c r="FNJ4" s="100"/>
      <c r="FNK4" s="102"/>
      <c r="FNM4" s="101"/>
      <c r="FNN4" s="100"/>
      <c r="FNO4" s="102"/>
      <c r="FNQ4" s="101"/>
      <c r="FNR4" s="100"/>
      <c r="FNS4" s="102"/>
      <c r="FNU4" s="101"/>
      <c r="FNV4" s="100"/>
      <c r="FNW4" s="102"/>
      <c r="FNY4" s="101"/>
      <c r="FNZ4" s="100"/>
      <c r="FOA4" s="102"/>
      <c r="FOC4" s="101"/>
      <c r="FOD4" s="100"/>
      <c r="FOE4" s="102"/>
      <c r="FOG4" s="101"/>
      <c r="FOH4" s="100"/>
      <c r="FOI4" s="102"/>
      <c r="FOK4" s="101"/>
      <c r="FOL4" s="100"/>
      <c r="FOM4" s="102"/>
      <c r="FOO4" s="101"/>
      <c r="FOP4" s="100"/>
      <c r="FOQ4" s="102"/>
      <c r="FOS4" s="101"/>
      <c r="FOT4" s="100"/>
      <c r="FOU4" s="102"/>
      <c r="FOW4" s="101"/>
      <c r="FOX4" s="100"/>
      <c r="FOY4" s="102"/>
      <c r="FPA4" s="101"/>
      <c r="FPB4" s="100"/>
      <c r="FPC4" s="102"/>
      <c r="FPE4" s="101"/>
      <c r="FPF4" s="100"/>
      <c r="FPG4" s="102"/>
      <c r="FPI4" s="101"/>
      <c r="FPJ4" s="100"/>
      <c r="FPK4" s="102"/>
      <c r="FPM4" s="101"/>
      <c r="FPN4" s="100"/>
      <c r="FPO4" s="102"/>
      <c r="FPQ4" s="101"/>
      <c r="FPR4" s="100"/>
      <c r="FPS4" s="102"/>
      <c r="FPU4" s="101"/>
      <c r="FPV4" s="100"/>
      <c r="FPW4" s="102"/>
      <c r="FPY4" s="101"/>
      <c r="FPZ4" s="100"/>
      <c r="FQA4" s="102"/>
      <c r="FQC4" s="101"/>
      <c r="FQD4" s="100"/>
      <c r="FQE4" s="102"/>
      <c r="FQG4" s="101"/>
      <c r="FQH4" s="100"/>
      <c r="FQI4" s="102"/>
      <c r="FQK4" s="101"/>
      <c r="FQL4" s="100"/>
      <c r="FQM4" s="102"/>
      <c r="FQO4" s="101"/>
      <c r="FQP4" s="100"/>
      <c r="FQQ4" s="102"/>
      <c r="FQS4" s="101"/>
      <c r="FQT4" s="100"/>
      <c r="FQU4" s="102"/>
      <c r="FQW4" s="101"/>
      <c r="FQX4" s="100"/>
      <c r="FQY4" s="102"/>
      <c r="FRA4" s="101"/>
      <c r="FRB4" s="100"/>
      <c r="FRC4" s="102"/>
      <c r="FRE4" s="101"/>
      <c r="FRF4" s="100"/>
      <c r="FRG4" s="102"/>
      <c r="FRI4" s="101"/>
      <c r="FRJ4" s="100"/>
      <c r="FRK4" s="102"/>
      <c r="FRM4" s="101"/>
      <c r="FRN4" s="100"/>
      <c r="FRO4" s="102"/>
      <c r="FRQ4" s="101"/>
      <c r="FRR4" s="100"/>
      <c r="FRS4" s="102"/>
      <c r="FRU4" s="101"/>
      <c r="FRV4" s="100"/>
      <c r="FRW4" s="102"/>
      <c r="FRY4" s="101"/>
      <c r="FRZ4" s="100"/>
      <c r="FSA4" s="102"/>
      <c r="FSC4" s="101"/>
      <c r="FSD4" s="100"/>
      <c r="FSE4" s="102"/>
      <c r="FSG4" s="101"/>
      <c r="FSH4" s="100"/>
      <c r="FSI4" s="102"/>
      <c r="FSK4" s="101"/>
      <c r="FSL4" s="100"/>
      <c r="FSM4" s="102"/>
      <c r="FSO4" s="101"/>
      <c r="FSP4" s="100"/>
      <c r="FSQ4" s="102"/>
      <c r="FSS4" s="101"/>
      <c r="FST4" s="100"/>
      <c r="FSU4" s="102"/>
      <c r="FSW4" s="101"/>
      <c r="FSX4" s="100"/>
      <c r="FSY4" s="102"/>
      <c r="FTA4" s="101"/>
      <c r="FTB4" s="100"/>
      <c r="FTC4" s="102"/>
      <c r="FTE4" s="101"/>
      <c r="FTF4" s="100"/>
      <c r="FTG4" s="102"/>
      <c r="FTI4" s="101"/>
      <c r="FTJ4" s="100"/>
      <c r="FTK4" s="102"/>
      <c r="FTM4" s="101"/>
      <c r="FTN4" s="100"/>
      <c r="FTO4" s="102"/>
      <c r="FTQ4" s="101"/>
      <c r="FTR4" s="100"/>
      <c r="FTS4" s="102"/>
      <c r="FTU4" s="101"/>
      <c r="FTV4" s="100"/>
      <c r="FTW4" s="102"/>
      <c r="FTY4" s="101"/>
      <c r="FTZ4" s="100"/>
      <c r="FUA4" s="102"/>
      <c r="FUC4" s="101"/>
      <c r="FUD4" s="100"/>
      <c r="FUE4" s="102"/>
      <c r="FUG4" s="101"/>
      <c r="FUH4" s="100"/>
      <c r="FUI4" s="102"/>
      <c r="FUK4" s="101"/>
      <c r="FUL4" s="100"/>
      <c r="FUM4" s="102"/>
      <c r="FUO4" s="101"/>
      <c r="FUP4" s="100"/>
      <c r="FUQ4" s="102"/>
      <c r="FUS4" s="101"/>
      <c r="FUT4" s="100"/>
      <c r="FUU4" s="102"/>
      <c r="FUW4" s="101"/>
      <c r="FUX4" s="100"/>
      <c r="FUY4" s="102"/>
      <c r="FVA4" s="101"/>
      <c r="FVB4" s="100"/>
      <c r="FVC4" s="102"/>
      <c r="FVE4" s="101"/>
      <c r="FVF4" s="100"/>
      <c r="FVG4" s="102"/>
      <c r="FVI4" s="101"/>
      <c r="FVJ4" s="100"/>
      <c r="FVK4" s="102"/>
      <c r="FVM4" s="101"/>
      <c r="FVN4" s="100"/>
      <c r="FVO4" s="102"/>
      <c r="FVQ4" s="101"/>
      <c r="FVR4" s="100"/>
      <c r="FVS4" s="102"/>
      <c r="FVU4" s="101"/>
      <c r="FVV4" s="100"/>
      <c r="FVW4" s="102"/>
      <c r="FVY4" s="101"/>
      <c r="FVZ4" s="100"/>
      <c r="FWA4" s="102"/>
      <c r="FWC4" s="101"/>
      <c r="FWD4" s="100"/>
      <c r="FWE4" s="102"/>
      <c r="FWG4" s="101"/>
      <c r="FWH4" s="100"/>
      <c r="FWI4" s="102"/>
      <c r="FWK4" s="101"/>
      <c r="FWL4" s="100"/>
      <c r="FWM4" s="102"/>
      <c r="FWO4" s="101"/>
      <c r="FWP4" s="100"/>
      <c r="FWQ4" s="102"/>
      <c r="FWS4" s="101"/>
      <c r="FWT4" s="100"/>
      <c r="FWU4" s="102"/>
      <c r="FWW4" s="101"/>
      <c r="FWX4" s="100"/>
      <c r="FWY4" s="102"/>
      <c r="FXA4" s="101"/>
      <c r="FXB4" s="100"/>
      <c r="FXC4" s="102"/>
      <c r="FXE4" s="101"/>
      <c r="FXF4" s="100"/>
      <c r="FXG4" s="102"/>
      <c r="FXI4" s="101"/>
      <c r="FXJ4" s="100"/>
      <c r="FXK4" s="102"/>
      <c r="FXM4" s="101"/>
      <c r="FXN4" s="100"/>
      <c r="FXO4" s="102"/>
      <c r="FXQ4" s="101"/>
      <c r="FXR4" s="100"/>
      <c r="FXS4" s="102"/>
      <c r="FXU4" s="101"/>
      <c r="FXV4" s="100"/>
      <c r="FXW4" s="102"/>
      <c r="FXY4" s="101"/>
      <c r="FXZ4" s="100"/>
      <c r="FYA4" s="102"/>
      <c r="FYC4" s="101"/>
      <c r="FYD4" s="100"/>
      <c r="FYE4" s="102"/>
      <c r="FYG4" s="101"/>
      <c r="FYH4" s="100"/>
      <c r="FYI4" s="102"/>
      <c r="FYK4" s="101"/>
      <c r="FYL4" s="100"/>
      <c r="FYM4" s="102"/>
      <c r="FYO4" s="101"/>
      <c r="FYP4" s="100"/>
      <c r="FYQ4" s="102"/>
      <c r="FYS4" s="101"/>
      <c r="FYT4" s="100"/>
      <c r="FYU4" s="102"/>
      <c r="FYW4" s="101"/>
      <c r="FYX4" s="100"/>
      <c r="FYY4" s="102"/>
      <c r="FZA4" s="101"/>
      <c r="FZB4" s="100"/>
      <c r="FZC4" s="102"/>
      <c r="FZE4" s="101"/>
      <c r="FZF4" s="100"/>
      <c r="FZG4" s="102"/>
      <c r="FZI4" s="101"/>
      <c r="FZJ4" s="100"/>
      <c r="FZK4" s="102"/>
      <c r="FZM4" s="101"/>
      <c r="FZN4" s="100"/>
      <c r="FZO4" s="102"/>
      <c r="FZQ4" s="101"/>
      <c r="FZR4" s="100"/>
      <c r="FZS4" s="102"/>
      <c r="FZU4" s="101"/>
      <c r="FZV4" s="100"/>
      <c r="FZW4" s="102"/>
      <c r="FZY4" s="101"/>
      <c r="FZZ4" s="100"/>
      <c r="GAA4" s="102"/>
      <c r="GAC4" s="101"/>
      <c r="GAD4" s="100"/>
      <c r="GAE4" s="102"/>
      <c r="GAG4" s="101"/>
      <c r="GAH4" s="100"/>
      <c r="GAI4" s="102"/>
      <c r="GAK4" s="101"/>
      <c r="GAL4" s="100"/>
      <c r="GAM4" s="102"/>
      <c r="GAO4" s="101"/>
      <c r="GAP4" s="100"/>
      <c r="GAQ4" s="102"/>
      <c r="GAS4" s="101"/>
      <c r="GAT4" s="100"/>
      <c r="GAU4" s="102"/>
      <c r="GAW4" s="101"/>
      <c r="GAX4" s="100"/>
      <c r="GAY4" s="102"/>
      <c r="GBA4" s="101"/>
      <c r="GBB4" s="100"/>
      <c r="GBC4" s="102"/>
      <c r="GBE4" s="101"/>
      <c r="GBF4" s="100"/>
      <c r="GBG4" s="102"/>
      <c r="GBI4" s="101"/>
      <c r="GBJ4" s="100"/>
      <c r="GBK4" s="102"/>
      <c r="GBM4" s="101"/>
      <c r="GBN4" s="100"/>
      <c r="GBO4" s="102"/>
      <c r="GBQ4" s="101"/>
      <c r="GBR4" s="100"/>
      <c r="GBS4" s="102"/>
      <c r="GBU4" s="101"/>
      <c r="GBV4" s="100"/>
      <c r="GBW4" s="102"/>
      <c r="GBY4" s="101"/>
      <c r="GBZ4" s="100"/>
      <c r="GCA4" s="102"/>
      <c r="GCC4" s="101"/>
      <c r="GCD4" s="100"/>
      <c r="GCE4" s="102"/>
      <c r="GCG4" s="101"/>
      <c r="GCH4" s="100"/>
      <c r="GCI4" s="102"/>
      <c r="GCK4" s="101"/>
      <c r="GCL4" s="100"/>
      <c r="GCM4" s="102"/>
      <c r="GCO4" s="101"/>
      <c r="GCP4" s="100"/>
      <c r="GCQ4" s="102"/>
      <c r="GCS4" s="101"/>
      <c r="GCT4" s="100"/>
      <c r="GCU4" s="102"/>
      <c r="GCW4" s="101"/>
      <c r="GCX4" s="100"/>
      <c r="GCY4" s="102"/>
      <c r="GDA4" s="101"/>
      <c r="GDB4" s="100"/>
      <c r="GDC4" s="102"/>
      <c r="GDE4" s="101"/>
      <c r="GDF4" s="100"/>
      <c r="GDG4" s="102"/>
      <c r="GDI4" s="101"/>
      <c r="GDJ4" s="100"/>
      <c r="GDK4" s="102"/>
      <c r="GDM4" s="101"/>
      <c r="GDN4" s="100"/>
      <c r="GDO4" s="102"/>
      <c r="GDQ4" s="101"/>
      <c r="GDR4" s="100"/>
      <c r="GDS4" s="102"/>
      <c r="GDU4" s="101"/>
      <c r="GDV4" s="100"/>
      <c r="GDW4" s="102"/>
      <c r="GDY4" s="101"/>
      <c r="GDZ4" s="100"/>
      <c r="GEA4" s="102"/>
      <c r="GEC4" s="101"/>
      <c r="GED4" s="100"/>
      <c r="GEE4" s="102"/>
      <c r="GEG4" s="101"/>
      <c r="GEH4" s="100"/>
      <c r="GEI4" s="102"/>
      <c r="GEK4" s="101"/>
      <c r="GEL4" s="100"/>
      <c r="GEM4" s="102"/>
      <c r="GEO4" s="101"/>
      <c r="GEP4" s="100"/>
      <c r="GEQ4" s="102"/>
      <c r="GES4" s="101"/>
      <c r="GET4" s="100"/>
      <c r="GEU4" s="102"/>
      <c r="GEW4" s="101"/>
      <c r="GEX4" s="100"/>
      <c r="GEY4" s="102"/>
      <c r="GFA4" s="101"/>
      <c r="GFB4" s="100"/>
      <c r="GFC4" s="102"/>
      <c r="GFE4" s="101"/>
      <c r="GFF4" s="100"/>
      <c r="GFG4" s="102"/>
      <c r="GFI4" s="101"/>
      <c r="GFJ4" s="100"/>
      <c r="GFK4" s="102"/>
      <c r="GFM4" s="101"/>
      <c r="GFN4" s="100"/>
      <c r="GFO4" s="102"/>
      <c r="GFQ4" s="101"/>
      <c r="GFR4" s="100"/>
      <c r="GFS4" s="102"/>
      <c r="GFU4" s="101"/>
      <c r="GFV4" s="100"/>
      <c r="GFW4" s="102"/>
      <c r="GFY4" s="101"/>
      <c r="GFZ4" s="100"/>
      <c r="GGA4" s="102"/>
      <c r="GGC4" s="101"/>
      <c r="GGD4" s="100"/>
      <c r="GGE4" s="102"/>
      <c r="GGG4" s="101"/>
      <c r="GGH4" s="100"/>
      <c r="GGI4" s="102"/>
      <c r="GGK4" s="101"/>
      <c r="GGL4" s="100"/>
      <c r="GGM4" s="102"/>
      <c r="GGO4" s="101"/>
      <c r="GGP4" s="100"/>
      <c r="GGQ4" s="102"/>
      <c r="GGS4" s="101"/>
      <c r="GGT4" s="100"/>
      <c r="GGU4" s="102"/>
      <c r="GGW4" s="101"/>
      <c r="GGX4" s="100"/>
      <c r="GGY4" s="102"/>
      <c r="GHA4" s="101"/>
      <c r="GHB4" s="100"/>
      <c r="GHC4" s="102"/>
      <c r="GHE4" s="101"/>
      <c r="GHF4" s="100"/>
      <c r="GHG4" s="102"/>
      <c r="GHI4" s="101"/>
      <c r="GHJ4" s="100"/>
      <c r="GHK4" s="102"/>
      <c r="GHM4" s="101"/>
      <c r="GHN4" s="100"/>
      <c r="GHO4" s="102"/>
      <c r="GHQ4" s="101"/>
      <c r="GHR4" s="100"/>
      <c r="GHS4" s="102"/>
      <c r="GHU4" s="101"/>
      <c r="GHV4" s="100"/>
      <c r="GHW4" s="102"/>
      <c r="GHY4" s="101"/>
      <c r="GHZ4" s="100"/>
      <c r="GIA4" s="102"/>
      <c r="GIC4" s="101"/>
      <c r="GID4" s="100"/>
      <c r="GIE4" s="102"/>
      <c r="GIG4" s="101"/>
      <c r="GIH4" s="100"/>
      <c r="GII4" s="102"/>
      <c r="GIK4" s="101"/>
      <c r="GIL4" s="100"/>
      <c r="GIM4" s="102"/>
      <c r="GIO4" s="101"/>
      <c r="GIP4" s="100"/>
      <c r="GIQ4" s="102"/>
      <c r="GIS4" s="101"/>
      <c r="GIT4" s="100"/>
      <c r="GIU4" s="102"/>
      <c r="GIW4" s="101"/>
      <c r="GIX4" s="100"/>
      <c r="GIY4" s="102"/>
      <c r="GJA4" s="101"/>
      <c r="GJB4" s="100"/>
      <c r="GJC4" s="102"/>
      <c r="GJE4" s="101"/>
      <c r="GJF4" s="100"/>
      <c r="GJG4" s="102"/>
      <c r="GJI4" s="101"/>
      <c r="GJJ4" s="100"/>
      <c r="GJK4" s="102"/>
      <c r="GJM4" s="101"/>
      <c r="GJN4" s="100"/>
      <c r="GJO4" s="102"/>
      <c r="GJQ4" s="101"/>
      <c r="GJR4" s="100"/>
      <c r="GJS4" s="102"/>
      <c r="GJU4" s="101"/>
      <c r="GJV4" s="100"/>
      <c r="GJW4" s="102"/>
      <c r="GJY4" s="101"/>
      <c r="GJZ4" s="100"/>
      <c r="GKA4" s="102"/>
      <c r="GKC4" s="101"/>
      <c r="GKD4" s="100"/>
      <c r="GKE4" s="102"/>
      <c r="GKG4" s="101"/>
      <c r="GKH4" s="100"/>
      <c r="GKI4" s="102"/>
      <c r="GKK4" s="101"/>
      <c r="GKL4" s="100"/>
      <c r="GKM4" s="102"/>
      <c r="GKO4" s="101"/>
      <c r="GKP4" s="100"/>
      <c r="GKQ4" s="102"/>
      <c r="GKS4" s="101"/>
      <c r="GKT4" s="100"/>
      <c r="GKU4" s="102"/>
      <c r="GKW4" s="101"/>
      <c r="GKX4" s="100"/>
      <c r="GKY4" s="102"/>
      <c r="GLA4" s="101"/>
      <c r="GLB4" s="100"/>
      <c r="GLC4" s="102"/>
      <c r="GLE4" s="101"/>
      <c r="GLF4" s="100"/>
      <c r="GLG4" s="102"/>
      <c r="GLI4" s="101"/>
      <c r="GLJ4" s="100"/>
      <c r="GLK4" s="102"/>
      <c r="GLM4" s="101"/>
      <c r="GLN4" s="100"/>
      <c r="GLO4" s="102"/>
      <c r="GLQ4" s="101"/>
      <c r="GLR4" s="100"/>
      <c r="GLS4" s="102"/>
      <c r="GLU4" s="101"/>
      <c r="GLV4" s="100"/>
      <c r="GLW4" s="102"/>
      <c r="GLY4" s="101"/>
      <c r="GLZ4" s="100"/>
      <c r="GMA4" s="102"/>
      <c r="GMC4" s="101"/>
      <c r="GMD4" s="100"/>
      <c r="GME4" s="102"/>
      <c r="GMG4" s="101"/>
      <c r="GMH4" s="100"/>
      <c r="GMI4" s="102"/>
      <c r="GMK4" s="101"/>
      <c r="GML4" s="100"/>
      <c r="GMM4" s="102"/>
      <c r="GMO4" s="101"/>
      <c r="GMP4" s="100"/>
      <c r="GMQ4" s="102"/>
      <c r="GMS4" s="101"/>
      <c r="GMT4" s="100"/>
      <c r="GMU4" s="102"/>
      <c r="GMW4" s="101"/>
      <c r="GMX4" s="100"/>
      <c r="GMY4" s="102"/>
      <c r="GNA4" s="101"/>
      <c r="GNB4" s="100"/>
      <c r="GNC4" s="102"/>
      <c r="GNE4" s="101"/>
      <c r="GNF4" s="100"/>
      <c r="GNG4" s="102"/>
      <c r="GNI4" s="101"/>
      <c r="GNJ4" s="100"/>
      <c r="GNK4" s="102"/>
      <c r="GNM4" s="101"/>
      <c r="GNN4" s="100"/>
      <c r="GNO4" s="102"/>
      <c r="GNQ4" s="101"/>
      <c r="GNR4" s="100"/>
      <c r="GNS4" s="102"/>
      <c r="GNU4" s="101"/>
      <c r="GNV4" s="100"/>
      <c r="GNW4" s="102"/>
      <c r="GNY4" s="101"/>
      <c r="GNZ4" s="100"/>
      <c r="GOA4" s="102"/>
      <c r="GOC4" s="101"/>
      <c r="GOD4" s="100"/>
      <c r="GOE4" s="102"/>
      <c r="GOG4" s="101"/>
      <c r="GOH4" s="100"/>
      <c r="GOI4" s="102"/>
      <c r="GOK4" s="101"/>
      <c r="GOL4" s="100"/>
      <c r="GOM4" s="102"/>
      <c r="GOO4" s="101"/>
      <c r="GOP4" s="100"/>
      <c r="GOQ4" s="102"/>
      <c r="GOS4" s="101"/>
      <c r="GOT4" s="100"/>
      <c r="GOU4" s="102"/>
      <c r="GOW4" s="101"/>
      <c r="GOX4" s="100"/>
      <c r="GOY4" s="102"/>
      <c r="GPA4" s="101"/>
      <c r="GPB4" s="100"/>
      <c r="GPC4" s="102"/>
      <c r="GPE4" s="101"/>
      <c r="GPF4" s="100"/>
      <c r="GPG4" s="102"/>
      <c r="GPI4" s="101"/>
      <c r="GPJ4" s="100"/>
      <c r="GPK4" s="102"/>
      <c r="GPM4" s="101"/>
      <c r="GPN4" s="100"/>
      <c r="GPO4" s="102"/>
      <c r="GPQ4" s="101"/>
      <c r="GPR4" s="100"/>
      <c r="GPS4" s="102"/>
      <c r="GPU4" s="101"/>
      <c r="GPV4" s="100"/>
      <c r="GPW4" s="102"/>
      <c r="GPY4" s="101"/>
      <c r="GPZ4" s="100"/>
      <c r="GQA4" s="102"/>
      <c r="GQC4" s="101"/>
      <c r="GQD4" s="100"/>
      <c r="GQE4" s="102"/>
      <c r="GQG4" s="101"/>
      <c r="GQH4" s="100"/>
      <c r="GQI4" s="102"/>
      <c r="GQK4" s="101"/>
      <c r="GQL4" s="100"/>
      <c r="GQM4" s="102"/>
      <c r="GQO4" s="101"/>
      <c r="GQP4" s="100"/>
      <c r="GQQ4" s="102"/>
      <c r="GQS4" s="101"/>
      <c r="GQT4" s="100"/>
      <c r="GQU4" s="102"/>
      <c r="GQW4" s="101"/>
      <c r="GQX4" s="100"/>
      <c r="GQY4" s="102"/>
      <c r="GRA4" s="101"/>
      <c r="GRB4" s="100"/>
      <c r="GRC4" s="102"/>
      <c r="GRE4" s="101"/>
      <c r="GRF4" s="100"/>
      <c r="GRG4" s="102"/>
      <c r="GRI4" s="101"/>
      <c r="GRJ4" s="100"/>
      <c r="GRK4" s="102"/>
      <c r="GRM4" s="101"/>
      <c r="GRN4" s="100"/>
      <c r="GRO4" s="102"/>
      <c r="GRQ4" s="101"/>
      <c r="GRR4" s="100"/>
      <c r="GRS4" s="102"/>
      <c r="GRU4" s="101"/>
      <c r="GRV4" s="100"/>
      <c r="GRW4" s="102"/>
      <c r="GRY4" s="101"/>
      <c r="GRZ4" s="100"/>
      <c r="GSA4" s="102"/>
      <c r="GSC4" s="101"/>
      <c r="GSD4" s="100"/>
      <c r="GSE4" s="102"/>
      <c r="GSG4" s="101"/>
      <c r="GSH4" s="100"/>
      <c r="GSI4" s="102"/>
      <c r="GSK4" s="101"/>
      <c r="GSL4" s="100"/>
      <c r="GSM4" s="102"/>
      <c r="GSO4" s="101"/>
      <c r="GSP4" s="100"/>
      <c r="GSQ4" s="102"/>
      <c r="GSS4" s="101"/>
      <c r="GST4" s="100"/>
      <c r="GSU4" s="102"/>
      <c r="GSW4" s="101"/>
      <c r="GSX4" s="100"/>
      <c r="GSY4" s="102"/>
      <c r="GTA4" s="101"/>
      <c r="GTB4" s="100"/>
      <c r="GTC4" s="102"/>
      <c r="GTE4" s="101"/>
      <c r="GTF4" s="100"/>
      <c r="GTG4" s="102"/>
      <c r="GTI4" s="101"/>
      <c r="GTJ4" s="100"/>
      <c r="GTK4" s="102"/>
      <c r="GTM4" s="101"/>
      <c r="GTN4" s="100"/>
      <c r="GTO4" s="102"/>
      <c r="GTQ4" s="101"/>
      <c r="GTR4" s="100"/>
      <c r="GTS4" s="102"/>
      <c r="GTU4" s="101"/>
      <c r="GTV4" s="100"/>
      <c r="GTW4" s="102"/>
      <c r="GTY4" s="101"/>
      <c r="GTZ4" s="100"/>
      <c r="GUA4" s="102"/>
      <c r="GUC4" s="101"/>
      <c r="GUD4" s="100"/>
      <c r="GUE4" s="102"/>
      <c r="GUG4" s="101"/>
      <c r="GUH4" s="100"/>
      <c r="GUI4" s="102"/>
      <c r="GUK4" s="101"/>
      <c r="GUL4" s="100"/>
      <c r="GUM4" s="102"/>
      <c r="GUO4" s="101"/>
      <c r="GUP4" s="100"/>
      <c r="GUQ4" s="102"/>
      <c r="GUS4" s="101"/>
      <c r="GUT4" s="100"/>
      <c r="GUU4" s="102"/>
      <c r="GUW4" s="101"/>
      <c r="GUX4" s="100"/>
      <c r="GUY4" s="102"/>
      <c r="GVA4" s="101"/>
      <c r="GVB4" s="100"/>
      <c r="GVC4" s="102"/>
      <c r="GVE4" s="101"/>
      <c r="GVF4" s="100"/>
      <c r="GVG4" s="102"/>
      <c r="GVI4" s="101"/>
      <c r="GVJ4" s="100"/>
      <c r="GVK4" s="102"/>
      <c r="GVM4" s="101"/>
      <c r="GVN4" s="100"/>
      <c r="GVO4" s="102"/>
      <c r="GVQ4" s="101"/>
      <c r="GVR4" s="100"/>
      <c r="GVS4" s="102"/>
      <c r="GVU4" s="101"/>
      <c r="GVV4" s="100"/>
      <c r="GVW4" s="102"/>
      <c r="GVY4" s="101"/>
      <c r="GVZ4" s="100"/>
      <c r="GWA4" s="102"/>
      <c r="GWC4" s="101"/>
      <c r="GWD4" s="100"/>
      <c r="GWE4" s="102"/>
      <c r="GWG4" s="101"/>
      <c r="GWH4" s="100"/>
      <c r="GWI4" s="102"/>
      <c r="GWK4" s="101"/>
      <c r="GWL4" s="100"/>
      <c r="GWM4" s="102"/>
      <c r="GWO4" s="101"/>
      <c r="GWP4" s="100"/>
      <c r="GWQ4" s="102"/>
      <c r="GWS4" s="101"/>
      <c r="GWT4" s="100"/>
      <c r="GWU4" s="102"/>
      <c r="GWW4" s="101"/>
      <c r="GWX4" s="100"/>
      <c r="GWY4" s="102"/>
      <c r="GXA4" s="101"/>
      <c r="GXB4" s="100"/>
      <c r="GXC4" s="102"/>
      <c r="GXE4" s="101"/>
      <c r="GXF4" s="100"/>
      <c r="GXG4" s="102"/>
      <c r="GXI4" s="101"/>
      <c r="GXJ4" s="100"/>
      <c r="GXK4" s="102"/>
      <c r="GXM4" s="101"/>
      <c r="GXN4" s="100"/>
      <c r="GXO4" s="102"/>
      <c r="GXQ4" s="101"/>
      <c r="GXR4" s="100"/>
      <c r="GXS4" s="102"/>
      <c r="GXU4" s="101"/>
      <c r="GXV4" s="100"/>
      <c r="GXW4" s="102"/>
      <c r="GXY4" s="101"/>
      <c r="GXZ4" s="100"/>
      <c r="GYA4" s="102"/>
      <c r="GYC4" s="101"/>
      <c r="GYD4" s="100"/>
      <c r="GYE4" s="102"/>
      <c r="GYG4" s="101"/>
      <c r="GYH4" s="100"/>
      <c r="GYI4" s="102"/>
      <c r="GYK4" s="101"/>
      <c r="GYL4" s="100"/>
      <c r="GYM4" s="102"/>
      <c r="GYO4" s="101"/>
      <c r="GYP4" s="100"/>
      <c r="GYQ4" s="102"/>
      <c r="GYS4" s="101"/>
      <c r="GYT4" s="100"/>
      <c r="GYU4" s="102"/>
      <c r="GYW4" s="101"/>
      <c r="GYX4" s="100"/>
      <c r="GYY4" s="102"/>
      <c r="GZA4" s="101"/>
      <c r="GZB4" s="100"/>
      <c r="GZC4" s="102"/>
      <c r="GZE4" s="101"/>
      <c r="GZF4" s="100"/>
      <c r="GZG4" s="102"/>
      <c r="GZI4" s="101"/>
      <c r="GZJ4" s="100"/>
      <c r="GZK4" s="102"/>
      <c r="GZM4" s="101"/>
      <c r="GZN4" s="100"/>
      <c r="GZO4" s="102"/>
      <c r="GZQ4" s="101"/>
      <c r="GZR4" s="100"/>
      <c r="GZS4" s="102"/>
      <c r="GZU4" s="101"/>
      <c r="GZV4" s="100"/>
      <c r="GZW4" s="102"/>
      <c r="GZY4" s="101"/>
      <c r="GZZ4" s="100"/>
      <c r="HAA4" s="102"/>
      <c r="HAC4" s="101"/>
      <c r="HAD4" s="100"/>
      <c r="HAE4" s="102"/>
      <c r="HAG4" s="101"/>
      <c r="HAH4" s="100"/>
      <c r="HAI4" s="102"/>
      <c r="HAK4" s="101"/>
      <c r="HAL4" s="100"/>
      <c r="HAM4" s="102"/>
      <c r="HAO4" s="101"/>
      <c r="HAP4" s="100"/>
      <c r="HAQ4" s="102"/>
      <c r="HAS4" s="101"/>
      <c r="HAT4" s="100"/>
      <c r="HAU4" s="102"/>
      <c r="HAW4" s="101"/>
      <c r="HAX4" s="100"/>
      <c r="HAY4" s="102"/>
      <c r="HBA4" s="101"/>
      <c r="HBB4" s="100"/>
      <c r="HBC4" s="102"/>
      <c r="HBE4" s="101"/>
      <c r="HBF4" s="100"/>
      <c r="HBG4" s="102"/>
      <c r="HBI4" s="101"/>
      <c r="HBJ4" s="100"/>
      <c r="HBK4" s="102"/>
      <c r="HBM4" s="101"/>
      <c r="HBN4" s="100"/>
      <c r="HBO4" s="102"/>
      <c r="HBQ4" s="101"/>
      <c r="HBR4" s="100"/>
      <c r="HBS4" s="102"/>
      <c r="HBU4" s="101"/>
      <c r="HBV4" s="100"/>
      <c r="HBW4" s="102"/>
      <c r="HBY4" s="101"/>
      <c r="HBZ4" s="100"/>
      <c r="HCA4" s="102"/>
      <c r="HCC4" s="101"/>
      <c r="HCD4" s="100"/>
      <c r="HCE4" s="102"/>
      <c r="HCG4" s="101"/>
      <c r="HCH4" s="100"/>
      <c r="HCI4" s="102"/>
      <c r="HCK4" s="101"/>
      <c r="HCL4" s="100"/>
      <c r="HCM4" s="102"/>
      <c r="HCO4" s="101"/>
      <c r="HCP4" s="100"/>
      <c r="HCQ4" s="102"/>
      <c r="HCS4" s="101"/>
      <c r="HCT4" s="100"/>
      <c r="HCU4" s="102"/>
      <c r="HCW4" s="101"/>
      <c r="HCX4" s="100"/>
      <c r="HCY4" s="102"/>
      <c r="HDA4" s="101"/>
      <c r="HDB4" s="100"/>
      <c r="HDC4" s="102"/>
      <c r="HDE4" s="101"/>
      <c r="HDF4" s="100"/>
      <c r="HDG4" s="102"/>
      <c r="HDI4" s="101"/>
      <c r="HDJ4" s="100"/>
      <c r="HDK4" s="102"/>
      <c r="HDM4" s="101"/>
      <c r="HDN4" s="100"/>
      <c r="HDO4" s="102"/>
      <c r="HDQ4" s="101"/>
      <c r="HDR4" s="100"/>
      <c r="HDS4" s="102"/>
      <c r="HDU4" s="101"/>
      <c r="HDV4" s="100"/>
      <c r="HDW4" s="102"/>
      <c r="HDY4" s="101"/>
      <c r="HDZ4" s="100"/>
      <c r="HEA4" s="102"/>
      <c r="HEC4" s="101"/>
      <c r="HED4" s="100"/>
      <c r="HEE4" s="102"/>
      <c r="HEG4" s="101"/>
      <c r="HEH4" s="100"/>
      <c r="HEI4" s="102"/>
      <c r="HEK4" s="101"/>
      <c r="HEL4" s="100"/>
      <c r="HEM4" s="102"/>
      <c r="HEO4" s="101"/>
      <c r="HEP4" s="100"/>
      <c r="HEQ4" s="102"/>
      <c r="HES4" s="101"/>
      <c r="HET4" s="100"/>
      <c r="HEU4" s="102"/>
      <c r="HEW4" s="101"/>
      <c r="HEX4" s="100"/>
      <c r="HEY4" s="102"/>
      <c r="HFA4" s="101"/>
      <c r="HFB4" s="100"/>
      <c r="HFC4" s="102"/>
      <c r="HFE4" s="101"/>
      <c r="HFF4" s="100"/>
      <c r="HFG4" s="102"/>
      <c r="HFI4" s="101"/>
      <c r="HFJ4" s="100"/>
      <c r="HFK4" s="102"/>
      <c r="HFM4" s="101"/>
      <c r="HFN4" s="100"/>
      <c r="HFO4" s="102"/>
      <c r="HFQ4" s="101"/>
      <c r="HFR4" s="100"/>
      <c r="HFS4" s="102"/>
      <c r="HFU4" s="101"/>
      <c r="HFV4" s="100"/>
      <c r="HFW4" s="102"/>
      <c r="HFY4" s="101"/>
      <c r="HFZ4" s="100"/>
      <c r="HGA4" s="102"/>
      <c r="HGC4" s="101"/>
      <c r="HGD4" s="100"/>
      <c r="HGE4" s="102"/>
      <c r="HGG4" s="101"/>
      <c r="HGH4" s="100"/>
      <c r="HGI4" s="102"/>
      <c r="HGK4" s="101"/>
      <c r="HGL4" s="100"/>
      <c r="HGM4" s="102"/>
      <c r="HGO4" s="101"/>
      <c r="HGP4" s="100"/>
      <c r="HGQ4" s="102"/>
      <c r="HGS4" s="101"/>
      <c r="HGT4" s="100"/>
      <c r="HGU4" s="102"/>
      <c r="HGW4" s="101"/>
      <c r="HGX4" s="100"/>
      <c r="HGY4" s="102"/>
      <c r="HHA4" s="101"/>
      <c r="HHB4" s="100"/>
      <c r="HHC4" s="102"/>
      <c r="HHE4" s="101"/>
      <c r="HHF4" s="100"/>
      <c r="HHG4" s="102"/>
      <c r="HHI4" s="101"/>
      <c r="HHJ4" s="100"/>
      <c r="HHK4" s="102"/>
      <c r="HHM4" s="101"/>
      <c r="HHN4" s="100"/>
      <c r="HHO4" s="102"/>
      <c r="HHQ4" s="101"/>
      <c r="HHR4" s="100"/>
      <c r="HHS4" s="102"/>
      <c r="HHU4" s="101"/>
      <c r="HHV4" s="100"/>
      <c r="HHW4" s="102"/>
      <c r="HHY4" s="101"/>
      <c r="HHZ4" s="100"/>
      <c r="HIA4" s="102"/>
      <c r="HIC4" s="101"/>
      <c r="HID4" s="100"/>
      <c r="HIE4" s="102"/>
      <c r="HIG4" s="101"/>
      <c r="HIH4" s="100"/>
      <c r="HII4" s="102"/>
      <c r="HIK4" s="101"/>
      <c r="HIL4" s="100"/>
      <c r="HIM4" s="102"/>
      <c r="HIO4" s="101"/>
      <c r="HIP4" s="100"/>
      <c r="HIQ4" s="102"/>
      <c r="HIS4" s="101"/>
      <c r="HIT4" s="100"/>
      <c r="HIU4" s="102"/>
      <c r="HIW4" s="101"/>
      <c r="HIX4" s="100"/>
      <c r="HIY4" s="102"/>
      <c r="HJA4" s="101"/>
      <c r="HJB4" s="100"/>
      <c r="HJC4" s="102"/>
      <c r="HJE4" s="101"/>
      <c r="HJF4" s="100"/>
      <c r="HJG4" s="102"/>
      <c r="HJI4" s="101"/>
      <c r="HJJ4" s="100"/>
      <c r="HJK4" s="102"/>
      <c r="HJM4" s="101"/>
      <c r="HJN4" s="100"/>
      <c r="HJO4" s="102"/>
      <c r="HJQ4" s="101"/>
      <c r="HJR4" s="100"/>
      <c r="HJS4" s="102"/>
      <c r="HJU4" s="101"/>
      <c r="HJV4" s="100"/>
      <c r="HJW4" s="102"/>
      <c r="HJY4" s="101"/>
      <c r="HJZ4" s="100"/>
      <c r="HKA4" s="102"/>
      <c r="HKC4" s="101"/>
      <c r="HKD4" s="100"/>
      <c r="HKE4" s="102"/>
      <c r="HKG4" s="101"/>
      <c r="HKH4" s="100"/>
      <c r="HKI4" s="102"/>
      <c r="HKK4" s="101"/>
      <c r="HKL4" s="100"/>
      <c r="HKM4" s="102"/>
      <c r="HKO4" s="101"/>
      <c r="HKP4" s="100"/>
      <c r="HKQ4" s="102"/>
      <c r="HKS4" s="101"/>
      <c r="HKT4" s="100"/>
      <c r="HKU4" s="102"/>
      <c r="HKW4" s="101"/>
      <c r="HKX4" s="100"/>
      <c r="HKY4" s="102"/>
      <c r="HLA4" s="101"/>
      <c r="HLB4" s="100"/>
      <c r="HLC4" s="102"/>
      <c r="HLE4" s="101"/>
      <c r="HLF4" s="100"/>
      <c r="HLG4" s="102"/>
      <c r="HLI4" s="101"/>
      <c r="HLJ4" s="100"/>
      <c r="HLK4" s="102"/>
      <c r="HLM4" s="101"/>
      <c r="HLN4" s="100"/>
      <c r="HLO4" s="102"/>
      <c r="HLQ4" s="101"/>
      <c r="HLR4" s="100"/>
      <c r="HLS4" s="102"/>
      <c r="HLU4" s="101"/>
      <c r="HLV4" s="100"/>
      <c r="HLW4" s="102"/>
      <c r="HLY4" s="101"/>
      <c r="HLZ4" s="100"/>
      <c r="HMA4" s="102"/>
      <c r="HMC4" s="101"/>
      <c r="HMD4" s="100"/>
      <c r="HME4" s="102"/>
      <c r="HMG4" s="101"/>
      <c r="HMH4" s="100"/>
      <c r="HMI4" s="102"/>
      <c r="HMK4" s="101"/>
      <c r="HML4" s="100"/>
      <c r="HMM4" s="102"/>
      <c r="HMO4" s="101"/>
      <c r="HMP4" s="100"/>
      <c r="HMQ4" s="102"/>
      <c r="HMS4" s="101"/>
      <c r="HMT4" s="100"/>
      <c r="HMU4" s="102"/>
      <c r="HMW4" s="101"/>
      <c r="HMX4" s="100"/>
      <c r="HMY4" s="102"/>
      <c r="HNA4" s="101"/>
      <c r="HNB4" s="100"/>
      <c r="HNC4" s="102"/>
      <c r="HNE4" s="101"/>
      <c r="HNF4" s="100"/>
      <c r="HNG4" s="102"/>
      <c r="HNI4" s="101"/>
      <c r="HNJ4" s="100"/>
      <c r="HNK4" s="102"/>
      <c r="HNM4" s="101"/>
      <c r="HNN4" s="100"/>
      <c r="HNO4" s="102"/>
      <c r="HNQ4" s="101"/>
      <c r="HNR4" s="100"/>
      <c r="HNS4" s="102"/>
      <c r="HNU4" s="101"/>
      <c r="HNV4" s="100"/>
      <c r="HNW4" s="102"/>
      <c r="HNY4" s="101"/>
      <c r="HNZ4" s="100"/>
      <c r="HOA4" s="102"/>
      <c r="HOC4" s="101"/>
      <c r="HOD4" s="100"/>
      <c r="HOE4" s="102"/>
      <c r="HOG4" s="101"/>
      <c r="HOH4" s="100"/>
      <c r="HOI4" s="102"/>
      <c r="HOK4" s="101"/>
      <c r="HOL4" s="100"/>
      <c r="HOM4" s="102"/>
      <c r="HOO4" s="101"/>
      <c r="HOP4" s="100"/>
      <c r="HOQ4" s="102"/>
      <c r="HOS4" s="101"/>
      <c r="HOT4" s="100"/>
      <c r="HOU4" s="102"/>
      <c r="HOW4" s="101"/>
      <c r="HOX4" s="100"/>
      <c r="HOY4" s="102"/>
      <c r="HPA4" s="101"/>
      <c r="HPB4" s="100"/>
      <c r="HPC4" s="102"/>
      <c r="HPE4" s="101"/>
      <c r="HPF4" s="100"/>
      <c r="HPG4" s="102"/>
      <c r="HPI4" s="101"/>
      <c r="HPJ4" s="100"/>
      <c r="HPK4" s="102"/>
      <c r="HPM4" s="101"/>
      <c r="HPN4" s="100"/>
      <c r="HPO4" s="102"/>
      <c r="HPQ4" s="101"/>
      <c r="HPR4" s="100"/>
      <c r="HPS4" s="102"/>
      <c r="HPU4" s="101"/>
      <c r="HPV4" s="100"/>
      <c r="HPW4" s="102"/>
      <c r="HPY4" s="101"/>
      <c r="HPZ4" s="100"/>
      <c r="HQA4" s="102"/>
      <c r="HQC4" s="101"/>
      <c r="HQD4" s="100"/>
      <c r="HQE4" s="102"/>
      <c r="HQG4" s="101"/>
      <c r="HQH4" s="100"/>
      <c r="HQI4" s="102"/>
      <c r="HQK4" s="101"/>
      <c r="HQL4" s="100"/>
      <c r="HQM4" s="102"/>
      <c r="HQO4" s="101"/>
      <c r="HQP4" s="100"/>
      <c r="HQQ4" s="102"/>
      <c r="HQS4" s="101"/>
      <c r="HQT4" s="100"/>
      <c r="HQU4" s="102"/>
      <c r="HQW4" s="101"/>
      <c r="HQX4" s="100"/>
      <c r="HQY4" s="102"/>
      <c r="HRA4" s="101"/>
      <c r="HRB4" s="100"/>
      <c r="HRC4" s="102"/>
      <c r="HRE4" s="101"/>
      <c r="HRF4" s="100"/>
      <c r="HRG4" s="102"/>
      <c r="HRI4" s="101"/>
      <c r="HRJ4" s="100"/>
      <c r="HRK4" s="102"/>
      <c r="HRM4" s="101"/>
      <c r="HRN4" s="100"/>
      <c r="HRO4" s="102"/>
      <c r="HRQ4" s="101"/>
      <c r="HRR4" s="100"/>
      <c r="HRS4" s="102"/>
      <c r="HRU4" s="101"/>
      <c r="HRV4" s="100"/>
      <c r="HRW4" s="102"/>
      <c r="HRY4" s="101"/>
      <c r="HRZ4" s="100"/>
      <c r="HSA4" s="102"/>
      <c r="HSC4" s="101"/>
      <c r="HSD4" s="100"/>
      <c r="HSE4" s="102"/>
      <c r="HSG4" s="101"/>
      <c r="HSH4" s="100"/>
      <c r="HSI4" s="102"/>
      <c r="HSK4" s="101"/>
      <c r="HSL4" s="100"/>
      <c r="HSM4" s="102"/>
      <c r="HSO4" s="101"/>
      <c r="HSP4" s="100"/>
      <c r="HSQ4" s="102"/>
      <c r="HSS4" s="101"/>
      <c r="HST4" s="100"/>
      <c r="HSU4" s="102"/>
      <c r="HSW4" s="101"/>
      <c r="HSX4" s="100"/>
      <c r="HSY4" s="102"/>
      <c r="HTA4" s="101"/>
      <c r="HTB4" s="100"/>
      <c r="HTC4" s="102"/>
      <c r="HTE4" s="101"/>
      <c r="HTF4" s="100"/>
      <c r="HTG4" s="102"/>
      <c r="HTI4" s="101"/>
      <c r="HTJ4" s="100"/>
      <c r="HTK4" s="102"/>
      <c r="HTM4" s="101"/>
      <c r="HTN4" s="100"/>
      <c r="HTO4" s="102"/>
      <c r="HTQ4" s="101"/>
      <c r="HTR4" s="100"/>
      <c r="HTS4" s="102"/>
      <c r="HTU4" s="101"/>
      <c r="HTV4" s="100"/>
      <c r="HTW4" s="102"/>
      <c r="HTY4" s="101"/>
      <c r="HTZ4" s="100"/>
      <c r="HUA4" s="102"/>
      <c r="HUC4" s="101"/>
      <c r="HUD4" s="100"/>
      <c r="HUE4" s="102"/>
      <c r="HUG4" s="101"/>
      <c r="HUH4" s="100"/>
      <c r="HUI4" s="102"/>
      <c r="HUK4" s="101"/>
      <c r="HUL4" s="100"/>
      <c r="HUM4" s="102"/>
      <c r="HUO4" s="101"/>
      <c r="HUP4" s="100"/>
      <c r="HUQ4" s="102"/>
      <c r="HUS4" s="101"/>
      <c r="HUT4" s="100"/>
      <c r="HUU4" s="102"/>
      <c r="HUW4" s="101"/>
      <c r="HUX4" s="100"/>
      <c r="HUY4" s="102"/>
      <c r="HVA4" s="101"/>
      <c r="HVB4" s="100"/>
      <c r="HVC4" s="102"/>
      <c r="HVE4" s="101"/>
      <c r="HVF4" s="100"/>
      <c r="HVG4" s="102"/>
      <c r="HVI4" s="101"/>
      <c r="HVJ4" s="100"/>
      <c r="HVK4" s="102"/>
      <c r="HVM4" s="101"/>
      <c r="HVN4" s="100"/>
      <c r="HVO4" s="102"/>
      <c r="HVQ4" s="101"/>
      <c r="HVR4" s="100"/>
      <c r="HVS4" s="102"/>
      <c r="HVU4" s="101"/>
      <c r="HVV4" s="100"/>
      <c r="HVW4" s="102"/>
      <c r="HVY4" s="101"/>
      <c r="HVZ4" s="100"/>
      <c r="HWA4" s="102"/>
      <c r="HWC4" s="101"/>
      <c r="HWD4" s="100"/>
      <c r="HWE4" s="102"/>
      <c r="HWG4" s="101"/>
      <c r="HWH4" s="100"/>
      <c r="HWI4" s="102"/>
      <c r="HWK4" s="101"/>
      <c r="HWL4" s="100"/>
      <c r="HWM4" s="102"/>
      <c r="HWO4" s="101"/>
      <c r="HWP4" s="100"/>
      <c r="HWQ4" s="102"/>
      <c r="HWS4" s="101"/>
      <c r="HWT4" s="100"/>
      <c r="HWU4" s="102"/>
      <c r="HWW4" s="101"/>
      <c r="HWX4" s="100"/>
      <c r="HWY4" s="102"/>
      <c r="HXA4" s="101"/>
      <c r="HXB4" s="100"/>
      <c r="HXC4" s="102"/>
      <c r="HXE4" s="101"/>
      <c r="HXF4" s="100"/>
      <c r="HXG4" s="102"/>
      <c r="HXI4" s="101"/>
      <c r="HXJ4" s="100"/>
      <c r="HXK4" s="102"/>
      <c r="HXM4" s="101"/>
      <c r="HXN4" s="100"/>
      <c r="HXO4" s="102"/>
      <c r="HXQ4" s="101"/>
      <c r="HXR4" s="100"/>
      <c r="HXS4" s="102"/>
      <c r="HXU4" s="101"/>
      <c r="HXV4" s="100"/>
      <c r="HXW4" s="102"/>
      <c r="HXY4" s="101"/>
      <c r="HXZ4" s="100"/>
      <c r="HYA4" s="102"/>
      <c r="HYC4" s="101"/>
      <c r="HYD4" s="100"/>
      <c r="HYE4" s="102"/>
      <c r="HYG4" s="101"/>
      <c r="HYH4" s="100"/>
      <c r="HYI4" s="102"/>
      <c r="HYK4" s="101"/>
      <c r="HYL4" s="100"/>
      <c r="HYM4" s="102"/>
      <c r="HYO4" s="101"/>
      <c r="HYP4" s="100"/>
      <c r="HYQ4" s="102"/>
      <c r="HYS4" s="101"/>
      <c r="HYT4" s="100"/>
      <c r="HYU4" s="102"/>
      <c r="HYW4" s="101"/>
      <c r="HYX4" s="100"/>
      <c r="HYY4" s="102"/>
      <c r="HZA4" s="101"/>
      <c r="HZB4" s="100"/>
      <c r="HZC4" s="102"/>
      <c r="HZE4" s="101"/>
      <c r="HZF4" s="100"/>
      <c r="HZG4" s="102"/>
      <c r="HZI4" s="101"/>
      <c r="HZJ4" s="100"/>
      <c r="HZK4" s="102"/>
      <c r="HZM4" s="101"/>
      <c r="HZN4" s="100"/>
      <c r="HZO4" s="102"/>
      <c r="HZQ4" s="101"/>
      <c r="HZR4" s="100"/>
      <c r="HZS4" s="102"/>
      <c r="HZU4" s="101"/>
      <c r="HZV4" s="100"/>
      <c r="HZW4" s="102"/>
      <c r="HZY4" s="101"/>
      <c r="HZZ4" s="100"/>
      <c r="IAA4" s="102"/>
      <c r="IAC4" s="101"/>
      <c r="IAD4" s="100"/>
      <c r="IAE4" s="102"/>
      <c r="IAG4" s="101"/>
      <c r="IAH4" s="100"/>
      <c r="IAI4" s="102"/>
      <c r="IAK4" s="101"/>
      <c r="IAL4" s="100"/>
      <c r="IAM4" s="102"/>
      <c r="IAO4" s="101"/>
      <c r="IAP4" s="100"/>
      <c r="IAQ4" s="102"/>
      <c r="IAS4" s="101"/>
      <c r="IAT4" s="100"/>
      <c r="IAU4" s="102"/>
      <c r="IAW4" s="101"/>
      <c r="IAX4" s="100"/>
      <c r="IAY4" s="102"/>
      <c r="IBA4" s="101"/>
      <c r="IBB4" s="100"/>
      <c r="IBC4" s="102"/>
      <c r="IBE4" s="101"/>
      <c r="IBF4" s="100"/>
      <c r="IBG4" s="102"/>
      <c r="IBI4" s="101"/>
      <c r="IBJ4" s="100"/>
      <c r="IBK4" s="102"/>
      <c r="IBM4" s="101"/>
      <c r="IBN4" s="100"/>
      <c r="IBO4" s="102"/>
      <c r="IBQ4" s="101"/>
      <c r="IBR4" s="100"/>
      <c r="IBS4" s="102"/>
      <c r="IBU4" s="101"/>
      <c r="IBV4" s="100"/>
      <c r="IBW4" s="102"/>
      <c r="IBY4" s="101"/>
      <c r="IBZ4" s="100"/>
      <c r="ICA4" s="102"/>
      <c r="ICC4" s="101"/>
      <c r="ICD4" s="100"/>
      <c r="ICE4" s="102"/>
      <c r="ICG4" s="101"/>
      <c r="ICH4" s="100"/>
      <c r="ICI4" s="102"/>
      <c r="ICK4" s="101"/>
      <c r="ICL4" s="100"/>
      <c r="ICM4" s="102"/>
      <c r="ICO4" s="101"/>
      <c r="ICP4" s="100"/>
      <c r="ICQ4" s="102"/>
      <c r="ICS4" s="101"/>
      <c r="ICT4" s="100"/>
      <c r="ICU4" s="102"/>
      <c r="ICW4" s="101"/>
      <c r="ICX4" s="100"/>
      <c r="ICY4" s="102"/>
      <c r="IDA4" s="101"/>
      <c r="IDB4" s="100"/>
      <c r="IDC4" s="102"/>
      <c r="IDE4" s="101"/>
      <c r="IDF4" s="100"/>
      <c r="IDG4" s="102"/>
      <c r="IDI4" s="101"/>
      <c r="IDJ4" s="100"/>
      <c r="IDK4" s="102"/>
      <c r="IDM4" s="101"/>
      <c r="IDN4" s="100"/>
      <c r="IDO4" s="102"/>
      <c r="IDQ4" s="101"/>
      <c r="IDR4" s="100"/>
      <c r="IDS4" s="102"/>
      <c r="IDU4" s="101"/>
      <c r="IDV4" s="100"/>
      <c r="IDW4" s="102"/>
      <c r="IDY4" s="101"/>
      <c r="IDZ4" s="100"/>
      <c r="IEA4" s="102"/>
      <c r="IEC4" s="101"/>
      <c r="IED4" s="100"/>
      <c r="IEE4" s="102"/>
      <c r="IEG4" s="101"/>
      <c r="IEH4" s="100"/>
      <c r="IEI4" s="102"/>
      <c r="IEK4" s="101"/>
      <c r="IEL4" s="100"/>
      <c r="IEM4" s="102"/>
      <c r="IEO4" s="101"/>
      <c r="IEP4" s="100"/>
      <c r="IEQ4" s="102"/>
      <c r="IES4" s="101"/>
      <c r="IET4" s="100"/>
      <c r="IEU4" s="102"/>
      <c r="IEW4" s="101"/>
      <c r="IEX4" s="100"/>
      <c r="IEY4" s="102"/>
      <c r="IFA4" s="101"/>
      <c r="IFB4" s="100"/>
      <c r="IFC4" s="102"/>
      <c r="IFE4" s="101"/>
      <c r="IFF4" s="100"/>
      <c r="IFG4" s="102"/>
      <c r="IFI4" s="101"/>
      <c r="IFJ4" s="100"/>
      <c r="IFK4" s="102"/>
      <c r="IFM4" s="101"/>
      <c r="IFN4" s="100"/>
      <c r="IFO4" s="102"/>
      <c r="IFQ4" s="101"/>
      <c r="IFR4" s="100"/>
      <c r="IFS4" s="102"/>
      <c r="IFU4" s="101"/>
      <c r="IFV4" s="100"/>
      <c r="IFW4" s="102"/>
      <c r="IFY4" s="101"/>
      <c r="IFZ4" s="100"/>
      <c r="IGA4" s="102"/>
      <c r="IGC4" s="101"/>
      <c r="IGD4" s="100"/>
      <c r="IGE4" s="102"/>
      <c r="IGG4" s="101"/>
      <c r="IGH4" s="100"/>
      <c r="IGI4" s="102"/>
      <c r="IGK4" s="101"/>
      <c r="IGL4" s="100"/>
      <c r="IGM4" s="102"/>
      <c r="IGO4" s="101"/>
      <c r="IGP4" s="100"/>
      <c r="IGQ4" s="102"/>
      <c r="IGS4" s="101"/>
      <c r="IGT4" s="100"/>
      <c r="IGU4" s="102"/>
      <c r="IGW4" s="101"/>
      <c r="IGX4" s="100"/>
      <c r="IGY4" s="102"/>
      <c r="IHA4" s="101"/>
      <c r="IHB4" s="100"/>
      <c r="IHC4" s="102"/>
      <c r="IHE4" s="101"/>
      <c r="IHF4" s="100"/>
      <c r="IHG4" s="102"/>
      <c r="IHI4" s="101"/>
      <c r="IHJ4" s="100"/>
      <c r="IHK4" s="102"/>
      <c r="IHM4" s="101"/>
      <c r="IHN4" s="100"/>
      <c r="IHO4" s="102"/>
      <c r="IHQ4" s="101"/>
      <c r="IHR4" s="100"/>
      <c r="IHS4" s="102"/>
      <c r="IHU4" s="101"/>
      <c r="IHV4" s="100"/>
      <c r="IHW4" s="102"/>
      <c r="IHY4" s="101"/>
      <c r="IHZ4" s="100"/>
      <c r="IIA4" s="102"/>
      <c r="IIC4" s="101"/>
      <c r="IID4" s="100"/>
      <c r="IIE4" s="102"/>
      <c r="IIG4" s="101"/>
      <c r="IIH4" s="100"/>
      <c r="III4" s="102"/>
      <c r="IIK4" s="101"/>
      <c r="IIL4" s="100"/>
      <c r="IIM4" s="102"/>
      <c r="IIO4" s="101"/>
      <c r="IIP4" s="100"/>
      <c r="IIQ4" s="102"/>
      <c r="IIS4" s="101"/>
      <c r="IIT4" s="100"/>
      <c r="IIU4" s="102"/>
      <c r="IIW4" s="101"/>
      <c r="IIX4" s="100"/>
      <c r="IIY4" s="102"/>
      <c r="IJA4" s="101"/>
      <c r="IJB4" s="100"/>
      <c r="IJC4" s="102"/>
      <c r="IJE4" s="101"/>
      <c r="IJF4" s="100"/>
      <c r="IJG4" s="102"/>
      <c r="IJI4" s="101"/>
      <c r="IJJ4" s="100"/>
      <c r="IJK4" s="102"/>
      <c r="IJM4" s="101"/>
      <c r="IJN4" s="100"/>
      <c r="IJO4" s="102"/>
      <c r="IJQ4" s="101"/>
      <c r="IJR4" s="100"/>
      <c r="IJS4" s="102"/>
      <c r="IJU4" s="101"/>
      <c r="IJV4" s="100"/>
      <c r="IJW4" s="102"/>
      <c r="IJY4" s="101"/>
      <c r="IJZ4" s="100"/>
      <c r="IKA4" s="102"/>
      <c r="IKC4" s="101"/>
      <c r="IKD4" s="100"/>
      <c r="IKE4" s="102"/>
      <c r="IKG4" s="101"/>
      <c r="IKH4" s="100"/>
      <c r="IKI4" s="102"/>
      <c r="IKK4" s="101"/>
      <c r="IKL4" s="100"/>
      <c r="IKM4" s="102"/>
      <c r="IKO4" s="101"/>
      <c r="IKP4" s="100"/>
      <c r="IKQ4" s="102"/>
      <c r="IKS4" s="101"/>
      <c r="IKT4" s="100"/>
      <c r="IKU4" s="102"/>
      <c r="IKW4" s="101"/>
      <c r="IKX4" s="100"/>
      <c r="IKY4" s="102"/>
      <c r="ILA4" s="101"/>
      <c r="ILB4" s="100"/>
      <c r="ILC4" s="102"/>
      <c r="ILE4" s="101"/>
      <c r="ILF4" s="100"/>
      <c r="ILG4" s="102"/>
      <c r="ILI4" s="101"/>
      <c r="ILJ4" s="100"/>
      <c r="ILK4" s="102"/>
      <c r="ILM4" s="101"/>
      <c r="ILN4" s="100"/>
      <c r="ILO4" s="102"/>
      <c r="ILQ4" s="101"/>
      <c r="ILR4" s="100"/>
      <c r="ILS4" s="102"/>
      <c r="ILU4" s="101"/>
      <c r="ILV4" s="100"/>
      <c r="ILW4" s="102"/>
      <c r="ILY4" s="101"/>
      <c r="ILZ4" s="100"/>
      <c r="IMA4" s="102"/>
      <c r="IMC4" s="101"/>
      <c r="IMD4" s="100"/>
      <c r="IME4" s="102"/>
      <c r="IMG4" s="101"/>
      <c r="IMH4" s="100"/>
      <c r="IMI4" s="102"/>
      <c r="IMK4" s="101"/>
      <c r="IML4" s="100"/>
      <c r="IMM4" s="102"/>
      <c r="IMO4" s="101"/>
      <c r="IMP4" s="100"/>
      <c r="IMQ4" s="102"/>
      <c r="IMS4" s="101"/>
      <c r="IMT4" s="100"/>
      <c r="IMU4" s="102"/>
      <c r="IMW4" s="101"/>
      <c r="IMX4" s="100"/>
      <c r="IMY4" s="102"/>
      <c r="INA4" s="101"/>
      <c r="INB4" s="100"/>
      <c r="INC4" s="102"/>
      <c r="INE4" s="101"/>
      <c r="INF4" s="100"/>
      <c r="ING4" s="102"/>
      <c r="INI4" s="101"/>
      <c r="INJ4" s="100"/>
      <c r="INK4" s="102"/>
      <c r="INM4" s="101"/>
      <c r="INN4" s="100"/>
      <c r="INO4" s="102"/>
      <c r="INQ4" s="101"/>
      <c r="INR4" s="100"/>
      <c r="INS4" s="102"/>
      <c r="INU4" s="101"/>
      <c r="INV4" s="100"/>
      <c r="INW4" s="102"/>
      <c r="INY4" s="101"/>
      <c r="INZ4" s="100"/>
      <c r="IOA4" s="102"/>
      <c r="IOC4" s="101"/>
      <c r="IOD4" s="100"/>
      <c r="IOE4" s="102"/>
      <c r="IOG4" s="101"/>
      <c r="IOH4" s="100"/>
      <c r="IOI4" s="102"/>
      <c r="IOK4" s="101"/>
      <c r="IOL4" s="100"/>
      <c r="IOM4" s="102"/>
      <c r="IOO4" s="101"/>
      <c r="IOP4" s="100"/>
      <c r="IOQ4" s="102"/>
      <c r="IOS4" s="101"/>
      <c r="IOT4" s="100"/>
      <c r="IOU4" s="102"/>
      <c r="IOW4" s="101"/>
      <c r="IOX4" s="100"/>
      <c r="IOY4" s="102"/>
      <c r="IPA4" s="101"/>
      <c r="IPB4" s="100"/>
      <c r="IPC4" s="102"/>
      <c r="IPE4" s="101"/>
      <c r="IPF4" s="100"/>
      <c r="IPG4" s="102"/>
      <c r="IPI4" s="101"/>
      <c r="IPJ4" s="100"/>
      <c r="IPK4" s="102"/>
      <c r="IPM4" s="101"/>
      <c r="IPN4" s="100"/>
      <c r="IPO4" s="102"/>
      <c r="IPQ4" s="101"/>
      <c r="IPR4" s="100"/>
      <c r="IPS4" s="102"/>
      <c r="IPU4" s="101"/>
      <c r="IPV4" s="100"/>
      <c r="IPW4" s="102"/>
      <c r="IPY4" s="101"/>
      <c r="IPZ4" s="100"/>
      <c r="IQA4" s="102"/>
      <c r="IQC4" s="101"/>
      <c r="IQD4" s="100"/>
      <c r="IQE4" s="102"/>
      <c r="IQG4" s="101"/>
      <c r="IQH4" s="100"/>
      <c r="IQI4" s="102"/>
      <c r="IQK4" s="101"/>
      <c r="IQL4" s="100"/>
      <c r="IQM4" s="102"/>
      <c r="IQO4" s="101"/>
      <c r="IQP4" s="100"/>
      <c r="IQQ4" s="102"/>
      <c r="IQS4" s="101"/>
      <c r="IQT4" s="100"/>
      <c r="IQU4" s="102"/>
      <c r="IQW4" s="101"/>
      <c r="IQX4" s="100"/>
      <c r="IQY4" s="102"/>
      <c r="IRA4" s="101"/>
      <c r="IRB4" s="100"/>
      <c r="IRC4" s="102"/>
      <c r="IRE4" s="101"/>
      <c r="IRF4" s="100"/>
      <c r="IRG4" s="102"/>
      <c r="IRI4" s="101"/>
      <c r="IRJ4" s="100"/>
      <c r="IRK4" s="102"/>
      <c r="IRM4" s="101"/>
      <c r="IRN4" s="100"/>
      <c r="IRO4" s="102"/>
      <c r="IRQ4" s="101"/>
      <c r="IRR4" s="100"/>
      <c r="IRS4" s="102"/>
      <c r="IRU4" s="101"/>
      <c r="IRV4" s="100"/>
      <c r="IRW4" s="102"/>
      <c r="IRY4" s="101"/>
      <c r="IRZ4" s="100"/>
      <c r="ISA4" s="102"/>
      <c r="ISC4" s="101"/>
      <c r="ISD4" s="100"/>
      <c r="ISE4" s="102"/>
      <c r="ISG4" s="101"/>
      <c r="ISH4" s="100"/>
      <c r="ISI4" s="102"/>
      <c r="ISK4" s="101"/>
      <c r="ISL4" s="100"/>
      <c r="ISM4" s="102"/>
      <c r="ISO4" s="101"/>
      <c r="ISP4" s="100"/>
      <c r="ISQ4" s="102"/>
      <c r="ISS4" s="101"/>
      <c r="IST4" s="100"/>
      <c r="ISU4" s="102"/>
      <c r="ISW4" s="101"/>
      <c r="ISX4" s="100"/>
      <c r="ISY4" s="102"/>
      <c r="ITA4" s="101"/>
      <c r="ITB4" s="100"/>
      <c r="ITC4" s="102"/>
      <c r="ITE4" s="101"/>
      <c r="ITF4" s="100"/>
      <c r="ITG4" s="102"/>
      <c r="ITI4" s="101"/>
      <c r="ITJ4" s="100"/>
      <c r="ITK4" s="102"/>
      <c r="ITM4" s="101"/>
      <c r="ITN4" s="100"/>
      <c r="ITO4" s="102"/>
      <c r="ITQ4" s="101"/>
      <c r="ITR4" s="100"/>
      <c r="ITS4" s="102"/>
      <c r="ITU4" s="101"/>
      <c r="ITV4" s="100"/>
      <c r="ITW4" s="102"/>
      <c r="ITY4" s="101"/>
      <c r="ITZ4" s="100"/>
      <c r="IUA4" s="102"/>
      <c r="IUC4" s="101"/>
      <c r="IUD4" s="100"/>
      <c r="IUE4" s="102"/>
      <c r="IUG4" s="101"/>
      <c r="IUH4" s="100"/>
      <c r="IUI4" s="102"/>
      <c r="IUK4" s="101"/>
      <c r="IUL4" s="100"/>
      <c r="IUM4" s="102"/>
      <c r="IUO4" s="101"/>
      <c r="IUP4" s="100"/>
      <c r="IUQ4" s="102"/>
      <c r="IUS4" s="101"/>
      <c r="IUT4" s="100"/>
      <c r="IUU4" s="102"/>
      <c r="IUW4" s="101"/>
      <c r="IUX4" s="100"/>
      <c r="IUY4" s="102"/>
      <c r="IVA4" s="101"/>
      <c r="IVB4" s="100"/>
      <c r="IVC4" s="102"/>
      <c r="IVE4" s="101"/>
      <c r="IVF4" s="100"/>
      <c r="IVG4" s="102"/>
      <c r="IVI4" s="101"/>
      <c r="IVJ4" s="100"/>
      <c r="IVK4" s="102"/>
      <c r="IVM4" s="101"/>
      <c r="IVN4" s="100"/>
      <c r="IVO4" s="102"/>
      <c r="IVQ4" s="101"/>
      <c r="IVR4" s="100"/>
      <c r="IVS4" s="102"/>
      <c r="IVU4" s="101"/>
      <c r="IVV4" s="100"/>
      <c r="IVW4" s="102"/>
      <c r="IVY4" s="101"/>
      <c r="IVZ4" s="100"/>
      <c r="IWA4" s="102"/>
      <c r="IWC4" s="101"/>
      <c r="IWD4" s="100"/>
      <c r="IWE4" s="102"/>
      <c r="IWG4" s="101"/>
      <c r="IWH4" s="100"/>
      <c r="IWI4" s="102"/>
      <c r="IWK4" s="101"/>
      <c r="IWL4" s="100"/>
      <c r="IWM4" s="102"/>
      <c r="IWO4" s="101"/>
      <c r="IWP4" s="100"/>
      <c r="IWQ4" s="102"/>
      <c r="IWS4" s="101"/>
      <c r="IWT4" s="100"/>
      <c r="IWU4" s="102"/>
      <c r="IWW4" s="101"/>
      <c r="IWX4" s="100"/>
      <c r="IWY4" s="102"/>
      <c r="IXA4" s="101"/>
      <c r="IXB4" s="100"/>
      <c r="IXC4" s="102"/>
      <c r="IXE4" s="101"/>
      <c r="IXF4" s="100"/>
      <c r="IXG4" s="102"/>
      <c r="IXI4" s="101"/>
      <c r="IXJ4" s="100"/>
      <c r="IXK4" s="102"/>
      <c r="IXM4" s="101"/>
      <c r="IXN4" s="100"/>
      <c r="IXO4" s="102"/>
      <c r="IXQ4" s="101"/>
      <c r="IXR4" s="100"/>
      <c r="IXS4" s="102"/>
      <c r="IXU4" s="101"/>
      <c r="IXV4" s="100"/>
      <c r="IXW4" s="102"/>
      <c r="IXY4" s="101"/>
      <c r="IXZ4" s="100"/>
      <c r="IYA4" s="102"/>
      <c r="IYC4" s="101"/>
      <c r="IYD4" s="100"/>
      <c r="IYE4" s="102"/>
      <c r="IYG4" s="101"/>
      <c r="IYH4" s="100"/>
      <c r="IYI4" s="102"/>
      <c r="IYK4" s="101"/>
      <c r="IYL4" s="100"/>
      <c r="IYM4" s="102"/>
      <c r="IYO4" s="101"/>
      <c r="IYP4" s="100"/>
      <c r="IYQ4" s="102"/>
      <c r="IYS4" s="101"/>
      <c r="IYT4" s="100"/>
      <c r="IYU4" s="102"/>
      <c r="IYW4" s="101"/>
      <c r="IYX4" s="100"/>
      <c r="IYY4" s="102"/>
      <c r="IZA4" s="101"/>
      <c r="IZB4" s="100"/>
      <c r="IZC4" s="102"/>
      <c r="IZE4" s="101"/>
      <c r="IZF4" s="100"/>
      <c r="IZG4" s="102"/>
      <c r="IZI4" s="101"/>
      <c r="IZJ4" s="100"/>
      <c r="IZK4" s="102"/>
      <c r="IZM4" s="101"/>
      <c r="IZN4" s="100"/>
      <c r="IZO4" s="102"/>
      <c r="IZQ4" s="101"/>
      <c r="IZR4" s="100"/>
      <c r="IZS4" s="102"/>
      <c r="IZU4" s="101"/>
      <c r="IZV4" s="100"/>
      <c r="IZW4" s="102"/>
      <c r="IZY4" s="101"/>
      <c r="IZZ4" s="100"/>
      <c r="JAA4" s="102"/>
      <c r="JAC4" s="101"/>
      <c r="JAD4" s="100"/>
      <c r="JAE4" s="102"/>
      <c r="JAG4" s="101"/>
      <c r="JAH4" s="100"/>
      <c r="JAI4" s="102"/>
      <c r="JAK4" s="101"/>
      <c r="JAL4" s="100"/>
      <c r="JAM4" s="102"/>
      <c r="JAO4" s="101"/>
      <c r="JAP4" s="100"/>
      <c r="JAQ4" s="102"/>
      <c r="JAS4" s="101"/>
      <c r="JAT4" s="100"/>
      <c r="JAU4" s="102"/>
      <c r="JAW4" s="101"/>
      <c r="JAX4" s="100"/>
      <c r="JAY4" s="102"/>
      <c r="JBA4" s="101"/>
      <c r="JBB4" s="100"/>
      <c r="JBC4" s="102"/>
      <c r="JBE4" s="101"/>
      <c r="JBF4" s="100"/>
      <c r="JBG4" s="102"/>
      <c r="JBI4" s="101"/>
      <c r="JBJ4" s="100"/>
      <c r="JBK4" s="102"/>
      <c r="JBM4" s="101"/>
      <c r="JBN4" s="100"/>
      <c r="JBO4" s="102"/>
      <c r="JBQ4" s="101"/>
      <c r="JBR4" s="100"/>
      <c r="JBS4" s="102"/>
      <c r="JBU4" s="101"/>
      <c r="JBV4" s="100"/>
      <c r="JBW4" s="102"/>
      <c r="JBY4" s="101"/>
      <c r="JBZ4" s="100"/>
      <c r="JCA4" s="102"/>
      <c r="JCC4" s="101"/>
      <c r="JCD4" s="100"/>
      <c r="JCE4" s="102"/>
      <c r="JCG4" s="101"/>
      <c r="JCH4" s="100"/>
      <c r="JCI4" s="102"/>
      <c r="JCK4" s="101"/>
      <c r="JCL4" s="100"/>
      <c r="JCM4" s="102"/>
      <c r="JCO4" s="101"/>
      <c r="JCP4" s="100"/>
      <c r="JCQ4" s="102"/>
      <c r="JCS4" s="101"/>
      <c r="JCT4" s="100"/>
      <c r="JCU4" s="102"/>
      <c r="JCW4" s="101"/>
      <c r="JCX4" s="100"/>
      <c r="JCY4" s="102"/>
      <c r="JDA4" s="101"/>
      <c r="JDB4" s="100"/>
      <c r="JDC4" s="102"/>
      <c r="JDE4" s="101"/>
      <c r="JDF4" s="100"/>
      <c r="JDG4" s="102"/>
      <c r="JDI4" s="101"/>
      <c r="JDJ4" s="100"/>
      <c r="JDK4" s="102"/>
      <c r="JDM4" s="101"/>
      <c r="JDN4" s="100"/>
      <c r="JDO4" s="102"/>
      <c r="JDQ4" s="101"/>
      <c r="JDR4" s="100"/>
      <c r="JDS4" s="102"/>
      <c r="JDU4" s="101"/>
      <c r="JDV4" s="100"/>
      <c r="JDW4" s="102"/>
      <c r="JDY4" s="101"/>
      <c r="JDZ4" s="100"/>
      <c r="JEA4" s="102"/>
      <c r="JEC4" s="101"/>
      <c r="JED4" s="100"/>
      <c r="JEE4" s="102"/>
      <c r="JEG4" s="101"/>
      <c r="JEH4" s="100"/>
      <c r="JEI4" s="102"/>
      <c r="JEK4" s="101"/>
      <c r="JEL4" s="100"/>
      <c r="JEM4" s="102"/>
      <c r="JEO4" s="101"/>
      <c r="JEP4" s="100"/>
      <c r="JEQ4" s="102"/>
      <c r="JES4" s="101"/>
      <c r="JET4" s="100"/>
      <c r="JEU4" s="102"/>
      <c r="JEW4" s="101"/>
      <c r="JEX4" s="100"/>
      <c r="JEY4" s="102"/>
      <c r="JFA4" s="101"/>
      <c r="JFB4" s="100"/>
      <c r="JFC4" s="102"/>
      <c r="JFE4" s="101"/>
      <c r="JFF4" s="100"/>
      <c r="JFG4" s="102"/>
      <c r="JFI4" s="101"/>
      <c r="JFJ4" s="100"/>
      <c r="JFK4" s="102"/>
      <c r="JFM4" s="101"/>
      <c r="JFN4" s="100"/>
      <c r="JFO4" s="102"/>
      <c r="JFQ4" s="101"/>
      <c r="JFR4" s="100"/>
      <c r="JFS4" s="102"/>
      <c r="JFU4" s="101"/>
      <c r="JFV4" s="100"/>
      <c r="JFW4" s="102"/>
      <c r="JFY4" s="101"/>
      <c r="JFZ4" s="100"/>
      <c r="JGA4" s="102"/>
      <c r="JGC4" s="101"/>
      <c r="JGD4" s="100"/>
      <c r="JGE4" s="102"/>
      <c r="JGG4" s="101"/>
      <c r="JGH4" s="100"/>
      <c r="JGI4" s="102"/>
      <c r="JGK4" s="101"/>
      <c r="JGL4" s="100"/>
      <c r="JGM4" s="102"/>
      <c r="JGO4" s="101"/>
      <c r="JGP4" s="100"/>
      <c r="JGQ4" s="102"/>
      <c r="JGS4" s="101"/>
      <c r="JGT4" s="100"/>
      <c r="JGU4" s="102"/>
      <c r="JGW4" s="101"/>
      <c r="JGX4" s="100"/>
      <c r="JGY4" s="102"/>
      <c r="JHA4" s="101"/>
      <c r="JHB4" s="100"/>
      <c r="JHC4" s="102"/>
      <c r="JHE4" s="101"/>
      <c r="JHF4" s="100"/>
      <c r="JHG4" s="102"/>
      <c r="JHI4" s="101"/>
      <c r="JHJ4" s="100"/>
      <c r="JHK4" s="102"/>
      <c r="JHM4" s="101"/>
      <c r="JHN4" s="100"/>
      <c r="JHO4" s="102"/>
      <c r="JHQ4" s="101"/>
      <c r="JHR4" s="100"/>
      <c r="JHS4" s="102"/>
      <c r="JHU4" s="101"/>
      <c r="JHV4" s="100"/>
      <c r="JHW4" s="102"/>
      <c r="JHY4" s="101"/>
      <c r="JHZ4" s="100"/>
      <c r="JIA4" s="102"/>
      <c r="JIC4" s="101"/>
      <c r="JID4" s="100"/>
      <c r="JIE4" s="102"/>
      <c r="JIG4" s="101"/>
      <c r="JIH4" s="100"/>
      <c r="JII4" s="102"/>
      <c r="JIK4" s="101"/>
      <c r="JIL4" s="100"/>
      <c r="JIM4" s="102"/>
      <c r="JIO4" s="101"/>
      <c r="JIP4" s="100"/>
      <c r="JIQ4" s="102"/>
      <c r="JIS4" s="101"/>
      <c r="JIT4" s="100"/>
      <c r="JIU4" s="102"/>
      <c r="JIW4" s="101"/>
      <c r="JIX4" s="100"/>
      <c r="JIY4" s="102"/>
      <c r="JJA4" s="101"/>
      <c r="JJB4" s="100"/>
      <c r="JJC4" s="102"/>
      <c r="JJE4" s="101"/>
      <c r="JJF4" s="100"/>
      <c r="JJG4" s="102"/>
      <c r="JJI4" s="101"/>
      <c r="JJJ4" s="100"/>
      <c r="JJK4" s="102"/>
      <c r="JJM4" s="101"/>
      <c r="JJN4" s="100"/>
      <c r="JJO4" s="102"/>
      <c r="JJQ4" s="101"/>
      <c r="JJR4" s="100"/>
      <c r="JJS4" s="102"/>
      <c r="JJU4" s="101"/>
      <c r="JJV4" s="100"/>
      <c r="JJW4" s="102"/>
      <c r="JJY4" s="101"/>
      <c r="JJZ4" s="100"/>
      <c r="JKA4" s="102"/>
      <c r="JKC4" s="101"/>
      <c r="JKD4" s="100"/>
      <c r="JKE4" s="102"/>
      <c r="JKG4" s="101"/>
      <c r="JKH4" s="100"/>
      <c r="JKI4" s="102"/>
      <c r="JKK4" s="101"/>
      <c r="JKL4" s="100"/>
      <c r="JKM4" s="102"/>
      <c r="JKO4" s="101"/>
      <c r="JKP4" s="100"/>
      <c r="JKQ4" s="102"/>
      <c r="JKS4" s="101"/>
      <c r="JKT4" s="100"/>
      <c r="JKU4" s="102"/>
      <c r="JKW4" s="101"/>
      <c r="JKX4" s="100"/>
      <c r="JKY4" s="102"/>
      <c r="JLA4" s="101"/>
      <c r="JLB4" s="100"/>
      <c r="JLC4" s="102"/>
      <c r="JLE4" s="101"/>
      <c r="JLF4" s="100"/>
      <c r="JLG4" s="102"/>
      <c r="JLI4" s="101"/>
      <c r="JLJ4" s="100"/>
      <c r="JLK4" s="102"/>
      <c r="JLM4" s="101"/>
      <c r="JLN4" s="100"/>
      <c r="JLO4" s="102"/>
      <c r="JLQ4" s="101"/>
      <c r="JLR4" s="100"/>
      <c r="JLS4" s="102"/>
      <c r="JLU4" s="101"/>
      <c r="JLV4" s="100"/>
      <c r="JLW4" s="102"/>
      <c r="JLY4" s="101"/>
      <c r="JLZ4" s="100"/>
      <c r="JMA4" s="102"/>
      <c r="JMC4" s="101"/>
      <c r="JMD4" s="100"/>
      <c r="JME4" s="102"/>
      <c r="JMG4" s="101"/>
      <c r="JMH4" s="100"/>
      <c r="JMI4" s="102"/>
      <c r="JMK4" s="101"/>
      <c r="JML4" s="100"/>
      <c r="JMM4" s="102"/>
      <c r="JMO4" s="101"/>
      <c r="JMP4" s="100"/>
      <c r="JMQ4" s="102"/>
      <c r="JMS4" s="101"/>
      <c r="JMT4" s="100"/>
      <c r="JMU4" s="102"/>
      <c r="JMW4" s="101"/>
      <c r="JMX4" s="100"/>
      <c r="JMY4" s="102"/>
      <c r="JNA4" s="101"/>
      <c r="JNB4" s="100"/>
      <c r="JNC4" s="102"/>
      <c r="JNE4" s="101"/>
      <c r="JNF4" s="100"/>
      <c r="JNG4" s="102"/>
      <c r="JNI4" s="101"/>
      <c r="JNJ4" s="100"/>
      <c r="JNK4" s="102"/>
      <c r="JNM4" s="101"/>
      <c r="JNN4" s="100"/>
      <c r="JNO4" s="102"/>
      <c r="JNQ4" s="101"/>
      <c r="JNR4" s="100"/>
      <c r="JNS4" s="102"/>
      <c r="JNU4" s="101"/>
      <c r="JNV4" s="100"/>
      <c r="JNW4" s="102"/>
      <c r="JNY4" s="101"/>
      <c r="JNZ4" s="100"/>
      <c r="JOA4" s="102"/>
      <c r="JOC4" s="101"/>
      <c r="JOD4" s="100"/>
      <c r="JOE4" s="102"/>
      <c r="JOG4" s="101"/>
      <c r="JOH4" s="100"/>
      <c r="JOI4" s="102"/>
      <c r="JOK4" s="101"/>
      <c r="JOL4" s="100"/>
      <c r="JOM4" s="102"/>
      <c r="JOO4" s="101"/>
      <c r="JOP4" s="100"/>
      <c r="JOQ4" s="102"/>
      <c r="JOS4" s="101"/>
      <c r="JOT4" s="100"/>
      <c r="JOU4" s="102"/>
      <c r="JOW4" s="101"/>
      <c r="JOX4" s="100"/>
      <c r="JOY4" s="102"/>
      <c r="JPA4" s="101"/>
      <c r="JPB4" s="100"/>
      <c r="JPC4" s="102"/>
      <c r="JPE4" s="101"/>
      <c r="JPF4" s="100"/>
      <c r="JPG4" s="102"/>
      <c r="JPI4" s="101"/>
      <c r="JPJ4" s="100"/>
      <c r="JPK4" s="102"/>
      <c r="JPM4" s="101"/>
      <c r="JPN4" s="100"/>
      <c r="JPO4" s="102"/>
      <c r="JPQ4" s="101"/>
      <c r="JPR4" s="100"/>
      <c r="JPS4" s="102"/>
      <c r="JPU4" s="101"/>
      <c r="JPV4" s="100"/>
      <c r="JPW4" s="102"/>
      <c r="JPY4" s="101"/>
      <c r="JPZ4" s="100"/>
      <c r="JQA4" s="102"/>
      <c r="JQC4" s="101"/>
      <c r="JQD4" s="100"/>
      <c r="JQE4" s="102"/>
      <c r="JQG4" s="101"/>
      <c r="JQH4" s="100"/>
      <c r="JQI4" s="102"/>
      <c r="JQK4" s="101"/>
      <c r="JQL4" s="100"/>
      <c r="JQM4" s="102"/>
      <c r="JQO4" s="101"/>
      <c r="JQP4" s="100"/>
      <c r="JQQ4" s="102"/>
      <c r="JQS4" s="101"/>
      <c r="JQT4" s="100"/>
      <c r="JQU4" s="102"/>
      <c r="JQW4" s="101"/>
      <c r="JQX4" s="100"/>
      <c r="JQY4" s="102"/>
      <c r="JRA4" s="101"/>
      <c r="JRB4" s="100"/>
      <c r="JRC4" s="102"/>
      <c r="JRE4" s="101"/>
      <c r="JRF4" s="100"/>
      <c r="JRG4" s="102"/>
      <c r="JRI4" s="101"/>
      <c r="JRJ4" s="100"/>
      <c r="JRK4" s="102"/>
      <c r="JRM4" s="101"/>
      <c r="JRN4" s="100"/>
      <c r="JRO4" s="102"/>
      <c r="JRQ4" s="101"/>
      <c r="JRR4" s="100"/>
      <c r="JRS4" s="102"/>
      <c r="JRU4" s="101"/>
      <c r="JRV4" s="100"/>
      <c r="JRW4" s="102"/>
      <c r="JRY4" s="101"/>
      <c r="JRZ4" s="100"/>
      <c r="JSA4" s="102"/>
      <c r="JSC4" s="101"/>
      <c r="JSD4" s="100"/>
      <c r="JSE4" s="102"/>
      <c r="JSG4" s="101"/>
      <c r="JSH4" s="100"/>
      <c r="JSI4" s="102"/>
      <c r="JSK4" s="101"/>
      <c r="JSL4" s="100"/>
      <c r="JSM4" s="102"/>
      <c r="JSO4" s="101"/>
      <c r="JSP4" s="100"/>
      <c r="JSQ4" s="102"/>
      <c r="JSS4" s="101"/>
      <c r="JST4" s="100"/>
      <c r="JSU4" s="102"/>
      <c r="JSW4" s="101"/>
      <c r="JSX4" s="100"/>
      <c r="JSY4" s="102"/>
      <c r="JTA4" s="101"/>
      <c r="JTB4" s="100"/>
      <c r="JTC4" s="102"/>
      <c r="JTE4" s="101"/>
      <c r="JTF4" s="100"/>
      <c r="JTG4" s="102"/>
      <c r="JTI4" s="101"/>
      <c r="JTJ4" s="100"/>
      <c r="JTK4" s="102"/>
      <c r="JTM4" s="101"/>
      <c r="JTN4" s="100"/>
      <c r="JTO4" s="102"/>
      <c r="JTQ4" s="101"/>
      <c r="JTR4" s="100"/>
      <c r="JTS4" s="102"/>
      <c r="JTU4" s="101"/>
      <c r="JTV4" s="100"/>
      <c r="JTW4" s="102"/>
      <c r="JTY4" s="101"/>
      <c r="JTZ4" s="100"/>
      <c r="JUA4" s="102"/>
      <c r="JUC4" s="101"/>
      <c r="JUD4" s="100"/>
      <c r="JUE4" s="102"/>
      <c r="JUG4" s="101"/>
      <c r="JUH4" s="100"/>
      <c r="JUI4" s="102"/>
      <c r="JUK4" s="101"/>
      <c r="JUL4" s="100"/>
      <c r="JUM4" s="102"/>
      <c r="JUO4" s="101"/>
      <c r="JUP4" s="100"/>
      <c r="JUQ4" s="102"/>
      <c r="JUS4" s="101"/>
      <c r="JUT4" s="100"/>
      <c r="JUU4" s="102"/>
      <c r="JUW4" s="101"/>
      <c r="JUX4" s="100"/>
      <c r="JUY4" s="102"/>
      <c r="JVA4" s="101"/>
      <c r="JVB4" s="100"/>
      <c r="JVC4" s="102"/>
      <c r="JVE4" s="101"/>
      <c r="JVF4" s="100"/>
      <c r="JVG4" s="102"/>
      <c r="JVI4" s="101"/>
      <c r="JVJ4" s="100"/>
      <c r="JVK4" s="102"/>
      <c r="JVM4" s="101"/>
      <c r="JVN4" s="100"/>
      <c r="JVO4" s="102"/>
      <c r="JVQ4" s="101"/>
      <c r="JVR4" s="100"/>
      <c r="JVS4" s="102"/>
      <c r="JVU4" s="101"/>
      <c r="JVV4" s="100"/>
      <c r="JVW4" s="102"/>
      <c r="JVY4" s="101"/>
      <c r="JVZ4" s="100"/>
      <c r="JWA4" s="102"/>
      <c r="JWC4" s="101"/>
      <c r="JWD4" s="100"/>
      <c r="JWE4" s="102"/>
      <c r="JWG4" s="101"/>
      <c r="JWH4" s="100"/>
      <c r="JWI4" s="102"/>
      <c r="JWK4" s="101"/>
      <c r="JWL4" s="100"/>
      <c r="JWM4" s="102"/>
      <c r="JWO4" s="101"/>
      <c r="JWP4" s="100"/>
      <c r="JWQ4" s="102"/>
      <c r="JWS4" s="101"/>
      <c r="JWT4" s="100"/>
      <c r="JWU4" s="102"/>
      <c r="JWW4" s="101"/>
      <c r="JWX4" s="100"/>
      <c r="JWY4" s="102"/>
      <c r="JXA4" s="101"/>
      <c r="JXB4" s="100"/>
      <c r="JXC4" s="102"/>
      <c r="JXE4" s="101"/>
      <c r="JXF4" s="100"/>
      <c r="JXG4" s="102"/>
      <c r="JXI4" s="101"/>
      <c r="JXJ4" s="100"/>
      <c r="JXK4" s="102"/>
      <c r="JXM4" s="101"/>
      <c r="JXN4" s="100"/>
      <c r="JXO4" s="102"/>
      <c r="JXQ4" s="101"/>
      <c r="JXR4" s="100"/>
      <c r="JXS4" s="102"/>
      <c r="JXU4" s="101"/>
      <c r="JXV4" s="100"/>
      <c r="JXW4" s="102"/>
      <c r="JXY4" s="101"/>
      <c r="JXZ4" s="100"/>
      <c r="JYA4" s="102"/>
      <c r="JYC4" s="101"/>
      <c r="JYD4" s="100"/>
      <c r="JYE4" s="102"/>
      <c r="JYG4" s="101"/>
      <c r="JYH4" s="100"/>
      <c r="JYI4" s="102"/>
      <c r="JYK4" s="101"/>
      <c r="JYL4" s="100"/>
      <c r="JYM4" s="102"/>
      <c r="JYO4" s="101"/>
      <c r="JYP4" s="100"/>
      <c r="JYQ4" s="102"/>
      <c r="JYS4" s="101"/>
      <c r="JYT4" s="100"/>
      <c r="JYU4" s="102"/>
      <c r="JYW4" s="101"/>
      <c r="JYX4" s="100"/>
      <c r="JYY4" s="102"/>
      <c r="JZA4" s="101"/>
      <c r="JZB4" s="100"/>
      <c r="JZC4" s="102"/>
      <c r="JZE4" s="101"/>
      <c r="JZF4" s="100"/>
      <c r="JZG4" s="102"/>
      <c r="JZI4" s="101"/>
      <c r="JZJ4" s="100"/>
      <c r="JZK4" s="102"/>
      <c r="JZM4" s="101"/>
      <c r="JZN4" s="100"/>
      <c r="JZO4" s="102"/>
      <c r="JZQ4" s="101"/>
      <c r="JZR4" s="100"/>
      <c r="JZS4" s="102"/>
      <c r="JZU4" s="101"/>
      <c r="JZV4" s="100"/>
      <c r="JZW4" s="102"/>
      <c r="JZY4" s="101"/>
      <c r="JZZ4" s="100"/>
      <c r="KAA4" s="102"/>
      <c r="KAC4" s="101"/>
      <c r="KAD4" s="100"/>
      <c r="KAE4" s="102"/>
      <c r="KAG4" s="101"/>
      <c r="KAH4" s="100"/>
      <c r="KAI4" s="102"/>
      <c r="KAK4" s="101"/>
      <c r="KAL4" s="100"/>
      <c r="KAM4" s="102"/>
      <c r="KAO4" s="101"/>
      <c r="KAP4" s="100"/>
      <c r="KAQ4" s="102"/>
      <c r="KAS4" s="101"/>
      <c r="KAT4" s="100"/>
      <c r="KAU4" s="102"/>
      <c r="KAW4" s="101"/>
      <c r="KAX4" s="100"/>
      <c r="KAY4" s="102"/>
      <c r="KBA4" s="101"/>
      <c r="KBB4" s="100"/>
      <c r="KBC4" s="102"/>
      <c r="KBE4" s="101"/>
      <c r="KBF4" s="100"/>
      <c r="KBG4" s="102"/>
      <c r="KBI4" s="101"/>
      <c r="KBJ4" s="100"/>
      <c r="KBK4" s="102"/>
      <c r="KBM4" s="101"/>
      <c r="KBN4" s="100"/>
      <c r="KBO4" s="102"/>
      <c r="KBQ4" s="101"/>
      <c r="KBR4" s="100"/>
      <c r="KBS4" s="102"/>
      <c r="KBU4" s="101"/>
      <c r="KBV4" s="100"/>
      <c r="KBW4" s="102"/>
      <c r="KBY4" s="101"/>
      <c r="KBZ4" s="100"/>
      <c r="KCA4" s="102"/>
      <c r="KCC4" s="101"/>
      <c r="KCD4" s="100"/>
      <c r="KCE4" s="102"/>
      <c r="KCG4" s="101"/>
      <c r="KCH4" s="100"/>
      <c r="KCI4" s="102"/>
      <c r="KCK4" s="101"/>
      <c r="KCL4" s="100"/>
      <c r="KCM4" s="102"/>
      <c r="KCO4" s="101"/>
      <c r="KCP4" s="100"/>
      <c r="KCQ4" s="102"/>
      <c r="KCS4" s="101"/>
      <c r="KCT4" s="100"/>
      <c r="KCU4" s="102"/>
      <c r="KCW4" s="101"/>
      <c r="KCX4" s="100"/>
      <c r="KCY4" s="102"/>
      <c r="KDA4" s="101"/>
      <c r="KDB4" s="100"/>
      <c r="KDC4" s="102"/>
      <c r="KDE4" s="101"/>
      <c r="KDF4" s="100"/>
      <c r="KDG4" s="102"/>
      <c r="KDI4" s="101"/>
      <c r="KDJ4" s="100"/>
      <c r="KDK4" s="102"/>
      <c r="KDM4" s="101"/>
      <c r="KDN4" s="100"/>
      <c r="KDO4" s="102"/>
      <c r="KDQ4" s="101"/>
      <c r="KDR4" s="100"/>
      <c r="KDS4" s="102"/>
      <c r="KDU4" s="101"/>
      <c r="KDV4" s="100"/>
      <c r="KDW4" s="102"/>
      <c r="KDY4" s="101"/>
      <c r="KDZ4" s="100"/>
      <c r="KEA4" s="102"/>
      <c r="KEC4" s="101"/>
      <c r="KED4" s="100"/>
      <c r="KEE4" s="102"/>
      <c r="KEG4" s="101"/>
      <c r="KEH4" s="100"/>
      <c r="KEI4" s="102"/>
      <c r="KEK4" s="101"/>
      <c r="KEL4" s="100"/>
      <c r="KEM4" s="102"/>
      <c r="KEO4" s="101"/>
      <c r="KEP4" s="100"/>
      <c r="KEQ4" s="102"/>
      <c r="KES4" s="101"/>
      <c r="KET4" s="100"/>
      <c r="KEU4" s="102"/>
      <c r="KEW4" s="101"/>
      <c r="KEX4" s="100"/>
      <c r="KEY4" s="102"/>
      <c r="KFA4" s="101"/>
      <c r="KFB4" s="100"/>
      <c r="KFC4" s="102"/>
      <c r="KFE4" s="101"/>
      <c r="KFF4" s="100"/>
      <c r="KFG4" s="102"/>
      <c r="KFI4" s="101"/>
      <c r="KFJ4" s="100"/>
      <c r="KFK4" s="102"/>
      <c r="KFM4" s="101"/>
      <c r="KFN4" s="100"/>
      <c r="KFO4" s="102"/>
      <c r="KFQ4" s="101"/>
      <c r="KFR4" s="100"/>
      <c r="KFS4" s="102"/>
      <c r="KFU4" s="101"/>
      <c r="KFV4" s="100"/>
      <c r="KFW4" s="102"/>
      <c r="KFY4" s="101"/>
      <c r="KFZ4" s="100"/>
      <c r="KGA4" s="102"/>
      <c r="KGC4" s="101"/>
      <c r="KGD4" s="100"/>
      <c r="KGE4" s="102"/>
      <c r="KGG4" s="101"/>
      <c r="KGH4" s="100"/>
      <c r="KGI4" s="102"/>
      <c r="KGK4" s="101"/>
      <c r="KGL4" s="100"/>
      <c r="KGM4" s="102"/>
      <c r="KGO4" s="101"/>
      <c r="KGP4" s="100"/>
      <c r="KGQ4" s="102"/>
      <c r="KGS4" s="101"/>
      <c r="KGT4" s="100"/>
      <c r="KGU4" s="102"/>
      <c r="KGW4" s="101"/>
      <c r="KGX4" s="100"/>
      <c r="KGY4" s="102"/>
      <c r="KHA4" s="101"/>
      <c r="KHB4" s="100"/>
      <c r="KHC4" s="102"/>
      <c r="KHE4" s="101"/>
      <c r="KHF4" s="100"/>
      <c r="KHG4" s="102"/>
      <c r="KHI4" s="101"/>
      <c r="KHJ4" s="100"/>
      <c r="KHK4" s="102"/>
      <c r="KHM4" s="101"/>
      <c r="KHN4" s="100"/>
      <c r="KHO4" s="102"/>
      <c r="KHQ4" s="101"/>
      <c r="KHR4" s="100"/>
      <c r="KHS4" s="102"/>
      <c r="KHU4" s="101"/>
      <c r="KHV4" s="100"/>
      <c r="KHW4" s="102"/>
      <c r="KHY4" s="101"/>
      <c r="KHZ4" s="100"/>
      <c r="KIA4" s="102"/>
      <c r="KIC4" s="101"/>
      <c r="KID4" s="100"/>
      <c r="KIE4" s="102"/>
      <c r="KIG4" s="101"/>
      <c r="KIH4" s="100"/>
      <c r="KII4" s="102"/>
      <c r="KIK4" s="101"/>
      <c r="KIL4" s="100"/>
      <c r="KIM4" s="102"/>
      <c r="KIO4" s="101"/>
      <c r="KIP4" s="100"/>
      <c r="KIQ4" s="102"/>
      <c r="KIS4" s="101"/>
      <c r="KIT4" s="100"/>
      <c r="KIU4" s="102"/>
      <c r="KIW4" s="101"/>
      <c r="KIX4" s="100"/>
      <c r="KIY4" s="102"/>
      <c r="KJA4" s="101"/>
      <c r="KJB4" s="100"/>
      <c r="KJC4" s="102"/>
      <c r="KJE4" s="101"/>
      <c r="KJF4" s="100"/>
      <c r="KJG4" s="102"/>
      <c r="KJI4" s="101"/>
      <c r="KJJ4" s="100"/>
      <c r="KJK4" s="102"/>
      <c r="KJM4" s="101"/>
      <c r="KJN4" s="100"/>
      <c r="KJO4" s="102"/>
      <c r="KJQ4" s="101"/>
      <c r="KJR4" s="100"/>
      <c r="KJS4" s="102"/>
      <c r="KJU4" s="101"/>
      <c r="KJV4" s="100"/>
      <c r="KJW4" s="102"/>
      <c r="KJY4" s="101"/>
      <c r="KJZ4" s="100"/>
      <c r="KKA4" s="102"/>
      <c r="KKC4" s="101"/>
      <c r="KKD4" s="100"/>
      <c r="KKE4" s="102"/>
      <c r="KKG4" s="101"/>
      <c r="KKH4" s="100"/>
      <c r="KKI4" s="102"/>
      <c r="KKK4" s="101"/>
      <c r="KKL4" s="100"/>
      <c r="KKM4" s="102"/>
      <c r="KKO4" s="101"/>
      <c r="KKP4" s="100"/>
      <c r="KKQ4" s="102"/>
      <c r="KKS4" s="101"/>
      <c r="KKT4" s="100"/>
      <c r="KKU4" s="102"/>
      <c r="KKW4" s="101"/>
      <c r="KKX4" s="100"/>
      <c r="KKY4" s="102"/>
      <c r="KLA4" s="101"/>
      <c r="KLB4" s="100"/>
      <c r="KLC4" s="102"/>
      <c r="KLE4" s="101"/>
      <c r="KLF4" s="100"/>
      <c r="KLG4" s="102"/>
      <c r="KLI4" s="101"/>
      <c r="KLJ4" s="100"/>
      <c r="KLK4" s="102"/>
      <c r="KLM4" s="101"/>
      <c r="KLN4" s="100"/>
      <c r="KLO4" s="102"/>
      <c r="KLQ4" s="101"/>
      <c r="KLR4" s="100"/>
      <c r="KLS4" s="102"/>
      <c r="KLU4" s="101"/>
      <c r="KLV4" s="100"/>
      <c r="KLW4" s="102"/>
      <c r="KLY4" s="101"/>
      <c r="KLZ4" s="100"/>
      <c r="KMA4" s="102"/>
      <c r="KMC4" s="101"/>
      <c r="KMD4" s="100"/>
      <c r="KME4" s="102"/>
      <c r="KMG4" s="101"/>
      <c r="KMH4" s="100"/>
      <c r="KMI4" s="102"/>
      <c r="KMK4" s="101"/>
      <c r="KML4" s="100"/>
      <c r="KMM4" s="102"/>
      <c r="KMO4" s="101"/>
      <c r="KMP4" s="100"/>
      <c r="KMQ4" s="102"/>
      <c r="KMS4" s="101"/>
      <c r="KMT4" s="100"/>
      <c r="KMU4" s="102"/>
      <c r="KMW4" s="101"/>
      <c r="KMX4" s="100"/>
      <c r="KMY4" s="102"/>
      <c r="KNA4" s="101"/>
      <c r="KNB4" s="100"/>
      <c r="KNC4" s="102"/>
      <c r="KNE4" s="101"/>
      <c r="KNF4" s="100"/>
      <c r="KNG4" s="102"/>
      <c r="KNI4" s="101"/>
      <c r="KNJ4" s="100"/>
      <c r="KNK4" s="102"/>
      <c r="KNM4" s="101"/>
      <c r="KNN4" s="100"/>
      <c r="KNO4" s="102"/>
      <c r="KNQ4" s="101"/>
      <c r="KNR4" s="100"/>
      <c r="KNS4" s="102"/>
      <c r="KNU4" s="101"/>
      <c r="KNV4" s="100"/>
      <c r="KNW4" s="102"/>
      <c r="KNY4" s="101"/>
      <c r="KNZ4" s="100"/>
      <c r="KOA4" s="102"/>
      <c r="KOC4" s="101"/>
      <c r="KOD4" s="100"/>
      <c r="KOE4" s="102"/>
      <c r="KOG4" s="101"/>
      <c r="KOH4" s="100"/>
      <c r="KOI4" s="102"/>
      <c r="KOK4" s="101"/>
      <c r="KOL4" s="100"/>
      <c r="KOM4" s="102"/>
      <c r="KOO4" s="101"/>
      <c r="KOP4" s="100"/>
      <c r="KOQ4" s="102"/>
      <c r="KOS4" s="101"/>
      <c r="KOT4" s="100"/>
      <c r="KOU4" s="102"/>
      <c r="KOW4" s="101"/>
      <c r="KOX4" s="100"/>
      <c r="KOY4" s="102"/>
      <c r="KPA4" s="101"/>
      <c r="KPB4" s="100"/>
      <c r="KPC4" s="102"/>
      <c r="KPE4" s="101"/>
      <c r="KPF4" s="100"/>
      <c r="KPG4" s="102"/>
      <c r="KPI4" s="101"/>
      <c r="KPJ4" s="100"/>
      <c r="KPK4" s="102"/>
      <c r="KPM4" s="101"/>
      <c r="KPN4" s="100"/>
      <c r="KPO4" s="102"/>
      <c r="KPQ4" s="101"/>
      <c r="KPR4" s="100"/>
      <c r="KPS4" s="102"/>
      <c r="KPU4" s="101"/>
      <c r="KPV4" s="100"/>
      <c r="KPW4" s="102"/>
      <c r="KPY4" s="101"/>
      <c r="KPZ4" s="100"/>
      <c r="KQA4" s="102"/>
      <c r="KQC4" s="101"/>
      <c r="KQD4" s="100"/>
      <c r="KQE4" s="102"/>
      <c r="KQG4" s="101"/>
      <c r="KQH4" s="100"/>
      <c r="KQI4" s="102"/>
      <c r="KQK4" s="101"/>
      <c r="KQL4" s="100"/>
      <c r="KQM4" s="102"/>
      <c r="KQO4" s="101"/>
      <c r="KQP4" s="100"/>
      <c r="KQQ4" s="102"/>
      <c r="KQS4" s="101"/>
      <c r="KQT4" s="100"/>
      <c r="KQU4" s="102"/>
      <c r="KQW4" s="101"/>
      <c r="KQX4" s="100"/>
      <c r="KQY4" s="102"/>
      <c r="KRA4" s="101"/>
      <c r="KRB4" s="100"/>
      <c r="KRC4" s="102"/>
      <c r="KRE4" s="101"/>
      <c r="KRF4" s="100"/>
      <c r="KRG4" s="102"/>
      <c r="KRI4" s="101"/>
      <c r="KRJ4" s="100"/>
      <c r="KRK4" s="102"/>
      <c r="KRM4" s="101"/>
      <c r="KRN4" s="100"/>
      <c r="KRO4" s="102"/>
      <c r="KRQ4" s="101"/>
      <c r="KRR4" s="100"/>
      <c r="KRS4" s="102"/>
      <c r="KRU4" s="101"/>
      <c r="KRV4" s="100"/>
      <c r="KRW4" s="102"/>
      <c r="KRY4" s="101"/>
      <c r="KRZ4" s="100"/>
      <c r="KSA4" s="102"/>
      <c r="KSC4" s="101"/>
      <c r="KSD4" s="100"/>
      <c r="KSE4" s="102"/>
      <c r="KSG4" s="101"/>
      <c r="KSH4" s="100"/>
      <c r="KSI4" s="102"/>
      <c r="KSK4" s="101"/>
      <c r="KSL4" s="100"/>
      <c r="KSM4" s="102"/>
      <c r="KSO4" s="101"/>
      <c r="KSP4" s="100"/>
      <c r="KSQ4" s="102"/>
      <c r="KSS4" s="101"/>
      <c r="KST4" s="100"/>
      <c r="KSU4" s="102"/>
      <c r="KSW4" s="101"/>
      <c r="KSX4" s="100"/>
      <c r="KSY4" s="102"/>
      <c r="KTA4" s="101"/>
      <c r="KTB4" s="100"/>
      <c r="KTC4" s="102"/>
      <c r="KTE4" s="101"/>
      <c r="KTF4" s="100"/>
      <c r="KTG4" s="102"/>
      <c r="KTI4" s="101"/>
      <c r="KTJ4" s="100"/>
      <c r="KTK4" s="102"/>
      <c r="KTM4" s="101"/>
      <c r="KTN4" s="100"/>
      <c r="KTO4" s="102"/>
      <c r="KTQ4" s="101"/>
      <c r="KTR4" s="100"/>
      <c r="KTS4" s="102"/>
      <c r="KTU4" s="101"/>
      <c r="KTV4" s="100"/>
      <c r="KTW4" s="102"/>
      <c r="KTY4" s="101"/>
      <c r="KTZ4" s="100"/>
      <c r="KUA4" s="102"/>
      <c r="KUC4" s="101"/>
      <c r="KUD4" s="100"/>
      <c r="KUE4" s="102"/>
      <c r="KUG4" s="101"/>
      <c r="KUH4" s="100"/>
      <c r="KUI4" s="102"/>
      <c r="KUK4" s="101"/>
      <c r="KUL4" s="100"/>
      <c r="KUM4" s="102"/>
      <c r="KUO4" s="101"/>
      <c r="KUP4" s="100"/>
      <c r="KUQ4" s="102"/>
      <c r="KUS4" s="101"/>
      <c r="KUT4" s="100"/>
      <c r="KUU4" s="102"/>
      <c r="KUW4" s="101"/>
      <c r="KUX4" s="100"/>
      <c r="KUY4" s="102"/>
      <c r="KVA4" s="101"/>
      <c r="KVB4" s="100"/>
      <c r="KVC4" s="102"/>
      <c r="KVE4" s="101"/>
      <c r="KVF4" s="100"/>
      <c r="KVG4" s="102"/>
      <c r="KVI4" s="101"/>
      <c r="KVJ4" s="100"/>
      <c r="KVK4" s="102"/>
      <c r="KVM4" s="101"/>
      <c r="KVN4" s="100"/>
      <c r="KVO4" s="102"/>
      <c r="KVQ4" s="101"/>
      <c r="KVR4" s="100"/>
      <c r="KVS4" s="102"/>
      <c r="KVU4" s="101"/>
      <c r="KVV4" s="100"/>
      <c r="KVW4" s="102"/>
      <c r="KVY4" s="101"/>
      <c r="KVZ4" s="100"/>
      <c r="KWA4" s="102"/>
      <c r="KWC4" s="101"/>
      <c r="KWD4" s="100"/>
      <c r="KWE4" s="102"/>
      <c r="KWG4" s="101"/>
      <c r="KWH4" s="100"/>
      <c r="KWI4" s="102"/>
      <c r="KWK4" s="101"/>
      <c r="KWL4" s="100"/>
      <c r="KWM4" s="102"/>
      <c r="KWO4" s="101"/>
      <c r="KWP4" s="100"/>
      <c r="KWQ4" s="102"/>
      <c r="KWS4" s="101"/>
      <c r="KWT4" s="100"/>
      <c r="KWU4" s="102"/>
      <c r="KWW4" s="101"/>
      <c r="KWX4" s="100"/>
      <c r="KWY4" s="102"/>
      <c r="KXA4" s="101"/>
      <c r="KXB4" s="100"/>
      <c r="KXC4" s="102"/>
      <c r="KXE4" s="101"/>
      <c r="KXF4" s="100"/>
      <c r="KXG4" s="102"/>
      <c r="KXI4" s="101"/>
      <c r="KXJ4" s="100"/>
      <c r="KXK4" s="102"/>
      <c r="KXM4" s="101"/>
      <c r="KXN4" s="100"/>
      <c r="KXO4" s="102"/>
      <c r="KXQ4" s="101"/>
      <c r="KXR4" s="100"/>
      <c r="KXS4" s="102"/>
      <c r="KXU4" s="101"/>
      <c r="KXV4" s="100"/>
      <c r="KXW4" s="102"/>
      <c r="KXY4" s="101"/>
      <c r="KXZ4" s="100"/>
      <c r="KYA4" s="102"/>
      <c r="KYC4" s="101"/>
      <c r="KYD4" s="100"/>
      <c r="KYE4" s="102"/>
      <c r="KYG4" s="101"/>
      <c r="KYH4" s="100"/>
      <c r="KYI4" s="102"/>
      <c r="KYK4" s="101"/>
      <c r="KYL4" s="100"/>
      <c r="KYM4" s="102"/>
      <c r="KYO4" s="101"/>
      <c r="KYP4" s="100"/>
      <c r="KYQ4" s="102"/>
      <c r="KYS4" s="101"/>
      <c r="KYT4" s="100"/>
      <c r="KYU4" s="102"/>
      <c r="KYW4" s="101"/>
      <c r="KYX4" s="100"/>
      <c r="KYY4" s="102"/>
      <c r="KZA4" s="101"/>
      <c r="KZB4" s="100"/>
      <c r="KZC4" s="102"/>
      <c r="KZE4" s="101"/>
      <c r="KZF4" s="100"/>
      <c r="KZG4" s="102"/>
      <c r="KZI4" s="101"/>
      <c r="KZJ4" s="100"/>
      <c r="KZK4" s="102"/>
      <c r="KZM4" s="101"/>
      <c r="KZN4" s="100"/>
      <c r="KZO4" s="102"/>
      <c r="KZQ4" s="101"/>
      <c r="KZR4" s="100"/>
      <c r="KZS4" s="102"/>
      <c r="KZU4" s="101"/>
      <c r="KZV4" s="100"/>
      <c r="KZW4" s="102"/>
      <c r="KZY4" s="101"/>
      <c r="KZZ4" s="100"/>
      <c r="LAA4" s="102"/>
      <c r="LAC4" s="101"/>
      <c r="LAD4" s="100"/>
      <c r="LAE4" s="102"/>
      <c r="LAG4" s="101"/>
      <c r="LAH4" s="100"/>
      <c r="LAI4" s="102"/>
      <c r="LAK4" s="101"/>
      <c r="LAL4" s="100"/>
      <c r="LAM4" s="102"/>
      <c r="LAO4" s="101"/>
      <c r="LAP4" s="100"/>
      <c r="LAQ4" s="102"/>
      <c r="LAS4" s="101"/>
      <c r="LAT4" s="100"/>
      <c r="LAU4" s="102"/>
      <c r="LAW4" s="101"/>
      <c r="LAX4" s="100"/>
      <c r="LAY4" s="102"/>
      <c r="LBA4" s="101"/>
      <c r="LBB4" s="100"/>
      <c r="LBC4" s="102"/>
      <c r="LBE4" s="101"/>
      <c r="LBF4" s="100"/>
      <c r="LBG4" s="102"/>
      <c r="LBI4" s="101"/>
      <c r="LBJ4" s="100"/>
      <c r="LBK4" s="102"/>
      <c r="LBM4" s="101"/>
      <c r="LBN4" s="100"/>
      <c r="LBO4" s="102"/>
      <c r="LBQ4" s="101"/>
      <c r="LBR4" s="100"/>
      <c r="LBS4" s="102"/>
      <c r="LBU4" s="101"/>
      <c r="LBV4" s="100"/>
      <c r="LBW4" s="102"/>
      <c r="LBY4" s="101"/>
      <c r="LBZ4" s="100"/>
      <c r="LCA4" s="102"/>
      <c r="LCC4" s="101"/>
      <c r="LCD4" s="100"/>
      <c r="LCE4" s="102"/>
      <c r="LCG4" s="101"/>
      <c r="LCH4" s="100"/>
      <c r="LCI4" s="102"/>
      <c r="LCK4" s="101"/>
      <c r="LCL4" s="100"/>
      <c r="LCM4" s="102"/>
      <c r="LCO4" s="101"/>
      <c r="LCP4" s="100"/>
      <c r="LCQ4" s="102"/>
      <c r="LCS4" s="101"/>
      <c r="LCT4" s="100"/>
      <c r="LCU4" s="102"/>
      <c r="LCW4" s="101"/>
      <c r="LCX4" s="100"/>
      <c r="LCY4" s="102"/>
      <c r="LDA4" s="101"/>
      <c r="LDB4" s="100"/>
      <c r="LDC4" s="102"/>
      <c r="LDE4" s="101"/>
      <c r="LDF4" s="100"/>
      <c r="LDG4" s="102"/>
      <c r="LDI4" s="101"/>
      <c r="LDJ4" s="100"/>
      <c r="LDK4" s="102"/>
      <c r="LDM4" s="101"/>
      <c r="LDN4" s="100"/>
      <c r="LDO4" s="102"/>
      <c r="LDQ4" s="101"/>
      <c r="LDR4" s="100"/>
      <c r="LDS4" s="102"/>
      <c r="LDU4" s="101"/>
      <c r="LDV4" s="100"/>
      <c r="LDW4" s="102"/>
      <c r="LDY4" s="101"/>
      <c r="LDZ4" s="100"/>
      <c r="LEA4" s="102"/>
      <c r="LEC4" s="101"/>
      <c r="LED4" s="100"/>
      <c r="LEE4" s="102"/>
      <c r="LEG4" s="101"/>
      <c r="LEH4" s="100"/>
      <c r="LEI4" s="102"/>
      <c r="LEK4" s="101"/>
      <c r="LEL4" s="100"/>
      <c r="LEM4" s="102"/>
      <c r="LEO4" s="101"/>
      <c r="LEP4" s="100"/>
      <c r="LEQ4" s="102"/>
      <c r="LES4" s="101"/>
      <c r="LET4" s="100"/>
      <c r="LEU4" s="102"/>
      <c r="LEW4" s="101"/>
      <c r="LEX4" s="100"/>
      <c r="LEY4" s="102"/>
      <c r="LFA4" s="101"/>
      <c r="LFB4" s="100"/>
      <c r="LFC4" s="102"/>
      <c r="LFE4" s="101"/>
      <c r="LFF4" s="100"/>
      <c r="LFG4" s="102"/>
      <c r="LFI4" s="101"/>
      <c r="LFJ4" s="100"/>
      <c r="LFK4" s="102"/>
      <c r="LFM4" s="101"/>
      <c r="LFN4" s="100"/>
      <c r="LFO4" s="102"/>
      <c r="LFQ4" s="101"/>
      <c r="LFR4" s="100"/>
      <c r="LFS4" s="102"/>
      <c r="LFU4" s="101"/>
      <c r="LFV4" s="100"/>
      <c r="LFW4" s="102"/>
      <c r="LFY4" s="101"/>
      <c r="LFZ4" s="100"/>
      <c r="LGA4" s="102"/>
      <c r="LGC4" s="101"/>
      <c r="LGD4" s="100"/>
      <c r="LGE4" s="102"/>
      <c r="LGG4" s="101"/>
      <c r="LGH4" s="100"/>
      <c r="LGI4" s="102"/>
      <c r="LGK4" s="101"/>
      <c r="LGL4" s="100"/>
      <c r="LGM4" s="102"/>
      <c r="LGO4" s="101"/>
      <c r="LGP4" s="100"/>
      <c r="LGQ4" s="102"/>
      <c r="LGS4" s="101"/>
      <c r="LGT4" s="100"/>
      <c r="LGU4" s="102"/>
      <c r="LGW4" s="101"/>
      <c r="LGX4" s="100"/>
      <c r="LGY4" s="102"/>
      <c r="LHA4" s="101"/>
      <c r="LHB4" s="100"/>
      <c r="LHC4" s="102"/>
      <c r="LHE4" s="101"/>
      <c r="LHF4" s="100"/>
      <c r="LHG4" s="102"/>
      <c r="LHI4" s="101"/>
      <c r="LHJ4" s="100"/>
      <c r="LHK4" s="102"/>
      <c r="LHM4" s="101"/>
      <c r="LHN4" s="100"/>
      <c r="LHO4" s="102"/>
      <c r="LHQ4" s="101"/>
      <c r="LHR4" s="100"/>
      <c r="LHS4" s="102"/>
      <c r="LHU4" s="101"/>
      <c r="LHV4" s="100"/>
      <c r="LHW4" s="102"/>
      <c r="LHY4" s="101"/>
      <c r="LHZ4" s="100"/>
      <c r="LIA4" s="102"/>
      <c r="LIC4" s="101"/>
      <c r="LID4" s="100"/>
      <c r="LIE4" s="102"/>
      <c r="LIG4" s="101"/>
      <c r="LIH4" s="100"/>
      <c r="LII4" s="102"/>
      <c r="LIK4" s="101"/>
      <c r="LIL4" s="100"/>
      <c r="LIM4" s="102"/>
      <c r="LIO4" s="101"/>
      <c r="LIP4" s="100"/>
      <c r="LIQ4" s="102"/>
      <c r="LIS4" s="101"/>
      <c r="LIT4" s="100"/>
      <c r="LIU4" s="102"/>
      <c r="LIW4" s="101"/>
      <c r="LIX4" s="100"/>
      <c r="LIY4" s="102"/>
      <c r="LJA4" s="101"/>
      <c r="LJB4" s="100"/>
      <c r="LJC4" s="102"/>
      <c r="LJE4" s="101"/>
      <c r="LJF4" s="100"/>
      <c r="LJG4" s="102"/>
      <c r="LJI4" s="101"/>
      <c r="LJJ4" s="100"/>
      <c r="LJK4" s="102"/>
      <c r="LJM4" s="101"/>
      <c r="LJN4" s="100"/>
      <c r="LJO4" s="102"/>
      <c r="LJQ4" s="101"/>
      <c r="LJR4" s="100"/>
      <c r="LJS4" s="102"/>
      <c r="LJU4" s="101"/>
      <c r="LJV4" s="100"/>
      <c r="LJW4" s="102"/>
      <c r="LJY4" s="101"/>
      <c r="LJZ4" s="100"/>
      <c r="LKA4" s="102"/>
      <c r="LKC4" s="101"/>
      <c r="LKD4" s="100"/>
      <c r="LKE4" s="102"/>
      <c r="LKG4" s="101"/>
      <c r="LKH4" s="100"/>
      <c r="LKI4" s="102"/>
      <c r="LKK4" s="101"/>
      <c r="LKL4" s="100"/>
      <c r="LKM4" s="102"/>
      <c r="LKO4" s="101"/>
      <c r="LKP4" s="100"/>
      <c r="LKQ4" s="102"/>
      <c r="LKS4" s="101"/>
      <c r="LKT4" s="100"/>
      <c r="LKU4" s="102"/>
      <c r="LKW4" s="101"/>
      <c r="LKX4" s="100"/>
      <c r="LKY4" s="102"/>
      <c r="LLA4" s="101"/>
      <c r="LLB4" s="100"/>
      <c r="LLC4" s="102"/>
      <c r="LLE4" s="101"/>
      <c r="LLF4" s="100"/>
      <c r="LLG4" s="102"/>
      <c r="LLI4" s="101"/>
      <c r="LLJ4" s="100"/>
      <c r="LLK4" s="102"/>
      <c r="LLM4" s="101"/>
      <c r="LLN4" s="100"/>
      <c r="LLO4" s="102"/>
      <c r="LLQ4" s="101"/>
      <c r="LLR4" s="100"/>
      <c r="LLS4" s="102"/>
      <c r="LLU4" s="101"/>
      <c r="LLV4" s="100"/>
      <c r="LLW4" s="102"/>
      <c r="LLY4" s="101"/>
      <c r="LLZ4" s="100"/>
      <c r="LMA4" s="102"/>
      <c r="LMC4" s="101"/>
      <c r="LMD4" s="100"/>
      <c r="LME4" s="102"/>
      <c r="LMG4" s="101"/>
      <c r="LMH4" s="100"/>
      <c r="LMI4" s="102"/>
      <c r="LMK4" s="101"/>
      <c r="LML4" s="100"/>
      <c r="LMM4" s="102"/>
      <c r="LMO4" s="101"/>
      <c r="LMP4" s="100"/>
      <c r="LMQ4" s="102"/>
      <c r="LMS4" s="101"/>
      <c r="LMT4" s="100"/>
      <c r="LMU4" s="102"/>
      <c r="LMW4" s="101"/>
      <c r="LMX4" s="100"/>
      <c r="LMY4" s="102"/>
      <c r="LNA4" s="101"/>
      <c r="LNB4" s="100"/>
      <c r="LNC4" s="102"/>
      <c r="LNE4" s="101"/>
      <c r="LNF4" s="100"/>
      <c r="LNG4" s="102"/>
      <c r="LNI4" s="101"/>
      <c r="LNJ4" s="100"/>
      <c r="LNK4" s="102"/>
      <c r="LNM4" s="101"/>
      <c r="LNN4" s="100"/>
      <c r="LNO4" s="102"/>
      <c r="LNQ4" s="101"/>
      <c r="LNR4" s="100"/>
      <c r="LNS4" s="102"/>
      <c r="LNU4" s="101"/>
      <c r="LNV4" s="100"/>
      <c r="LNW4" s="102"/>
      <c r="LNY4" s="101"/>
      <c r="LNZ4" s="100"/>
      <c r="LOA4" s="102"/>
      <c r="LOC4" s="101"/>
      <c r="LOD4" s="100"/>
      <c r="LOE4" s="102"/>
      <c r="LOG4" s="101"/>
      <c r="LOH4" s="100"/>
      <c r="LOI4" s="102"/>
      <c r="LOK4" s="101"/>
      <c r="LOL4" s="100"/>
      <c r="LOM4" s="102"/>
      <c r="LOO4" s="101"/>
      <c r="LOP4" s="100"/>
      <c r="LOQ4" s="102"/>
      <c r="LOS4" s="101"/>
      <c r="LOT4" s="100"/>
      <c r="LOU4" s="102"/>
      <c r="LOW4" s="101"/>
      <c r="LOX4" s="100"/>
      <c r="LOY4" s="102"/>
      <c r="LPA4" s="101"/>
      <c r="LPB4" s="100"/>
      <c r="LPC4" s="102"/>
      <c r="LPE4" s="101"/>
      <c r="LPF4" s="100"/>
      <c r="LPG4" s="102"/>
      <c r="LPI4" s="101"/>
      <c r="LPJ4" s="100"/>
      <c r="LPK4" s="102"/>
      <c r="LPM4" s="101"/>
      <c r="LPN4" s="100"/>
      <c r="LPO4" s="102"/>
      <c r="LPQ4" s="101"/>
      <c r="LPR4" s="100"/>
      <c r="LPS4" s="102"/>
      <c r="LPU4" s="101"/>
      <c r="LPV4" s="100"/>
      <c r="LPW4" s="102"/>
      <c r="LPY4" s="101"/>
      <c r="LPZ4" s="100"/>
      <c r="LQA4" s="102"/>
      <c r="LQC4" s="101"/>
      <c r="LQD4" s="100"/>
      <c r="LQE4" s="102"/>
      <c r="LQG4" s="101"/>
      <c r="LQH4" s="100"/>
      <c r="LQI4" s="102"/>
      <c r="LQK4" s="101"/>
      <c r="LQL4" s="100"/>
      <c r="LQM4" s="102"/>
      <c r="LQO4" s="101"/>
      <c r="LQP4" s="100"/>
      <c r="LQQ4" s="102"/>
      <c r="LQS4" s="101"/>
      <c r="LQT4" s="100"/>
      <c r="LQU4" s="102"/>
      <c r="LQW4" s="101"/>
      <c r="LQX4" s="100"/>
      <c r="LQY4" s="102"/>
      <c r="LRA4" s="101"/>
      <c r="LRB4" s="100"/>
      <c r="LRC4" s="102"/>
      <c r="LRE4" s="101"/>
      <c r="LRF4" s="100"/>
      <c r="LRG4" s="102"/>
      <c r="LRI4" s="101"/>
      <c r="LRJ4" s="100"/>
      <c r="LRK4" s="102"/>
      <c r="LRM4" s="101"/>
      <c r="LRN4" s="100"/>
      <c r="LRO4" s="102"/>
      <c r="LRQ4" s="101"/>
      <c r="LRR4" s="100"/>
      <c r="LRS4" s="102"/>
      <c r="LRU4" s="101"/>
      <c r="LRV4" s="100"/>
      <c r="LRW4" s="102"/>
      <c r="LRY4" s="101"/>
      <c r="LRZ4" s="100"/>
      <c r="LSA4" s="102"/>
      <c r="LSC4" s="101"/>
      <c r="LSD4" s="100"/>
      <c r="LSE4" s="102"/>
      <c r="LSG4" s="101"/>
      <c r="LSH4" s="100"/>
      <c r="LSI4" s="102"/>
      <c r="LSK4" s="101"/>
      <c r="LSL4" s="100"/>
      <c r="LSM4" s="102"/>
      <c r="LSO4" s="101"/>
      <c r="LSP4" s="100"/>
      <c r="LSQ4" s="102"/>
      <c r="LSS4" s="101"/>
      <c r="LST4" s="100"/>
      <c r="LSU4" s="102"/>
      <c r="LSW4" s="101"/>
      <c r="LSX4" s="100"/>
      <c r="LSY4" s="102"/>
      <c r="LTA4" s="101"/>
      <c r="LTB4" s="100"/>
      <c r="LTC4" s="102"/>
      <c r="LTE4" s="101"/>
      <c r="LTF4" s="100"/>
      <c r="LTG4" s="102"/>
      <c r="LTI4" s="101"/>
      <c r="LTJ4" s="100"/>
      <c r="LTK4" s="102"/>
      <c r="LTM4" s="101"/>
      <c r="LTN4" s="100"/>
      <c r="LTO4" s="102"/>
      <c r="LTQ4" s="101"/>
      <c r="LTR4" s="100"/>
      <c r="LTS4" s="102"/>
      <c r="LTU4" s="101"/>
      <c r="LTV4" s="100"/>
      <c r="LTW4" s="102"/>
      <c r="LTY4" s="101"/>
      <c r="LTZ4" s="100"/>
      <c r="LUA4" s="102"/>
      <c r="LUC4" s="101"/>
      <c r="LUD4" s="100"/>
      <c r="LUE4" s="102"/>
      <c r="LUG4" s="101"/>
      <c r="LUH4" s="100"/>
      <c r="LUI4" s="102"/>
      <c r="LUK4" s="101"/>
      <c r="LUL4" s="100"/>
      <c r="LUM4" s="102"/>
      <c r="LUO4" s="101"/>
      <c r="LUP4" s="100"/>
      <c r="LUQ4" s="102"/>
      <c r="LUS4" s="101"/>
      <c r="LUT4" s="100"/>
      <c r="LUU4" s="102"/>
      <c r="LUW4" s="101"/>
      <c r="LUX4" s="100"/>
      <c r="LUY4" s="102"/>
      <c r="LVA4" s="101"/>
      <c r="LVB4" s="100"/>
      <c r="LVC4" s="102"/>
      <c r="LVE4" s="101"/>
      <c r="LVF4" s="100"/>
      <c r="LVG4" s="102"/>
      <c r="LVI4" s="101"/>
      <c r="LVJ4" s="100"/>
      <c r="LVK4" s="102"/>
      <c r="LVM4" s="101"/>
      <c r="LVN4" s="100"/>
      <c r="LVO4" s="102"/>
      <c r="LVQ4" s="101"/>
      <c r="LVR4" s="100"/>
      <c r="LVS4" s="102"/>
      <c r="LVU4" s="101"/>
      <c r="LVV4" s="100"/>
      <c r="LVW4" s="102"/>
      <c r="LVY4" s="101"/>
      <c r="LVZ4" s="100"/>
      <c r="LWA4" s="102"/>
      <c r="LWC4" s="101"/>
      <c r="LWD4" s="100"/>
      <c r="LWE4" s="102"/>
      <c r="LWG4" s="101"/>
      <c r="LWH4" s="100"/>
      <c r="LWI4" s="102"/>
      <c r="LWK4" s="101"/>
      <c r="LWL4" s="100"/>
      <c r="LWM4" s="102"/>
      <c r="LWO4" s="101"/>
      <c r="LWP4" s="100"/>
      <c r="LWQ4" s="102"/>
      <c r="LWS4" s="101"/>
      <c r="LWT4" s="100"/>
      <c r="LWU4" s="102"/>
      <c r="LWW4" s="101"/>
      <c r="LWX4" s="100"/>
      <c r="LWY4" s="102"/>
      <c r="LXA4" s="101"/>
      <c r="LXB4" s="100"/>
      <c r="LXC4" s="102"/>
      <c r="LXE4" s="101"/>
      <c r="LXF4" s="100"/>
      <c r="LXG4" s="102"/>
      <c r="LXI4" s="101"/>
      <c r="LXJ4" s="100"/>
      <c r="LXK4" s="102"/>
      <c r="LXM4" s="101"/>
      <c r="LXN4" s="100"/>
      <c r="LXO4" s="102"/>
      <c r="LXQ4" s="101"/>
      <c r="LXR4" s="100"/>
      <c r="LXS4" s="102"/>
      <c r="LXU4" s="101"/>
      <c r="LXV4" s="100"/>
      <c r="LXW4" s="102"/>
      <c r="LXY4" s="101"/>
      <c r="LXZ4" s="100"/>
      <c r="LYA4" s="102"/>
      <c r="LYC4" s="101"/>
      <c r="LYD4" s="100"/>
      <c r="LYE4" s="102"/>
      <c r="LYG4" s="101"/>
      <c r="LYH4" s="100"/>
      <c r="LYI4" s="102"/>
      <c r="LYK4" s="101"/>
      <c r="LYL4" s="100"/>
      <c r="LYM4" s="102"/>
      <c r="LYO4" s="101"/>
      <c r="LYP4" s="100"/>
      <c r="LYQ4" s="102"/>
      <c r="LYS4" s="101"/>
      <c r="LYT4" s="100"/>
      <c r="LYU4" s="102"/>
      <c r="LYW4" s="101"/>
      <c r="LYX4" s="100"/>
      <c r="LYY4" s="102"/>
      <c r="LZA4" s="101"/>
      <c r="LZB4" s="100"/>
      <c r="LZC4" s="102"/>
      <c r="LZE4" s="101"/>
      <c r="LZF4" s="100"/>
      <c r="LZG4" s="102"/>
      <c r="LZI4" s="101"/>
      <c r="LZJ4" s="100"/>
      <c r="LZK4" s="102"/>
      <c r="LZM4" s="101"/>
      <c r="LZN4" s="100"/>
      <c r="LZO4" s="102"/>
      <c r="LZQ4" s="101"/>
      <c r="LZR4" s="100"/>
      <c r="LZS4" s="102"/>
      <c r="LZU4" s="101"/>
      <c r="LZV4" s="100"/>
      <c r="LZW4" s="102"/>
      <c r="LZY4" s="101"/>
      <c r="LZZ4" s="100"/>
      <c r="MAA4" s="102"/>
      <c r="MAC4" s="101"/>
      <c r="MAD4" s="100"/>
      <c r="MAE4" s="102"/>
      <c r="MAG4" s="101"/>
      <c r="MAH4" s="100"/>
      <c r="MAI4" s="102"/>
      <c r="MAK4" s="101"/>
      <c r="MAL4" s="100"/>
      <c r="MAM4" s="102"/>
      <c r="MAO4" s="101"/>
      <c r="MAP4" s="100"/>
      <c r="MAQ4" s="102"/>
      <c r="MAS4" s="101"/>
      <c r="MAT4" s="100"/>
      <c r="MAU4" s="102"/>
      <c r="MAW4" s="101"/>
      <c r="MAX4" s="100"/>
      <c r="MAY4" s="102"/>
      <c r="MBA4" s="101"/>
      <c r="MBB4" s="100"/>
      <c r="MBC4" s="102"/>
      <c r="MBE4" s="101"/>
      <c r="MBF4" s="100"/>
      <c r="MBG4" s="102"/>
      <c r="MBI4" s="101"/>
      <c r="MBJ4" s="100"/>
      <c r="MBK4" s="102"/>
      <c r="MBM4" s="101"/>
      <c r="MBN4" s="100"/>
      <c r="MBO4" s="102"/>
      <c r="MBQ4" s="101"/>
      <c r="MBR4" s="100"/>
      <c r="MBS4" s="102"/>
      <c r="MBU4" s="101"/>
      <c r="MBV4" s="100"/>
      <c r="MBW4" s="102"/>
      <c r="MBY4" s="101"/>
      <c r="MBZ4" s="100"/>
      <c r="MCA4" s="102"/>
      <c r="MCC4" s="101"/>
      <c r="MCD4" s="100"/>
      <c r="MCE4" s="102"/>
      <c r="MCG4" s="101"/>
      <c r="MCH4" s="100"/>
      <c r="MCI4" s="102"/>
      <c r="MCK4" s="101"/>
      <c r="MCL4" s="100"/>
      <c r="MCM4" s="102"/>
      <c r="MCO4" s="101"/>
      <c r="MCP4" s="100"/>
      <c r="MCQ4" s="102"/>
      <c r="MCS4" s="101"/>
      <c r="MCT4" s="100"/>
      <c r="MCU4" s="102"/>
      <c r="MCW4" s="101"/>
      <c r="MCX4" s="100"/>
      <c r="MCY4" s="102"/>
      <c r="MDA4" s="101"/>
      <c r="MDB4" s="100"/>
      <c r="MDC4" s="102"/>
      <c r="MDE4" s="101"/>
      <c r="MDF4" s="100"/>
      <c r="MDG4" s="102"/>
      <c r="MDI4" s="101"/>
      <c r="MDJ4" s="100"/>
      <c r="MDK4" s="102"/>
      <c r="MDM4" s="101"/>
      <c r="MDN4" s="100"/>
      <c r="MDO4" s="102"/>
      <c r="MDQ4" s="101"/>
      <c r="MDR4" s="100"/>
      <c r="MDS4" s="102"/>
      <c r="MDU4" s="101"/>
      <c r="MDV4" s="100"/>
      <c r="MDW4" s="102"/>
      <c r="MDY4" s="101"/>
      <c r="MDZ4" s="100"/>
      <c r="MEA4" s="102"/>
      <c r="MEC4" s="101"/>
      <c r="MED4" s="100"/>
      <c r="MEE4" s="102"/>
      <c r="MEG4" s="101"/>
      <c r="MEH4" s="100"/>
      <c r="MEI4" s="102"/>
      <c r="MEK4" s="101"/>
      <c r="MEL4" s="100"/>
      <c r="MEM4" s="102"/>
      <c r="MEO4" s="101"/>
      <c r="MEP4" s="100"/>
      <c r="MEQ4" s="102"/>
      <c r="MES4" s="101"/>
      <c r="MET4" s="100"/>
      <c r="MEU4" s="102"/>
      <c r="MEW4" s="101"/>
      <c r="MEX4" s="100"/>
      <c r="MEY4" s="102"/>
      <c r="MFA4" s="101"/>
      <c r="MFB4" s="100"/>
      <c r="MFC4" s="102"/>
      <c r="MFE4" s="101"/>
      <c r="MFF4" s="100"/>
      <c r="MFG4" s="102"/>
      <c r="MFI4" s="101"/>
      <c r="MFJ4" s="100"/>
      <c r="MFK4" s="102"/>
      <c r="MFM4" s="101"/>
      <c r="MFN4" s="100"/>
      <c r="MFO4" s="102"/>
      <c r="MFQ4" s="101"/>
      <c r="MFR4" s="100"/>
      <c r="MFS4" s="102"/>
      <c r="MFU4" s="101"/>
      <c r="MFV4" s="100"/>
      <c r="MFW4" s="102"/>
      <c r="MFY4" s="101"/>
      <c r="MFZ4" s="100"/>
      <c r="MGA4" s="102"/>
      <c r="MGC4" s="101"/>
      <c r="MGD4" s="100"/>
      <c r="MGE4" s="102"/>
      <c r="MGG4" s="101"/>
      <c r="MGH4" s="100"/>
      <c r="MGI4" s="102"/>
      <c r="MGK4" s="101"/>
      <c r="MGL4" s="100"/>
      <c r="MGM4" s="102"/>
      <c r="MGO4" s="101"/>
      <c r="MGP4" s="100"/>
      <c r="MGQ4" s="102"/>
      <c r="MGS4" s="101"/>
      <c r="MGT4" s="100"/>
      <c r="MGU4" s="102"/>
      <c r="MGW4" s="101"/>
      <c r="MGX4" s="100"/>
      <c r="MGY4" s="102"/>
      <c r="MHA4" s="101"/>
      <c r="MHB4" s="100"/>
      <c r="MHC4" s="102"/>
      <c r="MHE4" s="101"/>
      <c r="MHF4" s="100"/>
      <c r="MHG4" s="102"/>
      <c r="MHI4" s="101"/>
      <c r="MHJ4" s="100"/>
      <c r="MHK4" s="102"/>
      <c r="MHM4" s="101"/>
      <c r="MHN4" s="100"/>
      <c r="MHO4" s="102"/>
      <c r="MHQ4" s="101"/>
      <c r="MHR4" s="100"/>
      <c r="MHS4" s="102"/>
      <c r="MHU4" s="101"/>
      <c r="MHV4" s="100"/>
      <c r="MHW4" s="102"/>
      <c r="MHY4" s="101"/>
      <c r="MHZ4" s="100"/>
      <c r="MIA4" s="102"/>
      <c r="MIC4" s="101"/>
      <c r="MID4" s="100"/>
      <c r="MIE4" s="102"/>
      <c r="MIG4" s="101"/>
      <c r="MIH4" s="100"/>
      <c r="MII4" s="102"/>
      <c r="MIK4" s="101"/>
      <c r="MIL4" s="100"/>
      <c r="MIM4" s="102"/>
      <c r="MIO4" s="101"/>
      <c r="MIP4" s="100"/>
      <c r="MIQ4" s="102"/>
      <c r="MIS4" s="101"/>
      <c r="MIT4" s="100"/>
      <c r="MIU4" s="102"/>
      <c r="MIW4" s="101"/>
      <c r="MIX4" s="100"/>
      <c r="MIY4" s="102"/>
      <c r="MJA4" s="101"/>
      <c r="MJB4" s="100"/>
      <c r="MJC4" s="102"/>
      <c r="MJE4" s="101"/>
      <c r="MJF4" s="100"/>
      <c r="MJG4" s="102"/>
      <c r="MJI4" s="101"/>
      <c r="MJJ4" s="100"/>
      <c r="MJK4" s="102"/>
      <c r="MJM4" s="101"/>
      <c r="MJN4" s="100"/>
      <c r="MJO4" s="102"/>
      <c r="MJQ4" s="101"/>
      <c r="MJR4" s="100"/>
      <c r="MJS4" s="102"/>
      <c r="MJU4" s="101"/>
      <c r="MJV4" s="100"/>
      <c r="MJW4" s="102"/>
      <c r="MJY4" s="101"/>
      <c r="MJZ4" s="100"/>
      <c r="MKA4" s="102"/>
      <c r="MKC4" s="101"/>
      <c r="MKD4" s="100"/>
      <c r="MKE4" s="102"/>
      <c r="MKG4" s="101"/>
      <c r="MKH4" s="100"/>
      <c r="MKI4" s="102"/>
      <c r="MKK4" s="101"/>
      <c r="MKL4" s="100"/>
      <c r="MKM4" s="102"/>
      <c r="MKO4" s="101"/>
      <c r="MKP4" s="100"/>
      <c r="MKQ4" s="102"/>
      <c r="MKS4" s="101"/>
      <c r="MKT4" s="100"/>
      <c r="MKU4" s="102"/>
      <c r="MKW4" s="101"/>
      <c r="MKX4" s="100"/>
      <c r="MKY4" s="102"/>
      <c r="MLA4" s="101"/>
      <c r="MLB4" s="100"/>
      <c r="MLC4" s="102"/>
      <c r="MLE4" s="101"/>
      <c r="MLF4" s="100"/>
      <c r="MLG4" s="102"/>
      <c r="MLI4" s="101"/>
      <c r="MLJ4" s="100"/>
      <c r="MLK4" s="102"/>
      <c r="MLM4" s="101"/>
      <c r="MLN4" s="100"/>
      <c r="MLO4" s="102"/>
      <c r="MLQ4" s="101"/>
      <c r="MLR4" s="100"/>
      <c r="MLS4" s="102"/>
      <c r="MLU4" s="101"/>
      <c r="MLV4" s="100"/>
      <c r="MLW4" s="102"/>
      <c r="MLY4" s="101"/>
      <c r="MLZ4" s="100"/>
      <c r="MMA4" s="102"/>
      <c r="MMC4" s="101"/>
      <c r="MMD4" s="100"/>
      <c r="MME4" s="102"/>
      <c r="MMG4" s="101"/>
      <c r="MMH4" s="100"/>
      <c r="MMI4" s="102"/>
      <c r="MMK4" s="101"/>
      <c r="MML4" s="100"/>
      <c r="MMM4" s="102"/>
      <c r="MMO4" s="101"/>
      <c r="MMP4" s="100"/>
      <c r="MMQ4" s="102"/>
      <c r="MMS4" s="101"/>
      <c r="MMT4" s="100"/>
      <c r="MMU4" s="102"/>
      <c r="MMW4" s="101"/>
      <c r="MMX4" s="100"/>
      <c r="MMY4" s="102"/>
      <c r="MNA4" s="101"/>
      <c r="MNB4" s="100"/>
      <c r="MNC4" s="102"/>
      <c r="MNE4" s="101"/>
      <c r="MNF4" s="100"/>
      <c r="MNG4" s="102"/>
      <c r="MNI4" s="101"/>
      <c r="MNJ4" s="100"/>
      <c r="MNK4" s="102"/>
      <c r="MNM4" s="101"/>
      <c r="MNN4" s="100"/>
      <c r="MNO4" s="102"/>
      <c r="MNQ4" s="101"/>
      <c r="MNR4" s="100"/>
      <c r="MNS4" s="102"/>
      <c r="MNU4" s="101"/>
      <c r="MNV4" s="100"/>
      <c r="MNW4" s="102"/>
      <c r="MNY4" s="101"/>
      <c r="MNZ4" s="100"/>
      <c r="MOA4" s="102"/>
      <c r="MOC4" s="101"/>
      <c r="MOD4" s="100"/>
      <c r="MOE4" s="102"/>
      <c r="MOG4" s="101"/>
      <c r="MOH4" s="100"/>
      <c r="MOI4" s="102"/>
      <c r="MOK4" s="101"/>
      <c r="MOL4" s="100"/>
      <c r="MOM4" s="102"/>
      <c r="MOO4" s="101"/>
      <c r="MOP4" s="100"/>
      <c r="MOQ4" s="102"/>
      <c r="MOS4" s="101"/>
      <c r="MOT4" s="100"/>
      <c r="MOU4" s="102"/>
      <c r="MOW4" s="101"/>
      <c r="MOX4" s="100"/>
      <c r="MOY4" s="102"/>
      <c r="MPA4" s="101"/>
      <c r="MPB4" s="100"/>
      <c r="MPC4" s="102"/>
      <c r="MPE4" s="101"/>
      <c r="MPF4" s="100"/>
      <c r="MPG4" s="102"/>
      <c r="MPI4" s="101"/>
      <c r="MPJ4" s="100"/>
      <c r="MPK4" s="102"/>
      <c r="MPM4" s="101"/>
      <c r="MPN4" s="100"/>
      <c r="MPO4" s="102"/>
      <c r="MPQ4" s="101"/>
      <c r="MPR4" s="100"/>
      <c r="MPS4" s="102"/>
      <c r="MPU4" s="101"/>
      <c r="MPV4" s="100"/>
      <c r="MPW4" s="102"/>
      <c r="MPY4" s="101"/>
      <c r="MPZ4" s="100"/>
      <c r="MQA4" s="102"/>
      <c r="MQC4" s="101"/>
      <c r="MQD4" s="100"/>
      <c r="MQE4" s="102"/>
      <c r="MQG4" s="101"/>
      <c r="MQH4" s="100"/>
      <c r="MQI4" s="102"/>
      <c r="MQK4" s="101"/>
      <c r="MQL4" s="100"/>
      <c r="MQM4" s="102"/>
      <c r="MQO4" s="101"/>
      <c r="MQP4" s="100"/>
      <c r="MQQ4" s="102"/>
      <c r="MQS4" s="101"/>
      <c r="MQT4" s="100"/>
      <c r="MQU4" s="102"/>
      <c r="MQW4" s="101"/>
      <c r="MQX4" s="100"/>
      <c r="MQY4" s="102"/>
      <c r="MRA4" s="101"/>
      <c r="MRB4" s="100"/>
      <c r="MRC4" s="102"/>
      <c r="MRE4" s="101"/>
      <c r="MRF4" s="100"/>
      <c r="MRG4" s="102"/>
      <c r="MRI4" s="101"/>
      <c r="MRJ4" s="100"/>
      <c r="MRK4" s="102"/>
      <c r="MRM4" s="101"/>
      <c r="MRN4" s="100"/>
      <c r="MRO4" s="102"/>
      <c r="MRQ4" s="101"/>
      <c r="MRR4" s="100"/>
      <c r="MRS4" s="102"/>
      <c r="MRU4" s="101"/>
      <c r="MRV4" s="100"/>
      <c r="MRW4" s="102"/>
      <c r="MRY4" s="101"/>
      <c r="MRZ4" s="100"/>
      <c r="MSA4" s="102"/>
      <c r="MSC4" s="101"/>
      <c r="MSD4" s="100"/>
      <c r="MSE4" s="102"/>
      <c r="MSG4" s="101"/>
      <c r="MSH4" s="100"/>
      <c r="MSI4" s="102"/>
      <c r="MSK4" s="101"/>
      <c r="MSL4" s="100"/>
      <c r="MSM4" s="102"/>
      <c r="MSO4" s="101"/>
      <c r="MSP4" s="100"/>
      <c r="MSQ4" s="102"/>
      <c r="MSS4" s="101"/>
      <c r="MST4" s="100"/>
      <c r="MSU4" s="102"/>
      <c r="MSW4" s="101"/>
      <c r="MSX4" s="100"/>
      <c r="MSY4" s="102"/>
      <c r="MTA4" s="101"/>
      <c r="MTB4" s="100"/>
      <c r="MTC4" s="102"/>
      <c r="MTE4" s="101"/>
      <c r="MTF4" s="100"/>
      <c r="MTG4" s="102"/>
      <c r="MTI4" s="101"/>
      <c r="MTJ4" s="100"/>
      <c r="MTK4" s="102"/>
      <c r="MTM4" s="101"/>
      <c r="MTN4" s="100"/>
      <c r="MTO4" s="102"/>
      <c r="MTQ4" s="101"/>
      <c r="MTR4" s="100"/>
      <c r="MTS4" s="102"/>
      <c r="MTU4" s="101"/>
      <c r="MTV4" s="100"/>
      <c r="MTW4" s="102"/>
      <c r="MTY4" s="101"/>
      <c r="MTZ4" s="100"/>
      <c r="MUA4" s="102"/>
      <c r="MUC4" s="101"/>
      <c r="MUD4" s="100"/>
      <c r="MUE4" s="102"/>
      <c r="MUG4" s="101"/>
      <c r="MUH4" s="100"/>
      <c r="MUI4" s="102"/>
      <c r="MUK4" s="101"/>
      <c r="MUL4" s="100"/>
      <c r="MUM4" s="102"/>
      <c r="MUO4" s="101"/>
      <c r="MUP4" s="100"/>
      <c r="MUQ4" s="102"/>
      <c r="MUS4" s="101"/>
      <c r="MUT4" s="100"/>
      <c r="MUU4" s="102"/>
      <c r="MUW4" s="101"/>
      <c r="MUX4" s="100"/>
      <c r="MUY4" s="102"/>
      <c r="MVA4" s="101"/>
      <c r="MVB4" s="100"/>
      <c r="MVC4" s="102"/>
      <c r="MVE4" s="101"/>
      <c r="MVF4" s="100"/>
      <c r="MVG4" s="102"/>
      <c r="MVI4" s="101"/>
      <c r="MVJ4" s="100"/>
      <c r="MVK4" s="102"/>
      <c r="MVM4" s="101"/>
      <c r="MVN4" s="100"/>
      <c r="MVO4" s="102"/>
      <c r="MVQ4" s="101"/>
      <c r="MVR4" s="100"/>
      <c r="MVS4" s="102"/>
      <c r="MVU4" s="101"/>
      <c r="MVV4" s="100"/>
      <c r="MVW4" s="102"/>
      <c r="MVY4" s="101"/>
      <c r="MVZ4" s="100"/>
      <c r="MWA4" s="102"/>
      <c r="MWC4" s="101"/>
      <c r="MWD4" s="100"/>
      <c r="MWE4" s="102"/>
      <c r="MWG4" s="101"/>
      <c r="MWH4" s="100"/>
      <c r="MWI4" s="102"/>
      <c r="MWK4" s="101"/>
      <c r="MWL4" s="100"/>
      <c r="MWM4" s="102"/>
      <c r="MWO4" s="101"/>
      <c r="MWP4" s="100"/>
      <c r="MWQ4" s="102"/>
      <c r="MWS4" s="101"/>
      <c r="MWT4" s="100"/>
      <c r="MWU4" s="102"/>
      <c r="MWW4" s="101"/>
      <c r="MWX4" s="100"/>
      <c r="MWY4" s="102"/>
      <c r="MXA4" s="101"/>
      <c r="MXB4" s="100"/>
      <c r="MXC4" s="102"/>
      <c r="MXE4" s="101"/>
      <c r="MXF4" s="100"/>
      <c r="MXG4" s="102"/>
      <c r="MXI4" s="101"/>
      <c r="MXJ4" s="100"/>
      <c r="MXK4" s="102"/>
      <c r="MXM4" s="101"/>
      <c r="MXN4" s="100"/>
      <c r="MXO4" s="102"/>
      <c r="MXQ4" s="101"/>
      <c r="MXR4" s="100"/>
      <c r="MXS4" s="102"/>
      <c r="MXU4" s="101"/>
      <c r="MXV4" s="100"/>
      <c r="MXW4" s="102"/>
      <c r="MXY4" s="101"/>
      <c r="MXZ4" s="100"/>
      <c r="MYA4" s="102"/>
      <c r="MYC4" s="101"/>
      <c r="MYD4" s="100"/>
      <c r="MYE4" s="102"/>
      <c r="MYG4" s="101"/>
      <c r="MYH4" s="100"/>
      <c r="MYI4" s="102"/>
      <c r="MYK4" s="101"/>
      <c r="MYL4" s="100"/>
      <c r="MYM4" s="102"/>
      <c r="MYO4" s="101"/>
      <c r="MYP4" s="100"/>
      <c r="MYQ4" s="102"/>
      <c r="MYS4" s="101"/>
      <c r="MYT4" s="100"/>
      <c r="MYU4" s="102"/>
      <c r="MYW4" s="101"/>
      <c r="MYX4" s="100"/>
      <c r="MYY4" s="102"/>
      <c r="MZA4" s="101"/>
      <c r="MZB4" s="100"/>
      <c r="MZC4" s="102"/>
      <c r="MZE4" s="101"/>
      <c r="MZF4" s="100"/>
      <c r="MZG4" s="102"/>
      <c r="MZI4" s="101"/>
      <c r="MZJ4" s="100"/>
      <c r="MZK4" s="102"/>
      <c r="MZM4" s="101"/>
      <c r="MZN4" s="100"/>
      <c r="MZO4" s="102"/>
      <c r="MZQ4" s="101"/>
      <c r="MZR4" s="100"/>
      <c r="MZS4" s="102"/>
      <c r="MZU4" s="101"/>
      <c r="MZV4" s="100"/>
      <c r="MZW4" s="102"/>
      <c r="MZY4" s="101"/>
      <c r="MZZ4" s="100"/>
      <c r="NAA4" s="102"/>
      <c r="NAC4" s="101"/>
      <c r="NAD4" s="100"/>
      <c r="NAE4" s="102"/>
      <c r="NAG4" s="101"/>
      <c r="NAH4" s="100"/>
      <c r="NAI4" s="102"/>
      <c r="NAK4" s="101"/>
      <c r="NAL4" s="100"/>
      <c r="NAM4" s="102"/>
      <c r="NAO4" s="101"/>
      <c r="NAP4" s="100"/>
      <c r="NAQ4" s="102"/>
      <c r="NAS4" s="101"/>
      <c r="NAT4" s="100"/>
      <c r="NAU4" s="102"/>
      <c r="NAW4" s="101"/>
      <c r="NAX4" s="100"/>
      <c r="NAY4" s="102"/>
      <c r="NBA4" s="101"/>
      <c r="NBB4" s="100"/>
      <c r="NBC4" s="102"/>
      <c r="NBE4" s="101"/>
      <c r="NBF4" s="100"/>
      <c r="NBG4" s="102"/>
      <c r="NBI4" s="101"/>
      <c r="NBJ4" s="100"/>
      <c r="NBK4" s="102"/>
      <c r="NBM4" s="101"/>
      <c r="NBN4" s="100"/>
      <c r="NBO4" s="102"/>
      <c r="NBQ4" s="101"/>
      <c r="NBR4" s="100"/>
      <c r="NBS4" s="102"/>
      <c r="NBU4" s="101"/>
      <c r="NBV4" s="100"/>
      <c r="NBW4" s="102"/>
      <c r="NBY4" s="101"/>
      <c r="NBZ4" s="100"/>
      <c r="NCA4" s="102"/>
      <c r="NCC4" s="101"/>
      <c r="NCD4" s="100"/>
      <c r="NCE4" s="102"/>
      <c r="NCG4" s="101"/>
      <c r="NCH4" s="100"/>
      <c r="NCI4" s="102"/>
      <c r="NCK4" s="101"/>
      <c r="NCL4" s="100"/>
      <c r="NCM4" s="102"/>
      <c r="NCO4" s="101"/>
      <c r="NCP4" s="100"/>
      <c r="NCQ4" s="102"/>
      <c r="NCS4" s="101"/>
      <c r="NCT4" s="100"/>
      <c r="NCU4" s="102"/>
      <c r="NCW4" s="101"/>
      <c r="NCX4" s="100"/>
      <c r="NCY4" s="102"/>
      <c r="NDA4" s="101"/>
      <c r="NDB4" s="100"/>
      <c r="NDC4" s="102"/>
      <c r="NDE4" s="101"/>
      <c r="NDF4" s="100"/>
      <c r="NDG4" s="102"/>
      <c r="NDI4" s="101"/>
      <c r="NDJ4" s="100"/>
      <c r="NDK4" s="102"/>
      <c r="NDM4" s="101"/>
      <c r="NDN4" s="100"/>
      <c r="NDO4" s="102"/>
      <c r="NDQ4" s="101"/>
      <c r="NDR4" s="100"/>
      <c r="NDS4" s="102"/>
      <c r="NDU4" s="101"/>
      <c r="NDV4" s="100"/>
      <c r="NDW4" s="102"/>
      <c r="NDY4" s="101"/>
      <c r="NDZ4" s="100"/>
      <c r="NEA4" s="102"/>
      <c r="NEC4" s="101"/>
      <c r="NED4" s="100"/>
      <c r="NEE4" s="102"/>
      <c r="NEG4" s="101"/>
      <c r="NEH4" s="100"/>
      <c r="NEI4" s="102"/>
      <c r="NEK4" s="101"/>
      <c r="NEL4" s="100"/>
      <c r="NEM4" s="102"/>
      <c r="NEO4" s="101"/>
      <c r="NEP4" s="100"/>
      <c r="NEQ4" s="102"/>
      <c r="NES4" s="101"/>
      <c r="NET4" s="100"/>
      <c r="NEU4" s="102"/>
      <c r="NEW4" s="101"/>
      <c r="NEX4" s="100"/>
      <c r="NEY4" s="102"/>
      <c r="NFA4" s="101"/>
      <c r="NFB4" s="100"/>
      <c r="NFC4" s="102"/>
      <c r="NFE4" s="101"/>
      <c r="NFF4" s="100"/>
      <c r="NFG4" s="102"/>
      <c r="NFI4" s="101"/>
      <c r="NFJ4" s="100"/>
      <c r="NFK4" s="102"/>
      <c r="NFM4" s="101"/>
      <c r="NFN4" s="100"/>
      <c r="NFO4" s="102"/>
      <c r="NFQ4" s="101"/>
      <c r="NFR4" s="100"/>
      <c r="NFS4" s="102"/>
      <c r="NFU4" s="101"/>
      <c r="NFV4" s="100"/>
      <c r="NFW4" s="102"/>
      <c r="NFY4" s="101"/>
      <c r="NFZ4" s="100"/>
      <c r="NGA4" s="102"/>
      <c r="NGC4" s="101"/>
      <c r="NGD4" s="100"/>
      <c r="NGE4" s="102"/>
      <c r="NGG4" s="101"/>
      <c r="NGH4" s="100"/>
      <c r="NGI4" s="102"/>
      <c r="NGK4" s="101"/>
      <c r="NGL4" s="100"/>
      <c r="NGM4" s="102"/>
      <c r="NGO4" s="101"/>
      <c r="NGP4" s="100"/>
      <c r="NGQ4" s="102"/>
      <c r="NGS4" s="101"/>
      <c r="NGT4" s="100"/>
      <c r="NGU4" s="102"/>
      <c r="NGW4" s="101"/>
      <c r="NGX4" s="100"/>
      <c r="NGY4" s="102"/>
      <c r="NHA4" s="101"/>
      <c r="NHB4" s="100"/>
      <c r="NHC4" s="102"/>
      <c r="NHE4" s="101"/>
      <c r="NHF4" s="100"/>
      <c r="NHG4" s="102"/>
      <c r="NHI4" s="101"/>
      <c r="NHJ4" s="100"/>
      <c r="NHK4" s="102"/>
      <c r="NHM4" s="101"/>
      <c r="NHN4" s="100"/>
      <c r="NHO4" s="102"/>
      <c r="NHQ4" s="101"/>
      <c r="NHR4" s="100"/>
      <c r="NHS4" s="102"/>
      <c r="NHU4" s="101"/>
      <c r="NHV4" s="100"/>
      <c r="NHW4" s="102"/>
      <c r="NHY4" s="101"/>
      <c r="NHZ4" s="100"/>
      <c r="NIA4" s="102"/>
      <c r="NIC4" s="101"/>
      <c r="NID4" s="100"/>
      <c r="NIE4" s="102"/>
      <c r="NIG4" s="101"/>
      <c r="NIH4" s="100"/>
      <c r="NII4" s="102"/>
      <c r="NIK4" s="101"/>
      <c r="NIL4" s="100"/>
      <c r="NIM4" s="102"/>
      <c r="NIO4" s="101"/>
      <c r="NIP4" s="100"/>
      <c r="NIQ4" s="102"/>
      <c r="NIS4" s="101"/>
      <c r="NIT4" s="100"/>
      <c r="NIU4" s="102"/>
      <c r="NIW4" s="101"/>
      <c r="NIX4" s="100"/>
      <c r="NIY4" s="102"/>
      <c r="NJA4" s="101"/>
      <c r="NJB4" s="100"/>
      <c r="NJC4" s="102"/>
      <c r="NJE4" s="101"/>
      <c r="NJF4" s="100"/>
      <c r="NJG4" s="102"/>
      <c r="NJI4" s="101"/>
      <c r="NJJ4" s="100"/>
      <c r="NJK4" s="102"/>
      <c r="NJM4" s="101"/>
      <c r="NJN4" s="100"/>
      <c r="NJO4" s="102"/>
      <c r="NJQ4" s="101"/>
      <c r="NJR4" s="100"/>
      <c r="NJS4" s="102"/>
      <c r="NJU4" s="101"/>
      <c r="NJV4" s="100"/>
      <c r="NJW4" s="102"/>
      <c r="NJY4" s="101"/>
      <c r="NJZ4" s="100"/>
      <c r="NKA4" s="102"/>
      <c r="NKC4" s="101"/>
      <c r="NKD4" s="100"/>
      <c r="NKE4" s="102"/>
      <c r="NKG4" s="101"/>
      <c r="NKH4" s="100"/>
      <c r="NKI4" s="102"/>
      <c r="NKK4" s="101"/>
      <c r="NKL4" s="100"/>
      <c r="NKM4" s="102"/>
      <c r="NKO4" s="101"/>
      <c r="NKP4" s="100"/>
      <c r="NKQ4" s="102"/>
      <c r="NKS4" s="101"/>
      <c r="NKT4" s="100"/>
      <c r="NKU4" s="102"/>
      <c r="NKW4" s="101"/>
      <c r="NKX4" s="100"/>
      <c r="NKY4" s="102"/>
      <c r="NLA4" s="101"/>
      <c r="NLB4" s="100"/>
      <c r="NLC4" s="102"/>
      <c r="NLE4" s="101"/>
      <c r="NLF4" s="100"/>
      <c r="NLG4" s="102"/>
      <c r="NLI4" s="101"/>
      <c r="NLJ4" s="100"/>
      <c r="NLK4" s="102"/>
      <c r="NLM4" s="101"/>
      <c r="NLN4" s="100"/>
      <c r="NLO4" s="102"/>
      <c r="NLQ4" s="101"/>
      <c r="NLR4" s="100"/>
      <c r="NLS4" s="102"/>
      <c r="NLU4" s="101"/>
      <c r="NLV4" s="100"/>
      <c r="NLW4" s="102"/>
      <c r="NLY4" s="101"/>
      <c r="NLZ4" s="100"/>
      <c r="NMA4" s="102"/>
      <c r="NMC4" s="101"/>
      <c r="NMD4" s="100"/>
      <c r="NME4" s="102"/>
      <c r="NMG4" s="101"/>
      <c r="NMH4" s="100"/>
      <c r="NMI4" s="102"/>
      <c r="NMK4" s="101"/>
      <c r="NML4" s="100"/>
      <c r="NMM4" s="102"/>
      <c r="NMO4" s="101"/>
      <c r="NMP4" s="100"/>
      <c r="NMQ4" s="102"/>
      <c r="NMS4" s="101"/>
      <c r="NMT4" s="100"/>
      <c r="NMU4" s="102"/>
      <c r="NMW4" s="101"/>
      <c r="NMX4" s="100"/>
      <c r="NMY4" s="102"/>
      <c r="NNA4" s="101"/>
      <c r="NNB4" s="100"/>
      <c r="NNC4" s="102"/>
      <c r="NNE4" s="101"/>
      <c r="NNF4" s="100"/>
      <c r="NNG4" s="102"/>
      <c r="NNI4" s="101"/>
      <c r="NNJ4" s="100"/>
      <c r="NNK4" s="102"/>
      <c r="NNM4" s="101"/>
      <c r="NNN4" s="100"/>
      <c r="NNO4" s="102"/>
      <c r="NNQ4" s="101"/>
      <c r="NNR4" s="100"/>
      <c r="NNS4" s="102"/>
      <c r="NNU4" s="101"/>
      <c r="NNV4" s="100"/>
      <c r="NNW4" s="102"/>
      <c r="NNY4" s="101"/>
      <c r="NNZ4" s="100"/>
      <c r="NOA4" s="102"/>
      <c r="NOC4" s="101"/>
      <c r="NOD4" s="100"/>
      <c r="NOE4" s="102"/>
      <c r="NOG4" s="101"/>
      <c r="NOH4" s="100"/>
      <c r="NOI4" s="102"/>
      <c r="NOK4" s="101"/>
      <c r="NOL4" s="100"/>
      <c r="NOM4" s="102"/>
      <c r="NOO4" s="101"/>
      <c r="NOP4" s="100"/>
      <c r="NOQ4" s="102"/>
      <c r="NOS4" s="101"/>
      <c r="NOT4" s="100"/>
      <c r="NOU4" s="102"/>
      <c r="NOW4" s="101"/>
      <c r="NOX4" s="100"/>
      <c r="NOY4" s="102"/>
      <c r="NPA4" s="101"/>
      <c r="NPB4" s="100"/>
      <c r="NPC4" s="102"/>
      <c r="NPE4" s="101"/>
      <c r="NPF4" s="100"/>
      <c r="NPG4" s="102"/>
      <c r="NPI4" s="101"/>
      <c r="NPJ4" s="100"/>
      <c r="NPK4" s="102"/>
      <c r="NPM4" s="101"/>
      <c r="NPN4" s="100"/>
      <c r="NPO4" s="102"/>
      <c r="NPQ4" s="101"/>
      <c r="NPR4" s="100"/>
      <c r="NPS4" s="102"/>
      <c r="NPU4" s="101"/>
      <c r="NPV4" s="100"/>
      <c r="NPW4" s="102"/>
      <c r="NPY4" s="101"/>
      <c r="NPZ4" s="100"/>
      <c r="NQA4" s="102"/>
      <c r="NQC4" s="101"/>
      <c r="NQD4" s="100"/>
      <c r="NQE4" s="102"/>
      <c r="NQG4" s="101"/>
      <c r="NQH4" s="100"/>
      <c r="NQI4" s="102"/>
      <c r="NQK4" s="101"/>
      <c r="NQL4" s="100"/>
      <c r="NQM4" s="102"/>
      <c r="NQO4" s="101"/>
      <c r="NQP4" s="100"/>
      <c r="NQQ4" s="102"/>
      <c r="NQS4" s="101"/>
      <c r="NQT4" s="100"/>
      <c r="NQU4" s="102"/>
      <c r="NQW4" s="101"/>
      <c r="NQX4" s="100"/>
      <c r="NQY4" s="102"/>
      <c r="NRA4" s="101"/>
      <c r="NRB4" s="100"/>
      <c r="NRC4" s="102"/>
      <c r="NRE4" s="101"/>
      <c r="NRF4" s="100"/>
      <c r="NRG4" s="102"/>
      <c r="NRI4" s="101"/>
      <c r="NRJ4" s="100"/>
      <c r="NRK4" s="102"/>
      <c r="NRM4" s="101"/>
      <c r="NRN4" s="100"/>
      <c r="NRO4" s="102"/>
      <c r="NRQ4" s="101"/>
      <c r="NRR4" s="100"/>
      <c r="NRS4" s="102"/>
      <c r="NRU4" s="101"/>
      <c r="NRV4" s="100"/>
      <c r="NRW4" s="102"/>
      <c r="NRY4" s="101"/>
      <c r="NRZ4" s="100"/>
      <c r="NSA4" s="102"/>
      <c r="NSC4" s="101"/>
      <c r="NSD4" s="100"/>
      <c r="NSE4" s="102"/>
      <c r="NSG4" s="101"/>
      <c r="NSH4" s="100"/>
      <c r="NSI4" s="102"/>
      <c r="NSK4" s="101"/>
      <c r="NSL4" s="100"/>
      <c r="NSM4" s="102"/>
      <c r="NSO4" s="101"/>
      <c r="NSP4" s="100"/>
      <c r="NSQ4" s="102"/>
      <c r="NSS4" s="101"/>
      <c r="NST4" s="100"/>
      <c r="NSU4" s="102"/>
      <c r="NSW4" s="101"/>
      <c r="NSX4" s="100"/>
      <c r="NSY4" s="102"/>
      <c r="NTA4" s="101"/>
      <c r="NTB4" s="100"/>
      <c r="NTC4" s="102"/>
      <c r="NTE4" s="101"/>
      <c r="NTF4" s="100"/>
      <c r="NTG4" s="102"/>
      <c r="NTI4" s="101"/>
      <c r="NTJ4" s="100"/>
      <c r="NTK4" s="102"/>
      <c r="NTM4" s="101"/>
      <c r="NTN4" s="100"/>
      <c r="NTO4" s="102"/>
      <c r="NTQ4" s="101"/>
      <c r="NTR4" s="100"/>
      <c r="NTS4" s="102"/>
      <c r="NTU4" s="101"/>
      <c r="NTV4" s="100"/>
      <c r="NTW4" s="102"/>
      <c r="NTY4" s="101"/>
      <c r="NTZ4" s="100"/>
      <c r="NUA4" s="102"/>
      <c r="NUC4" s="101"/>
      <c r="NUD4" s="100"/>
      <c r="NUE4" s="102"/>
      <c r="NUG4" s="101"/>
      <c r="NUH4" s="100"/>
      <c r="NUI4" s="102"/>
      <c r="NUK4" s="101"/>
      <c r="NUL4" s="100"/>
      <c r="NUM4" s="102"/>
      <c r="NUO4" s="101"/>
      <c r="NUP4" s="100"/>
      <c r="NUQ4" s="102"/>
      <c r="NUS4" s="101"/>
      <c r="NUT4" s="100"/>
      <c r="NUU4" s="102"/>
      <c r="NUW4" s="101"/>
      <c r="NUX4" s="100"/>
      <c r="NUY4" s="102"/>
      <c r="NVA4" s="101"/>
      <c r="NVB4" s="100"/>
      <c r="NVC4" s="102"/>
      <c r="NVE4" s="101"/>
      <c r="NVF4" s="100"/>
      <c r="NVG4" s="102"/>
      <c r="NVI4" s="101"/>
      <c r="NVJ4" s="100"/>
      <c r="NVK4" s="102"/>
      <c r="NVM4" s="101"/>
      <c r="NVN4" s="100"/>
      <c r="NVO4" s="102"/>
      <c r="NVQ4" s="101"/>
      <c r="NVR4" s="100"/>
      <c r="NVS4" s="102"/>
      <c r="NVU4" s="101"/>
      <c r="NVV4" s="100"/>
      <c r="NVW4" s="102"/>
      <c r="NVY4" s="101"/>
      <c r="NVZ4" s="100"/>
      <c r="NWA4" s="102"/>
      <c r="NWC4" s="101"/>
      <c r="NWD4" s="100"/>
      <c r="NWE4" s="102"/>
      <c r="NWG4" s="101"/>
      <c r="NWH4" s="100"/>
      <c r="NWI4" s="102"/>
      <c r="NWK4" s="101"/>
      <c r="NWL4" s="100"/>
      <c r="NWM4" s="102"/>
      <c r="NWO4" s="101"/>
      <c r="NWP4" s="100"/>
      <c r="NWQ4" s="102"/>
      <c r="NWS4" s="101"/>
      <c r="NWT4" s="100"/>
      <c r="NWU4" s="102"/>
      <c r="NWW4" s="101"/>
      <c r="NWX4" s="100"/>
      <c r="NWY4" s="102"/>
      <c r="NXA4" s="101"/>
      <c r="NXB4" s="100"/>
      <c r="NXC4" s="102"/>
      <c r="NXE4" s="101"/>
      <c r="NXF4" s="100"/>
      <c r="NXG4" s="102"/>
      <c r="NXI4" s="101"/>
      <c r="NXJ4" s="100"/>
      <c r="NXK4" s="102"/>
      <c r="NXM4" s="101"/>
      <c r="NXN4" s="100"/>
      <c r="NXO4" s="102"/>
      <c r="NXQ4" s="101"/>
      <c r="NXR4" s="100"/>
      <c r="NXS4" s="102"/>
      <c r="NXU4" s="101"/>
      <c r="NXV4" s="100"/>
      <c r="NXW4" s="102"/>
      <c r="NXY4" s="101"/>
      <c r="NXZ4" s="100"/>
      <c r="NYA4" s="102"/>
      <c r="NYC4" s="101"/>
      <c r="NYD4" s="100"/>
      <c r="NYE4" s="102"/>
      <c r="NYG4" s="101"/>
      <c r="NYH4" s="100"/>
      <c r="NYI4" s="102"/>
      <c r="NYK4" s="101"/>
      <c r="NYL4" s="100"/>
      <c r="NYM4" s="102"/>
      <c r="NYO4" s="101"/>
      <c r="NYP4" s="100"/>
      <c r="NYQ4" s="102"/>
      <c r="NYS4" s="101"/>
      <c r="NYT4" s="100"/>
      <c r="NYU4" s="102"/>
      <c r="NYW4" s="101"/>
      <c r="NYX4" s="100"/>
      <c r="NYY4" s="102"/>
      <c r="NZA4" s="101"/>
      <c r="NZB4" s="100"/>
      <c r="NZC4" s="102"/>
      <c r="NZE4" s="101"/>
      <c r="NZF4" s="100"/>
      <c r="NZG4" s="102"/>
      <c r="NZI4" s="101"/>
      <c r="NZJ4" s="100"/>
      <c r="NZK4" s="102"/>
      <c r="NZM4" s="101"/>
      <c r="NZN4" s="100"/>
      <c r="NZO4" s="102"/>
      <c r="NZQ4" s="101"/>
      <c r="NZR4" s="100"/>
      <c r="NZS4" s="102"/>
      <c r="NZU4" s="101"/>
      <c r="NZV4" s="100"/>
      <c r="NZW4" s="102"/>
      <c r="NZY4" s="101"/>
      <c r="NZZ4" s="100"/>
      <c r="OAA4" s="102"/>
      <c r="OAC4" s="101"/>
      <c r="OAD4" s="100"/>
      <c r="OAE4" s="102"/>
      <c r="OAG4" s="101"/>
      <c r="OAH4" s="100"/>
      <c r="OAI4" s="102"/>
      <c r="OAK4" s="101"/>
      <c r="OAL4" s="100"/>
      <c r="OAM4" s="102"/>
      <c r="OAO4" s="101"/>
      <c r="OAP4" s="100"/>
      <c r="OAQ4" s="102"/>
      <c r="OAS4" s="101"/>
      <c r="OAT4" s="100"/>
      <c r="OAU4" s="102"/>
      <c r="OAW4" s="101"/>
      <c r="OAX4" s="100"/>
      <c r="OAY4" s="102"/>
      <c r="OBA4" s="101"/>
      <c r="OBB4" s="100"/>
      <c r="OBC4" s="102"/>
      <c r="OBE4" s="101"/>
      <c r="OBF4" s="100"/>
      <c r="OBG4" s="102"/>
      <c r="OBI4" s="101"/>
      <c r="OBJ4" s="100"/>
      <c r="OBK4" s="102"/>
      <c r="OBM4" s="101"/>
      <c r="OBN4" s="100"/>
      <c r="OBO4" s="102"/>
      <c r="OBQ4" s="101"/>
      <c r="OBR4" s="100"/>
      <c r="OBS4" s="102"/>
      <c r="OBU4" s="101"/>
      <c r="OBV4" s="100"/>
      <c r="OBW4" s="102"/>
      <c r="OBY4" s="101"/>
      <c r="OBZ4" s="100"/>
      <c r="OCA4" s="102"/>
      <c r="OCC4" s="101"/>
      <c r="OCD4" s="100"/>
      <c r="OCE4" s="102"/>
      <c r="OCG4" s="101"/>
      <c r="OCH4" s="100"/>
      <c r="OCI4" s="102"/>
      <c r="OCK4" s="101"/>
      <c r="OCL4" s="100"/>
      <c r="OCM4" s="102"/>
      <c r="OCO4" s="101"/>
      <c r="OCP4" s="100"/>
      <c r="OCQ4" s="102"/>
      <c r="OCS4" s="101"/>
      <c r="OCT4" s="100"/>
      <c r="OCU4" s="102"/>
      <c r="OCW4" s="101"/>
      <c r="OCX4" s="100"/>
      <c r="OCY4" s="102"/>
      <c r="ODA4" s="101"/>
      <c r="ODB4" s="100"/>
      <c r="ODC4" s="102"/>
      <c r="ODE4" s="101"/>
      <c r="ODF4" s="100"/>
      <c r="ODG4" s="102"/>
      <c r="ODI4" s="101"/>
      <c r="ODJ4" s="100"/>
      <c r="ODK4" s="102"/>
      <c r="ODM4" s="101"/>
      <c r="ODN4" s="100"/>
      <c r="ODO4" s="102"/>
      <c r="ODQ4" s="101"/>
      <c r="ODR4" s="100"/>
      <c r="ODS4" s="102"/>
      <c r="ODU4" s="101"/>
      <c r="ODV4" s="100"/>
      <c r="ODW4" s="102"/>
      <c r="ODY4" s="101"/>
      <c r="ODZ4" s="100"/>
      <c r="OEA4" s="102"/>
      <c r="OEC4" s="101"/>
      <c r="OED4" s="100"/>
      <c r="OEE4" s="102"/>
      <c r="OEG4" s="101"/>
      <c r="OEH4" s="100"/>
      <c r="OEI4" s="102"/>
      <c r="OEK4" s="101"/>
      <c r="OEL4" s="100"/>
      <c r="OEM4" s="102"/>
      <c r="OEO4" s="101"/>
      <c r="OEP4" s="100"/>
      <c r="OEQ4" s="102"/>
      <c r="OES4" s="101"/>
      <c r="OET4" s="100"/>
      <c r="OEU4" s="102"/>
      <c r="OEW4" s="101"/>
      <c r="OEX4" s="100"/>
      <c r="OEY4" s="102"/>
      <c r="OFA4" s="101"/>
      <c r="OFB4" s="100"/>
      <c r="OFC4" s="102"/>
      <c r="OFE4" s="101"/>
      <c r="OFF4" s="100"/>
      <c r="OFG4" s="102"/>
      <c r="OFI4" s="101"/>
      <c r="OFJ4" s="100"/>
      <c r="OFK4" s="102"/>
      <c r="OFM4" s="101"/>
      <c r="OFN4" s="100"/>
      <c r="OFO4" s="102"/>
      <c r="OFQ4" s="101"/>
      <c r="OFR4" s="100"/>
      <c r="OFS4" s="102"/>
      <c r="OFU4" s="101"/>
      <c r="OFV4" s="100"/>
      <c r="OFW4" s="102"/>
      <c r="OFY4" s="101"/>
      <c r="OFZ4" s="100"/>
      <c r="OGA4" s="102"/>
      <c r="OGC4" s="101"/>
      <c r="OGD4" s="100"/>
      <c r="OGE4" s="102"/>
      <c r="OGG4" s="101"/>
      <c r="OGH4" s="100"/>
      <c r="OGI4" s="102"/>
      <c r="OGK4" s="101"/>
      <c r="OGL4" s="100"/>
      <c r="OGM4" s="102"/>
      <c r="OGO4" s="101"/>
      <c r="OGP4" s="100"/>
      <c r="OGQ4" s="102"/>
      <c r="OGS4" s="101"/>
      <c r="OGT4" s="100"/>
      <c r="OGU4" s="102"/>
      <c r="OGW4" s="101"/>
      <c r="OGX4" s="100"/>
      <c r="OGY4" s="102"/>
      <c r="OHA4" s="101"/>
      <c r="OHB4" s="100"/>
      <c r="OHC4" s="102"/>
      <c r="OHE4" s="101"/>
      <c r="OHF4" s="100"/>
      <c r="OHG4" s="102"/>
      <c r="OHI4" s="101"/>
      <c r="OHJ4" s="100"/>
      <c r="OHK4" s="102"/>
      <c r="OHM4" s="101"/>
      <c r="OHN4" s="100"/>
      <c r="OHO4" s="102"/>
      <c r="OHQ4" s="101"/>
      <c r="OHR4" s="100"/>
      <c r="OHS4" s="102"/>
      <c r="OHU4" s="101"/>
      <c r="OHV4" s="100"/>
      <c r="OHW4" s="102"/>
      <c r="OHY4" s="101"/>
      <c r="OHZ4" s="100"/>
      <c r="OIA4" s="102"/>
      <c r="OIC4" s="101"/>
      <c r="OID4" s="100"/>
      <c r="OIE4" s="102"/>
      <c r="OIG4" s="101"/>
      <c r="OIH4" s="100"/>
      <c r="OII4" s="102"/>
      <c r="OIK4" s="101"/>
      <c r="OIL4" s="100"/>
      <c r="OIM4" s="102"/>
      <c r="OIO4" s="101"/>
      <c r="OIP4" s="100"/>
      <c r="OIQ4" s="102"/>
      <c r="OIS4" s="101"/>
      <c r="OIT4" s="100"/>
      <c r="OIU4" s="102"/>
      <c r="OIW4" s="101"/>
      <c r="OIX4" s="100"/>
      <c r="OIY4" s="102"/>
      <c r="OJA4" s="101"/>
      <c r="OJB4" s="100"/>
      <c r="OJC4" s="102"/>
      <c r="OJE4" s="101"/>
      <c r="OJF4" s="100"/>
      <c r="OJG4" s="102"/>
      <c r="OJI4" s="101"/>
      <c r="OJJ4" s="100"/>
      <c r="OJK4" s="102"/>
      <c r="OJM4" s="101"/>
      <c r="OJN4" s="100"/>
      <c r="OJO4" s="102"/>
      <c r="OJQ4" s="101"/>
      <c r="OJR4" s="100"/>
      <c r="OJS4" s="102"/>
      <c r="OJU4" s="101"/>
      <c r="OJV4" s="100"/>
      <c r="OJW4" s="102"/>
      <c r="OJY4" s="101"/>
      <c r="OJZ4" s="100"/>
      <c r="OKA4" s="102"/>
      <c r="OKC4" s="101"/>
      <c r="OKD4" s="100"/>
      <c r="OKE4" s="102"/>
      <c r="OKG4" s="101"/>
      <c r="OKH4" s="100"/>
      <c r="OKI4" s="102"/>
      <c r="OKK4" s="101"/>
      <c r="OKL4" s="100"/>
      <c r="OKM4" s="102"/>
      <c r="OKO4" s="101"/>
      <c r="OKP4" s="100"/>
      <c r="OKQ4" s="102"/>
      <c r="OKS4" s="101"/>
      <c r="OKT4" s="100"/>
      <c r="OKU4" s="102"/>
      <c r="OKW4" s="101"/>
      <c r="OKX4" s="100"/>
      <c r="OKY4" s="102"/>
      <c r="OLA4" s="101"/>
      <c r="OLB4" s="100"/>
      <c r="OLC4" s="102"/>
      <c r="OLE4" s="101"/>
      <c r="OLF4" s="100"/>
      <c r="OLG4" s="102"/>
      <c r="OLI4" s="101"/>
      <c r="OLJ4" s="100"/>
      <c r="OLK4" s="102"/>
      <c r="OLM4" s="101"/>
      <c r="OLN4" s="100"/>
      <c r="OLO4" s="102"/>
      <c r="OLQ4" s="101"/>
      <c r="OLR4" s="100"/>
      <c r="OLS4" s="102"/>
      <c r="OLU4" s="101"/>
      <c r="OLV4" s="100"/>
      <c r="OLW4" s="102"/>
      <c r="OLY4" s="101"/>
      <c r="OLZ4" s="100"/>
      <c r="OMA4" s="102"/>
      <c r="OMC4" s="101"/>
      <c r="OMD4" s="100"/>
      <c r="OME4" s="102"/>
      <c r="OMG4" s="101"/>
      <c r="OMH4" s="100"/>
      <c r="OMI4" s="102"/>
      <c r="OMK4" s="101"/>
      <c r="OML4" s="100"/>
      <c r="OMM4" s="102"/>
      <c r="OMO4" s="101"/>
      <c r="OMP4" s="100"/>
      <c r="OMQ4" s="102"/>
      <c r="OMS4" s="101"/>
      <c r="OMT4" s="100"/>
      <c r="OMU4" s="102"/>
      <c r="OMW4" s="101"/>
      <c r="OMX4" s="100"/>
      <c r="OMY4" s="102"/>
      <c r="ONA4" s="101"/>
      <c r="ONB4" s="100"/>
      <c r="ONC4" s="102"/>
      <c r="ONE4" s="101"/>
      <c r="ONF4" s="100"/>
      <c r="ONG4" s="102"/>
      <c r="ONI4" s="101"/>
      <c r="ONJ4" s="100"/>
      <c r="ONK4" s="102"/>
      <c r="ONM4" s="101"/>
      <c r="ONN4" s="100"/>
      <c r="ONO4" s="102"/>
      <c r="ONQ4" s="101"/>
      <c r="ONR4" s="100"/>
      <c r="ONS4" s="102"/>
      <c r="ONU4" s="101"/>
      <c r="ONV4" s="100"/>
      <c r="ONW4" s="102"/>
      <c r="ONY4" s="101"/>
      <c r="ONZ4" s="100"/>
      <c r="OOA4" s="102"/>
      <c r="OOC4" s="101"/>
      <c r="OOD4" s="100"/>
      <c r="OOE4" s="102"/>
      <c r="OOG4" s="101"/>
      <c r="OOH4" s="100"/>
      <c r="OOI4" s="102"/>
      <c r="OOK4" s="101"/>
      <c r="OOL4" s="100"/>
      <c r="OOM4" s="102"/>
      <c r="OOO4" s="101"/>
      <c r="OOP4" s="100"/>
      <c r="OOQ4" s="102"/>
      <c r="OOS4" s="101"/>
      <c r="OOT4" s="100"/>
      <c r="OOU4" s="102"/>
      <c r="OOW4" s="101"/>
      <c r="OOX4" s="100"/>
      <c r="OOY4" s="102"/>
      <c r="OPA4" s="101"/>
      <c r="OPB4" s="100"/>
      <c r="OPC4" s="102"/>
      <c r="OPE4" s="101"/>
      <c r="OPF4" s="100"/>
      <c r="OPG4" s="102"/>
      <c r="OPI4" s="101"/>
      <c r="OPJ4" s="100"/>
      <c r="OPK4" s="102"/>
      <c r="OPM4" s="101"/>
      <c r="OPN4" s="100"/>
      <c r="OPO4" s="102"/>
      <c r="OPQ4" s="101"/>
      <c r="OPR4" s="100"/>
      <c r="OPS4" s="102"/>
      <c r="OPU4" s="101"/>
      <c r="OPV4" s="100"/>
      <c r="OPW4" s="102"/>
      <c r="OPY4" s="101"/>
      <c r="OPZ4" s="100"/>
      <c r="OQA4" s="102"/>
      <c r="OQC4" s="101"/>
      <c r="OQD4" s="100"/>
      <c r="OQE4" s="102"/>
      <c r="OQG4" s="101"/>
      <c r="OQH4" s="100"/>
      <c r="OQI4" s="102"/>
      <c r="OQK4" s="101"/>
      <c r="OQL4" s="100"/>
      <c r="OQM4" s="102"/>
      <c r="OQO4" s="101"/>
      <c r="OQP4" s="100"/>
      <c r="OQQ4" s="102"/>
      <c r="OQS4" s="101"/>
      <c r="OQT4" s="100"/>
      <c r="OQU4" s="102"/>
      <c r="OQW4" s="101"/>
      <c r="OQX4" s="100"/>
      <c r="OQY4" s="102"/>
      <c r="ORA4" s="101"/>
      <c r="ORB4" s="100"/>
      <c r="ORC4" s="102"/>
      <c r="ORE4" s="101"/>
      <c r="ORF4" s="100"/>
      <c r="ORG4" s="102"/>
      <c r="ORI4" s="101"/>
      <c r="ORJ4" s="100"/>
      <c r="ORK4" s="102"/>
      <c r="ORM4" s="101"/>
      <c r="ORN4" s="100"/>
      <c r="ORO4" s="102"/>
      <c r="ORQ4" s="101"/>
      <c r="ORR4" s="100"/>
      <c r="ORS4" s="102"/>
      <c r="ORU4" s="101"/>
      <c r="ORV4" s="100"/>
      <c r="ORW4" s="102"/>
      <c r="ORY4" s="101"/>
      <c r="ORZ4" s="100"/>
      <c r="OSA4" s="102"/>
      <c r="OSC4" s="101"/>
      <c r="OSD4" s="100"/>
      <c r="OSE4" s="102"/>
      <c r="OSG4" s="101"/>
      <c r="OSH4" s="100"/>
      <c r="OSI4" s="102"/>
      <c r="OSK4" s="101"/>
      <c r="OSL4" s="100"/>
      <c r="OSM4" s="102"/>
      <c r="OSO4" s="101"/>
      <c r="OSP4" s="100"/>
      <c r="OSQ4" s="102"/>
      <c r="OSS4" s="101"/>
      <c r="OST4" s="100"/>
      <c r="OSU4" s="102"/>
      <c r="OSW4" s="101"/>
      <c r="OSX4" s="100"/>
      <c r="OSY4" s="102"/>
      <c r="OTA4" s="101"/>
      <c r="OTB4" s="100"/>
      <c r="OTC4" s="102"/>
      <c r="OTE4" s="101"/>
      <c r="OTF4" s="100"/>
      <c r="OTG4" s="102"/>
      <c r="OTI4" s="101"/>
      <c r="OTJ4" s="100"/>
      <c r="OTK4" s="102"/>
      <c r="OTM4" s="101"/>
      <c r="OTN4" s="100"/>
      <c r="OTO4" s="102"/>
      <c r="OTQ4" s="101"/>
      <c r="OTR4" s="100"/>
      <c r="OTS4" s="102"/>
      <c r="OTU4" s="101"/>
      <c r="OTV4" s="100"/>
      <c r="OTW4" s="102"/>
      <c r="OTY4" s="101"/>
      <c r="OTZ4" s="100"/>
      <c r="OUA4" s="102"/>
      <c r="OUC4" s="101"/>
      <c r="OUD4" s="100"/>
      <c r="OUE4" s="102"/>
      <c r="OUG4" s="101"/>
      <c r="OUH4" s="100"/>
      <c r="OUI4" s="102"/>
      <c r="OUK4" s="101"/>
      <c r="OUL4" s="100"/>
      <c r="OUM4" s="102"/>
      <c r="OUO4" s="101"/>
      <c r="OUP4" s="100"/>
      <c r="OUQ4" s="102"/>
      <c r="OUS4" s="101"/>
      <c r="OUT4" s="100"/>
      <c r="OUU4" s="102"/>
      <c r="OUW4" s="101"/>
      <c r="OUX4" s="100"/>
      <c r="OUY4" s="102"/>
      <c r="OVA4" s="101"/>
      <c r="OVB4" s="100"/>
      <c r="OVC4" s="102"/>
      <c r="OVE4" s="101"/>
      <c r="OVF4" s="100"/>
      <c r="OVG4" s="102"/>
      <c r="OVI4" s="101"/>
      <c r="OVJ4" s="100"/>
      <c r="OVK4" s="102"/>
      <c r="OVM4" s="101"/>
      <c r="OVN4" s="100"/>
      <c r="OVO4" s="102"/>
      <c r="OVQ4" s="101"/>
      <c r="OVR4" s="100"/>
      <c r="OVS4" s="102"/>
      <c r="OVU4" s="101"/>
      <c r="OVV4" s="100"/>
      <c r="OVW4" s="102"/>
      <c r="OVY4" s="101"/>
      <c r="OVZ4" s="100"/>
      <c r="OWA4" s="102"/>
      <c r="OWC4" s="101"/>
      <c r="OWD4" s="100"/>
      <c r="OWE4" s="102"/>
      <c r="OWG4" s="101"/>
      <c r="OWH4" s="100"/>
      <c r="OWI4" s="102"/>
      <c r="OWK4" s="101"/>
      <c r="OWL4" s="100"/>
      <c r="OWM4" s="102"/>
      <c r="OWO4" s="101"/>
      <c r="OWP4" s="100"/>
      <c r="OWQ4" s="102"/>
      <c r="OWS4" s="101"/>
      <c r="OWT4" s="100"/>
      <c r="OWU4" s="102"/>
      <c r="OWW4" s="101"/>
      <c r="OWX4" s="100"/>
      <c r="OWY4" s="102"/>
      <c r="OXA4" s="101"/>
      <c r="OXB4" s="100"/>
      <c r="OXC4" s="102"/>
      <c r="OXE4" s="101"/>
      <c r="OXF4" s="100"/>
      <c r="OXG4" s="102"/>
      <c r="OXI4" s="101"/>
      <c r="OXJ4" s="100"/>
      <c r="OXK4" s="102"/>
      <c r="OXM4" s="101"/>
      <c r="OXN4" s="100"/>
      <c r="OXO4" s="102"/>
      <c r="OXQ4" s="101"/>
      <c r="OXR4" s="100"/>
      <c r="OXS4" s="102"/>
      <c r="OXU4" s="101"/>
      <c r="OXV4" s="100"/>
      <c r="OXW4" s="102"/>
      <c r="OXY4" s="101"/>
      <c r="OXZ4" s="100"/>
      <c r="OYA4" s="102"/>
      <c r="OYC4" s="101"/>
      <c r="OYD4" s="100"/>
      <c r="OYE4" s="102"/>
      <c r="OYG4" s="101"/>
      <c r="OYH4" s="100"/>
      <c r="OYI4" s="102"/>
      <c r="OYK4" s="101"/>
      <c r="OYL4" s="100"/>
      <c r="OYM4" s="102"/>
      <c r="OYO4" s="101"/>
      <c r="OYP4" s="100"/>
      <c r="OYQ4" s="102"/>
      <c r="OYS4" s="101"/>
      <c r="OYT4" s="100"/>
      <c r="OYU4" s="102"/>
      <c r="OYW4" s="101"/>
      <c r="OYX4" s="100"/>
      <c r="OYY4" s="102"/>
      <c r="OZA4" s="101"/>
      <c r="OZB4" s="100"/>
      <c r="OZC4" s="102"/>
      <c r="OZE4" s="101"/>
      <c r="OZF4" s="100"/>
      <c r="OZG4" s="102"/>
      <c r="OZI4" s="101"/>
      <c r="OZJ4" s="100"/>
      <c r="OZK4" s="102"/>
      <c r="OZM4" s="101"/>
      <c r="OZN4" s="100"/>
      <c r="OZO4" s="102"/>
      <c r="OZQ4" s="101"/>
      <c r="OZR4" s="100"/>
      <c r="OZS4" s="102"/>
      <c r="OZU4" s="101"/>
      <c r="OZV4" s="100"/>
      <c r="OZW4" s="102"/>
      <c r="OZY4" s="101"/>
      <c r="OZZ4" s="100"/>
      <c r="PAA4" s="102"/>
      <c r="PAC4" s="101"/>
      <c r="PAD4" s="100"/>
      <c r="PAE4" s="102"/>
      <c r="PAG4" s="101"/>
      <c r="PAH4" s="100"/>
      <c r="PAI4" s="102"/>
      <c r="PAK4" s="101"/>
      <c r="PAL4" s="100"/>
      <c r="PAM4" s="102"/>
      <c r="PAO4" s="101"/>
      <c r="PAP4" s="100"/>
      <c r="PAQ4" s="102"/>
      <c r="PAS4" s="101"/>
      <c r="PAT4" s="100"/>
      <c r="PAU4" s="102"/>
      <c r="PAW4" s="101"/>
      <c r="PAX4" s="100"/>
      <c r="PAY4" s="102"/>
      <c r="PBA4" s="101"/>
      <c r="PBB4" s="100"/>
      <c r="PBC4" s="102"/>
      <c r="PBE4" s="101"/>
      <c r="PBF4" s="100"/>
      <c r="PBG4" s="102"/>
      <c r="PBI4" s="101"/>
      <c r="PBJ4" s="100"/>
      <c r="PBK4" s="102"/>
      <c r="PBM4" s="101"/>
      <c r="PBN4" s="100"/>
      <c r="PBO4" s="102"/>
      <c r="PBQ4" s="101"/>
      <c r="PBR4" s="100"/>
      <c r="PBS4" s="102"/>
      <c r="PBU4" s="101"/>
      <c r="PBV4" s="100"/>
      <c r="PBW4" s="102"/>
      <c r="PBY4" s="101"/>
      <c r="PBZ4" s="100"/>
      <c r="PCA4" s="102"/>
      <c r="PCC4" s="101"/>
      <c r="PCD4" s="100"/>
      <c r="PCE4" s="102"/>
      <c r="PCG4" s="101"/>
      <c r="PCH4" s="100"/>
      <c r="PCI4" s="102"/>
      <c r="PCK4" s="101"/>
      <c r="PCL4" s="100"/>
      <c r="PCM4" s="102"/>
      <c r="PCO4" s="101"/>
      <c r="PCP4" s="100"/>
      <c r="PCQ4" s="102"/>
      <c r="PCS4" s="101"/>
      <c r="PCT4" s="100"/>
      <c r="PCU4" s="102"/>
      <c r="PCW4" s="101"/>
      <c r="PCX4" s="100"/>
      <c r="PCY4" s="102"/>
      <c r="PDA4" s="101"/>
      <c r="PDB4" s="100"/>
      <c r="PDC4" s="102"/>
      <c r="PDE4" s="101"/>
      <c r="PDF4" s="100"/>
      <c r="PDG4" s="102"/>
      <c r="PDI4" s="101"/>
      <c r="PDJ4" s="100"/>
      <c r="PDK4" s="102"/>
      <c r="PDM4" s="101"/>
      <c r="PDN4" s="100"/>
      <c r="PDO4" s="102"/>
      <c r="PDQ4" s="101"/>
      <c r="PDR4" s="100"/>
      <c r="PDS4" s="102"/>
      <c r="PDU4" s="101"/>
      <c r="PDV4" s="100"/>
      <c r="PDW4" s="102"/>
      <c r="PDY4" s="101"/>
      <c r="PDZ4" s="100"/>
      <c r="PEA4" s="102"/>
      <c r="PEC4" s="101"/>
      <c r="PED4" s="100"/>
      <c r="PEE4" s="102"/>
      <c r="PEG4" s="101"/>
      <c r="PEH4" s="100"/>
      <c r="PEI4" s="102"/>
      <c r="PEK4" s="101"/>
      <c r="PEL4" s="100"/>
      <c r="PEM4" s="102"/>
      <c r="PEO4" s="101"/>
      <c r="PEP4" s="100"/>
      <c r="PEQ4" s="102"/>
      <c r="PES4" s="101"/>
      <c r="PET4" s="100"/>
      <c r="PEU4" s="102"/>
      <c r="PEW4" s="101"/>
      <c r="PEX4" s="100"/>
      <c r="PEY4" s="102"/>
      <c r="PFA4" s="101"/>
      <c r="PFB4" s="100"/>
      <c r="PFC4" s="102"/>
      <c r="PFE4" s="101"/>
      <c r="PFF4" s="100"/>
      <c r="PFG4" s="102"/>
      <c r="PFI4" s="101"/>
      <c r="PFJ4" s="100"/>
      <c r="PFK4" s="102"/>
      <c r="PFM4" s="101"/>
      <c r="PFN4" s="100"/>
      <c r="PFO4" s="102"/>
      <c r="PFQ4" s="101"/>
      <c r="PFR4" s="100"/>
      <c r="PFS4" s="102"/>
      <c r="PFU4" s="101"/>
      <c r="PFV4" s="100"/>
      <c r="PFW4" s="102"/>
      <c r="PFY4" s="101"/>
      <c r="PFZ4" s="100"/>
      <c r="PGA4" s="102"/>
      <c r="PGC4" s="101"/>
      <c r="PGD4" s="100"/>
      <c r="PGE4" s="102"/>
      <c r="PGG4" s="101"/>
      <c r="PGH4" s="100"/>
      <c r="PGI4" s="102"/>
      <c r="PGK4" s="101"/>
      <c r="PGL4" s="100"/>
      <c r="PGM4" s="102"/>
      <c r="PGO4" s="101"/>
      <c r="PGP4" s="100"/>
      <c r="PGQ4" s="102"/>
      <c r="PGS4" s="101"/>
      <c r="PGT4" s="100"/>
      <c r="PGU4" s="102"/>
      <c r="PGW4" s="101"/>
      <c r="PGX4" s="100"/>
      <c r="PGY4" s="102"/>
      <c r="PHA4" s="101"/>
      <c r="PHB4" s="100"/>
      <c r="PHC4" s="102"/>
      <c r="PHE4" s="101"/>
      <c r="PHF4" s="100"/>
      <c r="PHG4" s="102"/>
      <c r="PHI4" s="101"/>
      <c r="PHJ4" s="100"/>
      <c r="PHK4" s="102"/>
      <c r="PHM4" s="101"/>
      <c r="PHN4" s="100"/>
      <c r="PHO4" s="102"/>
      <c r="PHQ4" s="101"/>
      <c r="PHR4" s="100"/>
      <c r="PHS4" s="102"/>
      <c r="PHU4" s="101"/>
      <c r="PHV4" s="100"/>
      <c r="PHW4" s="102"/>
      <c r="PHY4" s="101"/>
      <c r="PHZ4" s="100"/>
      <c r="PIA4" s="102"/>
      <c r="PIC4" s="101"/>
      <c r="PID4" s="100"/>
      <c r="PIE4" s="102"/>
      <c r="PIG4" s="101"/>
      <c r="PIH4" s="100"/>
      <c r="PII4" s="102"/>
      <c r="PIK4" s="101"/>
      <c r="PIL4" s="100"/>
      <c r="PIM4" s="102"/>
      <c r="PIO4" s="101"/>
      <c r="PIP4" s="100"/>
      <c r="PIQ4" s="102"/>
      <c r="PIS4" s="101"/>
      <c r="PIT4" s="100"/>
      <c r="PIU4" s="102"/>
      <c r="PIW4" s="101"/>
      <c r="PIX4" s="100"/>
      <c r="PIY4" s="102"/>
      <c r="PJA4" s="101"/>
      <c r="PJB4" s="100"/>
      <c r="PJC4" s="102"/>
      <c r="PJE4" s="101"/>
      <c r="PJF4" s="100"/>
      <c r="PJG4" s="102"/>
      <c r="PJI4" s="101"/>
      <c r="PJJ4" s="100"/>
      <c r="PJK4" s="102"/>
      <c r="PJM4" s="101"/>
      <c r="PJN4" s="100"/>
      <c r="PJO4" s="102"/>
      <c r="PJQ4" s="101"/>
      <c r="PJR4" s="100"/>
      <c r="PJS4" s="102"/>
      <c r="PJU4" s="101"/>
      <c r="PJV4" s="100"/>
      <c r="PJW4" s="102"/>
      <c r="PJY4" s="101"/>
      <c r="PJZ4" s="100"/>
      <c r="PKA4" s="102"/>
      <c r="PKC4" s="101"/>
      <c r="PKD4" s="100"/>
      <c r="PKE4" s="102"/>
      <c r="PKG4" s="101"/>
      <c r="PKH4" s="100"/>
      <c r="PKI4" s="102"/>
      <c r="PKK4" s="101"/>
      <c r="PKL4" s="100"/>
      <c r="PKM4" s="102"/>
      <c r="PKO4" s="101"/>
      <c r="PKP4" s="100"/>
      <c r="PKQ4" s="102"/>
      <c r="PKS4" s="101"/>
      <c r="PKT4" s="100"/>
      <c r="PKU4" s="102"/>
      <c r="PKW4" s="101"/>
      <c r="PKX4" s="100"/>
      <c r="PKY4" s="102"/>
      <c r="PLA4" s="101"/>
      <c r="PLB4" s="100"/>
      <c r="PLC4" s="102"/>
      <c r="PLE4" s="101"/>
      <c r="PLF4" s="100"/>
      <c r="PLG4" s="102"/>
      <c r="PLI4" s="101"/>
      <c r="PLJ4" s="100"/>
      <c r="PLK4" s="102"/>
      <c r="PLM4" s="101"/>
      <c r="PLN4" s="100"/>
      <c r="PLO4" s="102"/>
      <c r="PLQ4" s="101"/>
      <c r="PLR4" s="100"/>
      <c r="PLS4" s="102"/>
      <c r="PLU4" s="101"/>
      <c r="PLV4" s="100"/>
      <c r="PLW4" s="102"/>
      <c r="PLY4" s="101"/>
      <c r="PLZ4" s="100"/>
      <c r="PMA4" s="102"/>
      <c r="PMC4" s="101"/>
      <c r="PMD4" s="100"/>
      <c r="PME4" s="102"/>
      <c r="PMG4" s="101"/>
      <c r="PMH4" s="100"/>
      <c r="PMI4" s="102"/>
      <c r="PMK4" s="101"/>
      <c r="PML4" s="100"/>
      <c r="PMM4" s="102"/>
      <c r="PMO4" s="101"/>
      <c r="PMP4" s="100"/>
      <c r="PMQ4" s="102"/>
      <c r="PMS4" s="101"/>
      <c r="PMT4" s="100"/>
      <c r="PMU4" s="102"/>
      <c r="PMW4" s="101"/>
      <c r="PMX4" s="100"/>
      <c r="PMY4" s="102"/>
      <c r="PNA4" s="101"/>
      <c r="PNB4" s="100"/>
      <c r="PNC4" s="102"/>
      <c r="PNE4" s="101"/>
      <c r="PNF4" s="100"/>
      <c r="PNG4" s="102"/>
      <c r="PNI4" s="101"/>
      <c r="PNJ4" s="100"/>
      <c r="PNK4" s="102"/>
      <c r="PNM4" s="101"/>
      <c r="PNN4" s="100"/>
      <c r="PNO4" s="102"/>
      <c r="PNQ4" s="101"/>
      <c r="PNR4" s="100"/>
      <c r="PNS4" s="102"/>
      <c r="PNU4" s="101"/>
      <c r="PNV4" s="100"/>
      <c r="PNW4" s="102"/>
      <c r="PNY4" s="101"/>
      <c r="PNZ4" s="100"/>
      <c r="POA4" s="102"/>
      <c r="POC4" s="101"/>
      <c r="POD4" s="100"/>
      <c r="POE4" s="102"/>
      <c r="POG4" s="101"/>
      <c r="POH4" s="100"/>
      <c r="POI4" s="102"/>
      <c r="POK4" s="101"/>
      <c r="POL4" s="100"/>
      <c r="POM4" s="102"/>
      <c r="POO4" s="101"/>
      <c r="POP4" s="100"/>
      <c r="POQ4" s="102"/>
      <c r="POS4" s="101"/>
      <c r="POT4" s="100"/>
      <c r="POU4" s="102"/>
      <c r="POW4" s="101"/>
      <c r="POX4" s="100"/>
      <c r="POY4" s="102"/>
      <c r="PPA4" s="101"/>
      <c r="PPB4" s="100"/>
      <c r="PPC4" s="102"/>
      <c r="PPE4" s="101"/>
      <c r="PPF4" s="100"/>
      <c r="PPG4" s="102"/>
      <c r="PPI4" s="101"/>
      <c r="PPJ4" s="100"/>
      <c r="PPK4" s="102"/>
      <c r="PPM4" s="101"/>
      <c r="PPN4" s="100"/>
      <c r="PPO4" s="102"/>
      <c r="PPQ4" s="101"/>
      <c r="PPR4" s="100"/>
      <c r="PPS4" s="102"/>
      <c r="PPU4" s="101"/>
      <c r="PPV4" s="100"/>
      <c r="PPW4" s="102"/>
      <c r="PPY4" s="101"/>
      <c r="PPZ4" s="100"/>
      <c r="PQA4" s="102"/>
      <c r="PQC4" s="101"/>
      <c r="PQD4" s="100"/>
      <c r="PQE4" s="102"/>
      <c r="PQG4" s="101"/>
      <c r="PQH4" s="100"/>
      <c r="PQI4" s="102"/>
      <c r="PQK4" s="101"/>
      <c r="PQL4" s="100"/>
      <c r="PQM4" s="102"/>
      <c r="PQO4" s="101"/>
      <c r="PQP4" s="100"/>
      <c r="PQQ4" s="102"/>
      <c r="PQS4" s="101"/>
      <c r="PQT4" s="100"/>
      <c r="PQU4" s="102"/>
      <c r="PQW4" s="101"/>
      <c r="PQX4" s="100"/>
      <c r="PQY4" s="102"/>
      <c r="PRA4" s="101"/>
      <c r="PRB4" s="100"/>
      <c r="PRC4" s="102"/>
      <c r="PRE4" s="101"/>
      <c r="PRF4" s="100"/>
      <c r="PRG4" s="102"/>
      <c r="PRI4" s="101"/>
      <c r="PRJ4" s="100"/>
      <c r="PRK4" s="102"/>
      <c r="PRM4" s="101"/>
      <c r="PRN4" s="100"/>
      <c r="PRO4" s="102"/>
      <c r="PRQ4" s="101"/>
      <c r="PRR4" s="100"/>
      <c r="PRS4" s="102"/>
      <c r="PRU4" s="101"/>
      <c r="PRV4" s="100"/>
      <c r="PRW4" s="102"/>
      <c r="PRY4" s="101"/>
      <c r="PRZ4" s="100"/>
      <c r="PSA4" s="102"/>
      <c r="PSC4" s="101"/>
      <c r="PSD4" s="100"/>
      <c r="PSE4" s="102"/>
      <c r="PSG4" s="101"/>
      <c r="PSH4" s="100"/>
      <c r="PSI4" s="102"/>
      <c r="PSK4" s="101"/>
      <c r="PSL4" s="100"/>
      <c r="PSM4" s="102"/>
      <c r="PSO4" s="101"/>
      <c r="PSP4" s="100"/>
      <c r="PSQ4" s="102"/>
      <c r="PSS4" s="101"/>
      <c r="PST4" s="100"/>
      <c r="PSU4" s="102"/>
      <c r="PSW4" s="101"/>
      <c r="PSX4" s="100"/>
      <c r="PSY4" s="102"/>
      <c r="PTA4" s="101"/>
      <c r="PTB4" s="100"/>
      <c r="PTC4" s="102"/>
      <c r="PTE4" s="101"/>
      <c r="PTF4" s="100"/>
      <c r="PTG4" s="102"/>
      <c r="PTI4" s="101"/>
      <c r="PTJ4" s="100"/>
      <c r="PTK4" s="102"/>
      <c r="PTM4" s="101"/>
      <c r="PTN4" s="100"/>
      <c r="PTO4" s="102"/>
      <c r="PTQ4" s="101"/>
      <c r="PTR4" s="100"/>
      <c r="PTS4" s="102"/>
      <c r="PTU4" s="101"/>
      <c r="PTV4" s="100"/>
      <c r="PTW4" s="102"/>
      <c r="PTY4" s="101"/>
      <c r="PTZ4" s="100"/>
      <c r="PUA4" s="102"/>
      <c r="PUC4" s="101"/>
      <c r="PUD4" s="100"/>
      <c r="PUE4" s="102"/>
      <c r="PUG4" s="101"/>
      <c r="PUH4" s="100"/>
      <c r="PUI4" s="102"/>
      <c r="PUK4" s="101"/>
      <c r="PUL4" s="100"/>
      <c r="PUM4" s="102"/>
      <c r="PUO4" s="101"/>
      <c r="PUP4" s="100"/>
      <c r="PUQ4" s="102"/>
      <c r="PUS4" s="101"/>
      <c r="PUT4" s="100"/>
      <c r="PUU4" s="102"/>
      <c r="PUW4" s="101"/>
      <c r="PUX4" s="100"/>
      <c r="PUY4" s="102"/>
      <c r="PVA4" s="101"/>
      <c r="PVB4" s="100"/>
      <c r="PVC4" s="102"/>
      <c r="PVE4" s="101"/>
      <c r="PVF4" s="100"/>
      <c r="PVG4" s="102"/>
      <c r="PVI4" s="101"/>
      <c r="PVJ4" s="100"/>
      <c r="PVK4" s="102"/>
      <c r="PVM4" s="101"/>
      <c r="PVN4" s="100"/>
      <c r="PVO4" s="102"/>
      <c r="PVQ4" s="101"/>
      <c r="PVR4" s="100"/>
      <c r="PVS4" s="102"/>
      <c r="PVU4" s="101"/>
      <c r="PVV4" s="100"/>
      <c r="PVW4" s="102"/>
      <c r="PVY4" s="101"/>
      <c r="PVZ4" s="100"/>
      <c r="PWA4" s="102"/>
      <c r="PWC4" s="101"/>
      <c r="PWD4" s="100"/>
      <c r="PWE4" s="102"/>
      <c r="PWG4" s="101"/>
      <c r="PWH4" s="100"/>
      <c r="PWI4" s="102"/>
      <c r="PWK4" s="101"/>
      <c r="PWL4" s="100"/>
      <c r="PWM4" s="102"/>
      <c r="PWO4" s="101"/>
      <c r="PWP4" s="100"/>
      <c r="PWQ4" s="102"/>
      <c r="PWS4" s="101"/>
      <c r="PWT4" s="100"/>
      <c r="PWU4" s="102"/>
      <c r="PWW4" s="101"/>
      <c r="PWX4" s="100"/>
      <c r="PWY4" s="102"/>
      <c r="PXA4" s="101"/>
      <c r="PXB4" s="100"/>
      <c r="PXC4" s="102"/>
      <c r="PXE4" s="101"/>
      <c r="PXF4" s="100"/>
      <c r="PXG4" s="102"/>
      <c r="PXI4" s="101"/>
      <c r="PXJ4" s="100"/>
      <c r="PXK4" s="102"/>
      <c r="PXM4" s="101"/>
      <c r="PXN4" s="100"/>
      <c r="PXO4" s="102"/>
      <c r="PXQ4" s="101"/>
      <c r="PXR4" s="100"/>
      <c r="PXS4" s="102"/>
      <c r="PXU4" s="101"/>
      <c r="PXV4" s="100"/>
      <c r="PXW4" s="102"/>
      <c r="PXY4" s="101"/>
      <c r="PXZ4" s="100"/>
      <c r="PYA4" s="102"/>
      <c r="PYC4" s="101"/>
      <c r="PYD4" s="100"/>
      <c r="PYE4" s="102"/>
      <c r="PYG4" s="101"/>
      <c r="PYH4" s="100"/>
      <c r="PYI4" s="102"/>
      <c r="PYK4" s="101"/>
      <c r="PYL4" s="100"/>
      <c r="PYM4" s="102"/>
      <c r="PYO4" s="101"/>
      <c r="PYP4" s="100"/>
      <c r="PYQ4" s="102"/>
      <c r="PYS4" s="101"/>
      <c r="PYT4" s="100"/>
      <c r="PYU4" s="102"/>
      <c r="PYW4" s="101"/>
      <c r="PYX4" s="100"/>
      <c r="PYY4" s="102"/>
      <c r="PZA4" s="101"/>
      <c r="PZB4" s="100"/>
      <c r="PZC4" s="102"/>
      <c r="PZE4" s="101"/>
      <c r="PZF4" s="100"/>
      <c r="PZG4" s="102"/>
      <c r="PZI4" s="101"/>
      <c r="PZJ4" s="100"/>
      <c r="PZK4" s="102"/>
      <c r="PZM4" s="101"/>
      <c r="PZN4" s="100"/>
      <c r="PZO4" s="102"/>
      <c r="PZQ4" s="101"/>
      <c r="PZR4" s="100"/>
      <c r="PZS4" s="102"/>
      <c r="PZU4" s="101"/>
      <c r="PZV4" s="100"/>
      <c r="PZW4" s="102"/>
      <c r="PZY4" s="101"/>
      <c r="PZZ4" s="100"/>
      <c r="QAA4" s="102"/>
      <c r="QAC4" s="101"/>
      <c r="QAD4" s="100"/>
      <c r="QAE4" s="102"/>
      <c r="QAG4" s="101"/>
      <c r="QAH4" s="100"/>
      <c r="QAI4" s="102"/>
      <c r="QAK4" s="101"/>
      <c r="QAL4" s="100"/>
      <c r="QAM4" s="102"/>
      <c r="QAO4" s="101"/>
      <c r="QAP4" s="100"/>
      <c r="QAQ4" s="102"/>
      <c r="QAS4" s="101"/>
      <c r="QAT4" s="100"/>
      <c r="QAU4" s="102"/>
      <c r="QAW4" s="101"/>
      <c r="QAX4" s="100"/>
      <c r="QAY4" s="102"/>
      <c r="QBA4" s="101"/>
      <c r="QBB4" s="100"/>
      <c r="QBC4" s="102"/>
      <c r="QBE4" s="101"/>
      <c r="QBF4" s="100"/>
      <c r="QBG4" s="102"/>
      <c r="QBI4" s="101"/>
      <c r="QBJ4" s="100"/>
      <c r="QBK4" s="102"/>
      <c r="QBM4" s="101"/>
      <c r="QBN4" s="100"/>
      <c r="QBO4" s="102"/>
      <c r="QBQ4" s="101"/>
      <c r="QBR4" s="100"/>
      <c r="QBS4" s="102"/>
      <c r="QBU4" s="101"/>
      <c r="QBV4" s="100"/>
      <c r="QBW4" s="102"/>
      <c r="QBY4" s="101"/>
      <c r="QBZ4" s="100"/>
      <c r="QCA4" s="102"/>
      <c r="QCC4" s="101"/>
      <c r="QCD4" s="100"/>
      <c r="QCE4" s="102"/>
      <c r="QCG4" s="101"/>
      <c r="QCH4" s="100"/>
      <c r="QCI4" s="102"/>
      <c r="QCK4" s="101"/>
      <c r="QCL4" s="100"/>
      <c r="QCM4" s="102"/>
      <c r="QCO4" s="101"/>
      <c r="QCP4" s="100"/>
      <c r="QCQ4" s="102"/>
      <c r="QCS4" s="101"/>
      <c r="QCT4" s="100"/>
      <c r="QCU4" s="102"/>
      <c r="QCW4" s="101"/>
      <c r="QCX4" s="100"/>
      <c r="QCY4" s="102"/>
      <c r="QDA4" s="101"/>
      <c r="QDB4" s="100"/>
      <c r="QDC4" s="102"/>
      <c r="QDE4" s="101"/>
      <c r="QDF4" s="100"/>
      <c r="QDG4" s="102"/>
      <c r="QDI4" s="101"/>
      <c r="QDJ4" s="100"/>
      <c r="QDK4" s="102"/>
      <c r="QDM4" s="101"/>
      <c r="QDN4" s="100"/>
      <c r="QDO4" s="102"/>
      <c r="QDQ4" s="101"/>
      <c r="QDR4" s="100"/>
      <c r="QDS4" s="102"/>
      <c r="QDU4" s="101"/>
      <c r="QDV4" s="100"/>
      <c r="QDW4" s="102"/>
      <c r="QDY4" s="101"/>
      <c r="QDZ4" s="100"/>
      <c r="QEA4" s="102"/>
      <c r="QEC4" s="101"/>
      <c r="QED4" s="100"/>
      <c r="QEE4" s="102"/>
      <c r="QEG4" s="101"/>
      <c r="QEH4" s="100"/>
      <c r="QEI4" s="102"/>
      <c r="QEK4" s="101"/>
      <c r="QEL4" s="100"/>
      <c r="QEM4" s="102"/>
      <c r="QEO4" s="101"/>
      <c r="QEP4" s="100"/>
      <c r="QEQ4" s="102"/>
      <c r="QES4" s="101"/>
      <c r="QET4" s="100"/>
      <c r="QEU4" s="102"/>
      <c r="QEW4" s="101"/>
      <c r="QEX4" s="100"/>
      <c r="QEY4" s="102"/>
      <c r="QFA4" s="101"/>
      <c r="QFB4" s="100"/>
      <c r="QFC4" s="102"/>
      <c r="QFE4" s="101"/>
      <c r="QFF4" s="100"/>
      <c r="QFG4" s="102"/>
      <c r="QFI4" s="101"/>
      <c r="QFJ4" s="100"/>
      <c r="QFK4" s="102"/>
      <c r="QFM4" s="101"/>
      <c r="QFN4" s="100"/>
      <c r="QFO4" s="102"/>
      <c r="QFQ4" s="101"/>
      <c r="QFR4" s="100"/>
      <c r="QFS4" s="102"/>
      <c r="QFU4" s="101"/>
      <c r="QFV4" s="100"/>
      <c r="QFW4" s="102"/>
      <c r="QFY4" s="101"/>
      <c r="QFZ4" s="100"/>
      <c r="QGA4" s="102"/>
      <c r="QGC4" s="101"/>
      <c r="QGD4" s="100"/>
      <c r="QGE4" s="102"/>
      <c r="QGG4" s="101"/>
      <c r="QGH4" s="100"/>
      <c r="QGI4" s="102"/>
      <c r="QGK4" s="101"/>
      <c r="QGL4" s="100"/>
      <c r="QGM4" s="102"/>
      <c r="QGO4" s="101"/>
      <c r="QGP4" s="100"/>
      <c r="QGQ4" s="102"/>
      <c r="QGS4" s="101"/>
      <c r="QGT4" s="100"/>
      <c r="QGU4" s="102"/>
      <c r="QGW4" s="101"/>
      <c r="QGX4" s="100"/>
      <c r="QGY4" s="102"/>
      <c r="QHA4" s="101"/>
      <c r="QHB4" s="100"/>
      <c r="QHC4" s="102"/>
      <c r="QHE4" s="101"/>
      <c r="QHF4" s="100"/>
      <c r="QHG4" s="102"/>
      <c r="QHI4" s="101"/>
      <c r="QHJ4" s="100"/>
      <c r="QHK4" s="102"/>
      <c r="QHM4" s="101"/>
      <c r="QHN4" s="100"/>
      <c r="QHO4" s="102"/>
      <c r="QHQ4" s="101"/>
      <c r="QHR4" s="100"/>
      <c r="QHS4" s="102"/>
      <c r="QHU4" s="101"/>
      <c r="QHV4" s="100"/>
      <c r="QHW4" s="102"/>
      <c r="QHY4" s="101"/>
      <c r="QHZ4" s="100"/>
      <c r="QIA4" s="102"/>
      <c r="QIC4" s="101"/>
      <c r="QID4" s="100"/>
      <c r="QIE4" s="102"/>
      <c r="QIG4" s="101"/>
      <c r="QIH4" s="100"/>
      <c r="QII4" s="102"/>
      <c r="QIK4" s="101"/>
      <c r="QIL4" s="100"/>
      <c r="QIM4" s="102"/>
      <c r="QIO4" s="101"/>
      <c r="QIP4" s="100"/>
      <c r="QIQ4" s="102"/>
      <c r="QIS4" s="101"/>
      <c r="QIT4" s="100"/>
      <c r="QIU4" s="102"/>
      <c r="QIW4" s="101"/>
      <c r="QIX4" s="100"/>
      <c r="QIY4" s="102"/>
      <c r="QJA4" s="101"/>
      <c r="QJB4" s="100"/>
      <c r="QJC4" s="102"/>
      <c r="QJE4" s="101"/>
      <c r="QJF4" s="100"/>
      <c r="QJG4" s="102"/>
      <c r="QJI4" s="101"/>
      <c r="QJJ4" s="100"/>
      <c r="QJK4" s="102"/>
      <c r="QJM4" s="101"/>
      <c r="QJN4" s="100"/>
      <c r="QJO4" s="102"/>
      <c r="QJQ4" s="101"/>
      <c r="QJR4" s="100"/>
      <c r="QJS4" s="102"/>
      <c r="QJU4" s="101"/>
      <c r="QJV4" s="100"/>
      <c r="QJW4" s="102"/>
      <c r="QJY4" s="101"/>
      <c r="QJZ4" s="100"/>
      <c r="QKA4" s="102"/>
      <c r="QKC4" s="101"/>
      <c r="QKD4" s="100"/>
      <c r="QKE4" s="102"/>
      <c r="QKG4" s="101"/>
      <c r="QKH4" s="100"/>
      <c r="QKI4" s="102"/>
      <c r="QKK4" s="101"/>
      <c r="QKL4" s="100"/>
      <c r="QKM4" s="102"/>
      <c r="QKO4" s="101"/>
      <c r="QKP4" s="100"/>
      <c r="QKQ4" s="102"/>
      <c r="QKS4" s="101"/>
      <c r="QKT4" s="100"/>
      <c r="QKU4" s="102"/>
      <c r="QKW4" s="101"/>
      <c r="QKX4" s="100"/>
      <c r="QKY4" s="102"/>
      <c r="QLA4" s="101"/>
      <c r="QLB4" s="100"/>
      <c r="QLC4" s="102"/>
      <c r="QLE4" s="101"/>
      <c r="QLF4" s="100"/>
      <c r="QLG4" s="102"/>
      <c r="QLI4" s="101"/>
      <c r="QLJ4" s="100"/>
      <c r="QLK4" s="102"/>
      <c r="QLM4" s="101"/>
      <c r="QLN4" s="100"/>
      <c r="QLO4" s="102"/>
      <c r="QLQ4" s="101"/>
      <c r="QLR4" s="100"/>
      <c r="QLS4" s="102"/>
      <c r="QLU4" s="101"/>
      <c r="QLV4" s="100"/>
      <c r="QLW4" s="102"/>
      <c r="QLY4" s="101"/>
      <c r="QLZ4" s="100"/>
      <c r="QMA4" s="102"/>
      <c r="QMC4" s="101"/>
      <c r="QMD4" s="100"/>
      <c r="QME4" s="102"/>
      <c r="QMG4" s="101"/>
      <c r="QMH4" s="100"/>
      <c r="QMI4" s="102"/>
      <c r="QMK4" s="101"/>
      <c r="QML4" s="100"/>
      <c r="QMM4" s="102"/>
      <c r="QMO4" s="101"/>
      <c r="QMP4" s="100"/>
      <c r="QMQ4" s="102"/>
      <c r="QMS4" s="101"/>
      <c r="QMT4" s="100"/>
      <c r="QMU4" s="102"/>
      <c r="QMW4" s="101"/>
      <c r="QMX4" s="100"/>
      <c r="QMY4" s="102"/>
      <c r="QNA4" s="101"/>
      <c r="QNB4" s="100"/>
      <c r="QNC4" s="102"/>
      <c r="QNE4" s="101"/>
      <c r="QNF4" s="100"/>
      <c r="QNG4" s="102"/>
      <c r="QNI4" s="101"/>
      <c r="QNJ4" s="100"/>
      <c r="QNK4" s="102"/>
      <c r="QNM4" s="101"/>
      <c r="QNN4" s="100"/>
      <c r="QNO4" s="102"/>
      <c r="QNQ4" s="101"/>
      <c r="QNR4" s="100"/>
      <c r="QNS4" s="102"/>
      <c r="QNU4" s="101"/>
      <c r="QNV4" s="100"/>
      <c r="QNW4" s="102"/>
      <c r="QNY4" s="101"/>
      <c r="QNZ4" s="100"/>
      <c r="QOA4" s="102"/>
      <c r="QOC4" s="101"/>
      <c r="QOD4" s="100"/>
      <c r="QOE4" s="102"/>
      <c r="QOG4" s="101"/>
      <c r="QOH4" s="100"/>
      <c r="QOI4" s="102"/>
      <c r="QOK4" s="101"/>
      <c r="QOL4" s="100"/>
      <c r="QOM4" s="102"/>
      <c r="QOO4" s="101"/>
      <c r="QOP4" s="100"/>
      <c r="QOQ4" s="102"/>
      <c r="QOS4" s="101"/>
      <c r="QOT4" s="100"/>
      <c r="QOU4" s="102"/>
      <c r="QOW4" s="101"/>
      <c r="QOX4" s="100"/>
      <c r="QOY4" s="102"/>
      <c r="QPA4" s="101"/>
      <c r="QPB4" s="100"/>
      <c r="QPC4" s="102"/>
      <c r="QPE4" s="101"/>
      <c r="QPF4" s="100"/>
      <c r="QPG4" s="102"/>
      <c r="QPI4" s="101"/>
      <c r="QPJ4" s="100"/>
      <c r="QPK4" s="102"/>
      <c r="QPM4" s="101"/>
      <c r="QPN4" s="100"/>
      <c r="QPO4" s="102"/>
      <c r="QPQ4" s="101"/>
      <c r="QPR4" s="100"/>
      <c r="QPS4" s="102"/>
      <c r="QPU4" s="101"/>
      <c r="QPV4" s="100"/>
      <c r="QPW4" s="102"/>
      <c r="QPY4" s="101"/>
      <c r="QPZ4" s="100"/>
      <c r="QQA4" s="102"/>
      <c r="QQC4" s="101"/>
      <c r="QQD4" s="100"/>
      <c r="QQE4" s="102"/>
      <c r="QQG4" s="101"/>
      <c r="QQH4" s="100"/>
      <c r="QQI4" s="102"/>
      <c r="QQK4" s="101"/>
      <c r="QQL4" s="100"/>
      <c r="QQM4" s="102"/>
      <c r="QQO4" s="101"/>
      <c r="QQP4" s="100"/>
      <c r="QQQ4" s="102"/>
      <c r="QQS4" s="101"/>
      <c r="QQT4" s="100"/>
      <c r="QQU4" s="102"/>
      <c r="QQW4" s="101"/>
      <c r="QQX4" s="100"/>
      <c r="QQY4" s="102"/>
      <c r="QRA4" s="101"/>
      <c r="QRB4" s="100"/>
      <c r="QRC4" s="102"/>
      <c r="QRE4" s="101"/>
      <c r="QRF4" s="100"/>
      <c r="QRG4" s="102"/>
      <c r="QRI4" s="101"/>
      <c r="QRJ4" s="100"/>
      <c r="QRK4" s="102"/>
      <c r="QRM4" s="101"/>
      <c r="QRN4" s="100"/>
      <c r="QRO4" s="102"/>
      <c r="QRQ4" s="101"/>
      <c r="QRR4" s="100"/>
      <c r="QRS4" s="102"/>
      <c r="QRU4" s="101"/>
      <c r="QRV4" s="100"/>
      <c r="QRW4" s="102"/>
      <c r="QRY4" s="101"/>
      <c r="QRZ4" s="100"/>
      <c r="QSA4" s="102"/>
      <c r="QSC4" s="101"/>
      <c r="QSD4" s="100"/>
      <c r="QSE4" s="102"/>
      <c r="QSG4" s="101"/>
      <c r="QSH4" s="100"/>
      <c r="QSI4" s="102"/>
      <c r="QSK4" s="101"/>
      <c r="QSL4" s="100"/>
      <c r="QSM4" s="102"/>
      <c r="QSO4" s="101"/>
      <c r="QSP4" s="100"/>
      <c r="QSQ4" s="102"/>
      <c r="QSS4" s="101"/>
      <c r="QST4" s="100"/>
      <c r="QSU4" s="102"/>
      <c r="QSW4" s="101"/>
      <c r="QSX4" s="100"/>
      <c r="QSY4" s="102"/>
      <c r="QTA4" s="101"/>
      <c r="QTB4" s="100"/>
      <c r="QTC4" s="102"/>
      <c r="QTE4" s="101"/>
      <c r="QTF4" s="100"/>
      <c r="QTG4" s="102"/>
      <c r="QTI4" s="101"/>
      <c r="QTJ4" s="100"/>
      <c r="QTK4" s="102"/>
      <c r="QTM4" s="101"/>
      <c r="QTN4" s="100"/>
      <c r="QTO4" s="102"/>
      <c r="QTQ4" s="101"/>
      <c r="QTR4" s="100"/>
      <c r="QTS4" s="102"/>
      <c r="QTU4" s="101"/>
      <c r="QTV4" s="100"/>
      <c r="QTW4" s="102"/>
      <c r="QTY4" s="101"/>
      <c r="QTZ4" s="100"/>
      <c r="QUA4" s="102"/>
      <c r="QUC4" s="101"/>
      <c r="QUD4" s="100"/>
      <c r="QUE4" s="102"/>
      <c r="QUG4" s="101"/>
      <c r="QUH4" s="100"/>
      <c r="QUI4" s="102"/>
      <c r="QUK4" s="101"/>
      <c r="QUL4" s="100"/>
      <c r="QUM4" s="102"/>
      <c r="QUO4" s="101"/>
      <c r="QUP4" s="100"/>
      <c r="QUQ4" s="102"/>
      <c r="QUS4" s="101"/>
      <c r="QUT4" s="100"/>
      <c r="QUU4" s="102"/>
      <c r="QUW4" s="101"/>
      <c r="QUX4" s="100"/>
      <c r="QUY4" s="102"/>
      <c r="QVA4" s="101"/>
      <c r="QVB4" s="100"/>
      <c r="QVC4" s="102"/>
      <c r="QVE4" s="101"/>
      <c r="QVF4" s="100"/>
      <c r="QVG4" s="102"/>
      <c r="QVI4" s="101"/>
      <c r="QVJ4" s="100"/>
      <c r="QVK4" s="102"/>
      <c r="QVM4" s="101"/>
      <c r="QVN4" s="100"/>
      <c r="QVO4" s="102"/>
      <c r="QVQ4" s="101"/>
      <c r="QVR4" s="100"/>
      <c r="QVS4" s="102"/>
      <c r="QVU4" s="101"/>
      <c r="QVV4" s="100"/>
      <c r="QVW4" s="102"/>
      <c r="QVY4" s="101"/>
      <c r="QVZ4" s="100"/>
      <c r="QWA4" s="102"/>
      <c r="QWC4" s="101"/>
      <c r="QWD4" s="100"/>
      <c r="QWE4" s="102"/>
      <c r="QWG4" s="101"/>
      <c r="QWH4" s="100"/>
      <c r="QWI4" s="102"/>
      <c r="QWK4" s="101"/>
      <c r="QWL4" s="100"/>
      <c r="QWM4" s="102"/>
      <c r="QWO4" s="101"/>
      <c r="QWP4" s="100"/>
      <c r="QWQ4" s="102"/>
      <c r="QWS4" s="101"/>
      <c r="QWT4" s="100"/>
      <c r="QWU4" s="102"/>
      <c r="QWW4" s="101"/>
      <c r="QWX4" s="100"/>
      <c r="QWY4" s="102"/>
      <c r="QXA4" s="101"/>
      <c r="QXB4" s="100"/>
      <c r="QXC4" s="102"/>
      <c r="QXE4" s="101"/>
      <c r="QXF4" s="100"/>
      <c r="QXG4" s="102"/>
      <c r="QXI4" s="101"/>
      <c r="QXJ4" s="100"/>
      <c r="QXK4" s="102"/>
      <c r="QXM4" s="101"/>
      <c r="QXN4" s="100"/>
      <c r="QXO4" s="102"/>
      <c r="QXQ4" s="101"/>
      <c r="QXR4" s="100"/>
      <c r="QXS4" s="102"/>
      <c r="QXU4" s="101"/>
      <c r="QXV4" s="100"/>
      <c r="QXW4" s="102"/>
      <c r="QXY4" s="101"/>
      <c r="QXZ4" s="100"/>
      <c r="QYA4" s="102"/>
      <c r="QYC4" s="101"/>
      <c r="QYD4" s="100"/>
      <c r="QYE4" s="102"/>
      <c r="QYG4" s="101"/>
      <c r="QYH4" s="100"/>
      <c r="QYI4" s="102"/>
      <c r="QYK4" s="101"/>
      <c r="QYL4" s="100"/>
      <c r="QYM4" s="102"/>
      <c r="QYO4" s="101"/>
      <c r="QYP4" s="100"/>
      <c r="QYQ4" s="102"/>
      <c r="QYS4" s="101"/>
      <c r="QYT4" s="100"/>
      <c r="QYU4" s="102"/>
      <c r="QYW4" s="101"/>
      <c r="QYX4" s="100"/>
      <c r="QYY4" s="102"/>
      <c r="QZA4" s="101"/>
      <c r="QZB4" s="100"/>
      <c r="QZC4" s="102"/>
      <c r="QZE4" s="101"/>
      <c r="QZF4" s="100"/>
      <c r="QZG4" s="102"/>
      <c r="QZI4" s="101"/>
      <c r="QZJ4" s="100"/>
      <c r="QZK4" s="102"/>
      <c r="QZM4" s="101"/>
      <c r="QZN4" s="100"/>
      <c r="QZO4" s="102"/>
      <c r="QZQ4" s="101"/>
      <c r="QZR4" s="100"/>
      <c r="QZS4" s="102"/>
      <c r="QZU4" s="101"/>
      <c r="QZV4" s="100"/>
      <c r="QZW4" s="102"/>
      <c r="QZY4" s="101"/>
      <c r="QZZ4" s="100"/>
      <c r="RAA4" s="102"/>
      <c r="RAC4" s="101"/>
      <c r="RAD4" s="100"/>
      <c r="RAE4" s="102"/>
      <c r="RAG4" s="101"/>
      <c r="RAH4" s="100"/>
      <c r="RAI4" s="102"/>
      <c r="RAK4" s="101"/>
      <c r="RAL4" s="100"/>
      <c r="RAM4" s="102"/>
      <c r="RAO4" s="101"/>
      <c r="RAP4" s="100"/>
      <c r="RAQ4" s="102"/>
      <c r="RAS4" s="101"/>
      <c r="RAT4" s="100"/>
      <c r="RAU4" s="102"/>
      <c r="RAW4" s="101"/>
      <c r="RAX4" s="100"/>
      <c r="RAY4" s="102"/>
      <c r="RBA4" s="101"/>
      <c r="RBB4" s="100"/>
      <c r="RBC4" s="102"/>
      <c r="RBE4" s="101"/>
      <c r="RBF4" s="100"/>
      <c r="RBG4" s="102"/>
      <c r="RBI4" s="101"/>
      <c r="RBJ4" s="100"/>
      <c r="RBK4" s="102"/>
      <c r="RBM4" s="101"/>
      <c r="RBN4" s="100"/>
      <c r="RBO4" s="102"/>
      <c r="RBQ4" s="101"/>
      <c r="RBR4" s="100"/>
      <c r="RBS4" s="102"/>
      <c r="RBU4" s="101"/>
      <c r="RBV4" s="100"/>
      <c r="RBW4" s="102"/>
      <c r="RBY4" s="101"/>
      <c r="RBZ4" s="100"/>
      <c r="RCA4" s="102"/>
      <c r="RCC4" s="101"/>
      <c r="RCD4" s="100"/>
      <c r="RCE4" s="102"/>
      <c r="RCG4" s="101"/>
      <c r="RCH4" s="100"/>
      <c r="RCI4" s="102"/>
      <c r="RCK4" s="101"/>
      <c r="RCL4" s="100"/>
      <c r="RCM4" s="102"/>
      <c r="RCO4" s="101"/>
      <c r="RCP4" s="100"/>
      <c r="RCQ4" s="102"/>
      <c r="RCS4" s="101"/>
      <c r="RCT4" s="100"/>
      <c r="RCU4" s="102"/>
      <c r="RCW4" s="101"/>
      <c r="RCX4" s="100"/>
      <c r="RCY4" s="102"/>
      <c r="RDA4" s="101"/>
      <c r="RDB4" s="100"/>
      <c r="RDC4" s="102"/>
      <c r="RDE4" s="101"/>
      <c r="RDF4" s="100"/>
      <c r="RDG4" s="102"/>
      <c r="RDI4" s="101"/>
      <c r="RDJ4" s="100"/>
      <c r="RDK4" s="102"/>
      <c r="RDM4" s="101"/>
      <c r="RDN4" s="100"/>
      <c r="RDO4" s="102"/>
      <c r="RDQ4" s="101"/>
      <c r="RDR4" s="100"/>
      <c r="RDS4" s="102"/>
      <c r="RDU4" s="101"/>
      <c r="RDV4" s="100"/>
      <c r="RDW4" s="102"/>
      <c r="RDY4" s="101"/>
      <c r="RDZ4" s="100"/>
      <c r="REA4" s="102"/>
      <c r="REC4" s="101"/>
      <c r="RED4" s="100"/>
      <c r="REE4" s="102"/>
      <c r="REG4" s="101"/>
      <c r="REH4" s="100"/>
      <c r="REI4" s="102"/>
      <c r="REK4" s="101"/>
      <c r="REL4" s="100"/>
      <c r="REM4" s="102"/>
      <c r="REO4" s="101"/>
      <c r="REP4" s="100"/>
      <c r="REQ4" s="102"/>
      <c r="RES4" s="101"/>
      <c r="RET4" s="100"/>
      <c r="REU4" s="102"/>
      <c r="REW4" s="101"/>
      <c r="REX4" s="100"/>
      <c r="REY4" s="102"/>
      <c r="RFA4" s="101"/>
      <c r="RFB4" s="100"/>
      <c r="RFC4" s="102"/>
      <c r="RFE4" s="101"/>
      <c r="RFF4" s="100"/>
      <c r="RFG4" s="102"/>
      <c r="RFI4" s="101"/>
      <c r="RFJ4" s="100"/>
      <c r="RFK4" s="102"/>
      <c r="RFM4" s="101"/>
      <c r="RFN4" s="100"/>
      <c r="RFO4" s="102"/>
      <c r="RFQ4" s="101"/>
      <c r="RFR4" s="100"/>
      <c r="RFS4" s="102"/>
      <c r="RFU4" s="101"/>
      <c r="RFV4" s="100"/>
      <c r="RFW4" s="102"/>
      <c r="RFY4" s="101"/>
      <c r="RFZ4" s="100"/>
      <c r="RGA4" s="102"/>
      <c r="RGC4" s="101"/>
      <c r="RGD4" s="100"/>
      <c r="RGE4" s="102"/>
      <c r="RGG4" s="101"/>
      <c r="RGH4" s="100"/>
      <c r="RGI4" s="102"/>
      <c r="RGK4" s="101"/>
      <c r="RGL4" s="100"/>
      <c r="RGM4" s="102"/>
      <c r="RGO4" s="101"/>
      <c r="RGP4" s="100"/>
      <c r="RGQ4" s="102"/>
      <c r="RGS4" s="101"/>
      <c r="RGT4" s="100"/>
      <c r="RGU4" s="102"/>
      <c r="RGW4" s="101"/>
      <c r="RGX4" s="100"/>
      <c r="RGY4" s="102"/>
      <c r="RHA4" s="101"/>
      <c r="RHB4" s="100"/>
      <c r="RHC4" s="102"/>
      <c r="RHE4" s="101"/>
      <c r="RHF4" s="100"/>
      <c r="RHG4" s="102"/>
      <c r="RHI4" s="101"/>
      <c r="RHJ4" s="100"/>
      <c r="RHK4" s="102"/>
      <c r="RHM4" s="101"/>
      <c r="RHN4" s="100"/>
      <c r="RHO4" s="102"/>
      <c r="RHQ4" s="101"/>
      <c r="RHR4" s="100"/>
      <c r="RHS4" s="102"/>
      <c r="RHU4" s="101"/>
      <c r="RHV4" s="100"/>
      <c r="RHW4" s="102"/>
      <c r="RHY4" s="101"/>
      <c r="RHZ4" s="100"/>
      <c r="RIA4" s="102"/>
      <c r="RIC4" s="101"/>
      <c r="RID4" s="100"/>
      <c r="RIE4" s="102"/>
      <c r="RIG4" s="101"/>
      <c r="RIH4" s="100"/>
      <c r="RII4" s="102"/>
      <c r="RIK4" s="101"/>
      <c r="RIL4" s="100"/>
      <c r="RIM4" s="102"/>
      <c r="RIO4" s="101"/>
      <c r="RIP4" s="100"/>
      <c r="RIQ4" s="102"/>
      <c r="RIS4" s="101"/>
      <c r="RIT4" s="100"/>
      <c r="RIU4" s="102"/>
      <c r="RIW4" s="101"/>
      <c r="RIX4" s="100"/>
      <c r="RIY4" s="102"/>
      <c r="RJA4" s="101"/>
      <c r="RJB4" s="100"/>
      <c r="RJC4" s="102"/>
      <c r="RJE4" s="101"/>
      <c r="RJF4" s="100"/>
      <c r="RJG4" s="102"/>
      <c r="RJI4" s="101"/>
      <c r="RJJ4" s="100"/>
      <c r="RJK4" s="102"/>
      <c r="RJM4" s="101"/>
      <c r="RJN4" s="100"/>
      <c r="RJO4" s="102"/>
      <c r="RJQ4" s="101"/>
      <c r="RJR4" s="100"/>
      <c r="RJS4" s="102"/>
      <c r="RJU4" s="101"/>
      <c r="RJV4" s="100"/>
      <c r="RJW4" s="102"/>
      <c r="RJY4" s="101"/>
      <c r="RJZ4" s="100"/>
      <c r="RKA4" s="102"/>
      <c r="RKC4" s="101"/>
      <c r="RKD4" s="100"/>
      <c r="RKE4" s="102"/>
      <c r="RKG4" s="101"/>
      <c r="RKH4" s="100"/>
      <c r="RKI4" s="102"/>
      <c r="RKK4" s="101"/>
      <c r="RKL4" s="100"/>
      <c r="RKM4" s="102"/>
      <c r="RKO4" s="101"/>
      <c r="RKP4" s="100"/>
      <c r="RKQ4" s="102"/>
      <c r="RKS4" s="101"/>
      <c r="RKT4" s="100"/>
      <c r="RKU4" s="102"/>
      <c r="RKW4" s="101"/>
      <c r="RKX4" s="100"/>
      <c r="RKY4" s="102"/>
      <c r="RLA4" s="101"/>
      <c r="RLB4" s="100"/>
      <c r="RLC4" s="102"/>
      <c r="RLE4" s="101"/>
      <c r="RLF4" s="100"/>
      <c r="RLG4" s="102"/>
      <c r="RLI4" s="101"/>
      <c r="RLJ4" s="100"/>
      <c r="RLK4" s="102"/>
      <c r="RLM4" s="101"/>
      <c r="RLN4" s="100"/>
      <c r="RLO4" s="102"/>
      <c r="RLQ4" s="101"/>
      <c r="RLR4" s="100"/>
      <c r="RLS4" s="102"/>
      <c r="RLU4" s="101"/>
      <c r="RLV4" s="100"/>
      <c r="RLW4" s="102"/>
      <c r="RLY4" s="101"/>
      <c r="RLZ4" s="100"/>
      <c r="RMA4" s="102"/>
      <c r="RMC4" s="101"/>
      <c r="RMD4" s="100"/>
      <c r="RME4" s="102"/>
      <c r="RMG4" s="101"/>
      <c r="RMH4" s="100"/>
      <c r="RMI4" s="102"/>
      <c r="RMK4" s="101"/>
      <c r="RML4" s="100"/>
      <c r="RMM4" s="102"/>
      <c r="RMO4" s="101"/>
      <c r="RMP4" s="100"/>
      <c r="RMQ4" s="102"/>
      <c r="RMS4" s="101"/>
      <c r="RMT4" s="100"/>
      <c r="RMU4" s="102"/>
      <c r="RMW4" s="101"/>
      <c r="RMX4" s="100"/>
      <c r="RMY4" s="102"/>
      <c r="RNA4" s="101"/>
      <c r="RNB4" s="100"/>
      <c r="RNC4" s="102"/>
      <c r="RNE4" s="101"/>
      <c r="RNF4" s="100"/>
      <c r="RNG4" s="102"/>
      <c r="RNI4" s="101"/>
      <c r="RNJ4" s="100"/>
      <c r="RNK4" s="102"/>
      <c r="RNM4" s="101"/>
      <c r="RNN4" s="100"/>
      <c r="RNO4" s="102"/>
      <c r="RNQ4" s="101"/>
      <c r="RNR4" s="100"/>
      <c r="RNS4" s="102"/>
      <c r="RNU4" s="101"/>
      <c r="RNV4" s="100"/>
      <c r="RNW4" s="102"/>
      <c r="RNY4" s="101"/>
      <c r="RNZ4" s="100"/>
      <c r="ROA4" s="102"/>
      <c r="ROC4" s="101"/>
      <c r="ROD4" s="100"/>
      <c r="ROE4" s="102"/>
      <c r="ROG4" s="101"/>
      <c r="ROH4" s="100"/>
      <c r="ROI4" s="102"/>
      <c r="ROK4" s="101"/>
      <c r="ROL4" s="100"/>
      <c r="ROM4" s="102"/>
      <c r="ROO4" s="101"/>
      <c r="ROP4" s="100"/>
      <c r="ROQ4" s="102"/>
      <c r="ROS4" s="101"/>
      <c r="ROT4" s="100"/>
      <c r="ROU4" s="102"/>
      <c r="ROW4" s="101"/>
      <c r="ROX4" s="100"/>
      <c r="ROY4" s="102"/>
      <c r="RPA4" s="101"/>
      <c r="RPB4" s="100"/>
      <c r="RPC4" s="102"/>
      <c r="RPE4" s="101"/>
      <c r="RPF4" s="100"/>
      <c r="RPG4" s="102"/>
      <c r="RPI4" s="101"/>
      <c r="RPJ4" s="100"/>
      <c r="RPK4" s="102"/>
      <c r="RPM4" s="101"/>
      <c r="RPN4" s="100"/>
      <c r="RPO4" s="102"/>
      <c r="RPQ4" s="101"/>
      <c r="RPR4" s="100"/>
      <c r="RPS4" s="102"/>
      <c r="RPU4" s="101"/>
      <c r="RPV4" s="100"/>
      <c r="RPW4" s="102"/>
      <c r="RPY4" s="101"/>
      <c r="RPZ4" s="100"/>
      <c r="RQA4" s="102"/>
      <c r="RQC4" s="101"/>
      <c r="RQD4" s="100"/>
      <c r="RQE4" s="102"/>
      <c r="RQG4" s="101"/>
      <c r="RQH4" s="100"/>
      <c r="RQI4" s="102"/>
      <c r="RQK4" s="101"/>
      <c r="RQL4" s="100"/>
      <c r="RQM4" s="102"/>
      <c r="RQO4" s="101"/>
      <c r="RQP4" s="100"/>
      <c r="RQQ4" s="102"/>
      <c r="RQS4" s="101"/>
      <c r="RQT4" s="100"/>
      <c r="RQU4" s="102"/>
      <c r="RQW4" s="101"/>
      <c r="RQX4" s="100"/>
      <c r="RQY4" s="102"/>
      <c r="RRA4" s="101"/>
      <c r="RRB4" s="100"/>
      <c r="RRC4" s="102"/>
      <c r="RRE4" s="101"/>
      <c r="RRF4" s="100"/>
      <c r="RRG4" s="102"/>
      <c r="RRI4" s="101"/>
      <c r="RRJ4" s="100"/>
      <c r="RRK4" s="102"/>
      <c r="RRM4" s="101"/>
      <c r="RRN4" s="100"/>
      <c r="RRO4" s="102"/>
      <c r="RRQ4" s="101"/>
      <c r="RRR4" s="100"/>
      <c r="RRS4" s="102"/>
      <c r="RRU4" s="101"/>
      <c r="RRV4" s="100"/>
      <c r="RRW4" s="102"/>
      <c r="RRY4" s="101"/>
      <c r="RRZ4" s="100"/>
      <c r="RSA4" s="102"/>
      <c r="RSC4" s="101"/>
      <c r="RSD4" s="100"/>
      <c r="RSE4" s="102"/>
      <c r="RSG4" s="101"/>
      <c r="RSH4" s="100"/>
      <c r="RSI4" s="102"/>
      <c r="RSK4" s="101"/>
      <c r="RSL4" s="100"/>
      <c r="RSM4" s="102"/>
      <c r="RSO4" s="101"/>
      <c r="RSP4" s="100"/>
      <c r="RSQ4" s="102"/>
      <c r="RSS4" s="101"/>
      <c r="RST4" s="100"/>
      <c r="RSU4" s="102"/>
      <c r="RSW4" s="101"/>
      <c r="RSX4" s="100"/>
      <c r="RSY4" s="102"/>
      <c r="RTA4" s="101"/>
      <c r="RTB4" s="100"/>
      <c r="RTC4" s="102"/>
      <c r="RTE4" s="101"/>
      <c r="RTF4" s="100"/>
      <c r="RTG4" s="102"/>
      <c r="RTI4" s="101"/>
      <c r="RTJ4" s="100"/>
      <c r="RTK4" s="102"/>
      <c r="RTM4" s="101"/>
      <c r="RTN4" s="100"/>
      <c r="RTO4" s="102"/>
      <c r="RTQ4" s="101"/>
      <c r="RTR4" s="100"/>
      <c r="RTS4" s="102"/>
      <c r="RTU4" s="101"/>
      <c r="RTV4" s="100"/>
      <c r="RTW4" s="102"/>
      <c r="RTY4" s="101"/>
      <c r="RTZ4" s="100"/>
      <c r="RUA4" s="102"/>
      <c r="RUC4" s="101"/>
      <c r="RUD4" s="100"/>
      <c r="RUE4" s="102"/>
      <c r="RUG4" s="101"/>
      <c r="RUH4" s="100"/>
      <c r="RUI4" s="102"/>
      <c r="RUK4" s="101"/>
      <c r="RUL4" s="100"/>
      <c r="RUM4" s="102"/>
      <c r="RUO4" s="101"/>
      <c r="RUP4" s="100"/>
      <c r="RUQ4" s="102"/>
      <c r="RUS4" s="101"/>
      <c r="RUT4" s="100"/>
      <c r="RUU4" s="102"/>
      <c r="RUW4" s="101"/>
      <c r="RUX4" s="100"/>
      <c r="RUY4" s="102"/>
      <c r="RVA4" s="101"/>
      <c r="RVB4" s="100"/>
      <c r="RVC4" s="102"/>
      <c r="RVE4" s="101"/>
      <c r="RVF4" s="100"/>
      <c r="RVG4" s="102"/>
      <c r="RVI4" s="101"/>
      <c r="RVJ4" s="100"/>
      <c r="RVK4" s="102"/>
      <c r="RVM4" s="101"/>
      <c r="RVN4" s="100"/>
      <c r="RVO4" s="102"/>
      <c r="RVQ4" s="101"/>
      <c r="RVR4" s="100"/>
      <c r="RVS4" s="102"/>
      <c r="RVU4" s="101"/>
      <c r="RVV4" s="100"/>
      <c r="RVW4" s="102"/>
      <c r="RVY4" s="101"/>
      <c r="RVZ4" s="100"/>
      <c r="RWA4" s="102"/>
      <c r="RWC4" s="101"/>
      <c r="RWD4" s="100"/>
      <c r="RWE4" s="102"/>
      <c r="RWG4" s="101"/>
      <c r="RWH4" s="100"/>
      <c r="RWI4" s="102"/>
      <c r="RWK4" s="101"/>
      <c r="RWL4" s="100"/>
      <c r="RWM4" s="102"/>
      <c r="RWO4" s="101"/>
      <c r="RWP4" s="100"/>
      <c r="RWQ4" s="102"/>
      <c r="RWS4" s="101"/>
      <c r="RWT4" s="100"/>
      <c r="RWU4" s="102"/>
      <c r="RWW4" s="101"/>
      <c r="RWX4" s="100"/>
      <c r="RWY4" s="102"/>
      <c r="RXA4" s="101"/>
      <c r="RXB4" s="100"/>
      <c r="RXC4" s="102"/>
      <c r="RXE4" s="101"/>
      <c r="RXF4" s="100"/>
      <c r="RXG4" s="102"/>
      <c r="RXI4" s="101"/>
      <c r="RXJ4" s="100"/>
      <c r="RXK4" s="102"/>
      <c r="RXM4" s="101"/>
      <c r="RXN4" s="100"/>
      <c r="RXO4" s="102"/>
      <c r="RXQ4" s="101"/>
      <c r="RXR4" s="100"/>
      <c r="RXS4" s="102"/>
      <c r="RXU4" s="101"/>
      <c r="RXV4" s="100"/>
      <c r="RXW4" s="102"/>
      <c r="RXY4" s="101"/>
      <c r="RXZ4" s="100"/>
      <c r="RYA4" s="102"/>
      <c r="RYC4" s="101"/>
      <c r="RYD4" s="100"/>
      <c r="RYE4" s="102"/>
      <c r="RYG4" s="101"/>
      <c r="RYH4" s="100"/>
      <c r="RYI4" s="102"/>
      <c r="RYK4" s="101"/>
      <c r="RYL4" s="100"/>
      <c r="RYM4" s="102"/>
      <c r="RYO4" s="101"/>
      <c r="RYP4" s="100"/>
      <c r="RYQ4" s="102"/>
      <c r="RYS4" s="101"/>
      <c r="RYT4" s="100"/>
      <c r="RYU4" s="102"/>
      <c r="RYW4" s="101"/>
      <c r="RYX4" s="100"/>
      <c r="RYY4" s="102"/>
      <c r="RZA4" s="101"/>
      <c r="RZB4" s="100"/>
      <c r="RZC4" s="102"/>
      <c r="RZE4" s="101"/>
      <c r="RZF4" s="100"/>
      <c r="RZG4" s="102"/>
      <c r="RZI4" s="101"/>
      <c r="RZJ4" s="100"/>
      <c r="RZK4" s="102"/>
      <c r="RZM4" s="101"/>
      <c r="RZN4" s="100"/>
      <c r="RZO4" s="102"/>
      <c r="RZQ4" s="101"/>
      <c r="RZR4" s="100"/>
      <c r="RZS4" s="102"/>
      <c r="RZU4" s="101"/>
      <c r="RZV4" s="100"/>
      <c r="RZW4" s="102"/>
      <c r="RZY4" s="101"/>
      <c r="RZZ4" s="100"/>
      <c r="SAA4" s="102"/>
      <c r="SAC4" s="101"/>
      <c r="SAD4" s="100"/>
      <c r="SAE4" s="102"/>
      <c r="SAG4" s="101"/>
      <c r="SAH4" s="100"/>
      <c r="SAI4" s="102"/>
      <c r="SAK4" s="101"/>
      <c r="SAL4" s="100"/>
      <c r="SAM4" s="102"/>
      <c r="SAO4" s="101"/>
      <c r="SAP4" s="100"/>
      <c r="SAQ4" s="102"/>
      <c r="SAS4" s="101"/>
      <c r="SAT4" s="100"/>
      <c r="SAU4" s="102"/>
      <c r="SAW4" s="101"/>
      <c r="SAX4" s="100"/>
      <c r="SAY4" s="102"/>
      <c r="SBA4" s="101"/>
      <c r="SBB4" s="100"/>
      <c r="SBC4" s="102"/>
      <c r="SBE4" s="101"/>
      <c r="SBF4" s="100"/>
      <c r="SBG4" s="102"/>
      <c r="SBI4" s="101"/>
      <c r="SBJ4" s="100"/>
      <c r="SBK4" s="102"/>
      <c r="SBM4" s="101"/>
      <c r="SBN4" s="100"/>
      <c r="SBO4" s="102"/>
      <c r="SBQ4" s="101"/>
      <c r="SBR4" s="100"/>
      <c r="SBS4" s="102"/>
      <c r="SBU4" s="101"/>
      <c r="SBV4" s="100"/>
      <c r="SBW4" s="102"/>
      <c r="SBY4" s="101"/>
      <c r="SBZ4" s="100"/>
      <c r="SCA4" s="102"/>
      <c r="SCC4" s="101"/>
      <c r="SCD4" s="100"/>
      <c r="SCE4" s="102"/>
      <c r="SCG4" s="101"/>
      <c r="SCH4" s="100"/>
      <c r="SCI4" s="102"/>
      <c r="SCK4" s="101"/>
      <c r="SCL4" s="100"/>
      <c r="SCM4" s="102"/>
      <c r="SCO4" s="101"/>
      <c r="SCP4" s="100"/>
      <c r="SCQ4" s="102"/>
      <c r="SCS4" s="101"/>
      <c r="SCT4" s="100"/>
      <c r="SCU4" s="102"/>
      <c r="SCW4" s="101"/>
      <c r="SCX4" s="100"/>
      <c r="SCY4" s="102"/>
      <c r="SDA4" s="101"/>
      <c r="SDB4" s="100"/>
      <c r="SDC4" s="102"/>
      <c r="SDE4" s="101"/>
      <c r="SDF4" s="100"/>
      <c r="SDG4" s="102"/>
      <c r="SDI4" s="101"/>
      <c r="SDJ4" s="100"/>
      <c r="SDK4" s="102"/>
      <c r="SDM4" s="101"/>
      <c r="SDN4" s="100"/>
      <c r="SDO4" s="102"/>
      <c r="SDQ4" s="101"/>
      <c r="SDR4" s="100"/>
      <c r="SDS4" s="102"/>
      <c r="SDU4" s="101"/>
      <c r="SDV4" s="100"/>
      <c r="SDW4" s="102"/>
      <c r="SDY4" s="101"/>
      <c r="SDZ4" s="100"/>
      <c r="SEA4" s="102"/>
      <c r="SEC4" s="101"/>
      <c r="SED4" s="100"/>
      <c r="SEE4" s="102"/>
      <c r="SEG4" s="101"/>
      <c r="SEH4" s="100"/>
      <c r="SEI4" s="102"/>
      <c r="SEK4" s="101"/>
      <c r="SEL4" s="100"/>
      <c r="SEM4" s="102"/>
      <c r="SEO4" s="101"/>
      <c r="SEP4" s="100"/>
      <c r="SEQ4" s="102"/>
      <c r="SES4" s="101"/>
      <c r="SET4" s="100"/>
      <c r="SEU4" s="102"/>
      <c r="SEW4" s="101"/>
      <c r="SEX4" s="100"/>
      <c r="SEY4" s="102"/>
      <c r="SFA4" s="101"/>
      <c r="SFB4" s="100"/>
      <c r="SFC4" s="102"/>
      <c r="SFE4" s="101"/>
      <c r="SFF4" s="100"/>
      <c r="SFG4" s="102"/>
      <c r="SFI4" s="101"/>
      <c r="SFJ4" s="100"/>
      <c r="SFK4" s="102"/>
      <c r="SFM4" s="101"/>
      <c r="SFN4" s="100"/>
      <c r="SFO4" s="102"/>
      <c r="SFQ4" s="101"/>
      <c r="SFR4" s="100"/>
      <c r="SFS4" s="102"/>
      <c r="SFU4" s="101"/>
      <c r="SFV4" s="100"/>
      <c r="SFW4" s="102"/>
      <c r="SFY4" s="101"/>
      <c r="SFZ4" s="100"/>
      <c r="SGA4" s="102"/>
      <c r="SGC4" s="101"/>
      <c r="SGD4" s="100"/>
      <c r="SGE4" s="102"/>
      <c r="SGG4" s="101"/>
      <c r="SGH4" s="100"/>
      <c r="SGI4" s="102"/>
      <c r="SGK4" s="101"/>
      <c r="SGL4" s="100"/>
      <c r="SGM4" s="102"/>
      <c r="SGO4" s="101"/>
      <c r="SGP4" s="100"/>
      <c r="SGQ4" s="102"/>
      <c r="SGS4" s="101"/>
      <c r="SGT4" s="100"/>
      <c r="SGU4" s="102"/>
      <c r="SGW4" s="101"/>
      <c r="SGX4" s="100"/>
      <c r="SGY4" s="102"/>
      <c r="SHA4" s="101"/>
      <c r="SHB4" s="100"/>
      <c r="SHC4" s="102"/>
      <c r="SHE4" s="101"/>
      <c r="SHF4" s="100"/>
      <c r="SHG4" s="102"/>
      <c r="SHI4" s="101"/>
      <c r="SHJ4" s="100"/>
      <c r="SHK4" s="102"/>
      <c r="SHM4" s="101"/>
      <c r="SHN4" s="100"/>
      <c r="SHO4" s="102"/>
      <c r="SHQ4" s="101"/>
      <c r="SHR4" s="100"/>
      <c r="SHS4" s="102"/>
      <c r="SHU4" s="101"/>
      <c r="SHV4" s="100"/>
      <c r="SHW4" s="102"/>
      <c r="SHY4" s="101"/>
      <c r="SHZ4" s="100"/>
      <c r="SIA4" s="102"/>
      <c r="SIC4" s="101"/>
      <c r="SID4" s="100"/>
      <c r="SIE4" s="102"/>
      <c r="SIG4" s="101"/>
      <c r="SIH4" s="100"/>
      <c r="SII4" s="102"/>
      <c r="SIK4" s="101"/>
      <c r="SIL4" s="100"/>
      <c r="SIM4" s="102"/>
      <c r="SIO4" s="101"/>
      <c r="SIP4" s="100"/>
      <c r="SIQ4" s="102"/>
      <c r="SIS4" s="101"/>
      <c r="SIT4" s="100"/>
      <c r="SIU4" s="102"/>
      <c r="SIW4" s="101"/>
      <c r="SIX4" s="100"/>
      <c r="SIY4" s="102"/>
      <c r="SJA4" s="101"/>
      <c r="SJB4" s="100"/>
      <c r="SJC4" s="102"/>
      <c r="SJE4" s="101"/>
      <c r="SJF4" s="100"/>
      <c r="SJG4" s="102"/>
      <c r="SJI4" s="101"/>
      <c r="SJJ4" s="100"/>
      <c r="SJK4" s="102"/>
      <c r="SJM4" s="101"/>
      <c r="SJN4" s="100"/>
      <c r="SJO4" s="102"/>
      <c r="SJQ4" s="101"/>
      <c r="SJR4" s="100"/>
      <c r="SJS4" s="102"/>
      <c r="SJU4" s="101"/>
      <c r="SJV4" s="100"/>
      <c r="SJW4" s="102"/>
      <c r="SJY4" s="101"/>
      <c r="SJZ4" s="100"/>
      <c r="SKA4" s="102"/>
      <c r="SKC4" s="101"/>
      <c r="SKD4" s="100"/>
      <c r="SKE4" s="102"/>
      <c r="SKG4" s="101"/>
      <c r="SKH4" s="100"/>
      <c r="SKI4" s="102"/>
      <c r="SKK4" s="101"/>
      <c r="SKL4" s="100"/>
      <c r="SKM4" s="102"/>
      <c r="SKO4" s="101"/>
      <c r="SKP4" s="100"/>
      <c r="SKQ4" s="102"/>
      <c r="SKS4" s="101"/>
      <c r="SKT4" s="100"/>
      <c r="SKU4" s="102"/>
      <c r="SKW4" s="101"/>
      <c r="SKX4" s="100"/>
      <c r="SKY4" s="102"/>
      <c r="SLA4" s="101"/>
      <c r="SLB4" s="100"/>
      <c r="SLC4" s="102"/>
      <c r="SLE4" s="101"/>
      <c r="SLF4" s="100"/>
      <c r="SLG4" s="102"/>
      <c r="SLI4" s="101"/>
      <c r="SLJ4" s="100"/>
      <c r="SLK4" s="102"/>
      <c r="SLM4" s="101"/>
      <c r="SLN4" s="100"/>
      <c r="SLO4" s="102"/>
      <c r="SLQ4" s="101"/>
      <c r="SLR4" s="100"/>
      <c r="SLS4" s="102"/>
      <c r="SLU4" s="101"/>
      <c r="SLV4" s="100"/>
      <c r="SLW4" s="102"/>
      <c r="SLY4" s="101"/>
      <c r="SLZ4" s="100"/>
      <c r="SMA4" s="102"/>
      <c r="SMC4" s="101"/>
      <c r="SMD4" s="100"/>
      <c r="SME4" s="102"/>
      <c r="SMG4" s="101"/>
      <c r="SMH4" s="100"/>
      <c r="SMI4" s="102"/>
      <c r="SMK4" s="101"/>
      <c r="SML4" s="100"/>
      <c r="SMM4" s="102"/>
      <c r="SMO4" s="101"/>
      <c r="SMP4" s="100"/>
      <c r="SMQ4" s="102"/>
      <c r="SMS4" s="101"/>
      <c r="SMT4" s="100"/>
      <c r="SMU4" s="102"/>
      <c r="SMW4" s="101"/>
      <c r="SMX4" s="100"/>
      <c r="SMY4" s="102"/>
      <c r="SNA4" s="101"/>
      <c r="SNB4" s="100"/>
      <c r="SNC4" s="102"/>
      <c r="SNE4" s="101"/>
      <c r="SNF4" s="100"/>
      <c r="SNG4" s="102"/>
      <c r="SNI4" s="101"/>
      <c r="SNJ4" s="100"/>
      <c r="SNK4" s="102"/>
      <c r="SNM4" s="101"/>
      <c r="SNN4" s="100"/>
      <c r="SNO4" s="102"/>
      <c r="SNQ4" s="101"/>
      <c r="SNR4" s="100"/>
      <c r="SNS4" s="102"/>
      <c r="SNU4" s="101"/>
      <c r="SNV4" s="100"/>
      <c r="SNW4" s="102"/>
      <c r="SNY4" s="101"/>
      <c r="SNZ4" s="100"/>
      <c r="SOA4" s="102"/>
      <c r="SOC4" s="101"/>
      <c r="SOD4" s="100"/>
      <c r="SOE4" s="102"/>
      <c r="SOG4" s="101"/>
      <c r="SOH4" s="100"/>
      <c r="SOI4" s="102"/>
      <c r="SOK4" s="101"/>
      <c r="SOL4" s="100"/>
      <c r="SOM4" s="102"/>
      <c r="SOO4" s="101"/>
      <c r="SOP4" s="100"/>
      <c r="SOQ4" s="102"/>
      <c r="SOS4" s="101"/>
      <c r="SOT4" s="100"/>
      <c r="SOU4" s="102"/>
      <c r="SOW4" s="101"/>
      <c r="SOX4" s="100"/>
      <c r="SOY4" s="102"/>
      <c r="SPA4" s="101"/>
      <c r="SPB4" s="100"/>
      <c r="SPC4" s="102"/>
      <c r="SPE4" s="101"/>
      <c r="SPF4" s="100"/>
      <c r="SPG4" s="102"/>
      <c r="SPI4" s="101"/>
      <c r="SPJ4" s="100"/>
      <c r="SPK4" s="102"/>
      <c r="SPM4" s="101"/>
      <c r="SPN4" s="100"/>
      <c r="SPO4" s="102"/>
      <c r="SPQ4" s="101"/>
      <c r="SPR4" s="100"/>
      <c r="SPS4" s="102"/>
      <c r="SPU4" s="101"/>
      <c r="SPV4" s="100"/>
      <c r="SPW4" s="102"/>
      <c r="SPY4" s="101"/>
      <c r="SPZ4" s="100"/>
      <c r="SQA4" s="102"/>
      <c r="SQC4" s="101"/>
      <c r="SQD4" s="100"/>
      <c r="SQE4" s="102"/>
      <c r="SQG4" s="101"/>
      <c r="SQH4" s="100"/>
      <c r="SQI4" s="102"/>
      <c r="SQK4" s="101"/>
      <c r="SQL4" s="100"/>
      <c r="SQM4" s="102"/>
      <c r="SQO4" s="101"/>
      <c r="SQP4" s="100"/>
      <c r="SQQ4" s="102"/>
      <c r="SQS4" s="101"/>
      <c r="SQT4" s="100"/>
      <c r="SQU4" s="102"/>
      <c r="SQW4" s="101"/>
      <c r="SQX4" s="100"/>
      <c r="SQY4" s="102"/>
      <c r="SRA4" s="101"/>
      <c r="SRB4" s="100"/>
      <c r="SRC4" s="102"/>
      <c r="SRE4" s="101"/>
      <c r="SRF4" s="100"/>
      <c r="SRG4" s="102"/>
      <c r="SRI4" s="101"/>
      <c r="SRJ4" s="100"/>
      <c r="SRK4" s="102"/>
      <c r="SRM4" s="101"/>
      <c r="SRN4" s="100"/>
      <c r="SRO4" s="102"/>
      <c r="SRQ4" s="101"/>
      <c r="SRR4" s="100"/>
      <c r="SRS4" s="102"/>
      <c r="SRU4" s="101"/>
      <c r="SRV4" s="100"/>
      <c r="SRW4" s="102"/>
      <c r="SRY4" s="101"/>
      <c r="SRZ4" s="100"/>
      <c r="SSA4" s="102"/>
      <c r="SSC4" s="101"/>
      <c r="SSD4" s="100"/>
      <c r="SSE4" s="102"/>
      <c r="SSG4" s="101"/>
      <c r="SSH4" s="100"/>
      <c r="SSI4" s="102"/>
      <c r="SSK4" s="101"/>
      <c r="SSL4" s="100"/>
      <c r="SSM4" s="102"/>
      <c r="SSO4" s="101"/>
      <c r="SSP4" s="100"/>
      <c r="SSQ4" s="102"/>
      <c r="SSS4" s="101"/>
      <c r="SST4" s="100"/>
      <c r="SSU4" s="102"/>
      <c r="SSW4" s="101"/>
      <c r="SSX4" s="100"/>
      <c r="SSY4" s="102"/>
      <c r="STA4" s="101"/>
      <c r="STB4" s="100"/>
      <c r="STC4" s="102"/>
      <c r="STE4" s="101"/>
      <c r="STF4" s="100"/>
      <c r="STG4" s="102"/>
      <c r="STI4" s="101"/>
      <c r="STJ4" s="100"/>
      <c r="STK4" s="102"/>
      <c r="STM4" s="101"/>
      <c r="STN4" s="100"/>
      <c r="STO4" s="102"/>
      <c r="STQ4" s="101"/>
      <c r="STR4" s="100"/>
      <c r="STS4" s="102"/>
      <c r="STU4" s="101"/>
      <c r="STV4" s="100"/>
      <c r="STW4" s="102"/>
      <c r="STY4" s="101"/>
      <c r="STZ4" s="100"/>
      <c r="SUA4" s="102"/>
      <c r="SUC4" s="101"/>
      <c r="SUD4" s="100"/>
      <c r="SUE4" s="102"/>
      <c r="SUG4" s="101"/>
      <c r="SUH4" s="100"/>
      <c r="SUI4" s="102"/>
      <c r="SUK4" s="101"/>
      <c r="SUL4" s="100"/>
      <c r="SUM4" s="102"/>
      <c r="SUO4" s="101"/>
      <c r="SUP4" s="100"/>
      <c r="SUQ4" s="102"/>
      <c r="SUS4" s="101"/>
      <c r="SUT4" s="100"/>
      <c r="SUU4" s="102"/>
      <c r="SUW4" s="101"/>
      <c r="SUX4" s="100"/>
      <c r="SUY4" s="102"/>
      <c r="SVA4" s="101"/>
      <c r="SVB4" s="100"/>
      <c r="SVC4" s="102"/>
      <c r="SVE4" s="101"/>
      <c r="SVF4" s="100"/>
      <c r="SVG4" s="102"/>
      <c r="SVI4" s="101"/>
      <c r="SVJ4" s="100"/>
      <c r="SVK4" s="102"/>
      <c r="SVM4" s="101"/>
      <c r="SVN4" s="100"/>
      <c r="SVO4" s="102"/>
      <c r="SVQ4" s="101"/>
      <c r="SVR4" s="100"/>
      <c r="SVS4" s="102"/>
      <c r="SVU4" s="101"/>
      <c r="SVV4" s="100"/>
      <c r="SVW4" s="102"/>
      <c r="SVY4" s="101"/>
      <c r="SVZ4" s="100"/>
      <c r="SWA4" s="102"/>
      <c r="SWC4" s="101"/>
      <c r="SWD4" s="100"/>
      <c r="SWE4" s="102"/>
      <c r="SWG4" s="101"/>
      <c r="SWH4" s="100"/>
      <c r="SWI4" s="102"/>
      <c r="SWK4" s="101"/>
      <c r="SWL4" s="100"/>
      <c r="SWM4" s="102"/>
      <c r="SWO4" s="101"/>
      <c r="SWP4" s="100"/>
      <c r="SWQ4" s="102"/>
      <c r="SWS4" s="101"/>
      <c r="SWT4" s="100"/>
      <c r="SWU4" s="102"/>
      <c r="SWW4" s="101"/>
      <c r="SWX4" s="100"/>
      <c r="SWY4" s="102"/>
      <c r="SXA4" s="101"/>
      <c r="SXB4" s="100"/>
      <c r="SXC4" s="102"/>
      <c r="SXE4" s="101"/>
      <c r="SXF4" s="100"/>
      <c r="SXG4" s="102"/>
      <c r="SXI4" s="101"/>
      <c r="SXJ4" s="100"/>
      <c r="SXK4" s="102"/>
      <c r="SXM4" s="101"/>
      <c r="SXN4" s="100"/>
      <c r="SXO4" s="102"/>
      <c r="SXQ4" s="101"/>
      <c r="SXR4" s="100"/>
      <c r="SXS4" s="102"/>
      <c r="SXU4" s="101"/>
      <c r="SXV4" s="100"/>
      <c r="SXW4" s="102"/>
      <c r="SXY4" s="101"/>
      <c r="SXZ4" s="100"/>
      <c r="SYA4" s="102"/>
      <c r="SYC4" s="101"/>
      <c r="SYD4" s="100"/>
      <c r="SYE4" s="102"/>
      <c r="SYG4" s="101"/>
      <c r="SYH4" s="100"/>
      <c r="SYI4" s="102"/>
      <c r="SYK4" s="101"/>
      <c r="SYL4" s="100"/>
      <c r="SYM4" s="102"/>
      <c r="SYO4" s="101"/>
      <c r="SYP4" s="100"/>
      <c r="SYQ4" s="102"/>
      <c r="SYS4" s="101"/>
      <c r="SYT4" s="100"/>
      <c r="SYU4" s="102"/>
      <c r="SYW4" s="101"/>
      <c r="SYX4" s="100"/>
      <c r="SYY4" s="102"/>
      <c r="SZA4" s="101"/>
      <c r="SZB4" s="100"/>
      <c r="SZC4" s="102"/>
      <c r="SZE4" s="101"/>
      <c r="SZF4" s="100"/>
      <c r="SZG4" s="102"/>
      <c r="SZI4" s="101"/>
      <c r="SZJ4" s="100"/>
      <c r="SZK4" s="102"/>
      <c r="SZM4" s="101"/>
      <c r="SZN4" s="100"/>
      <c r="SZO4" s="102"/>
      <c r="SZQ4" s="101"/>
      <c r="SZR4" s="100"/>
      <c r="SZS4" s="102"/>
      <c r="SZU4" s="101"/>
      <c r="SZV4" s="100"/>
      <c r="SZW4" s="102"/>
      <c r="SZY4" s="101"/>
      <c r="SZZ4" s="100"/>
      <c r="TAA4" s="102"/>
      <c r="TAC4" s="101"/>
      <c r="TAD4" s="100"/>
      <c r="TAE4" s="102"/>
      <c r="TAG4" s="101"/>
      <c r="TAH4" s="100"/>
      <c r="TAI4" s="102"/>
      <c r="TAK4" s="101"/>
      <c r="TAL4" s="100"/>
      <c r="TAM4" s="102"/>
      <c r="TAO4" s="101"/>
      <c r="TAP4" s="100"/>
      <c r="TAQ4" s="102"/>
      <c r="TAS4" s="101"/>
      <c r="TAT4" s="100"/>
      <c r="TAU4" s="102"/>
      <c r="TAW4" s="101"/>
      <c r="TAX4" s="100"/>
      <c r="TAY4" s="102"/>
      <c r="TBA4" s="101"/>
      <c r="TBB4" s="100"/>
      <c r="TBC4" s="102"/>
      <c r="TBE4" s="101"/>
      <c r="TBF4" s="100"/>
      <c r="TBG4" s="102"/>
      <c r="TBI4" s="101"/>
      <c r="TBJ4" s="100"/>
      <c r="TBK4" s="102"/>
      <c r="TBM4" s="101"/>
      <c r="TBN4" s="100"/>
      <c r="TBO4" s="102"/>
      <c r="TBQ4" s="101"/>
      <c r="TBR4" s="100"/>
      <c r="TBS4" s="102"/>
      <c r="TBU4" s="101"/>
      <c r="TBV4" s="100"/>
      <c r="TBW4" s="102"/>
      <c r="TBY4" s="101"/>
      <c r="TBZ4" s="100"/>
      <c r="TCA4" s="102"/>
      <c r="TCC4" s="101"/>
      <c r="TCD4" s="100"/>
      <c r="TCE4" s="102"/>
      <c r="TCG4" s="101"/>
      <c r="TCH4" s="100"/>
      <c r="TCI4" s="102"/>
      <c r="TCK4" s="101"/>
      <c r="TCL4" s="100"/>
      <c r="TCM4" s="102"/>
      <c r="TCO4" s="101"/>
      <c r="TCP4" s="100"/>
      <c r="TCQ4" s="102"/>
      <c r="TCS4" s="101"/>
      <c r="TCT4" s="100"/>
      <c r="TCU4" s="102"/>
      <c r="TCW4" s="101"/>
      <c r="TCX4" s="100"/>
      <c r="TCY4" s="102"/>
      <c r="TDA4" s="101"/>
      <c r="TDB4" s="100"/>
      <c r="TDC4" s="102"/>
      <c r="TDE4" s="101"/>
      <c r="TDF4" s="100"/>
      <c r="TDG4" s="102"/>
      <c r="TDI4" s="101"/>
      <c r="TDJ4" s="100"/>
      <c r="TDK4" s="102"/>
      <c r="TDM4" s="101"/>
      <c r="TDN4" s="100"/>
      <c r="TDO4" s="102"/>
      <c r="TDQ4" s="101"/>
      <c r="TDR4" s="100"/>
      <c r="TDS4" s="102"/>
      <c r="TDU4" s="101"/>
      <c r="TDV4" s="100"/>
      <c r="TDW4" s="102"/>
      <c r="TDY4" s="101"/>
      <c r="TDZ4" s="100"/>
      <c r="TEA4" s="102"/>
      <c r="TEC4" s="101"/>
      <c r="TED4" s="100"/>
      <c r="TEE4" s="102"/>
      <c r="TEG4" s="101"/>
      <c r="TEH4" s="100"/>
      <c r="TEI4" s="102"/>
      <c r="TEK4" s="101"/>
      <c r="TEL4" s="100"/>
      <c r="TEM4" s="102"/>
      <c r="TEO4" s="101"/>
      <c r="TEP4" s="100"/>
      <c r="TEQ4" s="102"/>
      <c r="TES4" s="101"/>
      <c r="TET4" s="100"/>
      <c r="TEU4" s="102"/>
      <c r="TEW4" s="101"/>
      <c r="TEX4" s="100"/>
      <c r="TEY4" s="102"/>
      <c r="TFA4" s="101"/>
      <c r="TFB4" s="100"/>
      <c r="TFC4" s="102"/>
      <c r="TFE4" s="101"/>
      <c r="TFF4" s="100"/>
      <c r="TFG4" s="102"/>
      <c r="TFI4" s="101"/>
      <c r="TFJ4" s="100"/>
      <c r="TFK4" s="102"/>
      <c r="TFM4" s="101"/>
      <c r="TFN4" s="100"/>
      <c r="TFO4" s="102"/>
      <c r="TFQ4" s="101"/>
      <c r="TFR4" s="100"/>
      <c r="TFS4" s="102"/>
      <c r="TFU4" s="101"/>
      <c r="TFV4" s="100"/>
      <c r="TFW4" s="102"/>
      <c r="TFY4" s="101"/>
      <c r="TFZ4" s="100"/>
      <c r="TGA4" s="102"/>
      <c r="TGC4" s="101"/>
      <c r="TGD4" s="100"/>
      <c r="TGE4" s="102"/>
      <c r="TGG4" s="101"/>
      <c r="TGH4" s="100"/>
      <c r="TGI4" s="102"/>
      <c r="TGK4" s="101"/>
      <c r="TGL4" s="100"/>
      <c r="TGM4" s="102"/>
      <c r="TGO4" s="101"/>
      <c r="TGP4" s="100"/>
      <c r="TGQ4" s="102"/>
      <c r="TGS4" s="101"/>
      <c r="TGT4" s="100"/>
      <c r="TGU4" s="102"/>
      <c r="TGW4" s="101"/>
      <c r="TGX4" s="100"/>
      <c r="TGY4" s="102"/>
      <c r="THA4" s="101"/>
      <c r="THB4" s="100"/>
      <c r="THC4" s="102"/>
      <c r="THE4" s="101"/>
      <c r="THF4" s="100"/>
      <c r="THG4" s="102"/>
      <c r="THI4" s="101"/>
      <c r="THJ4" s="100"/>
      <c r="THK4" s="102"/>
      <c r="THM4" s="101"/>
      <c r="THN4" s="100"/>
      <c r="THO4" s="102"/>
      <c r="THQ4" s="101"/>
      <c r="THR4" s="100"/>
      <c r="THS4" s="102"/>
      <c r="THU4" s="101"/>
      <c r="THV4" s="100"/>
      <c r="THW4" s="102"/>
      <c r="THY4" s="101"/>
      <c r="THZ4" s="100"/>
      <c r="TIA4" s="102"/>
      <c r="TIC4" s="101"/>
      <c r="TID4" s="100"/>
      <c r="TIE4" s="102"/>
      <c r="TIG4" s="101"/>
      <c r="TIH4" s="100"/>
      <c r="TII4" s="102"/>
      <c r="TIK4" s="101"/>
      <c r="TIL4" s="100"/>
      <c r="TIM4" s="102"/>
      <c r="TIO4" s="101"/>
      <c r="TIP4" s="100"/>
      <c r="TIQ4" s="102"/>
      <c r="TIS4" s="101"/>
      <c r="TIT4" s="100"/>
      <c r="TIU4" s="102"/>
      <c r="TIW4" s="101"/>
      <c r="TIX4" s="100"/>
      <c r="TIY4" s="102"/>
      <c r="TJA4" s="101"/>
      <c r="TJB4" s="100"/>
      <c r="TJC4" s="102"/>
      <c r="TJE4" s="101"/>
      <c r="TJF4" s="100"/>
      <c r="TJG4" s="102"/>
      <c r="TJI4" s="101"/>
      <c r="TJJ4" s="100"/>
      <c r="TJK4" s="102"/>
      <c r="TJM4" s="101"/>
      <c r="TJN4" s="100"/>
      <c r="TJO4" s="102"/>
      <c r="TJQ4" s="101"/>
      <c r="TJR4" s="100"/>
      <c r="TJS4" s="102"/>
      <c r="TJU4" s="101"/>
      <c r="TJV4" s="100"/>
      <c r="TJW4" s="102"/>
      <c r="TJY4" s="101"/>
      <c r="TJZ4" s="100"/>
      <c r="TKA4" s="102"/>
      <c r="TKC4" s="101"/>
      <c r="TKD4" s="100"/>
      <c r="TKE4" s="102"/>
      <c r="TKG4" s="101"/>
      <c r="TKH4" s="100"/>
      <c r="TKI4" s="102"/>
      <c r="TKK4" s="101"/>
      <c r="TKL4" s="100"/>
      <c r="TKM4" s="102"/>
      <c r="TKO4" s="101"/>
      <c r="TKP4" s="100"/>
      <c r="TKQ4" s="102"/>
      <c r="TKS4" s="101"/>
      <c r="TKT4" s="100"/>
      <c r="TKU4" s="102"/>
      <c r="TKW4" s="101"/>
      <c r="TKX4" s="100"/>
      <c r="TKY4" s="102"/>
      <c r="TLA4" s="101"/>
      <c r="TLB4" s="100"/>
      <c r="TLC4" s="102"/>
      <c r="TLE4" s="101"/>
      <c r="TLF4" s="100"/>
      <c r="TLG4" s="102"/>
      <c r="TLI4" s="101"/>
      <c r="TLJ4" s="100"/>
      <c r="TLK4" s="102"/>
      <c r="TLM4" s="101"/>
      <c r="TLN4" s="100"/>
      <c r="TLO4" s="102"/>
      <c r="TLQ4" s="101"/>
      <c r="TLR4" s="100"/>
      <c r="TLS4" s="102"/>
      <c r="TLU4" s="101"/>
      <c r="TLV4" s="100"/>
      <c r="TLW4" s="102"/>
      <c r="TLY4" s="101"/>
      <c r="TLZ4" s="100"/>
      <c r="TMA4" s="102"/>
      <c r="TMC4" s="101"/>
      <c r="TMD4" s="100"/>
      <c r="TME4" s="102"/>
      <c r="TMG4" s="101"/>
      <c r="TMH4" s="100"/>
      <c r="TMI4" s="102"/>
      <c r="TMK4" s="101"/>
      <c r="TML4" s="100"/>
      <c r="TMM4" s="102"/>
      <c r="TMO4" s="101"/>
      <c r="TMP4" s="100"/>
      <c r="TMQ4" s="102"/>
      <c r="TMS4" s="101"/>
      <c r="TMT4" s="100"/>
      <c r="TMU4" s="102"/>
      <c r="TMW4" s="101"/>
      <c r="TMX4" s="100"/>
      <c r="TMY4" s="102"/>
      <c r="TNA4" s="101"/>
      <c r="TNB4" s="100"/>
      <c r="TNC4" s="102"/>
      <c r="TNE4" s="101"/>
      <c r="TNF4" s="100"/>
      <c r="TNG4" s="102"/>
      <c r="TNI4" s="101"/>
      <c r="TNJ4" s="100"/>
      <c r="TNK4" s="102"/>
      <c r="TNM4" s="101"/>
      <c r="TNN4" s="100"/>
      <c r="TNO4" s="102"/>
      <c r="TNQ4" s="101"/>
      <c r="TNR4" s="100"/>
      <c r="TNS4" s="102"/>
      <c r="TNU4" s="101"/>
      <c r="TNV4" s="100"/>
      <c r="TNW4" s="102"/>
      <c r="TNY4" s="101"/>
      <c r="TNZ4" s="100"/>
      <c r="TOA4" s="102"/>
      <c r="TOC4" s="101"/>
      <c r="TOD4" s="100"/>
      <c r="TOE4" s="102"/>
      <c r="TOG4" s="101"/>
      <c r="TOH4" s="100"/>
      <c r="TOI4" s="102"/>
      <c r="TOK4" s="101"/>
      <c r="TOL4" s="100"/>
      <c r="TOM4" s="102"/>
      <c r="TOO4" s="101"/>
      <c r="TOP4" s="100"/>
      <c r="TOQ4" s="102"/>
      <c r="TOS4" s="101"/>
      <c r="TOT4" s="100"/>
      <c r="TOU4" s="102"/>
      <c r="TOW4" s="101"/>
      <c r="TOX4" s="100"/>
      <c r="TOY4" s="102"/>
      <c r="TPA4" s="101"/>
      <c r="TPB4" s="100"/>
      <c r="TPC4" s="102"/>
      <c r="TPE4" s="101"/>
      <c r="TPF4" s="100"/>
      <c r="TPG4" s="102"/>
      <c r="TPI4" s="101"/>
      <c r="TPJ4" s="100"/>
      <c r="TPK4" s="102"/>
      <c r="TPM4" s="101"/>
      <c r="TPN4" s="100"/>
      <c r="TPO4" s="102"/>
      <c r="TPQ4" s="101"/>
      <c r="TPR4" s="100"/>
      <c r="TPS4" s="102"/>
      <c r="TPU4" s="101"/>
      <c r="TPV4" s="100"/>
      <c r="TPW4" s="102"/>
      <c r="TPY4" s="101"/>
      <c r="TPZ4" s="100"/>
      <c r="TQA4" s="102"/>
      <c r="TQC4" s="101"/>
      <c r="TQD4" s="100"/>
      <c r="TQE4" s="102"/>
      <c r="TQG4" s="101"/>
      <c r="TQH4" s="100"/>
      <c r="TQI4" s="102"/>
      <c r="TQK4" s="101"/>
      <c r="TQL4" s="100"/>
      <c r="TQM4" s="102"/>
      <c r="TQO4" s="101"/>
      <c r="TQP4" s="100"/>
      <c r="TQQ4" s="102"/>
      <c r="TQS4" s="101"/>
      <c r="TQT4" s="100"/>
      <c r="TQU4" s="102"/>
      <c r="TQW4" s="101"/>
      <c r="TQX4" s="100"/>
      <c r="TQY4" s="102"/>
      <c r="TRA4" s="101"/>
      <c r="TRB4" s="100"/>
      <c r="TRC4" s="102"/>
      <c r="TRE4" s="101"/>
      <c r="TRF4" s="100"/>
      <c r="TRG4" s="102"/>
      <c r="TRI4" s="101"/>
      <c r="TRJ4" s="100"/>
      <c r="TRK4" s="102"/>
      <c r="TRM4" s="101"/>
      <c r="TRN4" s="100"/>
      <c r="TRO4" s="102"/>
      <c r="TRQ4" s="101"/>
      <c r="TRR4" s="100"/>
      <c r="TRS4" s="102"/>
      <c r="TRU4" s="101"/>
      <c r="TRV4" s="100"/>
      <c r="TRW4" s="102"/>
      <c r="TRY4" s="101"/>
      <c r="TRZ4" s="100"/>
      <c r="TSA4" s="102"/>
      <c r="TSC4" s="101"/>
      <c r="TSD4" s="100"/>
      <c r="TSE4" s="102"/>
      <c r="TSG4" s="101"/>
      <c r="TSH4" s="100"/>
      <c r="TSI4" s="102"/>
      <c r="TSK4" s="101"/>
      <c r="TSL4" s="100"/>
      <c r="TSM4" s="102"/>
      <c r="TSO4" s="101"/>
      <c r="TSP4" s="100"/>
      <c r="TSQ4" s="102"/>
      <c r="TSS4" s="101"/>
      <c r="TST4" s="100"/>
      <c r="TSU4" s="102"/>
      <c r="TSW4" s="101"/>
      <c r="TSX4" s="100"/>
      <c r="TSY4" s="102"/>
      <c r="TTA4" s="101"/>
      <c r="TTB4" s="100"/>
      <c r="TTC4" s="102"/>
      <c r="TTE4" s="101"/>
      <c r="TTF4" s="100"/>
      <c r="TTG4" s="102"/>
      <c r="TTI4" s="101"/>
      <c r="TTJ4" s="100"/>
      <c r="TTK4" s="102"/>
      <c r="TTM4" s="101"/>
      <c r="TTN4" s="100"/>
      <c r="TTO4" s="102"/>
      <c r="TTQ4" s="101"/>
      <c r="TTR4" s="100"/>
      <c r="TTS4" s="102"/>
      <c r="TTU4" s="101"/>
      <c r="TTV4" s="100"/>
      <c r="TTW4" s="102"/>
      <c r="TTY4" s="101"/>
      <c r="TTZ4" s="100"/>
      <c r="TUA4" s="102"/>
      <c r="TUC4" s="101"/>
      <c r="TUD4" s="100"/>
      <c r="TUE4" s="102"/>
      <c r="TUG4" s="101"/>
      <c r="TUH4" s="100"/>
      <c r="TUI4" s="102"/>
      <c r="TUK4" s="101"/>
      <c r="TUL4" s="100"/>
      <c r="TUM4" s="102"/>
      <c r="TUO4" s="101"/>
      <c r="TUP4" s="100"/>
      <c r="TUQ4" s="102"/>
      <c r="TUS4" s="101"/>
      <c r="TUT4" s="100"/>
      <c r="TUU4" s="102"/>
      <c r="TUW4" s="101"/>
      <c r="TUX4" s="100"/>
      <c r="TUY4" s="102"/>
      <c r="TVA4" s="101"/>
      <c r="TVB4" s="100"/>
      <c r="TVC4" s="102"/>
      <c r="TVE4" s="101"/>
      <c r="TVF4" s="100"/>
      <c r="TVG4" s="102"/>
      <c r="TVI4" s="101"/>
      <c r="TVJ4" s="100"/>
      <c r="TVK4" s="102"/>
      <c r="TVM4" s="101"/>
      <c r="TVN4" s="100"/>
      <c r="TVO4" s="102"/>
      <c r="TVQ4" s="101"/>
      <c r="TVR4" s="100"/>
      <c r="TVS4" s="102"/>
      <c r="TVU4" s="101"/>
      <c r="TVV4" s="100"/>
      <c r="TVW4" s="102"/>
      <c r="TVY4" s="101"/>
      <c r="TVZ4" s="100"/>
      <c r="TWA4" s="102"/>
      <c r="TWC4" s="101"/>
      <c r="TWD4" s="100"/>
      <c r="TWE4" s="102"/>
      <c r="TWG4" s="101"/>
      <c r="TWH4" s="100"/>
      <c r="TWI4" s="102"/>
      <c r="TWK4" s="101"/>
      <c r="TWL4" s="100"/>
      <c r="TWM4" s="102"/>
      <c r="TWO4" s="101"/>
      <c r="TWP4" s="100"/>
      <c r="TWQ4" s="102"/>
      <c r="TWS4" s="101"/>
      <c r="TWT4" s="100"/>
      <c r="TWU4" s="102"/>
      <c r="TWW4" s="101"/>
      <c r="TWX4" s="100"/>
      <c r="TWY4" s="102"/>
      <c r="TXA4" s="101"/>
      <c r="TXB4" s="100"/>
      <c r="TXC4" s="102"/>
      <c r="TXE4" s="101"/>
      <c r="TXF4" s="100"/>
      <c r="TXG4" s="102"/>
      <c r="TXI4" s="101"/>
      <c r="TXJ4" s="100"/>
      <c r="TXK4" s="102"/>
      <c r="TXM4" s="101"/>
      <c r="TXN4" s="100"/>
      <c r="TXO4" s="102"/>
      <c r="TXQ4" s="101"/>
      <c r="TXR4" s="100"/>
      <c r="TXS4" s="102"/>
      <c r="TXU4" s="101"/>
      <c r="TXV4" s="100"/>
      <c r="TXW4" s="102"/>
      <c r="TXY4" s="101"/>
      <c r="TXZ4" s="100"/>
      <c r="TYA4" s="102"/>
      <c r="TYC4" s="101"/>
      <c r="TYD4" s="100"/>
      <c r="TYE4" s="102"/>
      <c r="TYG4" s="101"/>
      <c r="TYH4" s="100"/>
      <c r="TYI4" s="102"/>
      <c r="TYK4" s="101"/>
      <c r="TYL4" s="100"/>
      <c r="TYM4" s="102"/>
      <c r="TYO4" s="101"/>
      <c r="TYP4" s="100"/>
      <c r="TYQ4" s="102"/>
      <c r="TYS4" s="101"/>
      <c r="TYT4" s="100"/>
      <c r="TYU4" s="102"/>
      <c r="TYW4" s="101"/>
      <c r="TYX4" s="100"/>
      <c r="TYY4" s="102"/>
      <c r="TZA4" s="101"/>
      <c r="TZB4" s="100"/>
      <c r="TZC4" s="102"/>
      <c r="TZE4" s="101"/>
      <c r="TZF4" s="100"/>
      <c r="TZG4" s="102"/>
      <c r="TZI4" s="101"/>
      <c r="TZJ4" s="100"/>
      <c r="TZK4" s="102"/>
      <c r="TZM4" s="101"/>
      <c r="TZN4" s="100"/>
      <c r="TZO4" s="102"/>
      <c r="TZQ4" s="101"/>
      <c r="TZR4" s="100"/>
      <c r="TZS4" s="102"/>
      <c r="TZU4" s="101"/>
      <c r="TZV4" s="100"/>
      <c r="TZW4" s="102"/>
      <c r="TZY4" s="101"/>
      <c r="TZZ4" s="100"/>
      <c r="UAA4" s="102"/>
      <c r="UAC4" s="101"/>
      <c r="UAD4" s="100"/>
      <c r="UAE4" s="102"/>
      <c r="UAG4" s="101"/>
      <c r="UAH4" s="100"/>
      <c r="UAI4" s="102"/>
      <c r="UAK4" s="101"/>
      <c r="UAL4" s="100"/>
      <c r="UAM4" s="102"/>
      <c r="UAO4" s="101"/>
      <c r="UAP4" s="100"/>
      <c r="UAQ4" s="102"/>
      <c r="UAS4" s="101"/>
      <c r="UAT4" s="100"/>
      <c r="UAU4" s="102"/>
      <c r="UAW4" s="101"/>
      <c r="UAX4" s="100"/>
      <c r="UAY4" s="102"/>
      <c r="UBA4" s="101"/>
      <c r="UBB4" s="100"/>
      <c r="UBC4" s="102"/>
      <c r="UBE4" s="101"/>
      <c r="UBF4" s="100"/>
      <c r="UBG4" s="102"/>
      <c r="UBI4" s="101"/>
      <c r="UBJ4" s="100"/>
      <c r="UBK4" s="102"/>
      <c r="UBM4" s="101"/>
      <c r="UBN4" s="100"/>
      <c r="UBO4" s="102"/>
      <c r="UBQ4" s="101"/>
      <c r="UBR4" s="100"/>
      <c r="UBS4" s="102"/>
      <c r="UBU4" s="101"/>
      <c r="UBV4" s="100"/>
      <c r="UBW4" s="102"/>
      <c r="UBY4" s="101"/>
      <c r="UBZ4" s="100"/>
      <c r="UCA4" s="102"/>
      <c r="UCC4" s="101"/>
      <c r="UCD4" s="100"/>
      <c r="UCE4" s="102"/>
      <c r="UCG4" s="101"/>
      <c r="UCH4" s="100"/>
      <c r="UCI4" s="102"/>
      <c r="UCK4" s="101"/>
      <c r="UCL4" s="100"/>
      <c r="UCM4" s="102"/>
      <c r="UCO4" s="101"/>
      <c r="UCP4" s="100"/>
      <c r="UCQ4" s="102"/>
      <c r="UCS4" s="101"/>
      <c r="UCT4" s="100"/>
      <c r="UCU4" s="102"/>
      <c r="UCW4" s="101"/>
      <c r="UCX4" s="100"/>
      <c r="UCY4" s="102"/>
      <c r="UDA4" s="101"/>
      <c r="UDB4" s="100"/>
      <c r="UDC4" s="102"/>
      <c r="UDE4" s="101"/>
      <c r="UDF4" s="100"/>
      <c r="UDG4" s="102"/>
      <c r="UDI4" s="101"/>
      <c r="UDJ4" s="100"/>
      <c r="UDK4" s="102"/>
      <c r="UDM4" s="101"/>
      <c r="UDN4" s="100"/>
      <c r="UDO4" s="102"/>
      <c r="UDQ4" s="101"/>
      <c r="UDR4" s="100"/>
      <c r="UDS4" s="102"/>
      <c r="UDU4" s="101"/>
      <c r="UDV4" s="100"/>
      <c r="UDW4" s="102"/>
      <c r="UDY4" s="101"/>
      <c r="UDZ4" s="100"/>
      <c r="UEA4" s="102"/>
      <c r="UEC4" s="101"/>
      <c r="UED4" s="100"/>
      <c r="UEE4" s="102"/>
      <c r="UEG4" s="101"/>
      <c r="UEH4" s="100"/>
      <c r="UEI4" s="102"/>
      <c r="UEK4" s="101"/>
      <c r="UEL4" s="100"/>
      <c r="UEM4" s="102"/>
      <c r="UEO4" s="101"/>
      <c r="UEP4" s="100"/>
      <c r="UEQ4" s="102"/>
      <c r="UES4" s="101"/>
      <c r="UET4" s="100"/>
      <c r="UEU4" s="102"/>
      <c r="UEW4" s="101"/>
      <c r="UEX4" s="100"/>
      <c r="UEY4" s="102"/>
      <c r="UFA4" s="101"/>
      <c r="UFB4" s="100"/>
      <c r="UFC4" s="102"/>
      <c r="UFE4" s="101"/>
      <c r="UFF4" s="100"/>
      <c r="UFG4" s="102"/>
      <c r="UFI4" s="101"/>
      <c r="UFJ4" s="100"/>
      <c r="UFK4" s="102"/>
      <c r="UFM4" s="101"/>
      <c r="UFN4" s="100"/>
      <c r="UFO4" s="102"/>
      <c r="UFQ4" s="101"/>
      <c r="UFR4" s="100"/>
      <c r="UFS4" s="102"/>
      <c r="UFU4" s="101"/>
      <c r="UFV4" s="100"/>
      <c r="UFW4" s="102"/>
      <c r="UFY4" s="101"/>
      <c r="UFZ4" s="100"/>
      <c r="UGA4" s="102"/>
      <c r="UGC4" s="101"/>
      <c r="UGD4" s="100"/>
      <c r="UGE4" s="102"/>
      <c r="UGG4" s="101"/>
      <c r="UGH4" s="100"/>
      <c r="UGI4" s="102"/>
      <c r="UGK4" s="101"/>
      <c r="UGL4" s="100"/>
      <c r="UGM4" s="102"/>
      <c r="UGO4" s="101"/>
      <c r="UGP4" s="100"/>
      <c r="UGQ4" s="102"/>
      <c r="UGS4" s="101"/>
      <c r="UGT4" s="100"/>
      <c r="UGU4" s="102"/>
      <c r="UGW4" s="101"/>
      <c r="UGX4" s="100"/>
      <c r="UGY4" s="102"/>
      <c r="UHA4" s="101"/>
      <c r="UHB4" s="100"/>
      <c r="UHC4" s="102"/>
      <c r="UHE4" s="101"/>
      <c r="UHF4" s="100"/>
      <c r="UHG4" s="102"/>
      <c r="UHI4" s="101"/>
      <c r="UHJ4" s="100"/>
      <c r="UHK4" s="102"/>
      <c r="UHM4" s="101"/>
      <c r="UHN4" s="100"/>
      <c r="UHO4" s="102"/>
      <c r="UHQ4" s="101"/>
      <c r="UHR4" s="100"/>
      <c r="UHS4" s="102"/>
      <c r="UHU4" s="101"/>
      <c r="UHV4" s="100"/>
      <c r="UHW4" s="102"/>
      <c r="UHY4" s="101"/>
      <c r="UHZ4" s="100"/>
      <c r="UIA4" s="102"/>
      <c r="UIC4" s="101"/>
      <c r="UID4" s="100"/>
      <c r="UIE4" s="102"/>
      <c r="UIG4" s="101"/>
      <c r="UIH4" s="100"/>
      <c r="UII4" s="102"/>
      <c r="UIK4" s="101"/>
      <c r="UIL4" s="100"/>
      <c r="UIM4" s="102"/>
      <c r="UIO4" s="101"/>
      <c r="UIP4" s="100"/>
      <c r="UIQ4" s="102"/>
      <c r="UIS4" s="101"/>
      <c r="UIT4" s="100"/>
      <c r="UIU4" s="102"/>
      <c r="UIW4" s="101"/>
      <c r="UIX4" s="100"/>
      <c r="UIY4" s="102"/>
      <c r="UJA4" s="101"/>
      <c r="UJB4" s="100"/>
      <c r="UJC4" s="102"/>
      <c r="UJE4" s="101"/>
      <c r="UJF4" s="100"/>
      <c r="UJG4" s="102"/>
      <c r="UJI4" s="101"/>
      <c r="UJJ4" s="100"/>
      <c r="UJK4" s="102"/>
      <c r="UJM4" s="101"/>
      <c r="UJN4" s="100"/>
      <c r="UJO4" s="102"/>
      <c r="UJQ4" s="101"/>
      <c r="UJR4" s="100"/>
      <c r="UJS4" s="102"/>
      <c r="UJU4" s="101"/>
      <c r="UJV4" s="100"/>
      <c r="UJW4" s="102"/>
      <c r="UJY4" s="101"/>
      <c r="UJZ4" s="100"/>
      <c r="UKA4" s="102"/>
      <c r="UKC4" s="101"/>
      <c r="UKD4" s="100"/>
      <c r="UKE4" s="102"/>
      <c r="UKG4" s="101"/>
      <c r="UKH4" s="100"/>
      <c r="UKI4" s="102"/>
      <c r="UKK4" s="101"/>
      <c r="UKL4" s="100"/>
      <c r="UKM4" s="102"/>
      <c r="UKO4" s="101"/>
      <c r="UKP4" s="100"/>
      <c r="UKQ4" s="102"/>
      <c r="UKS4" s="101"/>
      <c r="UKT4" s="100"/>
      <c r="UKU4" s="102"/>
      <c r="UKW4" s="101"/>
      <c r="UKX4" s="100"/>
      <c r="UKY4" s="102"/>
      <c r="ULA4" s="101"/>
      <c r="ULB4" s="100"/>
      <c r="ULC4" s="102"/>
      <c r="ULE4" s="101"/>
      <c r="ULF4" s="100"/>
      <c r="ULG4" s="102"/>
      <c r="ULI4" s="101"/>
      <c r="ULJ4" s="100"/>
      <c r="ULK4" s="102"/>
      <c r="ULM4" s="101"/>
      <c r="ULN4" s="100"/>
      <c r="ULO4" s="102"/>
      <c r="ULQ4" s="101"/>
      <c r="ULR4" s="100"/>
      <c r="ULS4" s="102"/>
      <c r="ULU4" s="101"/>
      <c r="ULV4" s="100"/>
      <c r="ULW4" s="102"/>
      <c r="ULY4" s="101"/>
      <c r="ULZ4" s="100"/>
      <c r="UMA4" s="102"/>
      <c r="UMC4" s="101"/>
      <c r="UMD4" s="100"/>
      <c r="UME4" s="102"/>
      <c r="UMG4" s="101"/>
      <c r="UMH4" s="100"/>
      <c r="UMI4" s="102"/>
      <c r="UMK4" s="101"/>
      <c r="UML4" s="100"/>
      <c r="UMM4" s="102"/>
      <c r="UMO4" s="101"/>
      <c r="UMP4" s="100"/>
      <c r="UMQ4" s="102"/>
      <c r="UMS4" s="101"/>
      <c r="UMT4" s="100"/>
      <c r="UMU4" s="102"/>
      <c r="UMW4" s="101"/>
      <c r="UMX4" s="100"/>
      <c r="UMY4" s="102"/>
      <c r="UNA4" s="101"/>
      <c r="UNB4" s="100"/>
      <c r="UNC4" s="102"/>
      <c r="UNE4" s="101"/>
      <c r="UNF4" s="100"/>
      <c r="UNG4" s="102"/>
      <c r="UNI4" s="101"/>
      <c r="UNJ4" s="100"/>
      <c r="UNK4" s="102"/>
      <c r="UNM4" s="101"/>
      <c r="UNN4" s="100"/>
      <c r="UNO4" s="102"/>
      <c r="UNQ4" s="101"/>
      <c r="UNR4" s="100"/>
      <c r="UNS4" s="102"/>
      <c r="UNU4" s="101"/>
      <c r="UNV4" s="100"/>
      <c r="UNW4" s="102"/>
      <c r="UNY4" s="101"/>
      <c r="UNZ4" s="100"/>
      <c r="UOA4" s="102"/>
      <c r="UOC4" s="101"/>
      <c r="UOD4" s="100"/>
      <c r="UOE4" s="102"/>
      <c r="UOG4" s="101"/>
      <c r="UOH4" s="100"/>
      <c r="UOI4" s="102"/>
      <c r="UOK4" s="101"/>
      <c r="UOL4" s="100"/>
      <c r="UOM4" s="102"/>
      <c r="UOO4" s="101"/>
      <c r="UOP4" s="100"/>
      <c r="UOQ4" s="102"/>
      <c r="UOS4" s="101"/>
      <c r="UOT4" s="100"/>
      <c r="UOU4" s="102"/>
      <c r="UOW4" s="101"/>
      <c r="UOX4" s="100"/>
      <c r="UOY4" s="102"/>
      <c r="UPA4" s="101"/>
      <c r="UPB4" s="100"/>
      <c r="UPC4" s="102"/>
      <c r="UPE4" s="101"/>
      <c r="UPF4" s="100"/>
      <c r="UPG4" s="102"/>
      <c r="UPI4" s="101"/>
      <c r="UPJ4" s="100"/>
      <c r="UPK4" s="102"/>
      <c r="UPM4" s="101"/>
      <c r="UPN4" s="100"/>
      <c r="UPO4" s="102"/>
      <c r="UPQ4" s="101"/>
      <c r="UPR4" s="100"/>
      <c r="UPS4" s="102"/>
      <c r="UPU4" s="101"/>
      <c r="UPV4" s="100"/>
      <c r="UPW4" s="102"/>
      <c r="UPY4" s="101"/>
      <c r="UPZ4" s="100"/>
      <c r="UQA4" s="102"/>
      <c r="UQC4" s="101"/>
      <c r="UQD4" s="100"/>
      <c r="UQE4" s="102"/>
      <c r="UQG4" s="101"/>
      <c r="UQH4" s="100"/>
      <c r="UQI4" s="102"/>
      <c r="UQK4" s="101"/>
      <c r="UQL4" s="100"/>
      <c r="UQM4" s="102"/>
      <c r="UQO4" s="101"/>
      <c r="UQP4" s="100"/>
      <c r="UQQ4" s="102"/>
      <c r="UQS4" s="101"/>
      <c r="UQT4" s="100"/>
      <c r="UQU4" s="102"/>
      <c r="UQW4" s="101"/>
      <c r="UQX4" s="100"/>
      <c r="UQY4" s="102"/>
      <c r="URA4" s="101"/>
      <c r="URB4" s="100"/>
      <c r="URC4" s="102"/>
      <c r="URE4" s="101"/>
      <c r="URF4" s="100"/>
      <c r="URG4" s="102"/>
      <c r="URI4" s="101"/>
      <c r="URJ4" s="100"/>
      <c r="URK4" s="102"/>
      <c r="URM4" s="101"/>
      <c r="URN4" s="100"/>
      <c r="URO4" s="102"/>
      <c r="URQ4" s="101"/>
      <c r="URR4" s="100"/>
      <c r="URS4" s="102"/>
      <c r="URU4" s="101"/>
      <c r="URV4" s="100"/>
      <c r="URW4" s="102"/>
      <c r="URY4" s="101"/>
      <c r="URZ4" s="100"/>
      <c r="USA4" s="102"/>
      <c r="USC4" s="101"/>
      <c r="USD4" s="100"/>
      <c r="USE4" s="102"/>
      <c r="USG4" s="101"/>
      <c r="USH4" s="100"/>
      <c r="USI4" s="102"/>
      <c r="USK4" s="101"/>
      <c r="USL4" s="100"/>
      <c r="USM4" s="102"/>
      <c r="USO4" s="101"/>
      <c r="USP4" s="100"/>
      <c r="USQ4" s="102"/>
      <c r="USS4" s="101"/>
      <c r="UST4" s="100"/>
      <c r="USU4" s="102"/>
      <c r="USW4" s="101"/>
      <c r="USX4" s="100"/>
      <c r="USY4" s="102"/>
      <c r="UTA4" s="101"/>
      <c r="UTB4" s="100"/>
      <c r="UTC4" s="102"/>
      <c r="UTE4" s="101"/>
      <c r="UTF4" s="100"/>
      <c r="UTG4" s="102"/>
      <c r="UTI4" s="101"/>
      <c r="UTJ4" s="100"/>
      <c r="UTK4" s="102"/>
      <c r="UTM4" s="101"/>
      <c r="UTN4" s="100"/>
      <c r="UTO4" s="102"/>
      <c r="UTQ4" s="101"/>
      <c r="UTR4" s="100"/>
      <c r="UTS4" s="102"/>
      <c r="UTU4" s="101"/>
      <c r="UTV4" s="100"/>
      <c r="UTW4" s="102"/>
      <c r="UTY4" s="101"/>
      <c r="UTZ4" s="100"/>
      <c r="UUA4" s="102"/>
      <c r="UUC4" s="101"/>
      <c r="UUD4" s="100"/>
      <c r="UUE4" s="102"/>
      <c r="UUG4" s="101"/>
      <c r="UUH4" s="100"/>
      <c r="UUI4" s="102"/>
      <c r="UUK4" s="101"/>
      <c r="UUL4" s="100"/>
      <c r="UUM4" s="102"/>
      <c r="UUO4" s="101"/>
      <c r="UUP4" s="100"/>
      <c r="UUQ4" s="102"/>
      <c r="UUS4" s="101"/>
      <c r="UUT4" s="100"/>
      <c r="UUU4" s="102"/>
      <c r="UUW4" s="101"/>
      <c r="UUX4" s="100"/>
      <c r="UUY4" s="102"/>
      <c r="UVA4" s="101"/>
      <c r="UVB4" s="100"/>
      <c r="UVC4" s="102"/>
      <c r="UVE4" s="101"/>
      <c r="UVF4" s="100"/>
      <c r="UVG4" s="102"/>
      <c r="UVI4" s="101"/>
      <c r="UVJ4" s="100"/>
      <c r="UVK4" s="102"/>
      <c r="UVM4" s="101"/>
      <c r="UVN4" s="100"/>
      <c r="UVO4" s="102"/>
      <c r="UVQ4" s="101"/>
      <c r="UVR4" s="100"/>
      <c r="UVS4" s="102"/>
      <c r="UVU4" s="101"/>
      <c r="UVV4" s="100"/>
      <c r="UVW4" s="102"/>
      <c r="UVY4" s="101"/>
      <c r="UVZ4" s="100"/>
      <c r="UWA4" s="102"/>
      <c r="UWC4" s="101"/>
      <c r="UWD4" s="100"/>
      <c r="UWE4" s="102"/>
      <c r="UWG4" s="101"/>
      <c r="UWH4" s="100"/>
      <c r="UWI4" s="102"/>
      <c r="UWK4" s="101"/>
      <c r="UWL4" s="100"/>
      <c r="UWM4" s="102"/>
      <c r="UWO4" s="101"/>
      <c r="UWP4" s="100"/>
      <c r="UWQ4" s="102"/>
      <c r="UWS4" s="101"/>
      <c r="UWT4" s="100"/>
      <c r="UWU4" s="102"/>
      <c r="UWW4" s="101"/>
      <c r="UWX4" s="100"/>
      <c r="UWY4" s="102"/>
      <c r="UXA4" s="101"/>
      <c r="UXB4" s="100"/>
      <c r="UXC4" s="102"/>
      <c r="UXE4" s="101"/>
      <c r="UXF4" s="100"/>
      <c r="UXG4" s="102"/>
      <c r="UXI4" s="101"/>
      <c r="UXJ4" s="100"/>
      <c r="UXK4" s="102"/>
      <c r="UXM4" s="101"/>
      <c r="UXN4" s="100"/>
      <c r="UXO4" s="102"/>
      <c r="UXQ4" s="101"/>
      <c r="UXR4" s="100"/>
      <c r="UXS4" s="102"/>
      <c r="UXU4" s="101"/>
      <c r="UXV4" s="100"/>
      <c r="UXW4" s="102"/>
      <c r="UXY4" s="101"/>
      <c r="UXZ4" s="100"/>
      <c r="UYA4" s="102"/>
      <c r="UYC4" s="101"/>
      <c r="UYD4" s="100"/>
      <c r="UYE4" s="102"/>
      <c r="UYG4" s="101"/>
      <c r="UYH4" s="100"/>
      <c r="UYI4" s="102"/>
      <c r="UYK4" s="101"/>
      <c r="UYL4" s="100"/>
      <c r="UYM4" s="102"/>
      <c r="UYO4" s="101"/>
      <c r="UYP4" s="100"/>
      <c r="UYQ4" s="102"/>
      <c r="UYS4" s="101"/>
      <c r="UYT4" s="100"/>
      <c r="UYU4" s="102"/>
      <c r="UYW4" s="101"/>
      <c r="UYX4" s="100"/>
      <c r="UYY4" s="102"/>
      <c r="UZA4" s="101"/>
      <c r="UZB4" s="100"/>
      <c r="UZC4" s="102"/>
      <c r="UZE4" s="101"/>
      <c r="UZF4" s="100"/>
      <c r="UZG4" s="102"/>
      <c r="UZI4" s="101"/>
      <c r="UZJ4" s="100"/>
      <c r="UZK4" s="102"/>
      <c r="UZM4" s="101"/>
      <c r="UZN4" s="100"/>
      <c r="UZO4" s="102"/>
      <c r="UZQ4" s="101"/>
      <c r="UZR4" s="100"/>
      <c r="UZS4" s="102"/>
      <c r="UZU4" s="101"/>
      <c r="UZV4" s="100"/>
      <c r="UZW4" s="102"/>
      <c r="UZY4" s="101"/>
      <c r="UZZ4" s="100"/>
      <c r="VAA4" s="102"/>
      <c r="VAC4" s="101"/>
      <c r="VAD4" s="100"/>
      <c r="VAE4" s="102"/>
      <c r="VAG4" s="101"/>
      <c r="VAH4" s="100"/>
      <c r="VAI4" s="102"/>
      <c r="VAK4" s="101"/>
      <c r="VAL4" s="100"/>
      <c r="VAM4" s="102"/>
      <c r="VAO4" s="101"/>
      <c r="VAP4" s="100"/>
      <c r="VAQ4" s="102"/>
      <c r="VAS4" s="101"/>
      <c r="VAT4" s="100"/>
      <c r="VAU4" s="102"/>
      <c r="VAW4" s="101"/>
      <c r="VAX4" s="100"/>
      <c r="VAY4" s="102"/>
      <c r="VBA4" s="101"/>
      <c r="VBB4" s="100"/>
      <c r="VBC4" s="102"/>
      <c r="VBE4" s="101"/>
      <c r="VBF4" s="100"/>
      <c r="VBG4" s="102"/>
      <c r="VBI4" s="101"/>
      <c r="VBJ4" s="100"/>
      <c r="VBK4" s="102"/>
      <c r="VBM4" s="101"/>
      <c r="VBN4" s="100"/>
      <c r="VBO4" s="102"/>
      <c r="VBQ4" s="101"/>
      <c r="VBR4" s="100"/>
      <c r="VBS4" s="102"/>
      <c r="VBU4" s="101"/>
      <c r="VBV4" s="100"/>
      <c r="VBW4" s="102"/>
      <c r="VBY4" s="101"/>
      <c r="VBZ4" s="100"/>
      <c r="VCA4" s="102"/>
      <c r="VCC4" s="101"/>
      <c r="VCD4" s="100"/>
      <c r="VCE4" s="102"/>
      <c r="VCG4" s="101"/>
      <c r="VCH4" s="100"/>
      <c r="VCI4" s="102"/>
      <c r="VCK4" s="101"/>
      <c r="VCL4" s="100"/>
      <c r="VCM4" s="102"/>
      <c r="VCO4" s="101"/>
      <c r="VCP4" s="100"/>
      <c r="VCQ4" s="102"/>
      <c r="VCS4" s="101"/>
      <c r="VCT4" s="100"/>
      <c r="VCU4" s="102"/>
      <c r="VCW4" s="101"/>
      <c r="VCX4" s="100"/>
      <c r="VCY4" s="102"/>
      <c r="VDA4" s="101"/>
      <c r="VDB4" s="100"/>
      <c r="VDC4" s="102"/>
      <c r="VDE4" s="101"/>
      <c r="VDF4" s="100"/>
      <c r="VDG4" s="102"/>
      <c r="VDI4" s="101"/>
      <c r="VDJ4" s="100"/>
      <c r="VDK4" s="102"/>
      <c r="VDM4" s="101"/>
      <c r="VDN4" s="100"/>
      <c r="VDO4" s="102"/>
      <c r="VDQ4" s="101"/>
      <c r="VDR4" s="100"/>
      <c r="VDS4" s="102"/>
      <c r="VDU4" s="101"/>
      <c r="VDV4" s="100"/>
      <c r="VDW4" s="102"/>
      <c r="VDY4" s="101"/>
      <c r="VDZ4" s="100"/>
      <c r="VEA4" s="102"/>
      <c r="VEC4" s="101"/>
      <c r="VED4" s="100"/>
      <c r="VEE4" s="102"/>
      <c r="VEG4" s="101"/>
      <c r="VEH4" s="100"/>
      <c r="VEI4" s="102"/>
      <c r="VEK4" s="101"/>
      <c r="VEL4" s="100"/>
      <c r="VEM4" s="102"/>
      <c r="VEO4" s="101"/>
      <c r="VEP4" s="100"/>
      <c r="VEQ4" s="102"/>
      <c r="VES4" s="101"/>
      <c r="VET4" s="100"/>
      <c r="VEU4" s="102"/>
      <c r="VEW4" s="101"/>
      <c r="VEX4" s="100"/>
      <c r="VEY4" s="102"/>
      <c r="VFA4" s="101"/>
      <c r="VFB4" s="100"/>
      <c r="VFC4" s="102"/>
      <c r="VFE4" s="101"/>
      <c r="VFF4" s="100"/>
      <c r="VFG4" s="102"/>
      <c r="VFI4" s="101"/>
      <c r="VFJ4" s="100"/>
      <c r="VFK4" s="102"/>
      <c r="VFM4" s="101"/>
      <c r="VFN4" s="100"/>
      <c r="VFO4" s="102"/>
      <c r="VFQ4" s="101"/>
      <c r="VFR4" s="100"/>
      <c r="VFS4" s="102"/>
      <c r="VFU4" s="101"/>
      <c r="VFV4" s="100"/>
      <c r="VFW4" s="102"/>
      <c r="VFY4" s="101"/>
      <c r="VFZ4" s="100"/>
      <c r="VGA4" s="102"/>
      <c r="VGC4" s="101"/>
      <c r="VGD4" s="100"/>
      <c r="VGE4" s="102"/>
      <c r="VGG4" s="101"/>
      <c r="VGH4" s="100"/>
      <c r="VGI4" s="102"/>
      <c r="VGK4" s="101"/>
      <c r="VGL4" s="100"/>
      <c r="VGM4" s="102"/>
      <c r="VGO4" s="101"/>
      <c r="VGP4" s="100"/>
      <c r="VGQ4" s="102"/>
      <c r="VGS4" s="101"/>
      <c r="VGT4" s="100"/>
      <c r="VGU4" s="102"/>
      <c r="VGW4" s="101"/>
      <c r="VGX4" s="100"/>
      <c r="VGY4" s="102"/>
      <c r="VHA4" s="101"/>
      <c r="VHB4" s="100"/>
      <c r="VHC4" s="102"/>
      <c r="VHE4" s="101"/>
      <c r="VHF4" s="100"/>
      <c r="VHG4" s="102"/>
      <c r="VHI4" s="101"/>
      <c r="VHJ4" s="100"/>
      <c r="VHK4" s="102"/>
      <c r="VHM4" s="101"/>
      <c r="VHN4" s="100"/>
      <c r="VHO4" s="102"/>
      <c r="VHQ4" s="101"/>
      <c r="VHR4" s="100"/>
      <c r="VHS4" s="102"/>
      <c r="VHU4" s="101"/>
      <c r="VHV4" s="100"/>
      <c r="VHW4" s="102"/>
      <c r="VHY4" s="101"/>
      <c r="VHZ4" s="100"/>
      <c r="VIA4" s="102"/>
      <c r="VIC4" s="101"/>
      <c r="VID4" s="100"/>
      <c r="VIE4" s="102"/>
      <c r="VIG4" s="101"/>
      <c r="VIH4" s="100"/>
      <c r="VII4" s="102"/>
      <c r="VIK4" s="101"/>
      <c r="VIL4" s="100"/>
      <c r="VIM4" s="102"/>
      <c r="VIO4" s="101"/>
      <c r="VIP4" s="100"/>
      <c r="VIQ4" s="102"/>
      <c r="VIS4" s="101"/>
      <c r="VIT4" s="100"/>
      <c r="VIU4" s="102"/>
      <c r="VIW4" s="101"/>
      <c r="VIX4" s="100"/>
      <c r="VIY4" s="102"/>
      <c r="VJA4" s="101"/>
      <c r="VJB4" s="100"/>
      <c r="VJC4" s="102"/>
      <c r="VJE4" s="101"/>
      <c r="VJF4" s="100"/>
      <c r="VJG4" s="102"/>
      <c r="VJI4" s="101"/>
      <c r="VJJ4" s="100"/>
      <c r="VJK4" s="102"/>
      <c r="VJM4" s="101"/>
      <c r="VJN4" s="100"/>
      <c r="VJO4" s="102"/>
      <c r="VJQ4" s="101"/>
      <c r="VJR4" s="100"/>
      <c r="VJS4" s="102"/>
      <c r="VJU4" s="101"/>
      <c r="VJV4" s="100"/>
      <c r="VJW4" s="102"/>
      <c r="VJY4" s="101"/>
      <c r="VJZ4" s="100"/>
      <c r="VKA4" s="102"/>
      <c r="VKC4" s="101"/>
      <c r="VKD4" s="100"/>
      <c r="VKE4" s="102"/>
      <c r="VKG4" s="101"/>
      <c r="VKH4" s="100"/>
      <c r="VKI4" s="102"/>
      <c r="VKK4" s="101"/>
      <c r="VKL4" s="100"/>
      <c r="VKM4" s="102"/>
      <c r="VKO4" s="101"/>
      <c r="VKP4" s="100"/>
      <c r="VKQ4" s="102"/>
      <c r="VKS4" s="101"/>
      <c r="VKT4" s="100"/>
      <c r="VKU4" s="102"/>
      <c r="VKW4" s="101"/>
      <c r="VKX4" s="100"/>
      <c r="VKY4" s="102"/>
      <c r="VLA4" s="101"/>
      <c r="VLB4" s="100"/>
      <c r="VLC4" s="102"/>
      <c r="VLE4" s="101"/>
      <c r="VLF4" s="100"/>
      <c r="VLG4" s="102"/>
      <c r="VLI4" s="101"/>
      <c r="VLJ4" s="100"/>
      <c r="VLK4" s="102"/>
      <c r="VLM4" s="101"/>
      <c r="VLN4" s="100"/>
      <c r="VLO4" s="102"/>
      <c r="VLQ4" s="101"/>
      <c r="VLR4" s="100"/>
      <c r="VLS4" s="102"/>
      <c r="VLU4" s="101"/>
      <c r="VLV4" s="100"/>
      <c r="VLW4" s="102"/>
      <c r="VLY4" s="101"/>
      <c r="VLZ4" s="100"/>
      <c r="VMA4" s="102"/>
      <c r="VMC4" s="101"/>
      <c r="VMD4" s="100"/>
      <c r="VME4" s="102"/>
      <c r="VMG4" s="101"/>
      <c r="VMH4" s="100"/>
      <c r="VMI4" s="102"/>
      <c r="VMK4" s="101"/>
      <c r="VML4" s="100"/>
      <c r="VMM4" s="102"/>
      <c r="VMO4" s="101"/>
      <c r="VMP4" s="100"/>
      <c r="VMQ4" s="102"/>
      <c r="VMS4" s="101"/>
      <c r="VMT4" s="100"/>
      <c r="VMU4" s="102"/>
      <c r="VMW4" s="101"/>
      <c r="VMX4" s="100"/>
      <c r="VMY4" s="102"/>
      <c r="VNA4" s="101"/>
      <c r="VNB4" s="100"/>
      <c r="VNC4" s="102"/>
      <c r="VNE4" s="101"/>
      <c r="VNF4" s="100"/>
      <c r="VNG4" s="102"/>
      <c r="VNI4" s="101"/>
      <c r="VNJ4" s="100"/>
      <c r="VNK4" s="102"/>
      <c r="VNM4" s="101"/>
      <c r="VNN4" s="100"/>
      <c r="VNO4" s="102"/>
      <c r="VNQ4" s="101"/>
      <c r="VNR4" s="100"/>
      <c r="VNS4" s="102"/>
      <c r="VNU4" s="101"/>
      <c r="VNV4" s="100"/>
      <c r="VNW4" s="102"/>
      <c r="VNY4" s="101"/>
      <c r="VNZ4" s="100"/>
      <c r="VOA4" s="102"/>
      <c r="VOC4" s="101"/>
      <c r="VOD4" s="100"/>
      <c r="VOE4" s="102"/>
      <c r="VOG4" s="101"/>
      <c r="VOH4" s="100"/>
      <c r="VOI4" s="102"/>
      <c r="VOK4" s="101"/>
      <c r="VOL4" s="100"/>
      <c r="VOM4" s="102"/>
      <c r="VOO4" s="101"/>
      <c r="VOP4" s="100"/>
      <c r="VOQ4" s="102"/>
      <c r="VOS4" s="101"/>
      <c r="VOT4" s="100"/>
      <c r="VOU4" s="102"/>
      <c r="VOW4" s="101"/>
      <c r="VOX4" s="100"/>
      <c r="VOY4" s="102"/>
      <c r="VPA4" s="101"/>
      <c r="VPB4" s="100"/>
      <c r="VPC4" s="102"/>
      <c r="VPE4" s="101"/>
      <c r="VPF4" s="100"/>
      <c r="VPG4" s="102"/>
      <c r="VPI4" s="101"/>
      <c r="VPJ4" s="100"/>
      <c r="VPK4" s="102"/>
      <c r="VPM4" s="101"/>
      <c r="VPN4" s="100"/>
      <c r="VPO4" s="102"/>
      <c r="VPQ4" s="101"/>
      <c r="VPR4" s="100"/>
      <c r="VPS4" s="102"/>
      <c r="VPU4" s="101"/>
      <c r="VPV4" s="100"/>
      <c r="VPW4" s="102"/>
      <c r="VPY4" s="101"/>
      <c r="VPZ4" s="100"/>
      <c r="VQA4" s="102"/>
      <c r="VQC4" s="101"/>
      <c r="VQD4" s="100"/>
      <c r="VQE4" s="102"/>
      <c r="VQG4" s="101"/>
      <c r="VQH4" s="100"/>
      <c r="VQI4" s="102"/>
      <c r="VQK4" s="101"/>
      <c r="VQL4" s="100"/>
      <c r="VQM4" s="102"/>
      <c r="VQO4" s="101"/>
      <c r="VQP4" s="100"/>
      <c r="VQQ4" s="102"/>
      <c r="VQS4" s="101"/>
      <c r="VQT4" s="100"/>
      <c r="VQU4" s="102"/>
      <c r="VQW4" s="101"/>
      <c r="VQX4" s="100"/>
      <c r="VQY4" s="102"/>
      <c r="VRA4" s="101"/>
      <c r="VRB4" s="100"/>
      <c r="VRC4" s="102"/>
      <c r="VRE4" s="101"/>
      <c r="VRF4" s="100"/>
      <c r="VRG4" s="102"/>
      <c r="VRI4" s="101"/>
      <c r="VRJ4" s="100"/>
      <c r="VRK4" s="102"/>
      <c r="VRM4" s="101"/>
      <c r="VRN4" s="100"/>
      <c r="VRO4" s="102"/>
      <c r="VRQ4" s="101"/>
      <c r="VRR4" s="100"/>
      <c r="VRS4" s="102"/>
      <c r="VRU4" s="101"/>
      <c r="VRV4" s="100"/>
      <c r="VRW4" s="102"/>
      <c r="VRY4" s="101"/>
      <c r="VRZ4" s="100"/>
      <c r="VSA4" s="102"/>
      <c r="VSC4" s="101"/>
      <c r="VSD4" s="100"/>
      <c r="VSE4" s="102"/>
      <c r="VSG4" s="101"/>
      <c r="VSH4" s="100"/>
      <c r="VSI4" s="102"/>
      <c r="VSK4" s="101"/>
      <c r="VSL4" s="100"/>
      <c r="VSM4" s="102"/>
      <c r="VSO4" s="101"/>
      <c r="VSP4" s="100"/>
      <c r="VSQ4" s="102"/>
      <c r="VSS4" s="101"/>
      <c r="VST4" s="100"/>
      <c r="VSU4" s="102"/>
      <c r="VSW4" s="101"/>
      <c r="VSX4" s="100"/>
      <c r="VSY4" s="102"/>
      <c r="VTA4" s="101"/>
      <c r="VTB4" s="100"/>
      <c r="VTC4" s="102"/>
      <c r="VTE4" s="101"/>
      <c r="VTF4" s="100"/>
      <c r="VTG4" s="102"/>
      <c r="VTI4" s="101"/>
      <c r="VTJ4" s="100"/>
      <c r="VTK4" s="102"/>
      <c r="VTM4" s="101"/>
      <c r="VTN4" s="100"/>
      <c r="VTO4" s="102"/>
      <c r="VTQ4" s="101"/>
      <c r="VTR4" s="100"/>
      <c r="VTS4" s="102"/>
      <c r="VTU4" s="101"/>
      <c r="VTV4" s="100"/>
      <c r="VTW4" s="102"/>
      <c r="VTY4" s="101"/>
      <c r="VTZ4" s="100"/>
      <c r="VUA4" s="102"/>
      <c r="VUC4" s="101"/>
      <c r="VUD4" s="100"/>
      <c r="VUE4" s="102"/>
      <c r="VUG4" s="101"/>
      <c r="VUH4" s="100"/>
      <c r="VUI4" s="102"/>
      <c r="VUK4" s="101"/>
      <c r="VUL4" s="100"/>
      <c r="VUM4" s="102"/>
      <c r="VUO4" s="101"/>
      <c r="VUP4" s="100"/>
      <c r="VUQ4" s="102"/>
      <c r="VUS4" s="101"/>
      <c r="VUT4" s="100"/>
      <c r="VUU4" s="102"/>
      <c r="VUW4" s="101"/>
      <c r="VUX4" s="100"/>
      <c r="VUY4" s="102"/>
      <c r="VVA4" s="101"/>
      <c r="VVB4" s="100"/>
      <c r="VVC4" s="102"/>
      <c r="VVE4" s="101"/>
      <c r="VVF4" s="100"/>
      <c r="VVG4" s="102"/>
      <c r="VVI4" s="101"/>
      <c r="VVJ4" s="100"/>
      <c r="VVK4" s="102"/>
      <c r="VVM4" s="101"/>
      <c r="VVN4" s="100"/>
      <c r="VVO4" s="102"/>
      <c r="VVQ4" s="101"/>
      <c r="VVR4" s="100"/>
      <c r="VVS4" s="102"/>
      <c r="VVU4" s="101"/>
      <c r="VVV4" s="100"/>
      <c r="VVW4" s="102"/>
      <c r="VVY4" s="101"/>
      <c r="VVZ4" s="100"/>
      <c r="VWA4" s="102"/>
      <c r="VWC4" s="101"/>
      <c r="VWD4" s="100"/>
      <c r="VWE4" s="102"/>
      <c r="VWG4" s="101"/>
      <c r="VWH4" s="100"/>
      <c r="VWI4" s="102"/>
      <c r="VWK4" s="101"/>
      <c r="VWL4" s="100"/>
      <c r="VWM4" s="102"/>
      <c r="VWO4" s="101"/>
      <c r="VWP4" s="100"/>
      <c r="VWQ4" s="102"/>
      <c r="VWS4" s="101"/>
      <c r="VWT4" s="100"/>
      <c r="VWU4" s="102"/>
      <c r="VWW4" s="101"/>
      <c r="VWX4" s="100"/>
      <c r="VWY4" s="102"/>
      <c r="VXA4" s="101"/>
      <c r="VXB4" s="100"/>
      <c r="VXC4" s="102"/>
      <c r="VXE4" s="101"/>
      <c r="VXF4" s="100"/>
      <c r="VXG4" s="102"/>
      <c r="VXI4" s="101"/>
      <c r="VXJ4" s="100"/>
      <c r="VXK4" s="102"/>
      <c r="VXM4" s="101"/>
      <c r="VXN4" s="100"/>
      <c r="VXO4" s="102"/>
      <c r="VXQ4" s="101"/>
      <c r="VXR4" s="100"/>
      <c r="VXS4" s="102"/>
      <c r="VXU4" s="101"/>
      <c r="VXV4" s="100"/>
      <c r="VXW4" s="102"/>
      <c r="VXY4" s="101"/>
      <c r="VXZ4" s="100"/>
      <c r="VYA4" s="102"/>
      <c r="VYC4" s="101"/>
      <c r="VYD4" s="100"/>
      <c r="VYE4" s="102"/>
      <c r="VYG4" s="101"/>
      <c r="VYH4" s="100"/>
      <c r="VYI4" s="102"/>
      <c r="VYK4" s="101"/>
      <c r="VYL4" s="100"/>
      <c r="VYM4" s="102"/>
      <c r="VYO4" s="101"/>
      <c r="VYP4" s="100"/>
      <c r="VYQ4" s="102"/>
      <c r="VYS4" s="101"/>
      <c r="VYT4" s="100"/>
      <c r="VYU4" s="102"/>
      <c r="VYW4" s="101"/>
      <c r="VYX4" s="100"/>
      <c r="VYY4" s="102"/>
      <c r="VZA4" s="101"/>
      <c r="VZB4" s="100"/>
      <c r="VZC4" s="102"/>
      <c r="VZE4" s="101"/>
      <c r="VZF4" s="100"/>
      <c r="VZG4" s="102"/>
      <c r="VZI4" s="101"/>
      <c r="VZJ4" s="100"/>
      <c r="VZK4" s="102"/>
      <c r="VZM4" s="101"/>
      <c r="VZN4" s="100"/>
      <c r="VZO4" s="102"/>
      <c r="VZQ4" s="101"/>
      <c r="VZR4" s="100"/>
      <c r="VZS4" s="102"/>
      <c r="VZU4" s="101"/>
      <c r="VZV4" s="100"/>
      <c r="VZW4" s="102"/>
      <c r="VZY4" s="101"/>
      <c r="VZZ4" s="100"/>
      <c r="WAA4" s="102"/>
      <c r="WAC4" s="101"/>
      <c r="WAD4" s="100"/>
      <c r="WAE4" s="102"/>
      <c r="WAG4" s="101"/>
      <c r="WAH4" s="100"/>
      <c r="WAI4" s="102"/>
      <c r="WAK4" s="101"/>
      <c r="WAL4" s="100"/>
      <c r="WAM4" s="102"/>
      <c r="WAO4" s="101"/>
      <c r="WAP4" s="100"/>
      <c r="WAQ4" s="102"/>
      <c r="WAS4" s="101"/>
      <c r="WAT4" s="100"/>
      <c r="WAU4" s="102"/>
      <c r="WAW4" s="101"/>
      <c r="WAX4" s="100"/>
      <c r="WAY4" s="102"/>
      <c r="WBA4" s="101"/>
      <c r="WBB4" s="100"/>
      <c r="WBC4" s="102"/>
      <c r="WBE4" s="101"/>
      <c r="WBF4" s="100"/>
      <c r="WBG4" s="102"/>
      <c r="WBI4" s="101"/>
      <c r="WBJ4" s="100"/>
      <c r="WBK4" s="102"/>
      <c r="WBM4" s="101"/>
      <c r="WBN4" s="100"/>
      <c r="WBO4" s="102"/>
      <c r="WBQ4" s="101"/>
      <c r="WBR4" s="100"/>
      <c r="WBS4" s="102"/>
      <c r="WBU4" s="101"/>
      <c r="WBV4" s="100"/>
      <c r="WBW4" s="102"/>
      <c r="WBY4" s="101"/>
      <c r="WBZ4" s="100"/>
      <c r="WCA4" s="102"/>
      <c r="WCC4" s="101"/>
      <c r="WCD4" s="100"/>
      <c r="WCE4" s="102"/>
      <c r="WCG4" s="101"/>
      <c r="WCH4" s="100"/>
      <c r="WCI4" s="102"/>
      <c r="WCK4" s="101"/>
      <c r="WCL4" s="100"/>
      <c r="WCM4" s="102"/>
      <c r="WCO4" s="101"/>
      <c r="WCP4" s="100"/>
      <c r="WCQ4" s="102"/>
      <c r="WCS4" s="101"/>
      <c r="WCT4" s="100"/>
      <c r="WCU4" s="102"/>
      <c r="WCW4" s="101"/>
      <c r="WCX4" s="100"/>
      <c r="WCY4" s="102"/>
      <c r="WDA4" s="101"/>
      <c r="WDB4" s="100"/>
      <c r="WDC4" s="102"/>
      <c r="WDE4" s="101"/>
      <c r="WDF4" s="100"/>
      <c r="WDG4" s="102"/>
      <c r="WDI4" s="101"/>
      <c r="WDJ4" s="100"/>
      <c r="WDK4" s="102"/>
      <c r="WDM4" s="101"/>
      <c r="WDN4" s="100"/>
      <c r="WDO4" s="102"/>
      <c r="WDQ4" s="101"/>
      <c r="WDR4" s="100"/>
      <c r="WDS4" s="102"/>
      <c r="WDU4" s="101"/>
      <c r="WDV4" s="100"/>
      <c r="WDW4" s="102"/>
      <c r="WDY4" s="101"/>
      <c r="WDZ4" s="100"/>
      <c r="WEA4" s="102"/>
      <c r="WEC4" s="101"/>
      <c r="WED4" s="100"/>
      <c r="WEE4" s="102"/>
      <c r="WEG4" s="101"/>
      <c r="WEH4" s="100"/>
      <c r="WEI4" s="102"/>
      <c r="WEK4" s="101"/>
      <c r="WEL4" s="100"/>
      <c r="WEM4" s="102"/>
      <c r="WEO4" s="101"/>
      <c r="WEP4" s="100"/>
      <c r="WEQ4" s="102"/>
      <c r="WES4" s="101"/>
      <c r="WET4" s="100"/>
      <c r="WEU4" s="102"/>
      <c r="WEW4" s="101"/>
      <c r="WEX4" s="100"/>
      <c r="WEY4" s="102"/>
      <c r="WFA4" s="101"/>
      <c r="WFB4" s="100"/>
      <c r="WFC4" s="102"/>
      <c r="WFE4" s="101"/>
      <c r="WFF4" s="100"/>
      <c r="WFG4" s="102"/>
      <c r="WFI4" s="101"/>
      <c r="WFJ4" s="100"/>
      <c r="WFK4" s="102"/>
      <c r="WFM4" s="101"/>
      <c r="WFN4" s="100"/>
      <c r="WFO4" s="102"/>
      <c r="WFQ4" s="101"/>
      <c r="WFR4" s="100"/>
      <c r="WFS4" s="102"/>
      <c r="WFU4" s="101"/>
      <c r="WFV4" s="100"/>
      <c r="WFW4" s="102"/>
      <c r="WFY4" s="101"/>
      <c r="WFZ4" s="100"/>
      <c r="WGA4" s="102"/>
      <c r="WGC4" s="101"/>
      <c r="WGD4" s="100"/>
      <c r="WGE4" s="102"/>
      <c r="WGG4" s="101"/>
      <c r="WGH4" s="100"/>
      <c r="WGI4" s="102"/>
      <c r="WGK4" s="101"/>
      <c r="WGL4" s="100"/>
      <c r="WGM4" s="102"/>
      <c r="WGO4" s="101"/>
      <c r="WGP4" s="100"/>
      <c r="WGQ4" s="102"/>
      <c r="WGS4" s="101"/>
      <c r="WGT4" s="100"/>
      <c r="WGU4" s="102"/>
      <c r="WGW4" s="101"/>
      <c r="WGX4" s="100"/>
      <c r="WGY4" s="102"/>
      <c r="WHA4" s="101"/>
      <c r="WHB4" s="100"/>
      <c r="WHC4" s="102"/>
      <c r="WHE4" s="101"/>
      <c r="WHF4" s="100"/>
      <c r="WHG4" s="102"/>
      <c r="WHI4" s="101"/>
      <c r="WHJ4" s="100"/>
      <c r="WHK4" s="102"/>
      <c r="WHM4" s="101"/>
      <c r="WHN4" s="100"/>
      <c r="WHO4" s="102"/>
      <c r="WHQ4" s="101"/>
      <c r="WHR4" s="100"/>
      <c r="WHS4" s="102"/>
      <c r="WHU4" s="101"/>
      <c r="WHV4" s="100"/>
      <c r="WHW4" s="102"/>
      <c r="WHY4" s="101"/>
      <c r="WHZ4" s="100"/>
      <c r="WIA4" s="102"/>
      <c r="WIC4" s="101"/>
      <c r="WID4" s="100"/>
      <c r="WIE4" s="102"/>
      <c r="WIG4" s="101"/>
      <c r="WIH4" s="100"/>
      <c r="WII4" s="102"/>
      <c r="WIK4" s="101"/>
      <c r="WIL4" s="100"/>
      <c r="WIM4" s="102"/>
      <c r="WIO4" s="101"/>
      <c r="WIP4" s="100"/>
      <c r="WIQ4" s="102"/>
      <c r="WIS4" s="101"/>
      <c r="WIT4" s="100"/>
      <c r="WIU4" s="102"/>
      <c r="WIW4" s="101"/>
      <c r="WIX4" s="100"/>
      <c r="WIY4" s="102"/>
      <c r="WJA4" s="101"/>
      <c r="WJB4" s="100"/>
      <c r="WJC4" s="102"/>
      <c r="WJE4" s="101"/>
      <c r="WJF4" s="100"/>
      <c r="WJG4" s="102"/>
      <c r="WJI4" s="101"/>
      <c r="WJJ4" s="100"/>
      <c r="WJK4" s="102"/>
      <c r="WJM4" s="101"/>
      <c r="WJN4" s="100"/>
      <c r="WJO4" s="102"/>
      <c r="WJQ4" s="101"/>
      <c r="WJR4" s="100"/>
      <c r="WJS4" s="102"/>
      <c r="WJU4" s="101"/>
      <c r="WJV4" s="100"/>
      <c r="WJW4" s="102"/>
      <c r="WJY4" s="101"/>
      <c r="WJZ4" s="100"/>
      <c r="WKA4" s="102"/>
      <c r="WKC4" s="101"/>
      <c r="WKD4" s="100"/>
      <c r="WKE4" s="102"/>
      <c r="WKG4" s="101"/>
      <c r="WKH4" s="100"/>
      <c r="WKI4" s="102"/>
      <c r="WKK4" s="101"/>
      <c r="WKL4" s="100"/>
      <c r="WKM4" s="102"/>
      <c r="WKO4" s="101"/>
      <c r="WKP4" s="100"/>
      <c r="WKQ4" s="102"/>
      <c r="WKS4" s="101"/>
      <c r="WKT4" s="100"/>
      <c r="WKU4" s="102"/>
      <c r="WKW4" s="101"/>
      <c r="WKX4" s="100"/>
      <c r="WKY4" s="102"/>
      <c r="WLA4" s="101"/>
      <c r="WLB4" s="100"/>
      <c r="WLC4" s="102"/>
      <c r="WLE4" s="101"/>
      <c r="WLF4" s="100"/>
      <c r="WLG4" s="102"/>
      <c r="WLI4" s="101"/>
      <c r="WLJ4" s="100"/>
      <c r="WLK4" s="102"/>
      <c r="WLM4" s="101"/>
      <c r="WLN4" s="100"/>
      <c r="WLO4" s="102"/>
      <c r="WLQ4" s="101"/>
      <c r="WLR4" s="100"/>
      <c r="WLS4" s="102"/>
      <c r="WLU4" s="101"/>
      <c r="WLV4" s="100"/>
      <c r="WLW4" s="102"/>
      <c r="WLY4" s="101"/>
      <c r="WLZ4" s="100"/>
      <c r="WMA4" s="102"/>
      <c r="WMC4" s="101"/>
      <c r="WMD4" s="100"/>
      <c r="WME4" s="102"/>
      <c r="WMG4" s="101"/>
      <c r="WMH4" s="100"/>
      <c r="WMI4" s="102"/>
      <c r="WMK4" s="101"/>
      <c r="WML4" s="100"/>
      <c r="WMM4" s="102"/>
      <c r="WMO4" s="101"/>
      <c r="WMP4" s="100"/>
      <c r="WMQ4" s="102"/>
      <c r="WMS4" s="101"/>
      <c r="WMT4" s="100"/>
      <c r="WMU4" s="102"/>
      <c r="WMW4" s="101"/>
      <c r="WMX4" s="100"/>
      <c r="WMY4" s="102"/>
      <c r="WNA4" s="101"/>
      <c r="WNB4" s="100"/>
      <c r="WNC4" s="102"/>
      <c r="WNE4" s="101"/>
      <c r="WNF4" s="100"/>
      <c r="WNG4" s="102"/>
      <c r="WNI4" s="101"/>
      <c r="WNJ4" s="100"/>
      <c r="WNK4" s="102"/>
      <c r="WNM4" s="101"/>
      <c r="WNN4" s="100"/>
      <c r="WNO4" s="102"/>
      <c r="WNQ4" s="101"/>
      <c r="WNR4" s="100"/>
      <c r="WNS4" s="102"/>
      <c r="WNU4" s="101"/>
      <c r="WNV4" s="100"/>
      <c r="WNW4" s="102"/>
      <c r="WNY4" s="101"/>
      <c r="WNZ4" s="100"/>
      <c r="WOA4" s="102"/>
      <c r="WOC4" s="101"/>
      <c r="WOD4" s="100"/>
      <c r="WOE4" s="102"/>
      <c r="WOG4" s="101"/>
      <c r="WOH4" s="100"/>
      <c r="WOI4" s="102"/>
      <c r="WOK4" s="101"/>
      <c r="WOL4" s="100"/>
      <c r="WOM4" s="102"/>
      <c r="WOO4" s="101"/>
      <c r="WOP4" s="100"/>
      <c r="WOQ4" s="102"/>
      <c r="WOS4" s="101"/>
      <c r="WOT4" s="100"/>
      <c r="WOU4" s="102"/>
      <c r="WOW4" s="101"/>
      <c r="WOX4" s="100"/>
      <c r="WOY4" s="102"/>
      <c r="WPA4" s="101"/>
      <c r="WPB4" s="100"/>
      <c r="WPC4" s="102"/>
      <c r="WPE4" s="101"/>
      <c r="WPF4" s="100"/>
      <c r="WPG4" s="102"/>
      <c r="WPI4" s="101"/>
      <c r="WPJ4" s="100"/>
      <c r="WPK4" s="102"/>
      <c r="WPM4" s="101"/>
      <c r="WPN4" s="100"/>
      <c r="WPO4" s="102"/>
      <c r="WPQ4" s="101"/>
      <c r="WPR4" s="100"/>
      <c r="WPS4" s="102"/>
      <c r="WPU4" s="101"/>
      <c r="WPV4" s="100"/>
      <c r="WPW4" s="102"/>
      <c r="WPY4" s="101"/>
      <c r="WPZ4" s="100"/>
      <c r="WQA4" s="102"/>
      <c r="WQC4" s="101"/>
      <c r="WQD4" s="100"/>
      <c r="WQE4" s="102"/>
      <c r="WQG4" s="101"/>
      <c r="WQH4" s="100"/>
      <c r="WQI4" s="102"/>
      <c r="WQK4" s="101"/>
      <c r="WQL4" s="100"/>
      <c r="WQM4" s="102"/>
      <c r="WQO4" s="101"/>
      <c r="WQP4" s="100"/>
      <c r="WQQ4" s="102"/>
      <c r="WQS4" s="101"/>
      <c r="WQT4" s="100"/>
      <c r="WQU4" s="102"/>
      <c r="WQW4" s="101"/>
      <c r="WQX4" s="100"/>
      <c r="WQY4" s="102"/>
      <c r="WRA4" s="101"/>
      <c r="WRB4" s="100"/>
      <c r="WRC4" s="102"/>
      <c r="WRE4" s="101"/>
      <c r="WRF4" s="100"/>
      <c r="WRG4" s="102"/>
      <c r="WRI4" s="101"/>
      <c r="WRJ4" s="100"/>
      <c r="WRK4" s="102"/>
      <c r="WRM4" s="101"/>
      <c r="WRN4" s="100"/>
      <c r="WRO4" s="102"/>
      <c r="WRQ4" s="101"/>
      <c r="WRR4" s="100"/>
      <c r="WRS4" s="102"/>
      <c r="WRU4" s="101"/>
      <c r="WRV4" s="100"/>
      <c r="WRW4" s="102"/>
      <c r="WRY4" s="101"/>
      <c r="WRZ4" s="100"/>
      <c r="WSA4" s="102"/>
      <c r="WSC4" s="101"/>
      <c r="WSD4" s="100"/>
      <c r="WSE4" s="102"/>
      <c r="WSG4" s="101"/>
      <c r="WSH4" s="100"/>
      <c r="WSI4" s="102"/>
      <c r="WSK4" s="101"/>
      <c r="WSL4" s="100"/>
      <c r="WSM4" s="102"/>
      <c r="WSO4" s="101"/>
      <c r="WSP4" s="100"/>
      <c r="WSQ4" s="102"/>
      <c r="WSS4" s="101"/>
      <c r="WST4" s="100"/>
      <c r="WSU4" s="102"/>
      <c r="WSW4" s="101"/>
      <c r="WSX4" s="100"/>
      <c r="WSY4" s="102"/>
      <c r="WTA4" s="101"/>
      <c r="WTB4" s="100"/>
      <c r="WTC4" s="102"/>
      <c r="WTE4" s="101"/>
      <c r="WTF4" s="100"/>
      <c r="WTG4" s="102"/>
      <c r="WTI4" s="101"/>
      <c r="WTJ4" s="100"/>
      <c r="WTK4" s="102"/>
      <c r="WTM4" s="101"/>
      <c r="WTN4" s="100"/>
      <c r="WTO4" s="102"/>
      <c r="WTQ4" s="101"/>
      <c r="WTR4" s="100"/>
      <c r="WTS4" s="102"/>
      <c r="WTU4" s="101"/>
      <c r="WTV4" s="100"/>
      <c r="WTW4" s="102"/>
      <c r="WTY4" s="101"/>
      <c r="WTZ4" s="100"/>
      <c r="WUA4" s="102"/>
      <c r="WUC4" s="101"/>
      <c r="WUD4" s="100"/>
      <c r="WUE4" s="102"/>
      <c r="WUG4" s="101"/>
      <c r="WUH4" s="100"/>
      <c r="WUI4" s="102"/>
      <c r="WUK4" s="101"/>
      <c r="WUL4" s="100"/>
      <c r="WUM4" s="102"/>
      <c r="WUO4" s="101"/>
      <c r="WUP4" s="100"/>
      <c r="WUQ4" s="102"/>
      <c r="WUS4" s="101"/>
      <c r="WUT4" s="100"/>
      <c r="WUU4" s="102"/>
      <c r="WUW4" s="101"/>
      <c r="WUX4" s="100"/>
      <c r="WUY4" s="102"/>
      <c r="WVA4" s="101"/>
      <c r="WVB4" s="100"/>
      <c r="WVC4" s="102"/>
      <c r="WVE4" s="101"/>
      <c r="WVF4" s="100"/>
      <c r="WVG4" s="102"/>
      <c r="WVI4" s="101"/>
      <c r="WVJ4" s="100"/>
      <c r="WVK4" s="102"/>
      <c r="WVM4" s="101"/>
      <c r="WVN4" s="100"/>
      <c r="WVO4" s="102"/>
      <c r="WVQ4" s="101"/>
      <c r="WVR4" s="100"/>
      <c r="WVS4" s="102"/>
      <c r="WVU4" s="101"/>
      <c r="WVV4" s="100"/>
      <c r="WVW4" s="102"/>
      <c r="WVY4" s="101"/>
      <c r="WVZ4" s="100"/>
      <c r="WWA4" s="102"/>
      <c r="WWC4" s="101"/>
      <c r="WWD4" s="100"/>
      <c r="WWE4" s="102"/>
      <c r="WWG4" s="101"/>
      <c r="WWH4" s="100"/>
      <c r="WWI4" s="102"/>
      <c r="WWK4" s="101"/>
      <c r="WWL4" s="100"/>
      <c r="WWM4" s="102"/>
      <c r="WWO4" s="101"/>
      <c r="WWP4" s="100"/>
      <c r="WWQ4" s="102"/>
      <c r="WWS4" s="101"/>
      <c r="WWT4" s="100"/>
      <c r="WWU4" s="102"/>
      <c r="WWW4" s="101"/>
      <c r="WWX4" s="100"/>
      <c r="WWY4" s="102"/>
      <c r="WXA4" s="101"/>
      <c r="WXB4" s="100"/>
      <c r="WXC4" s="102"/>
      <c r="WXE4" s="101"/>
      <c r="WXF4" s="100"/>
      <c r="WXG4" s="102"/>
      <c r="WXI4" s="101"/>
      <c r="WXJ4" s="100"/>
      <c r="WXK4" s="102"/>
      <c r="WXM4" s="101"/>
      <c r="WXN4" s="100"/>
      <c r="WXO4" s="102"/>
      <c r="WXQ4" s="101"/>
      <c r="WXR4" s="100"/>
      <c r="WXS4" s="102"/>
      <c r="WXU4" s="101"/>
      <c r="WXV4" s="100"/>
      <c r="WXW4" s="102"/>
      <c r="WXY4" s="101"/>
      <c r="WXZ4" s="100"/>
      <c r="WYA4" s="102"/>
      <c r="WYC4" s="101"/>
      <c r="WYD4" s="100"/>
      <c r="WYE4" s="102"/>
      <c r="WYG4" s="101"/>
      <c r="WYH4" s="100"/>
      <c r="WYI4" s="102"/>
      <c r="WYK4" s="101"/>
      <c r="WYL4" s="100"/>
      <c r="WYM4" s="102"/>
      <c r="WYO4" s="101"/>
      <c r="WYP4" s="100"/>
      <c r="WYQ4" s="102"/>
      <c r="WYS4" s="101"/>
      <c r="WYT4" s="100"/>
      <c r="WYU4" s="102"/>
      <c r="WYW4" s="101"/>
      <c r="WYX4" s="100"/>
      <c r="WYY4" s="102"/>
      <c r="WZA4" s="101"/>
      <c r="WZB4" s="100"/>
      <c r="WZC4" s="102"/>
      <c r="WZE4" s="101"/>
      <c r="WZF4" s="100"/>
      <c r="WZG4" s="102"/>
      <c r="WZI4" s="101"/>
      <c r="WZJ4" s="100"/>
      <c r="WZK4" s="102"/>
      <c r="WZM4" s="101"/>
      <c r="WZN4" s="100"/>
      <c r="WZO4" s="102"/>
      <c r="WZQ4" s="101"/>
      <c r="WZR4" s="100"/>
      <c r="WZS4" s="102"/>
      <c r="WZU4" s="101"/>
      <c r="WZV4" s="100"/>
      <c r="WZW4" s="102"/>
      <c r="WZY4" s="101"/>
      <c r="WZZ4" s="100"/>
      <c r="XAA4" s="102"/>
      <c r="XAC4" s="101"/>
      <c r="XAD4" s="100"/>
      <c r="XAE4" s="102"/>
      <c r="XAG4" s="101"/>
      <c r="XAH4" s="100"/>
      <c r="XAI4" s="102"/>
      <c r="XAK4" s="101"/>
      <c r="XAL4" s="100"/>
      <c r="XAM4" s="102"/>
      <c r="XAO4" s="101"/>
      <c r="XAP4" s="100"/>
      <c r="XAQ4" s="102"/>
      <c r="XAS4" s="101"/>
      <c r="XAT4" s="100"/>
      <c r="XAU4" s="102"/>
      <c r="XAW4" s="101"/>
      <c r="XAX4" s="100"/>
      <c r="XAY4" s="102"/>
      <c r="XBA4" s="101"/>
      <c r="XBB4" s="100"/>
      <c r="XBC4" s="102"/>
      <c r="XBE4" s="101"/>
      <c r="XBF4" s="100"/>
      <c r="XBG4" s="102"/>
      <c r="XBI4" s="101"/>
      <c r="XBJ4" s="100"/>
      <c r="XBK4" s="102"/>
      <c r="XBM4" s="101"/>
      <c r="XBN4" s="100"/>
      <c r="XBO4" s="102"/>
      <c r="XBQ4" s="101"/>
      <c r="XBR4" s="100"/>
      <c r="XBS4" s="102"/>
      <c r="XBU4" s="101"/>
      <c r="XBV4" s="100"/>
      <c r="XBW4" s="102"/>
      <c r="XBY4" s="101"/>
      <c r="XBZ4" s="100"/>
      <c r="XCA4" s="102"/>
      <c r="XCC4" s="101"/>
      <c r="XCD4" s="100"/>
      <c r="XCE4" s="102"/>
      <c r="XCG4" s="101"/>
      <c r="XCH4" s="100"/>
      <c r="XCI4" s="102"/>
      <c r="XCK4" s="101"/>
      <c r="XCL4" s="100"/>
      <c r="XCM4" s="102"/>
      <c r="XCO4" s="101"/>
      <c r="XCP4" s="100"/>
      <c r="XCQ4" s="102"/>
      <c r="XCS4" s="101"/>
      <c r="XCT4" s="100"/>
      <c r="XCU4" s="102"/>
      <c r="XCW4" s="101"/>
      <c r="XCX4" s="100"/>
      <c r="XCY4" s="102"/>
      <c r="XDA4" s="101"/>
      <c r="XDB4" s="100"/>
      <c r="XDC4" s="102"/>
      <c r="XDE4" s="101"/>
      <c r="XDF4" s="100"/>
      <c r="XDG4" s="102"/>
      <c r="XDI4" s="101"/>
      <c r="XDJ4" s="100"/>
      <c r="XDK4" s="102"/>
      <c r="XDM4" s="101"/>
      <c r="XDN4" s="100"/>
      <c r="XDO4" s="102"/>
      <c r="XDQ4" s="101"/>
      <c r="XDR4" s="100"/>
      <c r="XDS4" s="102"/>
      <c r="XDU4" s="101"/>
      <c r="XDV4" s="100"/>
      <c r="XDW4" s="102"/>
      <c r="XDY4" s="101"/>
      <c r="XDZ4" s="100"/>
      <c r="XEA4" s="102"/>
      <c r="XEC4" s="101"/>
      <c r="XED4" s="100"/>
      <c r="XEE4" s="102"/>
      <c r="XEG4" s="101"/>
      <c r="XEH4" s="100"/>
      <c r="XEI4" s="102"/>
      <c r="XEK4" s="101"/>
      <c r="XEL4" s="100"/>
      <c r="XEM4" s="102"/>
      <c r="XEO4" s="101"/>
      <c r="XEP4" s="100"/>
      <c r="XEQ4" s="102"/>
      <c r="XES4" s="101"/>
      <c r="XET4" s="100"/>
      <c r="XEU4" s="102"/>
      <c r="XEW4" s="101"/>
      <c r="XEX4" s="100"/>
      <c r="XEY4" s="102"/>
      <c r="XFA4" s="101"/>
      <c r="XFB4" s="100"/>
      <c r="XFC4" s="102"/>
    </row>
    <row r="5" spans="2:1023 1025:2047 2049:3071 3073:4095 4097:5119 5121:6143 6145:7167 7169:8191 8193:9215 9217:10239 10241:11263 11265:12287 12289:13311 13313:14335 14337:15359 15361:16383" ht="15.75" thickBot="1" x14ac:dyDescent="0.3"/>
    <row r="6" spans="2:1023 1025:2047 2049:3071 3073:4095 4097:5119 5121:6143 6145:7167 7169:8191 8193:9215 9217:10239 10241:11263 11265:12287 12289:13311 13313:14335 14337:15359 15361:16383" ht="24.75" thickBot="1" x14ac:dyDescent="0.45">
      <c r="B6" s="130" t="s">
        <v>563</v>
      </c>
      <c r="C6" s="131"/>
      <c r="D6" s="131"/>
      <c r="E6" s="131"/>
      <c r="F6" s="131"/>
      <c r="G6" s="115"/>
      <c r="H6" s="132" t="s">
        <v>562</v>
      </c>
      <c r="I6" s="132"/>
      <c r="J6" s="132"/>
      <c r="K6" s="132"/>
      <c r="L6" s="132"/>
      <c r="O6" t="s">
        <v>623</v>
      </c>
    </row>
    <row r="7" spans="2:1023 1025:2047 2049:3071 3073:4095 4097:5119 5121:6143 6145:7167 7169:8191 8193:9215 9217:10239 10241:11263 11265:12287 12289:13311 13313:14335 14337:15359 15361:16383" x14ac:dyDescent="0.25">
      <c r="B7" s="99" t="s">
        <v>561</v>
      </c>
      <c r="C7" s="98" t="s">
        <v>2</v>
      </c>
      <c r="D7" s="98" t="s">
        <v>138</v>
      </c>
      <c r="E7" s="98" t="s">
        <v>560</v>
      </c>
      <c r="F7" s="97" t="s">
        <v>559</v>
      </c>
      <c r="G7" s="116" t="s">
        <v>624</v>
      </c>
      <c r="H7" s="96">
        <v>46152</v>
      </c>
      <c r="I7" s="96">
        <v>46161</v>
      </c>
      <c r="J7" s="96">
        <v>46164</v>
      </c>
      <c r="K7" s="96">
        <v>46165</v>
      </c>
      <c r="L7" s="96">
        <v>46166</v>
      </c>
    </row>
    <row r="8" spans="2:1023 1025:2047 2049:3071 3073:4095 4097:5119 5121:6143 6145:7167 7169:8191 8193:9215 9217:10239 10241:11263 11265:12287 12289:13311 13313:14335 14337:15359 15361:16383" x14ac:dyDescent="0.25">
      <c r="B8" s="94" t="s">
        <v>558</v>
      </c>
      <c r="C8" s="1" t="s">
        <v>557</v>
      </c>
      <c r="D8" s="1" t="s">
        <v>7</v>
      </c>
      <c r="E8" s="1" t="s">
        <v>410</v>
      </c>
      <c r="F8" s="93">
        <v>4</v>
      </c>
      <c r="G8" s="117">
        <f>F8-(H8+I8+J8+K8+L8)</f>
        <v>4</v>
      </c>
      <c r="H8" s="93"/>
      <c r="I8" s="1"/>
      <c r="J8" s="1"/>
      <c r="K8" s="1"/>
      <c r="L8" s="1"/>
    </row>
    <row r="9" spans="2:1023 1025:2047 2049:3071 3073:4095 4097:5119 5121:6143 6145:7167 7169:8191 8193:9215 9217:10239 10241:11263 11265:12287 12289:13311 13313:14335 14337:15359 15361:16383" x14ac:dyDescent="0.25">
      <c r="B9" s="94" t="s">
        <v>556</v>
      </c>
      <c r="C9" s="1" t="s">
        <v>555</v>
      </c>
      <c r="D9" s="1" t="s">
        <v>7</v>
      </c>
      <c r="E9" s="1" t="s">
        <v>410</v>
      </c>
      <c r="F9" s="93">
        <v>18</v>
      </c>
      <c r="G9" s="117">
        <f t="shared" ref="G9:G68" si="0">F9-(H9+I9+J9+K9+L9)</f>
        <v>18</v>
      </c>
      <c r="H9" s="93"/>
      <c r="I9" s="1"/>
      <c r="J9" s="1"/>
      <c r="K9" s="1"/>
      <c r="L9" s="1"/>
    </row>
    <row r="10" spans="2:1023 1025:2047 2049:3071 3073:4095 4097:5119 5121:6143 6145:7167 7169:8191 8193:9215 9217:10239 10241:11263 11265:12287 12289:13311 13313:14335 14337:15359 15361:16383" x14ac:dyDescent="0.25">
      <c r="B10" s="94" t="s">
        <v>554</v>
      </c>
      <c r="C10" s="1" t="s">
        <v>553</v>
      </c>
      <c r="D10" s="1" t="s">
        <v>7</v>
      </c>
      <c r="E10" s="1" t="s">
        <v>531</v>
      </c>
      <c r="F10" s="93">
        <v>10</v>
      </c>
      <c r="G10" s="117">
        <f t="shared" si="0"/>
        <v>9</v>
      </c>
      <c r="H10" s="93"/>
      <c r="I10" s="1"/>
      <c r="J10" s="1">
        <v>1</v>
      </c>
      <c r="K10" s="1"/>
      <c r="L10" s="1"/>
    </row>
    <row r="11" spans="2:1023 1025:2047 2049:3071 3073:4095 4097:5119 5121:6143 6145:7167 7169:8191 8193:9215 9217:10239 10241:11263 11265:12287 12289:13311 13313:14335 14337:15359 15361:16383" x14ac:dyDescent="0.25">
      <c r="B11" s="94" t="s">
        <v>552</v>
      </c>
      <c r="C11" s="1" t="s">
        <v>551</v>
      </c>
      <c r="D11" s="1" t="s">
        <v>7</v>
      </c>
      <c r="E11" s="1" t="s">
        <v>416</v>
      </c>
      <c r="F11" s="93">
        <v>14</v>
      </c>
      <c r="G11" s="117">
        <f t="shared" si="0"/>
        <v>14</v>
      </c>
      <c r="H11" s="93"/>
      <c r="I11" s="1"/>
      <c r="J11" s="1"/>
      <c r="K11" s="1"/>
      <c r="L11" s="1"/>
    </row>
    <row r="12" spans="2:1023 1025:2047 2049:3071 3073:4095 4097:5119 5121:6143 6145:7167 7169:8191 8193:9215 9217:10239 10241:11263 11265:12287 12289:13311 13313:14335 14337:15359 15361:16383" x14ac:dyDescent="0.25">
      <c r="B12" s="94" t="s">
        <v>550</v>
      </c>
      <c r="C12" s="1" t="s">
        <v>549</v>
      </c>
      <c r="D12" s="1" t="s">
        <v>7</v>
      </c>
      <c r="E12" s="1" t="s">
        <v>410</v>
      </c>
      <c r="F12" s="93">
        <v>15</v>
      </c>
      <c r="G12" s="117">
        <f t="shared" si="0"/>
        <v>13</v>
      </c>
      <c r="H12" s="93">
        <v>1</v>
      </c>
      <c r="I12" s="1">
        <v>1</v>
      </c>
      <c r="J12" s="1"/>
      <c r="K12" s="1"/>
      <c r="L12" s="1"/>
    </row>
    <row r="13" spans="2:1023 1025:2047 2049:3071 3073:4095 4097:5119 5121:6143 6145:7167 7169:8191 8193:9215 9217:10239 10241:11263 11265:12287 12289:13311 13313:14335 14337:15359 15361:16383" x14ac:dyDescent="0.25">
      <c r="B13" s="94" t="s">
        <v>548</v>
      </c>
      <c r="C13" s="1" t="s">
        <v>547</v>
      </c>
      <c r="D13" s="1" t="s">
        <v>7</v>
      </c>
      <c r="E13" s="1" t="s">
        <v>410</v>
      </c>
      <c r="F13" s="93">
        <v>12</v>
      </c>
      <c r="G13" s="117">
        <f t="shared" si="0"/>
        <v>12</v>
      </c>
      <c r="H13" s="93"/>
      <c r="I13" s="1"/>
      <c r="J13" s="1"/>
      <c r="K13" s="1"/>
      <c r="L13" s="1"/>
    </row>
    <row r="14" spans="2:1023 1025:2047 2049:3071 3073:4095 4097:5119 5121:6143 6145:7167 7169:8191 8193:9215 9217:10239 10241:11263 11265:12287 12289:13311 13313:14335 14337:15359 15361:16383" x14ac:dyDescent="0.25">
      <c r="B14" s="94" t="s">
        <v>546</v>
      </c>
      <c r="C14" s="1" t="s">
        <v>545</v>
      </c>
      <c r="D14" s="1" t="s">
        <v>7</v>
      </c>
      <c r="E14" s="1" t="s">
        <v>416</v>
      </c>
      <c r="F14" s="93">
        <v>8</v>
      </c>
      <c r="G14" s="117">
        <f t="shared" si="0"/>
        <v>8</v>
      </c>
      <c r="H14" s="93"/>
      <c r="I14" s="1"/>
      <c r="J14" s="1"/>
      <c r="K14" s="1"/>
      <c r="L14" s="1"/>
    </row>
    <row r="15" spans="2:1023 1025:2047 2049:3071 3073:4095 4097:5119 5121:6143 6145:7167 7169:8191 8193:9215 9217:10239 10241:11263 11265:12287 12289:13311 13313:14335 14337:15359 15361:16383" x14ac:dyDescent="0.25">
      <c r="B15" s="94">
        <v>70062</v>
      </c>
      <c r="C15" s="1" t="s">
        <v>544</v>
      </c>
      <c r="D15" s="1" t="s">
        <v>7</v>
      </c>
      <c r="E15" s="1" t="s">
        <v>431</v>
      </c>
      <c r="F15" s="93">
        <v>20</v>
      </c>
      <c r="G15" s="117">
        <f t="shared" si="0"/>
        <v>20</v>
      </c>
      <c r="H15" s="93"/>
      <c r="I15" s="1"/>
      <c r="J15" s="1"/>
      <c r="K15" s="1"/>
      <c r="L15" s="1"/>
    </row>
    <row r="16" spans="2:1023 1025:2047 2049:3071 3073:4095 4097:5119 5121:6143 6145:7167 7169:8191 8193:9215 9217:10239 10241:11263 11265:12287 12289:13311 13313:14335 14337:15359 15361:16383" x14ac:dyDescent="0.25">
      <c r="B16" s="94">
        <v>70063</v>
      </c>
      <c r="C16" s="1" t="s">
        <v>543</v>
      </c>
      <c r="D16" s="1" t="s">
        <v>7</v>
      </c>
      <c r="E16" s="1" t="s">
        <v>431</v>
      </c>
      <c r="F16" s="93">
        <v>12</v>
      </c>
      <c r="G16" s="117">
        <f t="shared" si="0"/>
        <v>12</v>
      </c>
      <c r="H16" s="93"/>
      <c r="I16" s="1"/>
      <c r="J16" s="1"/>
      <c r="K16" s="1"/>
      <c r="L16" s="1"/>
    </row>
    <row r="17" spans="2:12" x14ac:dyDescent="0.25">
      <c r="B17" s="94">
        <v>70065</v>
      </c>
      <c r="C17" s="1" t="s">
        <v>542</v>
      </c>
      <c r="D17" s="1" t="s">
        <v>7</v>
      </c>
      <c r="E17" s="1" t="s">
        <v>416</v>
      </c>
      <c r="F17" s="93">
        <v>7</v>
      </c>
      <c r="G17" s="117">
        <f t="shared" si="0"/>
        <v>7</v>
      </c>
      <c r="H17" s="93"/>
      <c r="I17" s="1"/>
      <c r="J17" s="1"/>
      <c r="K17" s="1"/>
      <c r="L17" s="1"/>
    </row>
    <row r="18" spans="2:12" x14ac:dyDescent="0.25">
      <c r="B18" s="94" t="s">
        <v>539</v>
      </c>
      <c r="C18" s="1" t="s">
        <v>538</v>
      </c>
      <c r="D18" s="1" t="s">
        <v>7</v>
      </c>
      <c r="E18" s="1" t="s">
        <v>531</v>
      </c>
      <c r="F18" s="93">
        <v>4</v>
      </c>
      <c r="G18" s="117">
        <f t="shared" si="0"/>
        <v>4</v>
      </c>
      <c r="H18" s="93"/>
      <c r="I18" s="1"/>
      <c r="J18" s="1"/>
      <c r="K18" s="1"/>
      <c r="L18" s="1"/>
    </row>
    <row r="19" spans="2:12" x14ac:dyDescent="0.25">
      <c r="B19" s="94" t="s">
        <v>537</v>
      </c>
      <c r="C19" s="1" t="s">
        <v>535</v>
      </c>
      <c r="D19" s="1" t="s">
        <v>457</v>
      </c>
      <c r="E19" s="1" t="s">
        <v>431</v>
      </c>
      <c r="F19" s="93">
        <v>23</v>
      </c>
      <c r="G19" s="117">
        <f t="shared" si="0"/>
        <v>23</v>
      </c>
      <c r="H19" s="93"/>
      <c r="I19" s="1"/>
      <c r="J19" s="1"/>
      <c r="K19" s="1"/>
      <c r="L19" s="1"/>
    </row>
    <row r="20" spans="2:12" x14ac:dyDescent="0.25">
      <c r="B20" s="94" t="s">
        <v>536</v>
      </c>
      <c r="C20" s="1" t="s">
        <v>535</v>
      </c>
      <c r="D20" s="1" t="s">
        <v>457</v>
      </c>
      <c r="E20" s="1" t="s">
        <v>431</v>
      </c>
      <c r="F20" s="93">
        <v>22</v>
      </c>
      <c r="G20" s="117">
        <f t="shared" si="0"/>
        <v>22</v>
      </c>
      <c r="H20" s="93"/>
      <c r="I20" s="1"/>
      <c r="J20" s="1"/>
      <c r="K20" s="1"/>
      <c r="L20" s="1"/>
    </row>
    <row r="21" spans="2:12" x14ac:dyDescent="0.25">
      <c r="B21" s="94">
        <v>7012913294</v>
      </c>
      <c r="C21" s="1" t="s">
        <v>534</v>
      </c>
      <c r="D21" s="1" t="s">
        <v>7</v>
      </c>
      <c r="E21" s="1" t="s">
        <v>410</v>
      </c>
      <c r="F21" s="93">
        <v>259</v>
      </c>
      <c r="G21" s="117">
        <f t="shared" si="0"/>
        <v>259</v>
      </c>
      <c r="H21" s="93"/>
      <c r="I21" s="1"/>
      <c r="J21" s="1"/>
      <c r="K21" s="1"/>
      <c r="L21" s="1"/>
    </row>
    <row r="22" spans="2:12" x14ac:dyDescent="0.25">
      <c r="B22" s="94" t="s">
        <v>533</v>
      </c>
      <c r="C22" s="1" t="s">
        <v>532</v>
      </c>
      <c r="D22" s="1" t="s">
        <v>7</v>
      </c>
      <c r="E22" s="1" t="s">
        <v>531</v>
      </c>
      <c r="F22" s="93">
        <v>12</v>
      </c>
      <c r="G22" s="117">
        <f t="shared" si="0"/>
        <v>12</v>
      </c>
      <c r="H22" s="93"/>
      <c r="I22" s="1"/>
      <c r="J22" s="1"/>
      <c r="K22" s="1"/>
      <c r="L22" s="1"/>
    </row>
    <row r="23" spans="2:12" x14ac:dyDescent="0.25">
      <c r="B23" s="94">
        <v>72117</v>
      </c>
      <c r="C23" s="1" t="s">
        <v>530</v>
      </c>
      <c r="D23" s="1" t="s">
        <v>7</v>
      </c>
      <c r="E23" s="1" t="s">
        <v>410</v>
      </c>
      <c r="F23" s="93">
        <v>7</v>
      </c>
      <c r="G23" s="117">
        <f t="shared" si="0"/>
        <v>7</v>
      </c>
      <c r="H23" s="93"/>
      <c r="I23" s="1"/>
      <c r="J23" s="1"/>
      <c r="K23" s="1"/>
      <c r="L23" s="1"/>
    </row>
    <row r="24" spans="2:12" x14ac:dyDescent="0.25">
      <c r="B24" s="94" t="s">
        <v>529</v>
      </c>
      <c r="C24" s="1" t="s">
        <v>528</v>
      </c>
      <c r="D24" s="1" t="s">
        <v>7</v>
      </c>
      <c r="E24" s="1" t="s">
        <v>410</v>
      </c>
      <c r="F24" s="93">
        <v>7</v>
      </c>
      <c r="G24" s="117">
        <f t="shared" si="0"/>
        <v>7</v>
      </c>
      <c r="H24" s="93"/>
      <c r="I24" s="1"/>
      <c r="J24" s="1"/>
      <c r="K24" s="1"/>
      <c r="L24" s="1"/>
    </row>
    <row r="25" spans="2:12" x14ac:dyDescent="0.25">
      <c r="B25" s="94">
        <v>72130</v>
      </c>
      <c r="C25" s="1" t="s">
        <v>527</v>
      </c>
      <c r="D25" s="1" t="s">
        <v>7</v>
      </c>
      <c r="E25" s="1" t="s">
        <v>410</v>
      </c>
      <c r="F25" s="93">
        <v>9</v>
      </c>
      <c r="G25" s="117">
        <f t="shared" si="0"/>
        <v>9</v>
      </c>
      <c r="H25" s="93"/>
      <c r="I25" s="1"/>
      <c r="J25" s="1"/>
      <c r="K25" s="1"/>
      <c r="L25" s="1"/>
    </row>
    <row r="26" spans="2:12" x14ac:dyDescent="0.25">
      <c r="B26" s="94">
        <v>504010</v>
      </c>
      <c r="C26" s="1" t="s">
        <v>526</v>
      </c>
      <c r="D26" s="1" t="s">
        <v>7</v>
      </c>
      <c r="E26" s="1" t="s">
        <v>410</v>
      </c>
      <c r="F26" s="93">
        <v>40</v>
      </c>
      <c r="G26" s="117">
        <f t="shared" si="0"/>
        <v>40</v>
      </c>
      <c r="H26" s="93"/>
      <c r="I26" s="1"/>
      <c r="J26" s="1"/>
      <c r="K26" s="1"/>
      <c r="L26" s="1"/>
    </row>
    <row r="27" spans="2:12" x14ac:dyDescent="0.25">
      <c r="B27" s="94" t="s">
        <v>525</v>
      </c>
      <c r="C27" s="1" t="s">
        <v>524</v>
      </c>
      <c r="D27" s="1" t="s">
        <v>7</v>
      </c>
      <c r="E27" s="1" t="s">
        <v>410</v>
      </c>
      <c r="F27" s="93">
        <v>8</v>
      </c>
      <c r="G27" s="117">
        <f t="shared" si="0"/>
        <v>6</v>
      </c>
      <c r="H27" s="93"/>
      <c r="I27" s="1"/>
      <c r="J27" s="1"/>
      <c r="K27" s="1">
        <v>1</v>
      </c>
      <c r="L27" s="1">
        <v>1</v>
      </c>
    </row>
    <row r="28" spans="2:12" x14ac:dyDescent="0.25">
      <c r="B28" s="94" t="s">
        <v>523</v>
      </c>
      <c r="C28" s="1" t="s">
        <v>522</v>
      </c>
      <c r="D28" s="1" t="s">
        <v>7</v>
      </c>
      <c r="E28" s="1" t="s">
        <v>410</v>
      </c>
      <c r="F28" s="93">
        <v>15</v>
      </c>
      <c r="G28" s="117">
        <f t="shared" si="0"/>
        <v>15</v>
      </c>
      <c r="H28" s="93"/>
      <c r="I28" s="1"/>
      <c r="J28" s="1"/>
      <c r="K28" s="1"/>
      <c r="L28" s="1"/>
    </row>
    <row r="29" spans="2:12" x14ac:dyDescent="0.25">
      <c r="B29" s="94" t="s">
        <v>521</v>
      </c>
      <c r="C29" s="1" t="s">
        <v>520</v>
      </c>
      <c r="D29" s="1" t="s">
        <v>7</v>
      </c>
      <c r="E29" s="1" t="s">
        <v>410</v>
      </c>
      <c r="F29" s="93">
        <v>14</v>
      </c>
      <c r="G29" s="117">
        <f t="shared" si="0"/>
        <v>14</v>
      </c>
      <c r="H29" s="93"/>
      <c r="I29" s="1"/>
      <c r="J29" s="1"/>
      <c r="K29" s="1"/>
      <c r="L29" s="1"/>
    </row>
    <row r="30" spans="2:12" x14ac:dyDescent="0.25">
      <c r="B30" s="94" t="s">
        <v>519</v>
      </c>
      <c r="C30" s="1" t="s">
        <v>518</v>
      </c>
      <c r="D30" s="1" t="s">
        <v>7</v>
      </c>
      <c r="E30" s="1" t="s">
        <v>416</v>
      </c>
      <c r="F30" s="93">
        <v>18</v>
      </c>
      <c r="G30" s="117">
        <f t="shared" si="0"/>
        <v>18</v>
      </c>
      <c r="H30" s="93"/>
      <c r="I30" s="1"/>
      <c r="J30" s="1"/>
      <c r="K30" s="1"/>
      <c r="L30" s="1"/>
    </row>
    <row r="31" spans="2:12" x14ac:dyDescent="0.25">
      <c r="B31" s="94" t="s">
        <v>517</v>
      </c>
      <c r="C31" s="95" t="s">
        <v>516</v>
      </c>
      <c r="D31" s="1" t="s">
        <v>7</v>
      </c>
      <c r="E31" s="1" t="s">
        <v>449</v>
      </c>
      <c r="F31" s="93">
        <v>1</v>
      </c>
      <c r="G31" s="117">
        <f t="shared" si="0"/>
        <v>1</v>
      </c>
      <c r="H31" s="93"/>
      <c r="I31" s="1"/>
      <c r="J31" s="1"/>
      <c r="K31" s="1"/>
      <c r="L31" s="1"/>
    </row>
    <row r="32" spans="2:12" x14ac:dyDescent="0.25">
      <c r="B32" s="94" t="s">
        <v>515</v>
      </c>
      <c r="C32" s="1" t="s">
        <v>514</v>
      </c>
      <c r="D32" s="1" t="s">
        <v>7</v>
      </c>
      <c r="E32" s="1" t="s">
        <v>416</v>
      </c>
      <c r="F32" s="93">
        <v>27</v>
      </c>
      <c r="G32" s="117">
        <f t="shared" si="0"/>
        <v>27</v>
      </c>
      <c r="H32" s="93"/>
      <c r="I32" s="1"/>
      <c r="J32" s="1"/>
      <c r="K32" s="1"/>
      <c r="L32" s="1"/>
    </row>
    <row r="33" spans="2:12" x14ac:dyDescent="0.25">
      <c r="B33" s="94" t="s">
        <v>513</v>
      </c>
      <c r="C33" s="1" t="s">
        <v>512</v>
      </c>
      <c r="D33" s="1" t="s">
        <v>7</v>
      </c>
      <c r="E33" s="1" t="s">
        <v>416</v>
      </c>
      <c r="F33" s="93">
        <v>23</v>
      </c>
      <c r="G33" s="117">
        <f t="shared" si="0"/>
        <v>23</v>
      </c>
      <c r="H33" s="93"/>
      <c r="I33" s="1"/>
      <c r="J33" s="1"/>
      <c r="K33" s="1"/>
      <c r="L33" s="1"/>
    </row>
    <row r="34" spans="2:12" x14ac:dyDescent="0.25">
      <c r="B34" s="94" t="s">
        <v>511</v>
      </c>
      <c r="C34" s="1" t="s">
        <v>510</v>
      </c>
      <c r="D34" s="1" t="s">
        <v>7</v>
      </c>
      <c r="E34" s="1" t="s">
        <v>410</v>
      </c>
      <c r="F34" s="93">
        <v>180</v>
      </c>
      <c r="G34" s="117">
        <f t="shared" si="0"/>
        <v>180</v>
      </c>
      <c r="H34" s="93"/>
      <c r="I34" s="1"/>
      <c r="J34" s="1"/>
      <c r="K34" s="1"/>
      <c r="L34" s="1"/>
    </row>
    <row r="35" spans="2:12" x14ac:dyDescent="0.25">
      <c r="B35" s="94">
        <v>177580</v>
      </c>
      <c r="C35" s="1" t="s">
        <v>509</v>
      </c>
      <c r="D35" s="1" t="s">
        <v>7</v>
      </c>
      <c r="E35" s="1" t="s">
        <v>410</v>
      </c>
      <c r="F35" s="93">
        <v>10</v>
      </c>
      <c r="G35" s="117">
        <f t="shared" si="0"/>
        <v>10</v>
      </c>
      <c r="H35" s="93"/>
      <c r="I35" s="1"/>
      <c r="J35" s="1"/>
      <c r="K35" s="1"/>
      <c r="L35" s="1"/>
    </row>
    <row r="36" spans="2:12" x14ac:dyDescent="0.25">
      <c r="B36" s="94" t="s">
        <v>508</v>
      </c>
      <c r="C36" s="1" t="s">
        <v>507</v>
      </c>
      <c r="D36" s="1" t="s">
        <v>7</v>
      </c>
      <c r="E36" s="1" t="s">
        <v>416</v>
      </c>
      <c r="F36" s="93">
        <v>1</v>
      </c>
      <c r="G36" s="117">
        <f t="shared" si="0"/>
        <v>1</v>
      </c>
      <c r="H36" s="93"/>
      <c r="I36" s="1"/>
      <c r="J36" s="1"/>
      <c r="K36" s="1"/>
      <c r="L36" s="1"/>
    </row>
    <row r="37" spans="2:12" x14ac:dyDescent="0.25">
      <c r="B37" s="94" t="s">
        <v>506</v>
      </c>
      <c r="C37" s="1" t="s">
        <v>505</v>
      </c>
      <c r="D37" s="1" t="s">
        <v>7</v>
      </c>
      <c r="E37" s="1" t="s">
        <v>416</v>
      </c>
      <c r="F37" s="93">
        <v>48</v>
      </c>
      <c r="G37" s="117">
        <f t="shared" si="0"/>
        <v>47</v>
      </c>
      <c r="H37" s="93"/>
      <c r="I37" s="1"/>
      <c r="J37" s="1">
        <v>1</v>
      </c>
      <c r="K37" s="1"/>
      <c r="L37" s="1"/>
    </row>
    <row r="38" spans="2:12" x14ac:dyDescent="0.25">
      <c r="B38" s="94" t="s">
        <v>504</v>
      </c>
      <c r="C38" s="1" t="s">
        <v>503</v>
      </c>
      <c r="D38" s="1" t="s">
        <v>7</v>
      </c>
      <c r="E38" s="1" t="s">
        <v>416</v>
      </c>
      <c r="F38" s="93">
        <v>10</v>
      </c>
      <c r="G38" s="117">
        <f t="shared" si="0"/>
        <v>10</v>
      </c>
      <c r="H38" s="93"/>
      <c r="I38" s="1"/>
      <c r="J38" s="1"/>
      <c r="K38" s="1"/>
      <c r="L38" s="1"/>
    </row>
    <row r="39" spans="2:12" x14ac:dyDescent="0.25">
      <c r="B39" s="94" t="s">
        <v>499</v>
      </c>
      <c r="C39" s="1" t="s">
        <v>498</v>
      </c>
      <c r="D39" s="1" t="s">
        <v>7</v>
      </c>
      <c r="E39" s="1" t="s">
        <v>497</v>
      </c>
      <c r="F39" s="93">
        <v>5</v>
      </c>
      <c r="G39" s="117">
        <f t="shared" si="0"/>
        <v>5</v>
      </c>
      <c r="H39" s="93"/>
      <c r="I39" s="1"/>
      <c r="J39" s="1"/>
      <c r="K39" s="1"/>
      <c r="L39" s="1"/>
    </row>
    <row r="40" spans="2:12" x14ac:dyDescent="0.25">
      <c r="B40" s="94" t="s">
        <v>496</v>
      </c>
      <c r="C40" s="1" t="s">
        <v>495</v>
      </c>
      <c r="D40" s="1" t="s">
        <v>457</v>
      </c>
      <c r="E40" s="1" t="s">
        <v>431</v>
      </c>
      <c r="F40" s="93">
        <v>8</v>
      </c>
      <c r="G40" s="117">
        <f t="shared" si="0"/>
        <v>8</v>
      </c>
      <c r="H40" s="93"/>
      <c r="I40" s="1"/>
      <c r="J40" s="1"/>
      <c r="K40" s="1"/>
      <c r="L40" s="1"/>
    </row>
    <row r="41" spans="2:12" x14ac:dyDescent="0.25">
      <c r="B41" s="94" t="s">
        <v>494</v>
      </c>
      <c r="C41" s="1" t="s">
        <v>493</v>
      </c>
      <c r="D41" s="1" t="s">
        <v>457</v>
      </c>
      <c r="E41" s="1" t="s">
        <v>431</v>
      </c>
      <c r="F41" s="93">
        <v>20</v>
      </c>
      <c r="G41" s="117">
        <f t="shared" si="0"/>
        <v>20</v>
      </c>
      <c r="H41" s="93"/>
      <c r="I41" s="1"/>
      <c r="J41" s="1"/>
      <c r="K41" s="1"/>
      <c r="L41" s="1"/>
    </row>
    <row r="42" spans="2:12" x14ac:dyDescent="0.25">
      <c r="B42" s="94" t="s">
        <v>492</v>
      </c>
      <c r="C42" s="1" t="s">
        <v>491</v>
      </c>
      <c r="D42" s="1" t="s">
        <v>457</v>
      </c>
      <c r="E42" s="1" t="s">
        <v>431</v>
      </c>
      <c r="F42" s="93">
        <v>15</v>
      </c>
      <c r="G42" s="117">
        <f t="shared" si="0"/>
        <v>15</v>
      </c>
      <c r="H42" s="93"/>
      <c r="I42" s="1"/>
      <c r="J42" s="1"/>
      <c r="K42" s="1"/>
      <c r="L42" s="1"/>
    </row>
    <row r="43" spans="2:12" x14ac:dyDescent="0.25">
      <c r="B43" s="94" t="s">
        <v>490</v>
      </c>
      <c r="C43" s="1" t="s">
        <v>489</v>
      </c>
      <c r="D43" s="1" t="s">
        <v>457</v>
      </c>
      <c r="E43" s="1" t="s">
        <v>431</v>
      </c>
      <c r="F43" s="93">
        <v>15</v>
      </c>
      <c r="G43" s="117">
        <f t="shared" si="0"/>
        <v>15</v>
      </c>
      <c r="H43" s="93"/>
      <c r="I43" s="1"/>
      <c r="J43" s="1"/>
      <c r="K43" s="1"/>
      <c r="L43" s="1"/>
    </row>
    <row r="44" spans="2:12" x14ac:dyDescent="0.25">
      <c r="B44" s="94" t="s">
        <v>488</v>
      </c>
      <c r="C44" s="1" t="s">
        <v>487</v>
      </c>
      <c r="D44" s="1" t="s">
        <v>7</v>
      </c>
      <c r="E44" s="1" t="s">
        <v>410</v>
      </c>
      <c r="F44" s="93">
        <v>10</v>
      </c>
      <c r="G44" s="117">
        <f t="shared" si="0"/>
        <v>10</v>
      </c>
      <c r="H44" s="93"/>
      <c r="I44" s="1"/>
      <c r="J44" s="1"/>
      <c r="K44" s="1"/>
      <c r="L44" s="1"/>
    </row>
    <row r="45" spans="2:12" x14ac:dyDescent="0.25">
      <c r="B45" s="94" t="s">
        <v>486</v>
      </c>
      <c r="C45" s="1" t="s">
        <v>485</v>
      </c>
      <c r="D45" s="1" t="s">
        <v>163</v>
      </c>
      <c r="E45" s="1" t="s">
        <v>410</v>
      </c>
      <c r="F45" s="93">
        <v>3</v>
      </c>
      <c r="G45" s="117">
        <f t="shared" si="0"/>
        <v>3</v>
      </c>
      <c r="H45" s="93"/>
      <c r="I45" s="1"/>
      <c r="J45" s="1"/>
      <c r="K45" s="1"/>
      <c r="L45" s="1"/>
    </row>
    <row r="46" spans="2:12" x14ac:dyDescent="0.25">
      <c r="B46" s="94" t="s">
        <v>484</v>
      </c>
      <c r="C46" s="1" t="s">
        <v>483</v>
      </c>
      <c r="D46" s="1" t="s">
        <v>7</v>
      </c>
      <c r="E46" s="1" t="s">
        <v>416</v>
      </c>
      <c r="F46" s="93">
        <v>2</v>
      </c>
      <c r="G46" s="117">
        <f t="shared" si="0"/>
        <v>2</v>
      </c>
      <c r="H46" s="93"/>
      <c r="I46" s="1"/>
      <c r="J46" s="1"/>
      <c r="K46" s="1"/>
      <c r="L46" s="1"/>
    </row>
    <row r="47" spans="2:12" x14ac:dyDescent="0.25">
      <c r="B47" s="94" t="s">
        <v>482</v>
      </c>
      <c r="C47" s="1" t="s">
        <v>481</v>
      </c>
      <c r="D47" s="1" t="s">
        <v>7</v>
      </c>
      <c r="E47" s="1" t="s">
        <v>416</v>
      </c>
      <c r="F47" s="93">
        <v>5</v>
      </c>
      <c r="G47" s="117">
        <f t="shared" si="0"/>
        <v>5</v>
      </c>
      <c r="H47" s="93"/>
      <c r="I47" s="1"/>
      <c r="J47" s="1"/>
      <c r="K47" s="1"/>
      <c r="L47" s="1"/>
    </row>
    <row r="48" spans="2:12" x14ac:dyDescent="0.25">
      <c r="B48" s="94" t="s">
        <v>480</v>
      </c>
      <c r="C48" s="1" t="s">
        <v>479</v>
      </c>
      <c r="D48" s="1" t="s">
        <v>7</v>
      </c>
      <c r="E48" s="1" t="s">
        <v>416</v>
      </c>
      <c r="F48" s="93">
        <v>1</v>
      </c>
      <c r="G48" s="117">
        <f t="shared" si="0"/>
        <v>1</v>
      </c>
      <c r="H48" s="93"/>
      <c r="I48" s="1"/>
      <c r="J48" s="1"/>
      <c r="K48" s="1"/>
      <c r="L48" s="1"/>
    </row>
    <row r="49" spans="2:12" x14ac:dyDescent="0.25">
      <c r="B49" s="94" t="s">
        <v>478</v>
      </c>
      <c r="C49" s="1" t="s">
        <v>477</v>
      </c>
      <c r="D49" s="1" t="s">
        <v>7</v>
      </c>
      <c r="E49" s="1" t="s">
        <v>416</v>
      </c>
      <c r="F49" s="93">
        <v>5</v>
      </c>
      <c r="G49" s="117">
        <f t="shared" si="0"/>
        <v>5</v>
      </c>
      <c r="H49" s="93"/>
      <c r="I49" s="1"/>
      <c r="J49" s="1"/>
      <c r="K49" s="1"/>
      <c r="L49" s="1"/>
    </row>
    <row r="50" spans="2:12" x14ac:dyDescent="0.25">
      <c r="B50" s="94" t="s">
        <v>474</v>
      </c>
      <c r="C50" s="1" t="s">
        <v>473</v>
      </c>
      <c r="D50" s="1" t="s">
        <v>7</v>
      </c>
      <c r="E50" s="1" t="s">
        <v>416</v>
      </c>
      <c r="F50" s="93">
        <v>1</v>
      </c>
      <c r="G50" s="117">
        <f t="shared" si="0"/>
        <v>1</v>
      </c>
      <c r="H50" s="93"/>
      <c r="I50" s="1"/>
      <c r="J50" s="1"/>
      <c r="K50" s="1"/>
      <c r="L50" s="1"/>
    </row>
    <row r="51" spans="2:12" x14ac:dyDescent="0.25">
      <c r="B51" s="94" t="s">
        <v>472</v>
      </c>
      <c r="C51" s="1" t="s">
        <v>471</v>
      </c>
      <c r="D51" s="1" t="s">
        <v>7</v>
      </c>
      <c r="E51" s="1" t="s">
        <v>416</v>
      </c>
      <c r="F51" s="93">
        <v>1</v>
      </c>
      <c r="G51" s="117">
        <f t="shared" si="0"/>
        <v>1</v>
      </c>
      <c r="H51" s="93"/>
      <c r="I51" s="1"/>
      <c r="J51" s="1"/>
      <c r="K51" s="1"/>
      <c r="L51" s="1"/>
    </row>
    <row r="52" spans="2:12" x14ac:dyDescent="0.25">
      <c r="B52" s="94" t="s">
        <v>470</v>
      </c>
      <c r="C52" s="1" t="s">
        <v>469</v>
      </c>
      <c r="D52" s="1" t="s">
        <v>7</v>
      </c>
      <c r="E52" s="1" t="s">
        <v>416</v>
      </c>
      <c r="F52" s="93">
        <v>1</v>
      </c>
      <c r="G52" s="117">
        <f t="shared" si="0"/>
        <v>1</v>
      </c>
      <c r="H52" s="93"/>
      <c r="I52" s="1"/>
      <c r="J52" s="1"/>
      <c r="K52" s="1"/>
      <c r="L52" s="1"/>
    </row>
    <row r="53" spans="2:12" x14ac:dyDescent="0.25">
      <c r="B53" s="94" t="s">
        <v>466</v>
      </c>
      <c r="C53" s="1" t="s">
        <v>465</v>
      </c>
      <c r="D53" s="1" t="s">
        <v>7</v>
      </c>
      <c r="E53" s="1" t="s">
        <v>416</v>
      </c>
      <c r="F53" s="93">
        <v>4</v>
      </c>
      <c r="G53" s="117">
        <f t="shared" si="0"/>
        <v>4</v>
      </c>
      <c r="H53" s="93"/>
      <c r="I53" s="1"/>
      <c r="J53" s="1"/>
      <c r="K53" s="1"/>
      <c r="L53" s="1"/>
    </row>
    <row r="54" spans="2:12" x14ac:dyDescent="0.25">
      <c r="B54" s="94" t="s">
        <v>464</v>
      </c>
      <c r="C54" s="1" t="s">
        <v>463</v>
      </c>
      <c r="D54" s="1" t="s">
        <v>7</v>
      </c>
      <c r="E54" s="1" t="s">
        <v>460</v>
      </c>
      <c r="F54" s="93">
        <v>3</v>
      </c>
      <c r="G54" s="117">
        <f t="shared" si="0"/>
        <v>3</v>
      </c>
      <c r="H54" s="93"/>
      <c r="I54" s="1"/>
      <c r="J54" s="1"/>
      <c r="K54" s="1"/>
      <c r="L54" s="1"/>
    </row>
    <row r="55" spans="2:12" x14ac:dyDescent="0.25">
      <c r="B55" s="94" t="s">
        <v>462</v>
      </c>
      <c r="C55" s="1" t="s">
        <v>461</v>
      </c>
      <c r="D55" s="1" t="s">
        <v>7</v>
      </c>
      <c r="E55" s="1" t="s">
        <v>460</v>
      </c>
      <c r="F55" s="93">
        <v>3</v>
      </c>
      <c r="G55" s="117">
        <f t="shared" si="0"/>
        <v>3</v>
      </c>
      <c r="H55" s="93"/>
      <c r="I55" s="1"/>
      <c r="J55" s="1"/>
      <c r="K55" s="1"/>
      <c r="L55" s="1"/>
    </row>
    <row r="56" spans="2:12" x14ac:dyDescent="0.25">
      <c r="B56" s="94" t="s">
        <v>459</v>
      </c>
      <c r="C56" s="1" t="s">
        <v>458</v>
      </c>
      <c r="D56" s="1" t="s">
        <v>457</v>
      </c>
      <c r="E56" s="1" t="s">
        <v>431</v>
      </c>
      <c r="F56" s="93">
        <v>20</v>
      </c>
      <c r="G56" s="117">
        <f t="shared" si="0"/>
        <v>20</v>
      </c>
      <c r="H56" s="93"/>
      <c r="I56" s="1"/>
      <c r="J56" s="1"/>
      <c r="K56" s="1"/>
      <c r="L56" s="1"/>
    </row>
    <row r="57" spans="2:12" x14ac:dyDescent="0.25">
      <c r="B57" s="94" t="s">
        <v>456</v>
      </c>
      <c r="C57" s="1" t="s">
        <v>455</v>
      </c>
      <c r="D57" s="1" t="s">
        <v>7</v>
      </c>
      <c r="E57" s="1" t="s">
        <v>410</v>
      </c>
      <c r="F57" s="93">
        <v>10</v>
      </c>
      <c r="G57" s="117">
        <f t="shared" si="0"/>
        <v>10</v>
      </c>
      <c r="H57" s="93"/>
      <c r="I57" s="1"/>
      <c r="J57" s="1"/>
      <c r="K57" s="1"/>
      <c r="L57" s="1"/>
    </row>
    <row r="58" spans="2:12" x14ac:dyDescent="0.25">
      <c r="B58" s="94">
        <v>66252841305</v>
      </c>
      <c r="C58" s="1" t="s">
        <v>450</v>
      </c>
      <c r="D58" s="1" t="s">
        <v>7</v>
      </c>
      <c r="E58" s="1" t="s">
        <v>449</v>
      </c>
      <c r="F58" s="93">
        <v>100</v>
      </c>
      <c r="G58" s="117">
        <f t="shared" si="0"/>
        <v>100</v>
      </c>
      <c r="H58" s="93"/>
      <c r="I58" s="1"/>
      <c r="J58" s="1"/>
      <c r="K58" s="1"/>
      <c r="L58" s="1"/>
    </row>
    <row r="59" spans="2:12" x14ac:dyDescent="0.25">
      <c r="B59" s="94">
        <v>110510</v>
      </c>
      <c r="C59" s="1" t="s">
        <v>435</v>
      </c>
      <c r="D59" s="1" t="s">
        <v>7</v>
      </c>
      <c r="E59" s="1" t="s">
        <v>434</v>
      </c>
      <c r="F59" s="93">
        <v>10</v>
      </c>
      <c r="G59" s="117">
        <f t="shared" si="0"/>
        <v>9</v>
      </c>
      <c r="H59" s="93"/>
      <c r="I59" s="1"/>
      <c r="J59" s="1"/>
      <c r="K59" s="1">
        <v>1</v>
      </c>
      <c r="L59" s="1"/>
    </row>
    <row r="60" spans="2:12" x14ac:dyDescent="0.25">
      <c r="B60" s="94" t="s">
        <v>433</v>
      </c>
      <c r="C60" s="1" t="s">
        <v>432</v>
      </c>
      <c r="D60" s="1" t="s">
        <v>7</v>
      </c>
      <c r="E60" s="1" t="s">
        <v>431</v>
      </c>
      <c r="F60" s="93">
        <v>1</v>
      </c>
      <c r="G60" s="117">
        <f t="shared" si="0"/>
        <v>1</v>
      </c>
      <c r="H60" s="93"/>
      <c r="I60" s="1"/>
      <c r="J60" s="1"/>
      <c r="K60" s="1"/>
      <c r="L60" s="1"/>
    </row>
    <row r="61" spans="2:12" x14ac:dyDescent="0.25">
      <c r="B61" s="94">
        <v>100420653</v>
      </c>
      <c r="C61" s="1" t="s">
        <v>430</v>
      </c>
      <c r="D61" s="1" t="s">
        <v>7</v>
      </c>
      <c r="E61" s="1" t="s">
        <v>410</v>
      </c>
      <c r="F61" s="93">
        <v>25</v>
      </c>
      <c r="G61" s="117">
        <f t="shared" si="0"/>
        <v>25</v>
      </c>
      <c r="H61" s="93"/>
      <c r="I61" s="1"/>
      <c r="J61" s="1"/>
      <c r="K61" s="1"/>
      <c r="L61" s="1"/>
    </row>
    <row r="62" spans="2:12" x14ac:dyDescent="0.25">
      <c r="B62" s="94" t="s">
        <v>425</v>
      </c>
      <c r="C62" s="1" t="s">
        <v>424</v>
      </c>
      <c r="D62" s="1" t="s">
        <v>7</v>
      </c>
      <c r="E62" s="1" t="s">
        <v>410</v>
      </c>
      <c r="F62" s="93">
        <v>24</v>
      </c>
      <c r="G62" s="117">
        <f t="shared" si="0"/>
        <v>24</v>
      </c>
      <c r="H62" s="93"/>
      <c r="I62" s="1"/>
      <c r="J62" s="1"/>
      <c r="K62" s="1"/>
      <c r="L62" s="1"/>
    </row>
    <row r="63" spans="2:12" x14ac:dyDescent="0.25">
      <c r="B63" s="94" t="s">
        <v>418</v>
      </c>
      <c r="C63" s="1" t="s">
        <v>417</v>
      </c>
      <c r="D63" s="1" t="s">
        <v>7</v>
      </c>
      <c r="E63" s="1" t="s">
        <v>416</v>
      </c>
      <c r="F63" s="93">
        <v>1</v>
      </c>
      <c r="G63" s="117">
        <f t="shared" si="0"/>
        <v>1</v>
      </c>
      <c r="H63" s="93"/>
      <c r="I63" s="1"/>
      <c r="J63" s="1"/>
      <c r="K63" s="1"/>
      <c r="L63" s="1"/>
    </row>
    <row r="64" spans="2:12" x14ac:dyDescent="0.25">
      <c r="B64" s="94">
        <v>91638024</v>
      </c>
      <c r="C64" s="1" t="s">
        <v>415</v>
      </c>
      <c r="D64" s="1" t="s">
        <v>7</v>
      </c>
      <c r="E64" s="1"/>
      <c r="F64" s="93"/>
      <c r="G64" s="117">
        <f t="shared" si="0"/>
        <v>0</v>
      </c>
      <c r="H64" s="93"/>
      <c r="I64" s="1"/>
      <c r="J64" s="1"/>
      <c r="K64" s="1"/>
      <c r="L64" s="1"/>
    </row>
    <row r="65" spans="2:12" x14ac:dyDescent="0.25">
      <c r="B65" s="94">
        <v>91638018</v>
      </c>
      <c r="C65" s="1" t="s">
        <v>414</v>
      </c>
      <c r="D65" s="1" t="s">
        <v>7</v>
      </c>
      <c r="E65" s="1"/>
      <c r="F65" s="93"/>
      <c r="G65" s="117">
        <f t="shared" si="0"/>
        <v>0</v>
      </c>
      <c r="H65" s="93"/>
      <c r="I65" s="1"/>
      <c r="J65" s="1"/>
      <c r="K65" s="1"/>
      <c r="L65" s="1"/>
    </row>
    <row r="66" spans="2:12" x14ac:dyDescent="0.25">
      <c r="B66" s="94">
        <v>471124</v>
      </c>
      <c r="C66" s="1" t="s">
        <v>413</v>
      </c>
      <c r="D66" s="1" t="s">
        <v>7</v>
      </c>
      <c r="E66" s="1" t="s">
        <v>410</v>
      </c>
      <c r="F66" s="93">
        <v>1</v>
      </c>
      <c r="G66" s="117">
        <f t="shared" si="0"/>
        <v>1</v>
      </c>
      <c r="H66" s="93"/>
      <c r="I66" s="1"/>
      <c r="J66" s="1"/>
      <c r="K66" s="1"/>
      <c r="L66" s="1"/>
    </row>
    <row r="67" spans="2:12" x14ac:dyDescent="0.25">
      <c r="B67" s="94">
        <v>79012148</v>
      </c>
      <c r="C67" s="1" t="s">
        <v>412</v>
      </c>
      <c r="D67" s="1" t="s">
        <v>7</v>
      </c>
      <c r="E67" s="1" t="s">
        <v>410</v>
      </c>
      <c r="F67" s="93">
        <v>10</v>
      </c>
      <c r="G67" s="117">
        <f t="shared" si="0"/>
        <v>10</v>
      </c>
      <c r="H67" s="93"/>
      <c r="I67" s="1"/>
      <c r="J67" s="1"/>
      <c r="K67" s="1"/>
      <c r="L67" s="1"/>
    </row>
    <row r="68" spans="2:12" ht="15.75" thickBot="1" x14ac:dyDescent="0.3">
      <c r="B68" s="92">
        <v>79012149</v>
      </c>
      <c r="C68" s="2" t="s">
        <v>411</v>
      </c>
      <c r="D68" s="2" t="s">
        <v>7</v>
      </c>
      <c r="E68" s="2" t="s">
        <v>410</v>
      </c>
      <c r="F68" s="91">
        <v>10</v>
      </c>
      <c r="G68" s="120">
        <f t="shared" si="0"/>
        <v>10</v>
      </c>
      <c r="H68" s="1"/>
      <c r="I68" s="1"/>
      <c r="J68" s="1"/>
      <c r="K68" s="1"/>
      <c r="L68" s="1"/>
    </row>
    <row r="72" spans="2:12" x14ac:dyDescent="0.25">
      <c r="B72" s="118" t="s">
        <v>561</v>
      </c>
      <c r="C72" s="119" t="s">
        <v>2</v>
      </c>
      <c r="D72" s="119" t="s">
        <v>138</v>
      </c>
      <c r="E72" s="119" t="s">
        <v>560</v>
      </c>
      <c r="F72" s="119" t="s">
        <v>559</v>
      </c>
    </row>
    <row r="73" spans="2:12" x14ac:dyDescent="0.25">
      <c r="B73" s="110" t="s">
        <v>541</v>
      </c>
      <c r="C73" s="1" t="s">
        <v>540</v>
      </c>
      <c r="D73" s="1" t="s">
        <v>7</v>
      </c>
      <c r="E73" s="1"/>
      <c r="F73" s="1" t="s">
        <v>436</v>
      </c>
    </row>
    <row r="74" spans="2:12" x14ac:dyDescent="0.25">
      <c r="B74" s="110">
        <v>500072</v>
      </c>
      <c r="C74" s="1" t="s">
        <v>502</v>
      </c>
      <c r="D74" s="1" t="s">
        <v>7</v>
      </c>
      <c r="E74" s="1"/>
      <c r="F74" s="1" t="s">
        <v>436</v>
      </c>
    </row>
    <row r="75" spans="2:12" x14ac:dyDescent="0.25">
      <c r="B75" s="110" t="s">
        <v>501</v>
      </c>
      <c r="C75" s="1" t="s">
        <v>500</v>
      </c>
      <c r="D75" s="1" t="s">
        <v>7</v>
      </c>
      <c r="E75" s="1"/>
      <c r="F75" s="1" t="s">
        <v>436</v>
      </c>
    </row>
    <row r="76" spans="2:12" x14ac:dyDescent="0.25">
      <c r="B76" s="110" t="s">
        <v>476</v>
      </c>
      <c r="C76" s="1" t="s">
        <v>475</v>
      </c>
      <c r="D76" s="1" t="s">
        <v>7</v>
      </c>
      <c r="E76" s="1" t="s">
        <v>416</v>
      </c>
      <c r="F76" s="1">
        <v>0</v>
      </c>
    </row>
    <row r="77" spans="2:12" x14ac:dyDescent="0.25">
      <c r="B77" s="110" t="s">
        <v>468</v>
      </c>
      <c r="C77" s="1" t="s">
        <v>467</v>
      </c>
      <c r="D77" s="1" t="s">
        <v>7</v>
      </c>
      <c r="E77" s="1"/>
      <c r="F77" s="1">
        <v>0</v>
      </c>
    </row>
    <row r="78" spans="2:12" x14ac:dyDescent="0.25">
      <c r="B78" s="110" t="s">
        <v>454</v>
      </c>
      <c r="C78" s="1" t="s">
        <v>453</v>
      </c>
      <c r="D78" s="1" t="s">
        <v>7</v>
      </c>
      <c r="E78" s="1"/>
      <c r="F78" s="1" t="s">
        <v>436</v>
      </c>
    </row>
    <row r="79" spans="2:12" x14ac:dyDescent="0.25">
      <c r="B79" s="110" t="s">
        <v>452</v>
      </c>
      <c r="C79" s="1" t="s">
        <v>451</v>
      </c>
      <c r="D79" s="1" t="s">
        <v>7</v>
      </c>
      <c r="E79" s="1"/>
      <c r="F79" s="1" t="s">
        <v>436</v>
      </c>
    </row>
    <row r="80" spans="2:12" x14ac:dyDescent="0.25">
      <c r="B80" s="110" t="s">
        <v>448</v>
      </c>
      <c r="C80" s="1" t="s">
        <v>447</v>
      </c>
      <c r="D80" s="1" t="s">
        <v>7</v>
      </c>
      <c r="E80" s="1"/>
      <c r="F80" s="1" t="s">
        <v>436</v>
      </c>
    </row>
    <row r="81" spans="2:6" x14ac:dyDescent="0.25">
      <c r="B81" s="110" t="s">
        <v>446</v>
      </c>
      <c r="C81" s="1" t="s">
        <v>445</v>
      </c>
      <c r="D81" s="1" t="s">
        <v>7</v>
      </c>
      <c r="E81" s="1"/>
      <c r="F81" s="1" t="s">
        <v>436</v>
      </c>
    </row>
    <row r="82" spans="2:6" x14ac:dyDescent="0.25">
      <c r="B82" s="110" t="s">
        <v>444</v>
      </c>
      <c r="C82" s="1" t="s">
        <v>443</v>
      </c>
      <c r="D82" s="1" t="s">
        <v>7</v>
      </c>
      <c r="E82" s="1"/>
      <c r="F82" s="1" t="s">
        <v>436</v>
      </c>
    </row>
    <row r="83" spans="2:6" x14ac:dyDescent="0.25">
      <c r="B83" s="110" t="s">
        <v>442</v>
      </c>
      <c r="C83" s="1" t="s">
        <v>441</v>
      </c>
      <c r="D83" s="1" t="s">
        <v>7</v>
      </c>
      <c r="E83" s="1"/>
      <c r="F83" s="1" t="s">
        <v>436</v>
      </c>
    </row>
    <row r="84" spans="2:6" x14ac:dyDescent="0.25">
      <c r="B84" s="110" t="s">
        <v>440</v>
      </c>
      <c r="C84" s="1" t="s">
        <v>439</v>
      </c>
      <c r="D84" s="1" t="s">
        <v>7</v>
      </c>
      <c r="E84" s="1"/>
      <c r="F84" s="1" t="s">
        <v>436</v>
      </c>
    </row>
    <row r="85" spans="2:6" x14ac:dyDescent="0.25">
      <c r="B85" s="110">
        <v>48005303</v>
      </c>
      <c r="C85" s="1" t="s">
        <v>438</v>
      </c>
      <c r="D85" s="1" t="s">
        <v>7</v>
      </c>
      <c r="E85" s="1"/>
      <c r="F85" s="1" t="s">
        <v>436</v>
      </c>
    </row>
    <row r="86" spans="2:6" x14ac:dyDescent="0.25">
      <c r="B86" s="110">
        <v>48005342</v>
      </c>
      <c r="C86" s="1" t="s">
        <v>437</v>
      </c>
      <c r="D86" s="1" t="s">
        <v>7</v>
      </c>
      <c r="E86" s="1"/>
      <c r="F86" s="1" t="s">
        <v>436</v>
      </c>
    </row>
    <row r="87" spans="2:6" x14ac:dyDescent="0.25">
      <c r="B87" s="110">
        <v>2253114</v>
      </c>
      <c r="C87" s="1" t="s">
        <v>429</v>
      </c>
      <c r="D87" s="1" t="s">
        <v>7</v>
      </c>
      <c r="E87" s="1"/>
      <c r="F87" s="1" t="s">
        <v>419</v>
      </c>
    </row>
    <row r="88" spans="2:6" x14ac:dyDescent="0.25">
      <c r="B88" s="110">
        <v>2254433</v>
      </c>
      <c r="C88" s="1" t="s">
        <v>428</v>
      </c>
      <c r="D88" s="1" t="s">
        <v>7</v>
      </c>
      <c r="E88" s="1"/>
      <c r="F88" s="1" t="s">
        <v>419</v>
      </c>
    </row>
    <row r="89" spans="2:6" x14ac:dyDescent="0.25">
      <c r="B89" s="110">
        <v>2251359</v>
      </c>
      <c r="C89" s="1" t="s">
        <v>427</v>
      </c>
      <c r="D89" s="1" t="s">
        <v>7</v>
      </c>
      <c r="E89" s="1"/>
      <c r="F89" s="1" t="s">
        <v>419</v>
      </c>
    </row>
    <row r="90" spans="2:6" x14ac:dyDescent="0.25">
      <c r="B90" s="110">
        <v>411215</v>
      </c>
      <c r="C90" s="1" t="s">
        <v>426</v>
      </c>
      <c r="D90" s="1" t="s">
        <v>7</v>
      </c>
      <c r="E90" s="1"/>
      <c r="F90" s="1" t="s">
        <v>419</v>
      </c>
    </row>
    <row r="91" spans="2:6" x14ac:dyDescent="0.25">
      <c r="B91" s="110">
        <v>282312</v>
      </c>
      <c r="C91" s="1" t="s">
        <v>423</v>
      </c>
      <c r="D91" s="1" t="s">
        <v>7</v>
      </c>
      <c r="E91" s="1"/>
      <c r="F91" s="1" t="s">
        <v>419</v>
      </c>
    </row>
    <row r="92" spans="2:6" x14ac:dyDescent="0.25">
      <c r="B92" s="110">
        <v>2151591</v>
      </c>
      <c r="C92" s="1" t="s">
        <v>422</v>
      </c>
      <c r="D92" s="1" t="s">
        <v>7</v>
      </c>
      <c r="E92" s="1"/>
      <c r="F92" s="1" t="s">
        <v>419</v>
      </c>
    </row>
    <row r="93" spans="2:6" x14ac:dyDescent="0.25">
      <c r="B93" s="110">
        <v>2022004</v>
      </c>
      <c r="C93" s="1" t="s">
        <v>421</v>
      </c>
      <c r="D93" s="1" t="s">
        <v>7</v>
      </c>
      <c r="E93" s="1"/>
      <c r="F93" s="1" t="s">
        <v>419</v>
      </c>
    </row>
    <row r="94" spans="2:6" x14ac:dyDescent="0.25">
      <c r="B94" s="110">
        <v>2151584</v>
      </c>
      <c r="C94" s="1" t="s">
        <v>420</v>
      </c>
      <c r="D94" s="1" t="s">
        <v>7</v>
      </c>
      <c r="E94" s="1"/>
      <c r="F94" s="1" t="s">
        <v>419</v>
      </c>
    </row>
  </sheetData>
  <mergeCells count="2">
    <mergeCell ref="B6:F6"/>
    <mergeCell ref="H6:L6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E09C4-443B-4261-B4DC-3679B03BE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GS &amp; VENT ISS UPDAE</vt:lpstr>
      <vt:lpstr>MSC ISSUING UPDATE</vt:lpstr>
      <vt:lpstr>Drill Cons Iss Update</vt:lpstr>
      <vt:lpstr>SIGNS</vt:lpstr>
      <vt:lpstr>TOOLS </vt:lpstr>
    </vt:vector>
  </TitlesOfParts>
  <Company>Byrnecut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Horne</dc:creator>
  <cp:lastModifiedBy>Batseb Amon</cp:lastModifiedBy>
  <cp:lastPrinted>2026-05-31T00:30:31Z</cp:lastPrinted>
  <dcterms:created xsi:type="dcterms:W3CDTF">2026-01-28T12:44:13Z</dcterms:created>
  <dcterms:modified xsi:type="dcterms:W3CDTF">2026-07-15T05:23:23Z</dcterms:modified>
</cp:coreProperties>
</file>